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anjewit.sharepoint.com/sites/TC/Gedeelde documenten/2021-2022/Competitievoorbereiding 21 - 22/"/>
    </mc:Choice>
  </mc:AlternateContent>
  <xr:revisionPtr revIDLastSave="1519" documentId="8_{862803EC-863D-4DCD-AFB9-F329043AB048}" xr6:coauthVersionLast="47" xr6:coauthVersionMax="47" xr10:uidLastSave="{38BE8C94-B443-4E3C-8D8D-4F9050414390}"/>
  <bookViews>
    <workbookView xWindow="-120" yWindow="-120" windowWidth="29040" windowHeight="15840" firstSheet="2" activeTab="1" xr2:uid="{936DD2DD-FEE1-479C-98CF-F58D2D27076A}"/>
  </bookViews>
  <sheets>
    <sheet name="Teams" sheetId="2" r:id="rId1"/>
    <sheet name="Spelerslijst" sheetId="3" r:id="rId2"/>
    <sheet name="Staf" sheetId="4" r:id="rId3"/>
    <sheet name="Stoppers" sheetId="5" r:id="rId4"/>
    <sheet name="vraagtekens" sheetId="6" r:id="rId5"/>
    <sheet name="streepjes" sheetId="7" r:id="rId6"/>
    <sheet name="check bond 2206" sheetId="8" r:id="rId7"/>
  </sheets>
  <definedNames>
    <definedName name="_xlnm._FilterDatabase" localSheetId="1" hidden="1">Spelerslijst!$J$1:$P$148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 a="1"/>
  <c r="B20" i="2" s="1"/>
  <c r="AL106" i="2" a="1"/>
  <c r="AL106" i="2" s="1"/>
  <c r="AK106" i="2" a="1"/>
  <c r="AK106" i="2" s="1"/>
  <c r="AP100" i="2" a="1"/>
  <c r="AP100" i="2" s="1"/>
  <c r="AO100" i="2" a="1"/>
  <c r="AO100" i="2" s="1"/>
  <c r="AN99" i="2" s="1"/>
  <c r="AN100" i="2" a="1"/>
  <c r="AN100" i="2" s="1"/>
  <c r="AM100" i="2" a="1"/>
  <c r="AM100" i="2" s="1"/>
  <c r="AL100" i="2" a="1"/>
  <c r="AL100" i="2" s="1"/>
  <c r="AK99" i="2" s="1"/>
  <c r="AK100" i="2" a="1"/>
  <c r="AK100" i="2" s="1"/>
  <c r="Q20" i="2" a="1"/>
  <c r="Q20" i="2" s="1"/>
  <c r="P20" i="2" a="1"/>
  <c r="P20" i="2" s="1"/>
  <c r="U4" i="2" a="1"/>
  <c r="U4" i="2" s="1"/>
  <c r="T4" i="2" a="1"/>
  <c r="T4" i="2" s="1"/>
  <c r="S3" i="2" s="1"/>
  <c r="S4" i="2" a="1"/>
  <c r="S4" i="2" s="1"/>
  <c r="R4" i="2" a="1"/>
  <c r="R4" i="2" s="1"/>
  <c r="Q4" i="2" a="1"/>
  <c r="Q4" i="2" s="1"/>
  <c r="P3" i="2" s="1"/>
  <c r="P4" i="2" a="1"/>
  <c r="P4" i="2" s="1"/>
  <c r="J20" i="2" a="1"/>
  <c r="J20" i="2" s="1"/>
  <c r="I20" i="2" a="1"/>
  <c r="I20" i="2" s="1"/>
  <c r="N4" i="2" a="1"/>
  <c r="N4" i="2" s="1"/>
  <c r="M4" i="2" a="1"/>
  <c r="M4" i="2" s="1"/>
  <c r="L3" i="2" s="1"/>
  <c r="L4" i="2" a="1"/>
  <c r="L4" i="2" s="1"/>
  <c r="K4" i="2" a="1"/>
  <c r="K4" i="2" s="1"/>
  <c r="J4" i="2" a="1"/>
  <c r="J4" i="2" s="1"/>
  <c r="I3" i="2" s="1"/>
  <c r="I4" i="2" a="1"/>
  <c r="I4" i="2" s="1"/>
  <c r="G4" i="2" a="1"/>
  <c r="G4" i="2" s="1"/>
  <c r="F4" i="2" a="1"/>
  <c r="F4" i="2" s="1"/>
  <c r="E3" i="2" s="1"/>
  <c r="E4" i="2" a="1"/>
  <c r="E4" i="2" s="1"/>
  <c r="D4" i="2" a="1"/>
  <c r="D4" i="2" s="1"/>
  <c r="C4" i="2" a="1"/>
  <c r="C4" i="2" s="1"/>
  <c r="B3" i="2" s="1"/>
  <c r="B4" i="2" a="1"/>
  <c r="B4" i="2" s="1"/>
  <c r="C20" i="2" a="1"/>
  <c r="C20" i="2" s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C29" i="8" s="1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C61" i="8" s="1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C93" i="8" s="1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C134" i="8" s="1"/>
  <c r="B135" i="8"/>
  <c r="B136" i="8"/>
  <c r="C136" i="8" s="1"/>
  <c r="B137" i="8"/>
  <c r="B138" i="8"/>
  <c r="B139" i="8"/>
  <c r="B140" i="8"/>
  <c r="B141" i="8"/>
  <c r="B142" i="8"/>
  <c r="C142" i="8" s="1"/>
  <c r="B143" i="8"/>
  <c r="B144" i="8"/>
  <c r="B145" i="8"/>
  <c r="C145" i="8" s="1"/>
  <c r="B146" i="8"/>
  <c r="B147" i="8"/>
  <c r="C147" i="8" s="1"/>
  <c r="B148" i="8"/>
  <c r="B149" i="8"/>
  <c r="B150" i="8"/>
  <c r="C150" i="8" s="1"/>
  <c r="B151" i="8"/>
  <c r="B152" i="8"/>
  <c r="B153" i="8"/>
  <c r="B154" i="8"/>
  <c r="C154" i="8" s="1"/>
  <c r="B155" i="8"/>
  <c r="C155" i="8" s="1"/>
  <c r="B156" i="8"/>
  <c r="B157" i="8"/>
  <c r="B158" i="8"/>
  <c r="B159" i="8"/>
  <c r="B160" i="8"/>
  <c r="B161" i="8"/>
  <c r="C161" i="8" s="1"/>
  <c r="B162" i="8"/>
  <c r="B163" i="8"/>
  <c r="B164" i="8"/>
  <c r="B165" i="8"/>
  <c r="B166" i="8"/>
  <c r="B167" i="8"/>
  <c r="C167" i="8" s="1"/>
  <c r="B168" i="8"/>
  <c r="B169" i="8"/>
  <c r="B170" i="8"/>
  <c r="B171" i="8"/>
  <c r="B172" i="8"/>
  <c r="B173" i="8"/>
  <c r="B174" i="8"/>
  <c r="B175" i="8"/>
  <c r="B176" i="8"/>
  <c r="C176" i="8" s="1"/>
  <c r="B177" i="8"/>
  <c r="B178" i="8"/>
  <c r="B179" i="8"/>
  <c r="C179" i="8" s="1"/>
  <c r="B180" i="8"/>
  <c r="B181" i="8"/>
  <c r="B182" i="8"/>
  <c r="B183" i="8"/>
  <c r="B184" i="8"/>
  <c r="B185" i="8"/>
  <c r="B186" i="8"/>
  <c r="B187" i="8"/>
  <c r="B188" i="8"/>
  <c r="B189" i="8"/>
  <c r="B190" i="8"/>
  <c r="B191" i="8"/>
  <c r="C191" i="8" s="1"/>
  <c r="B192" i="8"/>
  <c r="B193" i="8"/>
  <c r="B194" i="8"/>
  <c r="B195" i="8"/>
  <c r="B196" i="8"/>
  <c r="B197" i="8"/>
  <c r="B198" i="8"/>
  <c r="B199" i="8"/>
  <c r="B200" i="8"/>
  <c r="B201" i="8"/>
  <c r="B202" i="8"/>
  <c r="C202" i="8" s="1"/>
  <c r="B203" i="8"/>
  <c r="B204" i="8"/>
  <c r="B205" i="8"/>
  <c r="B206" i="8"/>
  <c r="B207" i="8"/>
  <c r="B208" i="8"/>
  <c r="C208" i="8" s="1"/>
  <c r="B209" i="8"/>
  <c r="B210" i="8"/>
  <c r="C210" i="8" s="1"/>
  <c r="B211" i="8"/>
  <c r="C211" i="8" s="1"/>
  <c r="B212" i="8"/>
  <c r="C212" i="8" s="1"/>
  <c r="B213" i="8"/>
  <c r="B214" i="8"/>
  <c r="C214" i="8" s="1"/>
  <c r="B215" i="8"/>
  <c r="B216" i="8"/>
  <c r="C216" i="8" s="1"/>
  <c r="B217" i="8"/>
  <c r="B218" i="8"/>
  <c r="C218" i="8" s="1"/>
  <c r="B219" i="8"/>
  <c r="C219" i="8" s="1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C232" i="8" s="1"/>
  <c r="B233" i="8"/>
  <c r="B234" i="8"/>
  <c r="B235" i="8"/>
  <c r="B236" i="8"/>
  <c r="B237" i="8"/>
  <c r="B238" i="8"/>
  <c r="C238" i="8" s="1"/>
  <c r="B239" i="8"/>
  <c r="B240" i="8"/>
  <c r="B241" i="8"/>
  <c r="B242" i="8"/>
  <c r="B243" i="8"/>
  <c r="C243" i="8" s="1"/>
  <c r="B244" i="8"/>
  <c r="B245" i="8"/>
  <c r="B246" i="8"/>
  <c r="B247" i="8"/>
  <c r="B248" i="8"/>
  <c r="B249" i="8"/>
  <c r="B250" i="8"/>
  <c r="C250" i="8" s="1"/>
  <c r="B251" i="8"/>
  <c r="B252" i="8"/>
  <c r="B253" i="8"/>
  <c r="B254" i="8"/>
  <c r="C254" i="8" s="1"/>
  <c r="B255" i="8"/>
  <c r="C255" i="8" s="1"/>
  <c r="B256" i="8"/>
  <c r="B257" i="8"/>
  <c r="B258" i="8"/>
  <c r="B259" i="8"/>
  <c r="C259" i="8" s="1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C272" i="8" s="1"/>
  <c r="B273" i="8"/>
  <c r="B274" i="8"/>
  <c r="B275" i="8"/>
  <c r="B276" i="8"/>
  <c r="B277" i="8"/>
  <c r="B278" i="8"/>
  <c r="B279" i="8"/>
  <c r="B280" i="8"/>
  <c r="C280" i="8" s="1"/>
  <c r="B281" i="8"/>
  <c r="B282" i="8"/>
  <c r="B2" i="8"/>
  <c r="A2" i="8"/>
  <c r="AZ37" i="2" a="1"/>
  <c r="AZ37" i="2" s="1"/>
  <c r="AY37" i="2" a="1"/>
  <c r="AY37" i="2" s="1"/>
  <c r="BD29" i="2" a="1"/>
  <c r="BD29" i="2" s="1"/>
  <c r="BC29" i="2" a="1"/>
  <c r="BC29" i="2" s="1"/>
  <c r="BB28" i="2" s="1"/>
  <c r="BB29" i="2" a="1"/>
  <c r="BB29" i="2" s="1"/>
  <c r="BA29" i="2" a="1"/>
  <c r="BA29" i="2" s="1"/>
  <c r="AZ29" i="2" a="1"/>
  <c r="AZ29" i="2" s="1"/>
  <c r="AY28" i="2" s="1"/>
  <c r="AY29" i="2" a="1"/>
  <c r="AY29" i="2" s="1"/>
  <c r="J2" i="6" a="1"/>
  <c r="J2" i="6" s="1"/>
  <c r="K2" i="6" a="1"/>
  <c r="K2" i="6" s="1"/>
  <c r="L2" i="6" a="1"/>
  <c r="L2" i="6" s="1"/>
  <c r="M2" i="6" a="1"/>
  <c r="M2" i="6" s="1"/>
  <c r="N2" i="6" a="1"/>
  <c r="N2" i="6" s="1"/>
  <c r="O2" i="6" a="1"/>
  <c r="O2" i="6" s="1"/>
  <c r="I2" i="6" a="1"/>
  <c r="I2" i="6" s="1"/>
  <c r="B2" i="6" a="1"/>
  <c r="B2" i="6" s="1"/>
  <c r="C2" i="6" a="1"/>
  <c r="C2" i="6" s="1"/>
  <c r="D2" i="6" a="1"/>
  <c r="D2" i="6" s="1"/>
  <c r="E2" i="6" a="1"/>
  <c r="E2" i="6" s="1"/>
  <c r="F2" i="6" a="1"/>
  <c r="F2" i="6" s="1"/>
  <c r="G2" i="6" a="1"/>
  <c r="G2" i="6" s="1"/>
  <c r="A2" i="6" a="1"/>
  <c r="A2" i="6" s="1"/>
  <c r="J2" i="5" a="1"/>
  <c r="J2" i="5" s="1"/>
  <c r="K2" i="5" a="1"/>
  <c r="K2" i="5" s="1"/>
  <c r="L2" i="5" a="1"/>
  <c r="L2" i="5" s="1"/>
  <c r="M2" i="5" a="1"/>
  <c r="M2" i="5" s="1"/>
  <c r="N2" i="5" a="1"/>
  <c r="N2" i="5" s="1"/>
  <c r="O2" i="5" a="1"/>
  <c r="O2" i="5" s="1"/>
  <c r="I2" i="5" a="1"/>
  <c r="I2" i="5" s="1"/>
  <c r="B2" i="5" a="1"/>
  <c r="B2" i="5" s="1"/>
  <c r="C2" i="5" a="1"/>
  <c r="C2" i="5" s="1"/>
  <c r="D2" i="5" a="1"/>
  <c r="D2" i="5" s="1"/>
  <c r="E2" i="5" a="1"/>
  <c r="E2" i="5" s="1"/>
  <c r="F2" i="5" a="1"/>
  <c r="F2" i="5" s="1"/>
  <c r="G2" i="5" a="1"/>
  <c r="G2" i="5" s="1"/>
  <c r="A2" i="5" a="1"/>
  <c r="A2" i="5" s="1"/>
  <c r="C132" i="2" a="1"/>
  <c r="C132" i="2" s="1"/>
  <c r="B132" i="2" a="1"/>
  <c r="B132" i="2" s="1"/>
  <c r="AE118" i="2" a="1"/>
  <c r="AE118" i="2" s="1"/>
  <c r="AD118" i="2" a="1"/>
  <c r="AD118" i="2" s="1"/>
  <c r="X118" i="2" a="1"/>
  <c r="X118" i="2" s="1"/>
  <c r="W118" i="2" a="1"/>
  <c r="W118" i="2" s="1"/>
  <c r="Q118" i="2" a="1"/>
  <c r="Q118" i="2" s="1"/>
  <c r="P118" i="2" a="1"/>
  <c r="P118" i="2" s="1"/>
  <c r="J118" i="2" a="1"/>
  <c r="J118" i="2" s="1"/>
  <c r="I118" i="2" a="1"/>
  <c r="I118" i="2" s="1"/>
  <c r="C118" i="2" a="1"/>
  <c r="C118" i="2" s="1"/>
  <c r="B118" i="2" a="1"/>
  <c r="B118" i="2" s="1"/>
  <c r="C106" i="2" a="1"/>
  <c r="C106" i="2" s="1"/>
  <c r="B106" i="2" a="1"/>
  <c r="B106" i="2" s="1"/>
  <c r="J106" i="2" a="1"/>
  <c r="J106" i="2" s="1"/>
  <c r="I106" i="2" a="1"/>
  <c r="I106" i="2" s="1"/>
  <c r="Q106" i="2" a="1"/>
  <c r="Q106" i="2" s="1"/>
  <c r="P106" i="2" a="1"/>
  <c r="P106" i="2" s="1"/>
  <c r="X106" i="2" a="1"/>
  <c r="X106" i="2" s="1"/>
  <c r="W106" i="2" a="1"/>
  <c r="W106" i="2" s="1"/>
  <c r="AE106" i="2" a="1"/>
  <c r="AE106" i="2" s="1"/>
  <c r="AD106" i="2" a="1"/>
  <c r="AD106" i="2" s="1"/>
  <c r="AE94" i="2" a="1"/>
  <c r="AE94" i="2" s="1"/>
  <c r="AD94" i="2" a="1"/>
  <c r="AD94" i="2" s="1"/>
  <c r="X94" i="2" a="1"/>
  <c r="X94" i="2" s="1"/>
  <c r="W94" i="2" a="1"/>
  <c r="W94" i="2" s="1"/>
  <c r="Q94" i="2" a="1"/>
  <c r="Q94" i="2" s="1"/>
  <c r="P94" i="2" a="1"/>
  <c r="P94" i="2" s="1"/>
  <c r="J94" i="2" a="1"/>
  <c r="J94" i="2" s="1"/>
  <c r="I94" i="2" a="1"/>
  <c r="I94" i="2" s="1"/>
  <c r="C94" i="2" a="1"/>
  <c r="C94" i="2" s="1"/>
  <c r="B94" i="2" a="1"/>
  <c r="B94" i="2" s="1"/>
  <c r="C80" i="2" a="1"/>
  <c r="C80" i="2" s="1"/>
  <c r="B80" i="2" a="1"/>
  <c r="B80" i="2" s="1"/>
  <c r="J80" i="2" a="1"/>
  <c r="J80" i="2" s="1"/>
  <c r="I80" i="2" a="1"/>
  <c r="I80" i="2" s="1"/>
  <c r="Q80" i="2" a="1"/>
  <c r="Q80" i="2" s="1"/>
  <c r="P80" i="2" a="1"/>
  <c r="P80" i="2" s="1"/>
  <c r="X80" i="2" a="1"/>
  <c r="X80" i="2" s="1"/>
  <c r="W80" i="2" a="1"/>
  <c r="W80" i="2" s="1"/>
  <c r="AE80" i="2" a="1"/>
  <c r="AE80" i="2" s="1"/>
  <c r="AD80" i="2" a="1"/>
  <c r="AD80" i="2" s="1"/>
  <c r="AE66" i="2" a="1"/>
  <c r="AE66" i="2" s="1"/>
  <c r="AD66" i="2" a="1"/>
  <c r="AD66" i="2" s="1"/>
  <c r="X66" i="2" a="1"/>
  <c r="X66" i="2" s="1"/>
  <c r="W66" i="2" a="1"/>
  <c r="W66" i="2" s="1"/>
  <c r="Q66" i="2" a="1"/>
  <c r="Q66" i="2" s="1"/>
  <c r="P66" i="2" a="1"/>
  <c r="P66" i="2" s="1"/>
  <c r="J66" i="2" a="1"/>
  <c r="J66" i="2" s="1"/>
  <c r="I66" i="2" a="1"/>
  <c r="I66" i="2" s="1"/>
  <c r="C66" i="2" a="1"/>
  <c r="C66" i="2" s="1"/>
  <c r="B66" i="2" a="1"/>
  <c r="B66" i="2" s="1"/>
  <c r="AE52" i="2" a="1"/>
  <c r="AE52" i="2" s="1"/>
  <c r="AD52" i="2" a="1"/>
  <c r="AD52" i="2" s="1"/>
  <c r="X52" i="2" a="1"/>
  <c r="X52" i="2" s="1"/>
  <c r="W52" i="2" a="1"/>
  <c r="W52" i="2" s="1"/>
  <c r="Q52" i="2" a="1"/>
  <c r="Q52" i="2" s="1"/>
  <c r="P52" i="2" a="1"/>
  <c r="P52" i="2" s="1"/>
  <c r="J52" i="2" a="1"/>
  <c r="J52" i="2" s="1"/>
  <c r="I52" i="2" a="1"/>
  <c r="I52" i="2" s="1"/>
  <c r="C52" i="2" a="1"/>
  <c r="C52" i="2" s="1"/>
  <c r="B52" i="2" a="1"/>
  <c r="B52" i="2" s="1"/>
  <c r="AS37" i="2" a="1"/>
  <c r="AS37" i="2" s="1"/>
  <c r="AR37" i="2" a="1"/>
  <c r="AR37" i="2" s="1"/>
  <c r="AL37" i="2" a="1"/>
  <c r="AL37" i="2" s="1"/>
  <c r="AK37" i="2" a="1"/>
  <c r="AK37" i="2" s="1"/>
  <c r="AE37" i="2" a="1"/>
  <c r="AE37" i="2" s="1"/>
  <c r="AD37" i="2" a="1"/>
  <c r="AD37" i="2" s="1"/>
  <c r="X37" i="2" a="1"/>
  <c r="X37" i="2" s="1"/>
  <c r="W37" i="2" a="1"/>
  <c r="W37" i="2" s="1"/>
  <c r="Q37" i="2" a="1"/>
  <c r="Q37" i="2" s="1"/>
  <c r="P37" i="2" a="1"/>
  <c r="P37" i="2" s="1"/>
  <c r="J37" i="2" a="1"/>
  <c r="J37" i="2" s="1"/>
  <c r="I37" i="2" a="1"/>
  <c r="I37" i="2" s="1"/>
  <c r="C37" i="2" a="1"/>
  <c r="C37" i="2" s="1"/>
  <c r="B37" i="2" a="1"/>
  <c r="B37" i="2" s="1"/>
  <c r="AI112" i="2" a="1"/>
  <c r="AI112" i="2" s="1"/>
  <c r="AH112" i="2" a="1"/>
  <c r="AH112" i="2" s="1"/>
  <c r="AG111" i="2" s="1"/>
  <c r="AG112" i="2" a="1"/>
  <c r="AG112" i="2" s="1"/>
  <c r="AF112" i="2" a="1"/>
  <c r="AF112" i="2" s="1"/>
  <c r="AE112" i="2" a="1"/>
  <c r="AE112" i="2" s="1"/>
  <c r="AD111" i="2" s="1"/>
  <c r="AD112" i="2" a="1"/>
  <c r="AD112" i="2" s="1"/>
  <c r="AB112" i="2" a="1"/>
  <c r="AB112" i="2" s="1"/>
  <c r="AA112" i="2" a="1"/>
  <c r="AA112" i="2" s="1"/>
  <c r="Z111" i="2" s="1"/>
  <c r="Z112" i="2" a="1"/>
  <c r="Z112" i="2" s="1"/>
  <c r="Y112" i="2" a="1"/>
  <c r="Y112" i="2" s="1"/>
  <c r="X112" i="2" a="1"/>
  <c r="X112" i="2" s="1"/>
  <c r="W111" i="2" s="1"/>
  <c r="W112" i="2" a="1"/>
  <c r="W112" i="2" s="1"/>
  <c r="U112" i="2" a="1"/>
  <c r="U112" i="2" s="1"/>
  <c r="T112" i="2" a="1"/>
  <c r="T112" i="2" s="1"/>
  <c r="S111" i="2" s="1"/>
  <c r="S112" i="2" a="1"/>
  <c r="S112" i="2" s="1"/>
  <c r="R112" i="2" a="1"/>
  <c r="R112" i="2" s="1"/>
  <c r="Q112" i="2" a="1"/>
  <c r="Q112" i="2" s="1"/>
  <c r="P111" i="2" s="1"/>
  <c r="P112" i="2" a="1"/>
  <c r="P112" i="2" s="1"/>
  <c r="N112" i="2" a="1"/>
  <c r="N112" i="2" s="1"/>
  <c r="M112" i="2" a="1"/>
  <c r="M112" i="2" s="1"/>
  <c r="L111" i="2" s="1"/>
  <c r="L112" i="2" a="1"/>
  <c r="L112" i="2" s="1"/>
  <c r="K112" i="2" a="1"/>
  <c r="K112" i="2" s="1"/>
  <c r="J112" i="2" a="1"/>
  <c r="J112" i="2" s="1"/>
  <c r="I111" i="2" s="1"/>
  <c r="I112" i="2" a="1"/>
  <c r="I112" i="2" s="1"/>
  <c r="AI100" i="2" a="1"/>
  <c r="AI100" i="2" s="1"/>
  <c r="AH100" i="2" a="1"/>
  <c r="AH100" i="2" s="1"/>
  <c r="AG99" i="2" s="1"/>
  <c r="AG100" i="2" a="1"/>
  <c r="AG100" i="2" s="1"/>
  <c r="AF100" i="2" a="1"/>
  <c r="AF100" i="2" s="1"/>
  <c r="AE100" i="2" a="1"/>
  <c r="AE100" i="2" s="1"/>
  <c r="AD99" i="2" s="1"/>
  <c r="AD100" i="2" a="1"/>
  <c r="AD100" i="2" s="1"/>
  <c r="AB100" i="2" a="1"/>
  <c r="AB100" i="2" s="1"/>
  <c r="AA100" i="2" a="1"/>
  <c r="AA100" i="2" s="1"/>
  <c r="Z99" i="2" s="1"/>
  <c r="Z100" i="2" a="1"/>
  <c r="Z100" i="2" s="1"/>
  <c r="Y100" i="2" a="1"/>
  <c r="Y100" i="2" s="1"/>
  <c r="X100" i="2" a="1"/>
  <c r="X100" i="2" s="1"/>
  <c r="W99" i="2" s="1"/>
  <c r="W100" i="2" a="1"/>
  <c r="W100" i="2" s="1"/>
  <c r="U100" i="2" a="1"/>
  <c r="U100" i="2" s="1"/>
  <c r="T100" i="2" a="1"/>
  <c r="T100" i="2" s="1"/>
  <c r="S99" i="2" s="1"/>
  <c r="S100" i="2" a="1"/>
  <c r="S100" i="2" s="1"/>
  <c r="R100" i="2" a="1"/>
  <c r="R100" i="2" s="1"/>
  <c r="Q100" i="2" a="1"/>
  <c r="Q100" i="2" s="1"/>
  <c r="P99" i="2" s="1"/>
  <c r="P100" i="2" a="1"/>
  <c r="P100" i="2" s="1"/>
  <c r="N100" i="2" a="1"/>
  <c r="N100" i="2" s="1"/>
  <c r="M100" i="2" a="1"/>
  <c r="M100" i="2" s="1"/>
  <c r="L99" i="2" s="1"/>
  <c r="L100" i="2" a="1"/>
  <c r="L100" i="2" s="1"/>
  <c r="K100" i="2" a="1"/>
  <c r="K100" i="2" s="1"/>
  <c r="J100" i="2" a="1"/>
  <c r="J100" i="2" s="1"/>
  <c r="I99" i="2" s="1"/>
  <c r="I100" i="2" a="1"/>
  <c r="I100" i="2" s="1"/>
  <c r="AI86" i="2" a="1"/>
  <c r="AI86" i="2" s="1"/>
  <c r="AH86" i="2" a="1"/>
  <c r="AH86" i="2" s="1"/>
  <c r="AG85" i="2" s="1"/>
  <c r="AG86" i="2" a="1"/>
  <c r="AG86" i="2" s="1"/>
  <c r="AF86" i="2" a="1"/>
  <c r="AF86" i="2" s="1"/>
  <c r="AE86" i="2" a="1"/>
  <c r="AE86" i="2" s="1"/>
  <c r="AD85" i="2" s="1"/>
  <c r="AD86" i="2" a="1"/>
  <c r="AD86" i="2" s="1"/>
  <c r="AB86" i="2" a="1"/>
  <c r="AB86" i="2" s="1"/>
  <c r="AA86" i="2" a="1"/>
  <c r="AA86" i="2" s="1"/>
  <c r="Z85" i="2" s="1"/>
  <c r="Z86" i="2" a="1"/>
  <c r="Z86" i="2" s="1"/>
  <c r="Y86" i="2" a="1"/>
  <c r="Y86" i="2" s="1"/>
  <c r="X86" i="2" a="1"/>
  <c r="X86" i="2" s="1"/>
  <c r="W85" i="2" s="1"/>
  <c r="W86" i="2" a="1"/>
  <c r="W86" i="2" s="1"/>
  <c r="U86" i="2" a="1"/>
  <c r="U86" i="2" s="1"/>
  <c r="T86" i="2" a="1"/>
  <c r="T86" i="2" s="1"/>
  <c r="S85" i="2" s="1"/>
  <c r="S86" i="2" a="1"/>
  <c r="S86" i="2" s="1"/>
  <c r="R86" i="2" a="1"/>
  <c r="R86" i="2" s="1"/>
  <c r="Q86" i="2" a="1"/>
  <c r="Q86" i="2" s="1"/>
  <c r="P85" i="2" s="1"/>
  <c r="P86" i="2" a="1"/>
  <c r="P86" i="2" s="1"/>
  <c r="N86" i="2" a="1"/>
  <c r="N86" i="2" s="1"/>
  <c r="M86" i="2" a="1"/>
  <c r="M86" i="2" s="1"/>
  <c r="L85" i="2" s="1"/>
  <c r="L86" i="2" a="1"/>
  <c r="L86" i="2" s="1"/>
  <c r="K86" i="2" a="1"/>
  <c r="K86" i="2" s="1"/>
  <c r="J86" i="2" a="1"/>
  <c r="J86" i="2" s="1"/>
  <c r="I85" i="2" s="1"/>
  <c r="I86" i="2" a="1"/>
  <c r="I86" i="2" s="1"/>
  <c r="AI72" i="2" a="1"/>
  <c r="AI72" i="2" s="1"/>
  <c r="AH72" i="2" a="1"/>
  <c r="AH72" i="2" s="1"/>
  <c r="AG71" i="2" s="1"/>
  <c r="AG72" i="2" a="1"/>
  <c r="AG72" i="2" s="1"/>
  <c r="AF72" i="2" a="1"/>
  <c r="AF72" i="2" s="1"/>
  <c r="AE72" i="2" a="1"/>
  <c r="AE72" i="2" s="1"/>
  <c r="AD71" i="2" s="1"/>
  <c r="AD72" i="2" a="1"/>
  <c r="AD72" i="2" s="1"/>
  <c r="AB72" i="2" a="1"/>
  <c r="AB72" i="2" s="1"/>
  <c r="AA72" i="2" a="1"/>
  <c r="AA72" i="2" s="1"/>
  <c r="Z71" i="2" s="1"/>
  <c r="Z72" i="2" a="1"/>
  <c r="Z72" i="2" s="1"/>
  <c r="Y72" i="2" a="1"/>
  <c r="Y72" i="2" s="1"/>
  <c r="X72" i="2" a="1"/>
  <c r="X72" i="2" s="1"/>
  <c r="W71" i="2" s="1"/>
  <c r="W72" i="2" a="1"/>
  <c r="W72" i="2" s="1"/>
  <c r="U72" i="2" a="1"/>
  <c r="U72" i="2" s="1"/>
  <c r="T72" i="2" a="1"/>
  <c r="T72" i="2" s="1"/>
  <c r="S71" i="2" s="1"/>
  <c r="S72" i="2" a="1"/>
  <c r="S72" i="2" s="1"/>
  <c r="R72" i="2" a="1"/>
  <c r="R72" i="2" s="1"/>
  <c r="Q72" i="2" a="1"/>
  <c r="Q72" i="2" s="1"/>
  <c r="P71" i="2" s="1"/>
  <c r="P72" i="2" a="1"/>
  <c r="P72" i="2" s="1"/>
  <c r="N72" i="2" a="1"/>
  <c r="N72" i="2" s="1"/>
  <c r="M72" i="2" a="1"/>
  <c r="M72" i="2" s="1"/>
  <c r="L71" i="2" s="1"/>
  <c r="L72" i="2" a="1"/>
  <c r="L72" i="2" s="1"/>
  <c r="K72" i="2" a="1"/>
  <c r="K72" i="2" s="1"/>
  <c r="J72" i="2" a="1"/>
  <c r="J72" i="2" s="1"/>
  <c r="I71" i="2" s="1"/>
  <c r="I72" i="2" a="1"/>
  <c r="I72" i="2" s="1"/>
  <c r="G112" i="2" a="1"/>
  <c r="G112" i="2" s="1"/>
  <c r="F112" i="2" a="1"/>
  <c r="F112" i="2" s="1"/>
  <c r="E111" i="2" s="1"/>
  <c r="E112" i="2" a="1"/>
  <c r="E112" i="2" s="1"/>
  <c r="D112" i="2" a="1"/>
  <c r="D112" i="2" s="1"/>
  <c r="C112" i="2" a="1"/>
  <c r="C112" i="2" s="1"/>
  <c r="B111" i="2" s="1"/>
  <c r="B112" i="2" a="1"/>
  <c r="B112" i="2" s="1"/>
  <c r="G124" i="2" a="1"/>
  <c r="G124" i="2" s="1"/>
  <c r="F124" i="2" a="1"/>
  <c r="F124" i="2" s="1"/>
  <c r="E123" i="2" s="1"/>
  <c r="E124" i="2" a="1"/>
  <c r="E124" i="2" s="1"/>
  <c r="D124" i="2" a="1"/>
  <c r="D124" i="2" s="1"/>
  <c r="C124" i="2" a="1"/>
  <c r="C124" i="2" s="1"/>
  <c r="B123" i="2" s="1"/>
  <c r="B124" i="2" a="1"/>
  <c r="B124" i="2" s="1"/>
  <c r="G100" i="2" a="1"/>
  <c r="G100" i="2" s="1"/>
  <c r="F100" i="2" a="1"/>
  <c r="F100" i="2" s="1"/>
  <c r="E99" i="2" s="1"/>
  <c r="E100" i="2" a="1"/>
  <c r="E100" i="2" s="1"/>
  <c r="D100" i="2" a="1"/>
  <c r="D100" i="2" s="1"/>
  <c r="C100" i="2" a="1"/>
  <c r="C100" i="2" s="1"/>
  <c r="B99" i="2" s="1"/>
  <c r="B100" i="2" a="1"/>
  <c r="B100" i="2" s="1"/>
  <c r="G86" i="2" a="1"/>
  <c r="G86" i="2" s="1"/>
  <c r="F86" i="2" a="1"/>
  <c r="F86" i="2" s="1"/>
  <c r="E85" i="2" s="1"/>
  <c r="E86" i="2" a="1"/>
  <c r="E86" i="2" s="1"/>
  <c r="D86" i="2" a="1"/>
  <c r="D86" i="2" s="1"/>
  <c r="C86" i="2" a="1"/>
  <c r="C86" i="2" s="1"/>
  <c r="B85" i="2" s="1"/>
  <c r="B86" i="2" a="1"/>
  <c r="B86" i="2" s="1"/>
  <c r="G72" i="2" a="1"/>
  <c r="G72" i="2" s="1"/>
  <c r="F72" i="2" a="1"/>
  <c r="F72" i="2" s="1"/>
  <c r="E71" i="2" s="1"/>
  <c r="E72" i="2" a="1"/>
  <c r="E72" i="2" s="1"/>
  <c r="D72" i="2" a="1"/>
  <c r="D72" i="2" s="1"/>
  <c r="C72" i="2" a="1"/>
  <c r="C72" i="2" s="1"/>
  <c r="B71" i="2" s="1"/>
  <c r="B72" i="2" a="1"/>
  <c r="B72" i="2" s="1"/>
  <c r="AI58" i="2" a="1"/>
  <c r="AI58" i="2" s="1"/>
  <c r="AH58" i="2" a="1"/>
  <c r="AH58" i="2" s="1"/>
  <c r="AG57" i="2" s="1"/>
  <c r="AG58" i="2" a="1"/>
  <c r="AG58" i="2" s="1"/>
  <c r="AF58" i="2" a="1"/>
  <c r="AF58" i="2" s="1"/>
  <c r="AE58" i="2" a="1"/>
  <c r="AE58" i="2" s="1"/>
  <c r="AD57" i="2" s="1"/>
  <c r="AD58" i="2" a="1"/>
  <c r="AD58" i="2" s="1"/>
  <c r="AB58" i="2" a="1"/>
  <c r="AB58" i="2" s="1"/>
  <c r="AA58" i="2" a="1"/>
  <c r="AA58" i="2" s="1"/>
  <c r="Z57" i="2" s="1"/>
  <c r="Z58" i="2" a="1"/>
  <c r="Z58" i="2" s="1"/>
  <c r="Y58" i="2" a="1"/>
  <c r="Y58" i="2" s="1"/>
  <c r="X58" i="2" a="1"/>
  <c r="X58" i="2" s="1"/>
  <c r="W57" i="2" s="1"/>
  <c r="W58" i="2" a="1"/>
  <c r="W58" i="2" s="1"/>
  <c r="U58" i="2" a="1"/>
  <c r="U58" i="2" s="1"/>
  <c r="T58" i="2" a="1"/>
  <c r="T58" i="2" s="1"/>
  <c r="S57" i="2" s="1"/>
  <c r="S58" i="2" a="1"/>
  <c r="S58" i="2" s="1"/>
  <c r="R58" i="2" a="1"/>
  <c r="R58" i="2" s="1"/>
  <c r="Q58" i="2" a="1"/>
  <c r="Q58" i="2" s="1"/>
  <c r="P57" i="2" s="1"/>
  <c r="P58" i="2" a="1"/>
  <c r="P58" i="2" s="1"/>
  <c r="N58" i="2" a="1"/>
  <c r="N58" i="2" s="1"/>
  <c r="M58" i="2" a="1"/>
  <c r="M58" i="2" s="1"/>
  <c r="L57" i="2" s="1"/>
  <c r="L58" i="2" a="1"/>
  <c r="L58" i="2" s="1"/>
  <c r="K58" i="2" a="1"/>
  <c r="K58" i="2" s="1"/>
  <c r="J58" i="2" a="1"/>
  <c r="J58" i="2" s="1"/>
  <c r="I57" i="2" s="1"/>
  <c r="I58" i="2" a="1"/>
  <c r="I58" i="2" s="1"/>
  <c r="G58" i="2" a="1"/>
  <c r="G58" i="2" s="1"/>
  <c r="F58" i="2" a="1"/>
  <c r="F58" i="2" s="1"/>
  <c r="E57" i="2" s="1"/>
  <c r="E58" i="2" a="1"/>
  <c r="E58" i="2" s="1"/>
  <c r="D58" i="2" a="1"/>
  <c r="D58" i="2" s="1"/>
  <c r="C58" i="2" a="1"/>
  <c r="C58" i="2" s="1"/>
  <c r="B57" i="2" s="1"/>
  <c r="B58" i="2" a="1"/>
  <c r="B58" i="2" s="1"/>
  <c r="AI43" i="2" a="1"/>
  <c r="AI43" i="2" s="1"/>
  <c r="AH43" i="2" a="1"/>
  <c r="AH43" i="2" s="1"/>
  <c r="AG42" i="2" s="1"/>
  <c r="AG43" i="2" a="1"/>
  <c r="AG43" i="2" s="1"/>
  <c r="AF43" i="2" a="1"/>
  <c r="AF43" i="2" s="1"/>
  <c r="AE43" i="2" a="1"/>
  <c r="AE43" i="2" s="1"/>
  <c r="AD42" i="2" s="1"/>
  <c r="AD43" i="2" a="1"/>
  <c r="AD43" i="2" s="1"/>
  <c r="AB43" i="2" a="1"/>
  <c r="AB43" i="2" s="1"/>
  <c r="AA43" i="2" a="1"/>
  <c r="AA43" i="2" s="1"/>
  <c r="Z42" i="2" s="1"/>
  <c r="Z43" i="2" a="1"/>
  <c r="Z43" i="2" s="1"/>
  <c r="Y43" i="2" a="1"/>
  <c r="Y43" i="2" s="1"/>
  <c r="X43" i="2" a="1"/>
  <c r="X43" i="2" s="1"/>
  <c r="W42" i="2" s="1"/>
  <c r="W43" i="2" a="1"/>
  <c r="W43" i="2" s="1"/>
  <c r="U43" i="2" a="1"/>
  <c r="U43" i="2" s="1"/>
  <c r="T43" i="2" a="1"/>
  <c r="T43" i="2" s="1"/>
  <c r="S42" i="2" s="1"/>
  <c r="S43" i="2" a="1"/>
  <c r="S43" i="2" s="1"/>
  <c r="R43" i="2" a="1"/>
  <c r="R43" i="2" s="1"/>
  <c r="Q43" i="2" a="1"/>
  <c r="Q43" i="2" s="1"/>
  <c r="P42" i="2" s="1"/>
  <c r="P43" i="2" a="1"/>
  <c r="P43" i="2" s="1"/>
  <c r="N43" i="2" a="1"/>
  <c r="N43" i="2" s="1"/>
  <c r="M43" i="2" a="1"/>
  <c r="M43" i="2" s="1"/>
  <c r="L42" i="2" s="1"/>
  <c r="L43" i="2" a="1"/>
  <c r="L43" i="2" s="1"/>
  <c r="K43" i="2" a="1"/>
  <c r="K43" i="2" s="1"/>
  <c r="J43" i="2" a="1"/>
  <c r="J43" i="2" s="1"/>
  <c r="I42" i="2" s="1"/>
  <c r="I43" i="2" a="1"/>
  <c r="I43" i="2" s="1"/>
  <c r="G43" i="2" a="1"/>
  <c r="G43" i="2" s="1"/>
  <c r="F43" i="2" a="1"/>
  <c r="F43" i="2" s="1"/>
  <c r="E42" i="2" s="1"/>
  <c r="E43" i="2" a="1"/>
  <c r="E43" i="2" s="1"/>
  <c r="D43" i="2" a="1"/>
  <c r="D43" i="2" s="1"/>
  <c r="C43" i="2" a="1"/>
  <c r="C43" i="2" s="1"/>
  <c r="B42" i="2" s="1"/>
  <c r="B43" i="2" a="1"/>
  <c r="B43" i="2" s="1"/>
  <c r="AW29" i="2" a="1"/>
  <c r="AW29" i="2" s="1"/>
  <c r="AV29" i="2" a="1"/>
  <c r="AV29" i="2" s="1"/>
  <c r="AU28" i="2" s="1"/>
  <c r="AU29" i="2" a="1"/>
  <c r="AU29" i="2" s="1"/>
  <c r="AT29" i="2" a="1"/>
  <c r="AT29" i="2" s="1"/>
  <c r="AS29" i="2" a="1"/>
  <c r="AS29" i="2" s="1"/>
  <c r="AR28" i="2" s="1"/>
  <c r="AR29" i="2" a="1"/>
  <c r="AR29" i="2" s="1"/>
  <c r="AP29" i="2" a="1"/>
  <c r="AP29" i="2" s="1"/>
  <c r="AO29" i="2" a="1"/>
  <c r="AO29" i="2" s="1"/>
  <c r="AN28" i="2" s="1"/>
  <c r="AN29" i="2" a="1"/>
  <c r="AN29" i="2" s="1"/>
  <c r="AM29" i="2" a="1"/>
  <c r="AM29" i="2" s="1"/>
  <c r="AL29" i="2" a="1"/>
  <c r="AL29" i="2" s="1"/>
  <c r="AK28" i="2" s="1"/>
  <c r="AK29" i="2" a="1"/>
  <c r="AK29" i="2" s="1"/>
  <c r="AI29" i="2" a="1"/>
  <c r="AI29" i="2" s="1"/>
  <c r="AH29" i="2" a="1"/>
  <c r="AH29" i="2" s="1"/>
  <c r="AG28" i="2" s="1"/>
  <c r="AG29" i="2" a="1"/>
  <c r="AG29" i="2" s="1"/>
  <c r="AF29" i="2" a="1"/>
  <c r="AF29" i="2" s="1"/>
  <c r="AE29" i="2" a="1"/>
  <c r="AE29" i="2" s="1"/>
  <c r="AD28" i="2" s="1"/>
  <c r="AD29" i="2" a="1"/>
  <c r="AD29" i="2" s="1"/>
  <c r="AB29" i="2" a="1"/>
  <c r="AB29" i="2" s="1"/>
  <c r="AA29" i="2" a="1"/>
  <c r="AA29" i="2" s="1"/>
  <c r="Z28" i="2" s="1"/>
  <c r="Z29" i="2" a="1"/>
  <c r="Z29" i="2" s="1"/>
  <c r="Y29" i="2" a="1"/>
  <c r="Y29" i="2" s="1"/>
  <c r="X29" i="2" a="1"/>
  <c r="X29" i="2" s="1"/>
  <c r="W28" i="2" s="1"/>
  <c r="W29" i="2" a="1"/>
  <c r="W29" i="2" s="1"/>
  <c r="U29" i="2" a="1"/>
  <c r="U29" i="2" s="1"/>
  <c r="T29" i="2" a="1"/>
  <c r="T29" i="2" s="1"/>
  <c r="S28" i="2" s="1"/>
  <c r="S29" i="2" a="1"/>
  <c r="S29" i="2" s="1"/>
  <c r="R29" i="2" a="1"/>
  <c r="R29" i="2" s="1"/>
  <c r="Q29" i="2" a="1"/>
  <c r="Q29" i="2" s="1"/>
  <c r="P28" i="2" s="1"/>
  <c r="P29" i="2" a="1"/>
  <c r="P29" i="2" s="1"/>
  <c r="N29" i="2" a="1"/>
  <c r="N29" i="2" s="1"/>
  <c r="M29" i="2" a="1"/>
  <c r="M29" i="2" s="1"/>
  <c r="L28" i="2" s="1"/>
  <c r="L29" i="2" a="1"/>
  <c r="L29" i="2" s="1"/>
  <c r="K29" i="2" a="1"/>
  <c r="K29" i="2" s="1"/>
  <c r="J29" i="2" a="1"/>
  <c r="J29" i="2" s="1"/>
  <c r="I28" i="2" s="1"/>
  <c r="I29" i="2" a="1"/>
  <c r="I29" i="2" s="1"/>
  <c r="G29" i="2" a="1"/>
  <c r="G29" i="2" s="1"/>
  <c r="F29" i="2" a="1"/>
  <c r="F29" i="2" s="1"/>
  <c r="E28" i="2" s="1"/>
  <c r="E29" i="2" a="1"/>
  <c r="E29" i="2" s="1"/>
  <c r="D29" i="2" a="1"/>
  <c r="D29" i="2" s="1"/>
  <c r="C29" i="2" a="1"/>
  <c r="C29" i="2" s="1"/>
  <c r="B28" i="2" s="1"/>
  <c r="B29" i="2" a="1"/>
  <c r="B29" i="2" s="1"/>
  <c r="C122" i="8"/>
  <c r="C114" i="8"/>
  <c r="C106" i="8"/>
  <c r="C98" i="8"/>
  <c r="C82" i="8"/>
  <c r="C66" i="8"/>
  <c r="C58" i="8"/>
  <c r="C50" i="8"/>
  <c r="C42" i="8"/>
  <c r="C34" i="8"/>
  <c r="C18" i="8"/>
  <c r="C121" i="8"/>
  <c r="C89" i="8"/>
  <c r="C25" i="8"/>
  <c r="C9" i="8"/>
  <c r="C120" i="8"/>
  <c r="C112" i="8"/>
  <c r="C104" i="8"/>
  <c r="C96" i="8"/>
  <c r="C88" i="8"/>
  <c r="C80" i="8"/>
  <c r="C72" i="8"/>
  <c r="C64" i="8"/>
  <c r="C56" i="8"/>
  <c r="C48" i="8"/>
  <c r="C40" i="8"/>
  <c r="C32" i="8"/>
  <c r="C24" i="8"/>
  <c r="C16" i="8"/>
  <c r="C8" i="8"/>
  <c r="C119" i="8"/>
  <c r="C111" i="8"/>
  <c r="C103" i="8"/>
  <c r="C95" i="8"/>
  <c r="C87" i="8"/>
  <c r="C79" i="8"/>
  <c r="C71" i="8"/>
  <c r="C63" i="8"/>
  <c r="C55" i="8"/>
  <c r="C47" i="8"/>
  <c r="C39" i="8"/>
  <c r="C31" i="8"/>
  <c r="C23" i="8"/>
  <c r="C15" i="8"/>
  <c r="C7" i="8"/>
  <c r="C118" i="8"/>
  <c r="C110" i="8"/>
  <c r="C102" i="8"/>
  <c r="C94" i="8"/>
  <c r="C86" i="8"/>
  <c r="C78" i="8"/>
  <c r="C70" i="8"/>
  <c r="C62" i="8"/>
  <c r="C54" i="8"/>
  <c r="C46" i="8"/>
  <c r="C38" i="8"/>
  <c r="C30" i="8"/>
  <c r="C22" i="8"/>
  <c r="C14" i="8"/>
  <c r="C6" i="8"/>
  <c r="C117" i="8"/>
  <c r="C109" i="8"/>
  <c r="C101" i="8"/>
  <c r="C85" i="8"/>
  <c r="C77" i="8"/>
  <c r="C69" i="8"/>
  <c r="C53" i="8"/>
  <c r="C45" i="8"/>
  <c r="C37" i="8"/>
  <c r="C21" i="8"/>
  <c r="C13" i="8"/>
  <c r="C5" i="8"/>
  <c r="C116" i="8"/>
  <c r="C108" i="8"/>
  <c r="C100" i="8"/>
  <c r="C92" i="8"/>
  <c r="C84" i="8"/>
  <c r="C76" i="8"/>
  <c r="C68" i="8"/>
  <c r="C60" i="8"/>
  <c r="C52" i="8"/>
  <c r="C44" i="8"/>
  <c r="C36" i="8"/>
  <c r="C28" i="8"/>
  <c r="C20" i="8"/>
  <c r="C12" i="8"/>
  <c r="C4" i="8"/>
  <c r="C107" i="8"/>
  <c r="C59" i="8"/>
  <c r="C90" i="8" l="1"/>
  <c r="C74" i="8"/>
  <c r="C26" i="8"/>
  <c r="C10" i="8"/>
  <c r="C113" i="8"/>
  <c r="C105" i="8"/>
  <c r="C97" i="8"/>
  <c r="C81" i="8"/>
  <c r="C73" i="8"/>
  <c r="C65" i="8"/>
  <c r="C57" i="8"/>
  <c r="C49" i="8"/>
  <c r="C41" i="8"/>
  <c r="C33" i="8"/>
  <c r="C17" i="8"/>
  <c r="C115" i="8"/>
  <c r="C99" i="8"/>
  <c r="C91" i="8"/>
  <c r="C83" i="8"/>
  <c r="C75" i="8"/>
  <c r="C67" i="8"/>
  <c r="C51" i="8"/>
  <c r="C43" i="8"/>
  <c r="C35" i="8"/>
  <c r="C27" i="8"/>
  <c r="C19" i="8"/>
  <c r="C11" i="8"/>
  <c r="C3" i="8"/>
  <c r="C282" i="8"/>
  <c r="C274" i="8"/>
  <c r="C266" i="8"/>
  <c r="C234" i="8"/>
  <c r="C194" i="8"/>
  <c r="C170" i="8"/>
  <c r="C162" i="8"/>
  <c r="C146" i="8"/>
  <c r="C138" i="8"/>
  <c r="C264" i="8"/>
  <c r="C240" i="8"/>
  <c r="C200" i="8"/>
  <c r="C168" i="8"/>
  <c r="C152" i="8"/>
  <c r="C144" i="8"/>
  <c r="C215" i="8"/>
  <c r="C198" i="8"/>
  <c r="C190" i="8"/>
  <c r="C174" i="8"/>
  <c r="C166" i="8"/>
  <c r="C126" i="8"/>
  <c r="C180" i="8"/>
  <c r="C227" i="8"/>
  <c r="C163" i="8"/>
  <c r="C130" i="8"/>
  <c r="AW27" i="2"/>
  <c r="C277" i="8"/>
  <c r="C269" i="8"/>
  <c r="C261" i="8"/>
  <c r="C253" i="8"/>
  <c r="C245" i="8"/>
  <c r="C237" i="8"/>
  <c r="C229" i="8"/>
  <c r="C221" i="8"/>
  <c r="C213" i="8"/>
  <c r="C205" i="8"/>
  <c r="C197" i="8"/>
  <c r="C189" i="8"/>
  <c r="C181" i="8"/>
  <c r="C173" i="8"/>
  <c r="C165" i="8"/>
  <c r="C157" i="8"/>
  <c r="C149" i="8"/>
  <c r="C141" i="8"/>
  <c r="C133" i="8"/>
  <c r="C125" i="8"/>
  <c r="C2" i="8"/>
  <c r="C276" i="8"/>
  <c r="C268" i="8"/>
  <c r="C260" i="8"/>
  <c r="C252" i="8"/>
  <c r="C244" i="8"/>
  <c r="C236" i="8"/>
  <c r="C228" i="8"/>
  <c r="C220" i="8"/>
  <c r="C204" i="8"/>
  <c r="C196" i="8"/>
  <c r="C188" i="8"/>
  <c r="C172" i="8"/>
  <c r="C164" i="8"/>
  <c r="C156" i="8"/>
  <c r="C148" i="8"/>
  <c r="C140" i="8"/>
  <c r="C132" i="8"/>
  <c r="C124" i="8"/>
  <c r="C275" i="8"/>
  <c r="C267" i="8"/>
  <c r="C251" i="8"/>
  <c r="C235" i="8"/>
  <c r="C203" i="8"/>
  <c r="C195" i="8"/>
  <c r="C187" i="8"/>
  <c r="C171" i="8"/>
  <c r="C139" i="8"/>
  <c r="C131" i="8"/>
  <c r="C123" i="8"/>
  <c r="C258" i="8"/>
  <c r="C242" i="8"/>
  <c r="C226" i="8"/>
  <c r="C186" i="8"/>
  <c r="C178" i="8"/>
  <c r="C281" i="8"/>
  <c r="C273" i="8"/>
  <c r="C265" i="8"/>
  <c r="C257" i="8"/>
  <c r="C249" i="8"/>
  <c r="C241" i="8"/>
  <c r="C233" i="8"/>
  <c r="C225" i="8"/>
  <c r="C217" i="8"/>
  <c r="C209" i="8"/>
  <c r="C201" i="8"/>
  <c r="C193" i="8"/>
  <c r="C185" i="8"/>
  <c r="C177" i="8"/>
  <c r="C169" i="8"/>
  <c r="C153" i="8"/>
  <c r="C137" i="8"/>
  <c r="C129" i="8"/>
  <c r="C256" i="8"/>
  <c r="C248" i="8"/>
  <c r="C224" i="8"/>
  <c r="C192" i="8"/>
  <c r="C184" i="8"/>
  <c r="C160" i="8"/>
  <c r="C128" i="8"/>
  <c r="C279" i="8"/>
  <c r="C271" i="8"/>
  <c r="C263" i="8"/>
  <c r="C247" i="8"/>
  <c r="C239" i="8"/>
  <c r="C231" i="8"/>
  <c r="C223" i="8"/>
  <c r="C207" i="8"/>
  <c r="C199" i="8"/>
  <c r="C183" i="8"/>
  <c r="C175" i="8"/>
  <c r="C159" i="8"/>
  <c r="C151" i="8"/>
  <c r="C143" i="8"/>
  <c r="C135" i="8"/>
  <c r="C127" i="8"/>
  <c r="C278" i="8"/>
  <c r="C270" i="8"/>
  <c r="C262" i="8"/>
  <c r="C246" i="8"/>
  <c r="C230" i="8"/>
  <c r="C222" i="8"/>
  <c r="C206" i="8"/>
  <c r="C182" i="8"/>
  <c r="C158" i="8"/>
  <c r="AB110" i="2"/>
  <c r="N110" i="2"/>
  <c r="U110" i="2"/>
  <c r="N98" i="2"/>
  <c r="AB98" i="2"/>
  <c r="U98" i="2"/>
  <c r="AB84" i="2"/>
  <c r="AB27" i="2"/>
  <c r="G98" i="2"/>
  <c r="U84" i="2"/>
  <c r="AI98" i="2"/>
  <c r="AI41" i="2"/>
  <c r="G2" i="2"/>
  <c r="N27" i="2"/>
  <c r="AI27" i="2"/>
  <c r="N56" i="2"/>
  <c r="G27" i="2"/>
  <c r="N41" i="2"/>
  <c r="AI56" i="2"/>
  <c r="AI110" i="2"/>
  <c r="N2" i="2"/>
  <c r="U2" i="2"/>
  <c r="BD27" i="2"/>
  <c r="U56" i="2"/>
  <c r="N70" i="2"/>
  <c r="AI70" i="2"/>
  <c r="U41" i="2"/>
  <c r="G70" i="2"/>
  <c r="G122" i="2"/>
  <c r="N84" i="2"/>
  <c r="AI84" i="2"/>
  <c r="AP98" i="2"/>
  <c r="G41" i="2"/>
  <c r="AB56" i="2"/>
  <c r="U70" i="2"/>
  <c r="AB41" i="2"/>
  <c r="G84" i="2"/>
  <c r="G56" i="2"/>
  <c r="U27" i="2"/>
  <c r="AP27" i="2"/>
  <c r="G110" i="2"/>
  <c r="AB7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<sst xmlns="http://schemas.openxmlformats.org/spreadsheetml/2006/main" count="6226" uniqueCount="2372">
  <si>
    <t>Selecties</t>
  </si>
  <si>
    <t>S1S2</t>
  </si>
  <si>
    <t>JOW</t>
  </si>
  <si>
    <t>A1A2</t>
  </si>
  <si>
    <t>Senioren</t>
  </si>
  <si>
    <t>S1</t>
  </si>
  <si>
    <t>S2</t>
  </si>
  <si>
    <t>S3</t>
  </si>
  <si>
    <t>S4</t>
  </si>
  <si>
    <t>S5</t>
  </si>
  <si>
    <t>S6</t>
  </si>
  <si>
    <t>S7</t>
  </si>
  <si>
    <t>MW1</t>
  </si>
  <si>
    <t>A-Junioren</t>
  </si>
  <si>
    <t>A1</t>
  </si>
  <si>
    <t>A2</t>
  </si>
  <si>
    <t>A3</t>
  </si>
  <si>
    <t>A4</t>
  </si>
  <si>
    <t>A5</t>
  </si>
  <si>
    <t>B-Aspiranten</t>
  </si>
  <si>
    <t>B1</t>
  </si>
  <si>
    <t>B2</t>
  </si>
  <si>
    <t>B3</t>
  </si>
  <si>
    <t>B4</t>
  </si>
  <si>
    <t>B5</t>
  </si>
  <si>
    <t>C-Aspiranten</t>
  </si>
  <si>
    <t>C1</t>
  </si>
  <si>
    <t>C2</t>
  </si>
  <si>
    <t>C3</t>
  </si>
  <si>
    <t>C4</t>
  </si>
  <si>
    <t>C5</t>
  </si>
  <si>
    <t>D-Pupillen</t>
  </si>
  <si>
    <t>D1</t>
  </si>
  <si>
    <t>D2</t>
  </si>
  <si>
    <t>D3</t>
  </si>
  <si>
    <t>D4</t>
  </si>
  <si>
    <t>D5</t>
  </si>
  <si>
    <t>E-pupillen</t>
  </si>
  <si>
    <t>E1</t>
  </si>
  <si>
    <t>E2</t>
  </si>
  <si>
    <t>E3</t>
  </si>
  <si>
    <t>E4</t>
  </si>
  <si>
    <t>E5</t>
  </si>
  <si>
    <t>E6</t>
  </si>
  <si>
    <t>F-Pupillen</t>
  </si>
  <si>
    <t>F1</t>
  </si>
  <si>
    <t>F2</t>
  </si>
  <si>
    <t>F3</t>
  </si>
  <si>
    <t>F4</t>
  </si>
  <si>
    <t>F5</t>
  </si>
  <si>
    <t>Kangoeroes</t>
  </si>
  <si>
    <t>K</t>
  </si>
  <si>
    <t>Rel.nr</t>
  </si>
  <si>
    <t>Naam &amp; Initialen)</t>
  </si>
  <si>
    <t>Roepnaam</t>
  </si>
  <si>
    <t>Leeftijd Peildatum</t>
  </si>
  <si>
    <t>Geb datum</t>
  </si>
  <si>
    <t>Team op Peildatum</t>
  </si>
  <si>
    <t>Team       20-21</t>
  </si>
  <si>
    <t>AR</t>
  </si>
  <si>
    <t>Naam &amp; Initialen</t>
  </si>
  <si>
    <t>NJG13L1</t>
  </si>
  <si>
    <t>Bakker-Verwaal, L.</t>
  </si>
  <si>
    <t>Lieke</t>
  </si>
  <si>
    <t>Sen</t>
  </si>
  <si>
    <t>-</t>
  </si>
  <si>
    <t>NGP49B2</t>
  </si>
  <si>
    <t>Ameijden, van R.</t>
  </si>
  <si>
    <t>Robbert</t>
  </si>
  <si>
    <t>NJK42D1</t>
  </si>
  <si>
    <t>Blom, M.</t>
  </si>
  <si>
    <t>Michelle</t>
  </si>
  <si>
    <t>NFW42L1</t>
  </si>
  <si>
    <t>Belder, S.</t>
  </si>
  <si>
    <t>Steven</t>
  </si>
  <si>
    <t>NFW26V3</t>
  </si>
  <si>
    <t>Boshoven-Valk, A.</t>
  </si>
  <si>
    <t>Annemarie</t>
  </si>
  <si>
    <t>NFW42M8</t>
  </si>
  <si>
    <t>Boer, de A</t>
  </si>
  <si>
    <t>Alexander</t>
  </si>
  <si>
    <t>NLS54M7</t>
  </si>
  <si>
    <t>Jacobs, K.</t>
  </si>
  <si>
    <t>Kimberly</t>
  </si>
  <si>
    <t>NFX11D8</t>
  </si>
  <si>
    <t>Dalen, van A.T.M.</t>
  </si>
  <si>
    <t>Lex</t>
  </si>
  <si>
    <t>NLZ39C9</t>
  </si>
  <si>
    <t>Ploeg- van Ballegooijen, I.</t>
  </si>
  <si>
    <t>Irene</t>
  </si>
  <si>
    <t>NGT42V5</t>
  </si>
  <si>
    <t>Draaijer, R.</t>
  </si>
  <si>
    <t>Rens</t>
  </si>
  <si>
    <t>NLQ98H2</t>
  </si>
  <si>
    <t>Valk-Helsloot, G.</t>
  </si>
  <si>
    <t>Gunilda</t>
  </si>
  <si>
    <t>NJK05M3</t>
  </si>
  <si>
    <t>Goudriaan, S</t>
  </si>
  <si>
    <t>Stefan</t>
  </si>
  <si>
    <t>NFW28G4</t>
  </si>
  <si>
    <t>Visser, H.</t>
  </si>
  <si>
    <t>Hilde</t>
  </si>
  <si>
    <t>NJF34K6</t>
  </si>
  <si>
    <t>Hendriks, T.</t>
  </si>
  <si>
    <t>Tom</t>
  </si>
  <si>
    <t>NMN07F4</t>
  </si>
  <si>
    <t>Boshoven, S.A.E.</t>
  </si>
  <si>
    <t>Sara</t>
  </si>
  <si>
    <t>A</t>
  </si>
  <si>
    <t>NFW28T5</t>
  </si>
  <si>
    <t>Kleingeld, J</t>
  </si>
  <si>
    <t>Jasper</t>
  </si>
  <si>
    <t>NGG54V3</t>
  </si>
  <si>
    <t>Driesprong, M.</t>
  </si>
  <si>
    <t>Meike</t>
  </si>
  <si>
    <t>NJX60W1</t>
  </si>
  <si>
    <t>Klink, S.</t>
  </si>
  <si>
    <t>Stijn</t>
  </si>
  <si>
    <t>NJX40G9</t>
  </si>
  <si>
    <t>Fernhout, L.</t>
  </si>
  <si>
    <t>Loïs</t>
  </si>
  <si>
    <t>NFS05D0</t>
  </si>
  <si>
    <t>Naaktgeboren, D.J.</t>
  </si>
  <si>
    <t>Dio</t>
  </si>
  <si>
    <t>NLX00H0</t>
  </si>
  <si>
    <t>Gent, van E.</t>
  </si>
  <si>
    <t>Elsemieke</t>
  </si>
  <si>
    <t>NFW29N6</t>
  </si>
  <si>
    <t>Ploeg, H</t>
  </si>
  <si>
    <t>Henno</t>
  </si>
  <si>
    <t>NMD22V1</t>
  </si>
  <si>
    <t>Groeneweg, R.K.</t>
  </si>
  <si>
    <t>Roos</t>
  </si>
  <si>
    <t>NFX74K6</t>
  </si>
  <si>
    <t>Romijn, A.</t>
  </si>
  <si>
    <t>Aad</t>
  </si>
  <si>
    <t>NJQ72R0</t>
  </si>
  <si>
    <t>Horst, ter B.A.</t>
  </si>
  <si>
    <t>Bridget</t>
  </si>
  <si>
    <t>NJB72K6</t>
  </si>
  <si>
    <t>Scheurwater, T.</t>
  </si>
  <si>
    <t>Tiemen</t>
  </si>
  <si>
    <t>NLB70T7</t>
  </si>
  <si>
    <t>Mol, L.N.A.</t>
  </si>
  <si>
    <t>Laura</t>
  </si>
  <si>
    <t>NKX66V9</t>
  </si>
  <si>
    <t>Seevinck, S.L.</t>
  </si>
  <si>
    <t>Bert</t>
  </si>
  <si>
    <t>NLX64V0</t>
  </si>
  <si>
    <t>Verbeek, Y.</t>
  </si>
  <si>
    <t>Yente</t>
  </si>
  <si>
    <t>NKK88N6</t>
  </si>
  <si>
    <t>Sint Nicolaas, M.</t>
  </si>
  <si>
    <t>Marcel</t>
  </si>
  <si>
    <t>NMG13P0</t>
  </si>
  <si>
    <t>Volker, L.A.</t>
  </si>
  <si>
    <t>Lisa</t>
  </si>
  <si>
    <t>NFY89D8</t>
  </si>
  <si>
    <t>Tol, van R.J.P.</t>
  </si>
  <si>
    <t>Rob</t>
  </si>
  <si>
    <t>NLL20B6</t>
  </si>
  <si>
    <t>Wensen, van M.</t>
  </si>
  <si>
    <t>Maud</t>
  </si>
  <si>
    <t>NFW14Y3</t>
  </si>
  <si>
    <t>Verwaal, J.P.</t>
  </si>
  <si>
    <t>Jan-Peter</t>
  </si>
  <si>
    <t>NMM21T3</t>
  </si>
  <si>
    <t>Boeije, A.J.</t>
  </si>
  <si>
    <t>Amber</t>
  </si>
  <si>
    <t>NFW26Q8</t>
  </si>
  <si>
    <t>Vos, E.</t>
  </si>
  <si>
    <t>Egbert</t>
  </si>
  <si>
    <t>NLV54V3</t>
  </si>
  <si>
    <t>Fasbender, L.</t>
  </si>
  <si>
    <t>Lindi</t>
  </si>
  <si>
    <t>NFW15F3</t>
  </si>
  <si>
    <t>Wall, van der J</t>
  </si>
  <si>
    <t>Johan</t>
  </si>
  <si>
    <t>NML00R5</t>
  </si>
  <si>
    <t>Horst, ter R.N.</t>
  </si>
  <si>
    <t>Renee</t>
  </si>
  <si>
    <t>NKT15G2</t>
  </si>
  <si>
    <t>Alberts, S.</t>
  </si>
  <si>
    <t>Sem</t>
  </si>
  <si>
    <t>NLB71D8</t>
  </si>
  <si>
    <t>Jongh, de A.</t>
  </si>
  <si>
    <t>Anouk</t>
  </si>
  <si>
    <t>NKV95Q4</t>
  </si>
  <si>
    <t>Fasbender, T.</t>
  </si>
  <si>
    <t>Tijmen</t>
  </si>
  <si>
    <t>NMC30G4</t>
  </si>
  <si>
    <t>Lievaart, C.A.</t>
  </si>
  <si>
    <t>Carlijn</t>
  </si>
  <si>
    <t>NKR24P5</t>
  </si>
  <si>
    <t>Hoeve, ten M.</t>
  </si>
  <si>
    <t>Milan</t>
  </si>
  <si>
    <t>NLM40K0</t>
  </si>
  <si>
    <t>Quarré, E.A.</t>
  </si>
  <si>
    <t>Elena</t>
  </si>
  <si>
    <t>NKR57N5</t>
  </si>
  <si>
    <t>Hooijdonk, van O.</t>
  </si>
  <si>
    <t>Otte</t>
  </si>
  <si>
    <t>NKY54N3</t>
  </si>
  <si>
    <t>Raab, I.A.S.</t>
  </si>
  <si>
    <t>Ilse</t>
  </si>
  <si>
    <t>NKW21H5</t>
  </si>
  <si>
    <t>Kuijper, D.V.</t>
  </si>
  <si>
    <t>David</t>
  </si>
  <si>
    <t>NLP78G4</t>
  </si>
  <si>
    <t>Reus, de K.</t>
  </si>
  <si>
    <t>Kim</t>
  </si>
  <si>
    <t>NLG59F1</t>
  </si>
  <si>
    <t>Lohuis, J.A.</t>
  </si>
  <si>
    <t>Jens</t>
  </si>
  <si>
    <t>NMJ81C1</t>
  </si>
  <si>
    <t>Wijngaarden, van B.D.</t>
  </si>
  <si>
    <t>Bente</t>
  </si>
  <si>
    <t>B</t>
  </si>
  <si>
    <t>NKR20M2</t>
  </si>
  <si>
    <t>Seevinck, T.</t>
  </si>
  <si>
    <t>Tim</t>
  </si>
  <si>
    <t>NKC46R0</t>
  </si>
  <si>
    <t>Degenhardt, K</t>
  </si>
  <si>
    <t>NLL37Q7</t>
  </si>
  <si>
    <t>Timmer, J.</t>
  </si>
  <si>
    <t>Jordan</t>
  </si>
  <si>
    <t>NMM85F7</t>
  </si>
  <si>
    <t>Dekker, D.</t>
  </si>
  <si>
    <t>Daniëlle</t>
  </si>
  <si>
    <t>NKY88T2</t>
  </si>
  <si>
    <t>Uijl, den D.</t>
  </si>
  <si>
    <t>Daniel</t>
  </si>
  <si>
    <t>NKJ95M4</t>
  </si>
  <si>
    <t>Herremans, J.</t>
  </si>
  <si>
    <t>Jennifer</t>
  </si>
  <si>
    <t>NKX66T5</t>
  </si>
  <si>
    <t>Wietses, J.</t>
  </si>
  <si>
    <t>Joël</t>
  </si>
  <si>
    <t>NMM85D3</t>
  </si>
  <si>
    <t>Witman, K.</t>
  </si>
  <si>
    <t>Kimberley</t>
  </si>
  <si>
    <t>NLJ47N9</t>
  </si>
  <si>
    <t>IJben, C.</t>
  </si>
  <si>
    <t>Chris</t>
  </si>
  <si>
    <t>NLL20G1</t>
  </si>
  <si>
    <t>de Haas, A</t>
  </si>
  <si>
    <t>NLB71F2</t>
  </si>
  <si>
    <t>Koornneef, W.J.</t>
  </si>
  <si>
    <t>Wouter</t>
  </si>
  <si>
    <t>NLL20H8</t>
  </si>
  <si>
    <t>Driesprong, J.</t>
  </si>
  <si>
    <t>Jana</t>
  </si>
  <si>
    <t>NLB70Y2</t>
  </si>
  <si>
    <t>Meijer, J.H.</t>
  </si>
  <si>
    <t>Joeke</t>
  </si>
  <si>
    <t>NLS34M7</t>
  </si>
  <si>
    <t>Manduapessy, M.</t>
  </si>
  <si>
    <t>Merel</t>
  </si>
  <si>
    <t>NLC07T4</t>
  </si>
  <si>
    <t>Everaarts, J.D.</t>
  </si>
  <si>
    <t>Jesse</t>
  </si>
  <si>
    <t>NFW41S7</t>
  </si>
  <si>
    <t>Mert, R.</t>
  </si>
  <si>
    <t>Rezzan</t>
  </si>
  <si>
    <t>NLP77Y7</t>
  </si>
  <si>
    <t>Klein, D.H.</t>
  </si>
  <si>
    <t>Daan</t>
  </si>
  <si>
    <t>NLN68P0</t>
  </si>
  <si>
    <t>Wolleswinkel, I.M.S.</t>
  </si>
  <si>
    <t>Iza</t>
  </si>
  <si>
    <t>NKW50D9</t>
  </si>
  <si>
    <t>Lange, M.J.D.</t>
  </si>
  <si>
    <t>Mathijs</t>
  </si>
  <si>
    <t>NLH27P1</t>
  </si>
  <si>
    <t>Bouwknegt, L.V.</t>
  </si>
  <si>
    <t>Lianne</t>
  </si>
  <si>
    <t>NKX56T0</t>
  </si>
  <si>
    <t>Verhagen, L.A.J.</t>
  </si>
  <si>
    <t>Laurens</t>
  </si>
  <si>
    <t>NML82P7</t>
  </si>
  <si>
    <t>Bozuwa, J.</t>
  </si>
  <si>
    <t>Julia</t>
  </si>
  <si>
    <t>NLG57P5</t>
  </si>
  <si>
    <t>Bäcker, C.J.</t>
  </si>
  <si>
    <t>Tijn</t>
  </si>
  <si>
    <t>NKR62S0</t>
  </si>
  <si>
    <t>Burgt, van de E.</t>
  </si>
  <si>
    <t>Elize</t>
  </si>
  <si>
    <t>C</t>
  </si>
  <si>
    <t>NLG59G8</t>
  </si>
  <si>
    <t>Koster, S.</t>
  </si>
  <si>
    <t>Senne</t>
  </si>
  <si>
    <t>NKG59L6</t>
  </si>
  <si>
    <t>Hoeve, ten S.</t>
  </si>
  <si>
    <t>NLG58W7</t>
  </si>
  <si>
    <t>Vaartmans, J.A.</t>
  </si>
  <si>
    <t>Jordi</t>
  </si>
  <si>
    <t>NKG59H8</t>
  </si>
  <si>
    <t>Voorbij, D.M.</t>
  </si>
  <si>
    <t>Doeska</t>
  </si>
  <si>
    <t>NLG57L7</t>
  </si>
  <si>
    <t>Valk, J.B.</t>
  </si>
  <si>
    <t>Jarno</t>
  </si>
  <si>
    <t>NJQ72K1</t>
  </si>
  <si>
    <t>Broek, van de C.</t>
  </si>
  <si>
    <t>NLL19V8</t>
  </si>
  <si>
    <t>Zwanenburg, J.</t>
  </si>
  <si>
    <t>Jack</t>
  </si>
  <si>
    <t>NLL53K3</t>
  </si>
  <si>
    <t>Everdingen, van T.</t>
  </si>
  <si>
    <t>Tessa</t>
  </si>
  <si>
    <t>NLL19X2</t>
  </si>
  <si>
    <t>Altena, E.K.</t>
  </si>
  <si>
    <t>Evan</t>
  </si>
  <si>
    <t>NMJ35H3</t>
  </si>
  <si>
    <t>Vreeling, A.J.P.</t>
  </si>
  <si>
    <t>NLL20F4</t>
  </si>
  <si>
    <t>Burgt, van de S.</t>
  </si>
  <si>
    <t>Seth</t>
  </si>
  <si>
    <t>NKD19X7</t>
  </si>
  <si>
    <t>Kilsdonk, S.A</t>
  </si>
  <si>
    <t>Sophie</t>
  </si>
  <si>
    <t>NLJ97M7</t>
  </si>
  <si>
    <t>Felix, J.</t>
  </si>
  <si>
    <t>Jesper</t>
  </si>
  <si>
    <t>NKW52X5</t>
  </si>
  <si>
    <t>Klooster, van der C.</t>
  </si>
  <si>
    <t>Carmen</t>
  </si>
  <si>
    <t>NLM05B2</t>
  </si>
  <si>
    <t>Vliet, T.M.</t>
  </si>
  <si>
    <t>Tycho</t>
  </si>
  <si>
    <t>NKQ40Q9</t>
  </si>
  <si>
    <t>Linden, van der B.S.</t>
  </si>
  <si>
    <t>Benthe</t>
  </si>
  <si>
    <t>NMJ10P4</t>
  </si>
  <si>
    <t>Boshoven, C.</t>
  </si>
  <si>
    <t>Casper</t>
  </si>
  <si>
    <t>NLS08G2</t>
  </si>
  <si>
    <t>Reuvers, L.</t>
  </si>
  <si>
    <t>NMM75S3</t>
  </si>
  <si>
    <t>Figee, N</t>
  </si>
  <si>
    <t>Niek</t>
  </si>
  <si>
    <t>NJY82Z9</t>
  </si>
  <si>
    <t>Wit, de M.</t>
  </si>
  <si>
    <t>Mila</t>
  </si>
  <si>
    <t>NLW47J4</t>
  </si>
  <si>
    <t>Hashmei, A.</t>
  </si>
  <si>
    <t>Ali</t>
  </si>
  <si>
    <t>NMK83B1</t>
  </si>
  <si>
    <t>Bemer, G.M.E.</t>
  </si>
  <si>
    <t>Githa</t>
  </si>
  <si>
    <t>NMJ09L8</t>
  </si>
  <si>
    <t>Ibrahim, A.</t>
  </si>
  <si>
    <t>Abdi</t>
  </si>
  <si>
    <t>NMK01M2</t>
  </si>
  <si>
    <t>Everaarts, A.E.</t>
  </si>
  <si>
    <t>Anna</t>
  </si>
  <si>
    <t>NKZ28R9</t>
  </si>
  <si>
    <t>Jongh, de M.</t>
  </si>
  <si>
    <t>Matthijs</t>
  </si>
  <si>
    <t>NLX25R5</t>
  </si>
  <si>
    <t>Lohuis, F.A.C.</t>
  </si>
  <si>
    <t>Floor</t>
  </si>
  <si>
    <t>NLB71B4</t>
  </si>
  <si>
    <t>Koornneef, T.J.</t>
  </si>
  <si>
    <t>Tommie</t>
  </si>
  <si>
    <t>??</t>
  </si>
  <si>
    <t>Matena, A.</t>
  </si>
  <si>
    <t>Anjanette</t>
  </si>
  <si>
    <t>NLR06X4</t>
  </si>
  <si>
    <t>Pille, M.A.</t>
  </si>
  <si>
    <t>Menno</t>
  </si>
  <si>
    <t>NLV80N0</t>
  </si>
  <si>
    <t>Verboom, S.</t>
  </si>
  <si>
    <t>Stella</t>
  </si>
  <si>
    <t>NMJ72N6</t>
  </si>
  <si>
    <t>Bemer, J.L.E.</t>
  </si>
  <si>
    <t>NLC07S7</t>
  </si>
  <si>
    <t>Kamerman, Z.</t>
  </si>
  <si>
    <t>Zoë</t>
  </si>
  <si>
    <t>NLS85H0</t>
  </si>
  <si>
    <t>Dekker, den O.C.</t>
  </si>
  <si>
    <t>Onno</t>
  </si>
  <si>
    <t>NKX56Q9</t>
  </si>
  <si>
    <t>Oomens, H.</t>
  </si>
  <si>
    <t>Hanna</t>
  </si>
  <si>
    <t>NLG58X4</t>
  </si>
  <si>
    <t>Dongen, van F.P.B.</t>
  </si>
  <si>
    <t>Freek</t>
  </si>
  <si>
    <t>NLJ47P3</t>
  </si>
  <si>
    <t>Reijerkerk, S.F.</t>
  </si>
  <si>
    <t>Sterre</t>
  </si>
  <si>
    <t>NLD36P9</t>
  </si>
  <si>
    <t>Driesprong, N.</t>
  </si>
  <si>
    <t>NMB03R4</t>
  </si>
  <si>
    <t>Zwanenburg, R.J.</t>
  </si>
  <si>
    <t>Robin</t>
  </si>
  <si>
    <t>NLP78Q4</t>
  </si>
  <si>
    <t>Sas, M.</t>
  </si>
  <si>
    <t>Maarten</t>
  </si>
  <si>
    <t>NMD34T8</t>
  </si>
  <si>
    <t>Burgt, van de F.</t>
  </si>
  <si>
    <t>Feline</t>
  </si>
  <si>
    <t>D</t>
  </si>
  <si>
    <t>NLL37S1</t>
  </si>
  <si>
    <t>Camphens, T.</t>
  </si>
  <si>
    <t>NMM99N0</t>
  </si>
  <si>
    <t>Klooster, van der D.</t>
  </si>
  <si>
    <t>Danique</t>
  </si>
  <si>
    <t>NLS75Y4</t>
  </si>
  <si>
    <t>Heersping, D.B.A.C.</t>
  </si>
  <si>
    <t>Dani</t>
  </si>
  <si>
    <t>NLF50K8</t>
  </si>
  <si>
    <t>Lindhout, D.</t>
  </si>
  <si>
    <t>Demi</t>
  </si>
  <si>
    <t>NLL49T9</t>
  </si>
  <si>
    <t>Mahabier, J.</t>
  </si>
  <si>
    <t>Jeevan</t>
  </si>
  <si>
    <t>NKK27B9</t>
  </si>
  <si>
    <t>Stomp, N.</t>
  </si>
  <si>
    <t>Noa</t>
  </si>
  <si>
    <t>NLX00G3</t>
  </si>
  <si>
    <t>Sempel, J.D.</t>
  </si>
  <si>
    <t>NKF94H2</t>
  </si>
  <si>
    <t>Volker, T.N.</t>
  </si>
  <si>
    <t>Tess</t>
  </si>
  <si>
    <t>NLS85J4</t>
  </si>
  <si>
    <t>Vliet, K.M.</t>
  </si>
  <si>
    <t>Kian</t>
  </si>
  <si>
    <t>NLB70X5</t>
  </si>
  <si>
    <t>Bakker, F.</t>
  </si>
  <si>
    <t>Femke</t>
  </si>
  <si>
    <t>NLH06P8</t>
  </si>
  <si>
    <t>Est, van K.H.T.</t>
  </si>
  <si>
    <t>Koen</t>
  </si>
  <si>
    <t>NMK07N7</t>
  </si>
  <si>
    <t>Boer, de E.M.</t>
  </si>
  <si>
    <t>Esmée</t>
  </si>
  <si>
    <t>NMG85H5</t>
  </si>
  <si>
    <t>Hovestadt, D.</t>
  </si>
  <si>
    <t>Diederik</t>
  </si>
  <si>
    <t>NKP41W3</t>
  </si>
  <si>
    <t>Camphens, S.</t>
  </si>
  <si>
    <t>Saar</t>
  </si>
  <si>
    <t>NLN28Y3</t>
  </si>
  <si>
    <t>Kuijper, R.A.</t>
  </si>
  <si>
    <t>Raoul</t>
  </si>
  <si>
    <t>NMK12F1</t>
  </si>
  <si>
    <t>Engelfriet, D.</t>
  </si>
  <si>
    <t>NMK85P5</t>
  </si>
  <si>
    <t>Pichel, T.</t>
  </si>
  <si>
    <t>Timo</t>
  </si>
  <si>
    <t>NKY17P6</t>
  </si>
  <si>
    <t>Kleingeld, J.N.</t>
  </si>
  <si>
    <t>NLV35B6</t>
  </si>
  <si>
    <t>Quarre, S.M.</t>
  </si>
  <si>
    <t>Stephan</t>
  </si>
  <si>
    <t>NLP89T3</t>
  </si>
  <si>
    <t>Vaartmans, B.</t>
  </si>
  <si>
    <t>Britt</t>
  </si>
  <si>
    <t>NLY54F4</t>
  </si>
  <si>
    <t>Vos, J.</t>
  </si>
  <si>
    <t>Justin</t>
  </si>
  <si>
    <t>NJK08X9</t>
  </si>
  <si>
    <t>Veld, in 't P.M.</t>
  </si>
  <si>
    <t>Puck</t>
  </si>
  <si>
    <t>Stopt</t>
  </si>
  <si>
    <t>NMG18G2</t>
  </si>
  <si>
    <t>Belder, L.</t>
  </si>
  <si>
    <t>Lenn</t>
  </si>
  <si>
    <t>NLF29C4</t>
  </si>
  <si>
    <t>Wiel, van der D.N.</t>
  </si>
  <si>
    <t>NMC61P5</t>
  </si>
  <si>
    <t>Dekker, den T.J.</t>
  </si>
  <si>
    <t>NLG57M4</t>
  </si>
  <si>
    <t>Baas, N.J.</t>
  </si>
  <si>
    <t>Nikki</t>
  </si>
  <si>
    <t>NLP78P7</t>
  </si>
  <si>
    <t>Sas, N.</t>
  </si>
  <si>
    <t>NKR88F7</t>
  </si>
  <si>
    <t>Bouwknegt, E.L.</t>
  </si>
  <si>
    <t>Enora</t>
  </si>
  <si>
    <t>NLY32T6</t>
  </si>
  <si>
    <t>Ven, van de J.</t>
  </si>
  <si>
    <t>Jonas</t>
  </si>
  <si>
    <t>NKR88D3</t>
  </si>
  <si>
    <t>Dongen, van M.J.</t>
  </si>
  <si>
    <t>Madelief</t>
  </si>
  <si>
    <t>NMD51K6</t>
  </si>
  <si>
    <t>Vos, T.</t>
  </si>
  <si>
    <t>Thomas</t>
  </si>
  <si>
    <t>NKB62K8</t>
  </si>
  <si>
    <t>Grootenboer, T.L.</t>
  </si>
  <si>
    <t>NLV80P4</t>
  </si>
  <si>
    <t>Heersping, S.</t>
  </si>
  <si>
    <t>Sander</t>
  </si>
  <si>
    <t>NMF58C3</t>
  </si>
  <si>
    <t>Jongkind, F.W.J.</t>
  </si>
  <si>
    <t>Floortje</t>
  </si>
  <si>
    <t>NLV80M3</t>
  </si>
  <si>
    <t>Laban, F.C.</t>
  </si>
  <si>
    <t>E</t>
  </si>
  <si>
    <t>NMM42W7</t>
  </si>
  <si>
    <t>Karstens, T</t>
  </si>
  <si>
    <t>Tara</t>
  </si>
  <si>
    <t>NMC41D1</t>
  </si>
  <si>
    <t>Afsharbegloe, P.</t>
  </si>
  <si>
    <t>Parham</t>
  </si>
  <si>
    <t>NJX04V6</t>
  </si>
  <si>
    <t>Barbaroux, M.</t>
  </si>
  <si>
    <t>Manon</t>
  </si>
  <si>
    <t>NMB42C6</t>
  </si>
  <si>
    <t>Heeren, van D.</t>
  </si>
  <si>
    <t>Djess</t>
  </si>
  <si>
    <t>NKT92K1</t>
  </si>
  <si>
    <t>Bos, B.M.</t>
  </si>
  <si>
    <t>Bryanna</t>
  </si>
  <si>
    <t>NLX04H2</t>
  </si>
  <si>
    <t>Post, J.M.</t>
  </si>
  <si>
    <t>Joaz</t>
  </si>
  <si>
    <t>NLR34F7</t>
  </si>
  <si>
    <t>Groen, E.</t>
  </si>
  <si>
    <t>Evie</t>
  </si>
  <si>
    <t>NML47R6</t>
  </si>
  <si>
    <t>Rutten, M.</t>
  </si>
  <si>
    <t>NMN06Y4</t>
  </si>
  <si>
    <t>Jongkind, P.</t>
  </si>
  <si>
    <t>Pippa</t>
  </si>
  <si>
    <t>NMF22Q8</t>
  </si>
  <si>
    <t>Jacobs, X.</t>
  </si>
  <si>
    <t>Xavi</t>
  </si>
  <si>
    <t>NLX08G7</t>
  </si>
  <si>
    <t>Nijman, F.J.J.</t>
  </si>
  <si>
    <t>Famke</t>
  </si>
  <si>
    <t>NMK12K6</t>
  </si>
  <si>
    <t>Thijs</t>
  </si>
  <si>
    <t>NLM17J9</t>
  </si>
  <si>
    <t>Rooij, van E.J.</t>
  </si>
  <si>
    <t>Eva</t>
  </si>
  <si>
    <t>NMC41W4</t>
  </si>
  <si>
    <t>Ameijden, van J.</t>
  </si>
  <si>
    <t>Joep</t>
  </si>
  <si>
    <t>NLS45N2</t>
  </si>
  <si>
    <t>Vercouteren, N.</t>
  </si>
  <si>
    <t>Noortje</t>
  </si>
  <si>
    <t>NMJ72R4</t>
  </si>
  <si>
    <t>Bemer, F.G.L.</t>
  </si>
  <si>
    <t>Falco</t>
  </si>
  <si>
    <t>NMD71P1</t>
  </si>
  <si>
    <t>Veenendaal, E.</t>
  </si>
  <si>
    <t>Eline</t>
  </si>
  <si>
    <t>NMJ72P0</t>
  </si>
  <si>
    <t>Bemer, T.R.S</t>
  </si>
  <si>
    <t>Tygo</t>
  </si>
  <si>
    <t>NKT65Z0</t>
  </si>
  <si>
    <t>Bakker, A.</t>
  </si>
  <si>
    <t>NML47D8</t>
  </si>
  <si>
    <t>Goedegebuur, M.M.</t>
  </si>
  <si>
    <t>Mels</t>
  </si>
  <si>
    <t>NML53R9</t>
  </si>
  <si>
    <t>Bezemer, E.R.</t>
  </si>
  <si>
    <t>NMD90G5</t>
  </si>
  <si>
    <t>Hemert, van S.</t>
  </si>
  <si>
    <t>NLD55M5</t>
  </si>
  <si>
    <t>Boer, de L.</t>
  </si>
  <si>
    <t>Layla</t>
  </si>
  <si>
    <t>NLZ21F1</t>
  </si>
  <si>
    <t>Ven, van de A.</t>
  </si>
  <si>
    <t>Abel</t>
  </si>
  <si>
    <t>F</t>
  </si>
  <si>
    <t>NKR09G7</t>
  </si>
  <si>
    <t>Boogaart, Lenthe van den</t>
  </si>
  <si>
    <t>Lenthe</t>
  </si>
  <si>
    <t>NMG03C4</t>
  </si>
  <si>
    <t>Verboom, F.</t>
  </si>
  <si>
    <t>Finn</t>
  </si>
  <si>
    <t>NJF85B1</t>
  </si>
  <si>
    <t>Breekveldt, T.</t>
  </si>
  <si>
    <t>NMC29Z9</t>
  </si>
  <si>
    <t>Juda</t>
  </si>
  <si>
    <t>NLN05N7</t>
  </si>
  <si>
    <t>Brouwer, N</t>
  </si>
  <si>
    <t>Noor</t>
  </si>
  <si>
    <t>NMN23L4</t>
  </si>
  <si>
    <t>Kuling , F.</t>
  </si>
  <si>
    <t xml:space="preserve">Fynn </t>
  </si>
  <si>
    <t>NLP77Z4</t>
  </si>
  <si>
    <t>Ehmila, J.</t>
  </si>
  <si>
    <t>Jenna</t>
  </si>
  <si>
    <t>NMN23M1</t>
  </si>
  <si>
    <t>Veenendaal, M.</t>
  </si>
  <si>
    <t>Martijn</t>
  </si>
  <si>
    <t>NKC46T4</t>
  </si>
  <si>
    <t>Waaijers, A.</t>
  </si>
  <si>
    <t>Anne</t>
  </si>
  <si>
    <t>NMK59H6</t>
  </si>
  <si>
    <t>Ameijden, van M.</t>
  </si>
  <si>
    <t>Morris</t>
  </si>
  <si>
    <t>Exalto, L.</t>
  </si>
  <si>
    <t>NMJ03L0</t>
  </si>
  <si>
    <t>Everaarts, L.</t>
  </si>
  <si>
    <t>Levi</t>
  </si>
  <si>
    <t>NGQ19P6</t>
  </si>
  <si>
    <t>Kleingeld, E.</t>
  </si>
  <si>
    <t>Evi</t>
  </si>
  <si>
    <t>NMK07M0</t>
  </si>
  <si>
    <t>Hoedelmans, T.</t>
  </si>
  <si>
    <t>Tobias</t>
  </si>
  <si>
    <t>NJH13R4</t>
  </si>
  <si>
    <t>Littooij, F.R.</t>
  </si>
  <si>
    <t>NMJ57G2</t>
  </si>
  <si>
    <t>Wit, de, M.</t>
  </si>
  <si>
    <t>Merlijn</t>
  </si>
  <si>
    <t>NJF17P0</t>
  </si>
  <si>
    <t>Naeije, L.</t>
  </si>
  <si>
    <t>Lisanne</t>
  </si>
  <si>
    <t>NMN10V0</t>
  </si>
  <si>
    <t>Winter, L.</t>
  </si>
  <si>
    <t>Lars</t>
  </si>
  <si>
    <t>NLB70Z9</t>
  </si>
  <si>
    <t>Tims, F.</t>
  </si>
  <si>
    <t>Fay</t>
  </si>
  <si>
    <t>NMN09P0</t>
  </si>
  <si>
    <t>Den Dekker, J.</t>
  </si>
  <si>
    <t>Jorn</t>
  </si>
  <si>
    <t>NLP78D3</t>
  </si>
  <si>
    <t>Veld, in 't R.</t>
  </si>
  <si>
    <t>NKN65B6</t>
  </si>
  <si>
    <t>Baars, L.A.</t>
  </si>
  <si>
    <t>Luuk</t>
  </si>
  <si>
    <t>NMH37W2</t>
  </si>
  <si>
    <t>Waard, de O.J.</t>
  </si>
  <si>
    <t>Olivia</t>
  </si>
  <si>
    <t>NKW50C2</t>
  </si>
  <si>
    <t>Boon, T.</t>
  </si>
  <si>
    <t>NMB60Y4</t>
  </si>
  <si>
    <t>Warmerdam, F.</t>
  </si>
  <si>
    <t>Fauve</t>
  </si>
  <si>
    <t>NKT73W8</t>
  </si>
  <si>
    <t>Driel, van Q.</t>
  </si>
  <si>
    <t>Quinten</t>
  </si>
  <si>
    <t>NMK31G5</t>
  </si>
  <si>
    <t>Wiel, van der Y.J.</t>
  </si>
  <si>
    <t>Yara</t>
  </si>
  <si>
    <t>NJY83B4</t>
  </si>
  <si>
    <t>Dubbeld, R.</t>
  </si>
  <si>
    <t>Ruben</t>
  </si>
  <si>
    <t>NLJ04Z4</t>
  </si>
  <si>
    <t>Moniz, D.</t>
  </si>
  <si>
    <t>Davina</t>
  </si>
  <si>
    <t>NKX56P2</t>
  </si>
  <si>
    <t>Flach, J.H.</t>
  </si>
  <si>
    <t>Joram</t>
  </si>
  <si>
    <t>NLL81G4</t>
  </si>
  <si>
    <t>Oosse, E.</t>
  </si>
  <si>
    <t>Esther</t>
  </si>
  <si>
    <t>NLB70W8</t>
  </si>
  <si>
    <t>Friebel, L.</t>
  </si>
  <si>
    <t>NKW30H7</t>
  </si>
  <si>
    <t>Dongen, van P.</t>
  </si>
  <si>
    <t>Pien</t>
  </si>
  <si>
    <t>NKH35N9</t>
  </si>
  <si>
    <t>Jong, de I.J.</t>
  </si>
  <si>
    <t>Jouke</t>
  </si>
  <si>
    <t>NMK64V4</t>
  </si>
  <si>
    <t>Dullemeijer, M.</t>
  </si>
  <si>
    <t>Mandy</t>
  </si>
  <si>
    <t>NKQ70H1</t>
  </si>
  <si>
    <t>Klijn, C.L.</t>
  </si>
  <si>
    <t>Calvin</t>
  </si>
  <si>
    <t>NLY40X3</t>
  </si>
  <si>
    <t>Exalto, L.B.C.</t>
  </si>
  <si>
    <t>NJH76N5</t>
  </si>
  <si>
    <t>Klink, O.C.</t>
  </si>
  <si>
    <t>Olivier</t>
  </si>
  <si>
    <t>NLP77W3</t>
  </si>
  <si>
    <t>Faber, S</t>
  </si>
  <si>
    <t>Sofie</t>
  </si>
  <si>
    <t>NKD39Q8</t>
  </si>
  <si>
    <t>Schindler, M.</t>
  </si>
  <si>
    <t>Mark</t>
  </si>
  <si>
    <t>NKK48D6</t>
  </si>
  <si>
    <t>Kleingeld, S.</t>
  </si>
  <si>
    <t>NKW30G0</t>
  </si>
  <si>
    <t>Vlaming, de J.C.</t>
  </si>
  <si>
    <t>NKD16N8</t>
  </si>
  <si>
    <t>Laban, M</t>
  </si>
  <si>
    <t>Maartje</t>
  </si>
  <si>
    <t>NLR23F9</t>
  </si>
  <si>
    <t>Wijgaart, van de R.L.H.</t>
  </si>
  <si>
    <t>Rick</t>
  </si>
  <si>
    <t>NMJ14Y9</t>
  </si>
  <si>
    <t>Linden, van der I.</t>
  </si>
  <si>
    <t>Ize</t>
  </si>
  <si>
    <t>NFW40B5</t>
  </si>
  <si>
    <t>Belder, E.</t>
  </si>
  <si>
    <t>Erwin</t>
  </si>
  <si>
    <t>NMK07T9</t>
  </si>
  <si>
    <t>Mans, R.</t>
  </si>
  <si>
    <t>NFW42X5</t>
  </si>
  <si>
    <t>Jong, 't M.</t>
  </si>
  <si>
    <t>Michiel</t>
  </si>
  <si>
    <t>NFX00K9</t>
  </si>
  <si>
    <t>Muller, L.</t>
  </si>
  <si>
    <t>Lieve</t>
  </si>
  <si>
    <t>NFW13Y0</t>
  </si>
  <si>
    <t>Kalkeren, van M.</t>
  </si>
  <si>
    <t>Marco</t>
  </si>
  <si>
    <t>NLT36L7</t>
  </si>
  <si>
    <t>Jeslynn</t>
  </si>
  <si>
    <t>NKH71P1</t>
  </si>
  <si>
    <t>Kooij, C.W.</t>
  </si>
  <si>
    <t>Wilco</t>
  </si>
  <si>
    <t>NMK74C6</t>
  </si>
  <si>
    <t>Bax, E. S.</t>
  </si>
  <si>
    <t>Erinn</t>
  </si>
  <si>
    <t>NFV13V8</t>
  </si>
  <si>
    <t>Riet, R.</t>
  </si>
  <si>
    <t>Ronald</t>
  </si>
  <si>
    <t>NLG58Z8</t>
  </si>
  <si>
    <t>Canli, D.</t>
  </si>
  <si>
    <t>Dilan</t>
  </si>
  <si>
    <t>NJD65S8</t>
  </si>
  <si>
    <t>Dijk, van J.</t>
  </si>
  <si>
    <t>Joeri</t>
  </si>
  <si>
    <t>NGT43H0</t>
  </si>
  <si>
    <t>Dubbeld, S.</t>
  </si>
  <si>
    <t>Sanne</t>
  </si>
  <si>
    <t>NKD19Y4</t>
  </si>
  <si>
    <t>Driesprong, B.</t>
  </si>
  <si>
    <t>Bart</t>
  </si>
  <si>
    <t>NLS08K0</t>
  </si>
  <si>
    <t>Dubbeld, T.</t>
  </si>
  <si>
    <t>NJC17J5</t>
  </si>
  <si>
    <t>Gent, van L</t>
  </si>
  <si>
    <t>NKT05Q7</t>
  </si>
  <si>
    <t>Friebel, A.</t>
  </si>
  <si>
    <t>Angela</t>
  </si>
  <si>
    <t>NJZ00W3</t>
  </si>
  <si>
    <t>Gent, van T.</t>
  </si>
  <si>
    <t>NKJ95L7</t>
  </si>
  <si>
    <t>Hulsker, N.M.</t>
  </si>
  <si>
    <t>Nina</t>
  </si>
  <si>
    <t>NKG59J2</t>
  </si>
  <si>
    <t>Groeneweg, T.D.</t>
  </si>
  <si>
    <t>NFX24T4</t>
  </si>
  <si>
    <t>Klink, S.L.</t>
  </si>
  <si>
    <t>Suzanne</t>
  </si>
  <si>
    <t>NJF24X2</t>
  </si>
  <si>
    <t>Kalkeren, van R.</t>
  </si>
  <si>
    <t>Koote, L.D.</t>
  </si>
  <si>
    <t>NJF77Y3</t>
  </si>
  <si>
    <t>Klink, M</t>
  </si>
  <si>
    <t>Marijn</t>
  </si>
  <si>
    <t>NGX49G5</t>
  </si>
  <si>
    <t>Lacroes, M.J.</t>
  </si>
  <si>
    <t>Jany</t>
  </si>
  <si>
    <t>NGR62K6</t>
  </si>
  <si>
    <t>Lansbergen, M</t>
  </si>
  <si>
    <t>NJK34W5</t>
  </si>
  <si>
    <t xml:space="preserve">Pierse, A. </t>
  </si>
  <si>
    <t>Anniek</t>
  </si>
  <si>
    <t>NJF95S5</t>
  </si>
  <si>
    <t>Mans, B.</t>
  </si>
  <si>
    <t>Bob</t>
  </si>
  <si>
    <t>NLB70S0</t>
  </si>
  <si>
    <t>Schram, L.J.</t>
  </si>
  <si>
    <t>Lara</t>
  </si>
  <si>
    <t>NGT16K5</t>
  </si>
  <si>
    <t>Naaktgeboren, S.</t>
  </si>
  <si>
    <t>NLG57S6</t>
  </si>
  <si>
    <t>Slotboom, A.</t>
  </si>
  <si>
    <t>NKJ95G2</t>
  </si>
  <si>
    <t>Oppe, M.</t>
  </si>
  <si>
    <t>Mees</t>
  </si>
  <si>
    <t>NML43T8</t>
  </si>
  <si>
    <t>Valk, M.E.</t>
  </si>
  <si>
    <t>Marlies</t>
  </si>
  <si>
    <t>NJG52P6</t>
  </si>
  <si>
    <t>Peuter, de F.</t>
  </si>
  <si>
    <t>NLX08D6</t>
  </si>
  <si>
    <t>Wit, de N.M.T.</t>
  </si>
  <si>
    <t>Nadia</t>
  </si>
  <si>
    <t>NJF53H2</t>
  </si>
  <si>
    <t>Strijen, van L.A.</t>
  </si>
  <si>
    <t>NKL60P7</t>
  </si>
  <si>
    <t>Wit, de S.E.E.</t>
  </si>
  <si>
    <t>Syrah</t>
  </si>
  <si>
    <t>NGW00S1</t>
  </si>
  <si>
    <t>Booy, J</t>
  </si>
  <si>
    <t>Jan</t>
  </si>
  <si>
    <t>NLS08H9</t>
  </si>
  <si>
    <t>Brouwer, V</t>
  </si>
  <si>
    <t>Veerle</t>
  </si>
  <si>
    <t>NJH39X4</t>
  </si>
  <si>
    <t>Brugge, van der B.R.</t>
  </si>
  <si>
    <t>NLP78J5</t>
  </si>
  <si>
    <t>Jacobs, Vive</t>
  </si>
  <si>
    <t>Vive</t>
  </si>
  <si>
    <t>NJH51J2</t>
  </si>
  <si>
    <t>Huijgen, J</t>
  </si>
  <si>
    <t>Jeroen</t>
  </si>
  <si>
    <t>NLY95D3</t>
  </si>
  <si>
    <t>Vogelaar, Elin</t>
  </si>
  <si>
    <t>Elin</t>
  </si>
  <si>
    <t>NGD51N5</t>
  </si>
  <si>
    <t>Isarin, T P</t>
  </si>
  <si>
    <t>NMJ53F3</t>
  </si>
  <si>
    <t>Camphens-Moerman, B.</t>
  </si>
  <si>
    <t>Barbara</t>
  </si>
  <si>
    <t>NKQ40P2</t>
  </si>
  <si>
    <t>Vlaming, de R.</t>
  </si>
  <si>
    <t>Roy</t>
  </si>
  <si>
    <t>NKC46S7</t>
  </si>
  <si>
    <t>Everaarts, D.</t>
  </si>
  <si>
    <t>Damaris</t>
  </si>
  <si>
    <t>NFW40D9</t>
  </si>
  <si>
    <t>Boshoven, D.</t>
  </si>
  <si>
    <t>Davy</t>
  </si>
  <si>
    <t>NJW77M6</t>
  </si>
  <si>
    <t>Opstal-Haksteen, van T.K.</t>
  </si>
  <si>
    <t>Tamara</t>
  </si>
  <si>
    <t>NGW10M4</t>
  </si>
  <si>
    <t>Jong, de B.</t>
  </si>
  <si>
    <t>Bas</t>
  </si>
  <si>
    <t>NKR20L5</t>
  </si>
  <si>
    <t>Veld, in 't D.</t>
  </si>
  <si>
    <t>Dorien</t>
  </si>
  <si>
    <t>NGT92Q5</t>
  </si>
  <si>
    <t>Kuperus, S.</t>
  </si>
  <si>
    <t>NKS62Q7</t>
  </si>
  <si>
    <t>Verheijde, P.</t>
  </si>
  <si>
    <t>Petra</t>
  </si>
  <si>
    <t>NFW92M3</t>
  </si>
  <si>
    <t>Laban, A.J.</t>
  </si>
  <si>
    <t>Antjan</t>
  </si>
  <si>
    <t>NKK88P0</t>
  </si>
  <si>
    <t>Zwanenburg-Moerman, D.</t>
  </si>
  <si>
    <t>Debita</t>
  </si>
  <si>
    <t>NFW26G8</t>
  </si>
  <si>
    <t>Noels, A.</t>
  </si>
  <si>
    <t>Arjan</t>
  </si>
  <si>
    <t>NKR57P9</t>
  </si>
  <si>
    <t>Broere, D.</t>
  </si>
  <si>
    <t>Dionne</t>
  </si>
  <si>
    <t>NFS90V6</t>
  </si>
  <si>
    <t>Wit, de B.</t>
  </si>
  <si>
    <t>NLN41L1</t>
  </si>
  <si>
    <t>Dijk, van D.</t>
  </si>
  <si>
    <t>NLL19Y9</t>
  </si>
  <si>
    <t>Altena, J.D.</t>
  </si>
  <si>
    <t>Jaron</t>
  </si>
  <si>
    <t>NKG18N7</t>
  </si>
  <si>
    <t>Dommisse, R.</t>
  </si>
  <si>
    <t>NKN65J2</t>
  </si>
  <si>
    <t>Dalen, van F.G.</t>
  </si>
  <si>
    <t>NKW81C0</t>
  </si>
  <si>
    <t>Klink, X</t>
  </si>
  <si>
    <t>Xanne</t>
  </si>
  <si>
    <t>NMK07Q8</t>
  </si>
  <si>
    <t>Geneugelijk, L.</t>
  </si>
  <si>
    <t>Luca</t>
  </si>
  <si>
    <t>NLZ65N9</t>
  </si>
  <si>
    <t>Milou</t>
  </si>
  <si>
    <t>NLX08F0</t>
  </si>
  <si>
    <t>Hart, 't O.N.L.R</t>
  </si>
  <si>
    <t>Olav</t>
  </si>
  <si>
    <t>NLP78K2</t>
  </si>
  <si>
    <t>Schram, M.C.</t>
  </si>
  <si>
    <t>NGT42Z3</t>
  </si>
  <si>
    <t>Hoed, den W</t>
  </si>
  <si>
    <t>Wilbert</t>
  </si>
  <si>
    <t>NMK12D7</t>
  </si>
  <si>
    <t>Seevinck, D.</t>
  </si>
  <si>
    <t>Djuna</t>
  </si>
  <si>
    <t>NJZ00Y7</t>
  </si>
  <si>
    <t>Jager, de S.</t>
  </si>
  <si>
    <t>Sam</t>
  </si>
  <si>
    <t>NLM86V5</t>
  </si>
  <si>
    <t>Teerds, E.L.</t>
  </si>
  <si>
    <t>NKM14K0</t>
  </si>
  <si>
    <t>Jong, Erik de</t>
  </si>
  <si>
    <t>Erik</t>
  </si>
  <si>
    <t>NKK27G4</t>
  </si>
  <si>
    <t>Verweij, M.</t>
  </si>
  <si>
    <t>Mirthe</t>
  </si>
  <si>
    <t>NMK14M6</t>
  </si>
  <si>
    <t>Klis, van der R.</t>
  </si>
  <si>
    <t>Roman</t>
  </si>
  <si>
    <t>NFW15M2</t>
  </si>
  <si>
    <t>Visser, R.</t>
  </si>
  <si>
    <t>Renske</t>
  </si>
  <si>
    <t>NLW81C7</t>
  </si>
  <si>
    <t>Maas, J.G.T.</t>
  </si>
  <si>
    <t>Gijsbert</t>
  </si>
  <si>
    <t>NFW28D3</t>
  </si>
  <si>
    <t>Zuijderwijk, I.D.</t>
  </si>
  <si>
    <t>NKW21L3</t>
  </si>
  <si>
    <t>Minkelis, van de J.W.</t>
  </si>
  <si>
    <t>Jonathan</t>
  </si>
  <si>
    <t>NLX00J4</t>
  </si>
  <si>
    <t>Ardon, E.</t>
  </si>
  <si>
    <t>NLZ36K6</t>
  </si>
  <si>
    <t>Muller, A.J.</t>
  </si>
  <si>
    <t>NMF09H6</t>
  </si>
  <si>
    <t>Ardon, L</t>
  </si>
  <si>
    <t>Linda</t>
  </si>
  <si>
    <t>NMC50D3</t>
  </si>
  <si>
    <t>Rest, van de M.</t>
  </si>
  <si>
    <t>Mitchel</t>
  </si>
  <si>
    <t>NKS24M5</t>
  </si>
  <si>
    <t>Batenburg, H</t>
  </si>
  <si>
    <t>Hanneke</t>
  </si>
  <si>
    <t>NLW14T0</t>
  </si>
  <si>
    <t>Stomp, J.</t>
  </si>
  <si>
    <t>Joshua</t>
  </si>
  <si>
    <t>NLP78C6</t>
  </si>
  <si>
    <t>Gurp, van M</t>
  </si>
  <si>
    <t>NMK58C8</t>
  </si>
  <si>
    <t>Vroegindeweij, J.</t>
  </si>
  <si>
    <t>Jim</t>
  </si>
  <si>
    <t>stopt</t>
  </si>
  <si>
    <t>NLV84L8</t>
  </si>
  <si>
    <t>Leijdsman, R.</t>
  </si>
  <si>
    <t>NKC46P6</t>
  </si>
  <si>
    <t>Wall, van der J.</t>
  </si>
  <si>
    <t>Jeffrey</t>
  </si>
  <si>
    <t>NMH24Z9</t>
  </si>
  <si>
    <t>Assem, van den L.</t>
  </si>
  <si>
    <t>Lisette</t>
  </si>
  <si>
    <t>NMN66T9</t>
  </si>
  <si>
    <t>Jongkind, J.</t>
  </si>
  <si>
    <t>NLP78B9</t>
  </si>
  <si>
    <t>Laban-Sinke, I.W.</t>
  </si>
  <si>
    <t>Ingrid</t>
  </si>
  <si>
    <t>NMN65C7</t>
  </si>
  <si>
    <t>Jongkind, S.</t>
  </si>
  <si>
    <t>Sepp</t>
  </si>
  <si>
    <t>NJH51Q1</t>
  </si>
  <si>
    <t>Noordam, M.</t>
  </si>
  <si>
    <t>Mirjam</t>
  </si>
  <si>
    <t>NMN39T3</t>
  </si>
  <si>
    <t>Ploeg, K.</t>
  </si>
  <si>
    <t>NGT43N2</t>
  </si>
  <si>
    <t>Ploeg, L</t>
  </si>
  <si>
    <t>NMN49T8</t>
  </si>
  <si>
    <t>Verberkt, N.</t>
  </si>
  <si>
    <t>Nathan</t>
  </si>
  <si>
    <t>NJG35B7</t>
  </si>
  <si>
    <t>Wibbens, E.</t>
  </si>
  <si>
    <t>NMN65L0</t>
  </si>
  <si>
    <t>Van de rest, L.</t>
  </si>
  <si>
    <t>Lucas</t>
  </si>
  <si>
    <t>NJC15T9</t>
  </si>
  <si>
    <t>Borsboom, L.</t>
  </si>
  <si>
    <t>Lis</t>
  </si>
  <si>
    <t>NKH56N2</t>
  </si>
  <si>
    <t>Wolff, A.</t>
  </si>
  <si>
    <t>NMM29Q6</t>
  </si>
  <si>
    <t>Brouwer, N.</t>
  </si>
  <si>
    <t>Nynke</t>
  </si>
  <si>
    <t>NLB70G6</t>
  </si>
  <si>
    <t>Dommisse, K.</t>
  </si>
  <si>
    <t>NKW49Y8</t>
  </si>
  <si>
    <t>Driesprong, A.</t>
  </si>
  <si>
    <t>NLP89W4</t>
  </si>
  <si>
    <t>Est, van S.K.E.</t>
  </si>
  <si>
    <t>Sarah</t>
  </si>
  <si>
    <t>NLT96R9</t>
  </si>
  <si>
    <t>Fernhout, T.</t>
  </si>
  <si>
    <t>Tirsa</t>
  </si>
  <si>
    <t>NLV84M5</t>
  </si>
  <si>
    <t>Geneugelijk, T.</t>
  </si>
  <si>
    <t>NMH07D4</t>
  </si>
  <si>
    <t>Jong, de C.C.</t>
  </si>
  <si>
    <t>Céline</t>
  </si>
  <si>
    <t>NMH36F0</t>
  </si>
  <si>
    <t>Klerk, Ayda de</t>
  </si>
  <si>
    <t>Ayda</t>
  </si>
  <si>
    <t>NML06D5</t>
  </si>
  <si>
    <t>Manduapessy, V.P.</t>
  </si>
  <si>
    <t>Vera</t>
  </si>
  <si>
    <t>NMK14K2</t>
  </si>
  <si>
    <t>Morée, de J.</t>
  </si>
  <si>
    <t>Jessica</t>
  </si>
  <si>
    <t>Nelemans, I.</t>
  </si>
  <si>
    <t>NJC46R3</t>
  </si>
  <si>
    <t>Nijhoff, L.</t>
  </si>
  <si>
    <t>Liv</t>
  </si>
  <si>
    <t>NLP78L9</t>
  </si>
  <si>
    <t>Nobel, M.H.M.</t>
  </si>
  <si>
    <t>Merle</t>
  </si>
  <si>
    <t>NMC85Q4</t>
  </si>
  <si>
    <t>Oostlander, E.P.</t>
  </si>
  <si>
    <t>Elise</t>
  </si>
  <si>
    <t>NKS24S7</t>
  </si>
  <si>
    <t>Rasul, B.</t>
  </si>
  <si>
    <t>Bahar</t>
  </si>
  <si>
    <t>NKR24N1</t>
  </si>
  <si>
    <t>Rijkers, I.B.</t>
  </si>
  <si>
    <t>NLZ81W0</t>
  </si>
  <si>
    <t>Robbemond, J.</t>
  </si>
  <si>
    <t>Jente</t>
  </si>
  <si>
    <t>NLL19T4</t>
  </si>
  <si>
    <t>Seijner, F.C.</t>
  </si>
  <si>
    <t>Fabiënne</t>
  </si>
  <si>
    <t>NKQ14R3</t>
  </si>
  <si>
    <t>Spijk, van J.M.</t>
  </si>
  <si>
    <t>Jikke</t>
  </si>
  <si>
    <t>NKQ13Q3</t>
  </si>
  <si>
    <t>Temme, J.</t>
  </si>
  <si>
    <t>Judith</t>
  </si>
  <si>
    <t>NKX36X8</t>
  </si>
  <si>
    <t>Tijssen, N.</t>
  </si>
  <si>
    <t>Naomi</t>
  </si>
  <si>
    <t>NLP78N3</t>
  </si>
  <si>
    <t>Timmer, E.</t>
  </si>
  <si>
    <t>Edith</t>
  </si>
  <si>
    <t>NKD20B1</t>
  </si>
  <si>
    <t>Verkerke, J.D.</t>
  </si>
  <si>
    <t>NLS76C3</t>
  </si>
  <si>
    <t>Visser-Michelsen, D.</t>
  </si>
  <si>
    <t>Diana</t>
  </si>
  <si>
    <t>NFW15S4</t>
  </si>
  <si>
    <t>Volker, K.N.N.</t>
  </si>
  <si>
    <t>Karlijn</t>
  </si>
  <si>
    <t>NJQ72J4</t>
  </si>
  <si>
    <t>Voorbij, L.L.</t>
  </si>
  <si>
    <t>Lova</t>
  </si>
  <si>
    <t>NMN23N8</t>
  </si>
  <si>
    <t>Wijngaarden, van D.N.</t>
  </si>
  <si>
    <t>Dagmar</t>
  </si>
  <si>
    <t>NMN23K7</t>
  </si>
  <si>
    <t>Wijnstekers, I.</t>
  </si>
  <si>
    <t>Isis</t>
  </si>
  <si>
    <t>NMN14R4</t>
  </si>
  <si>
    <t>Zwoll, van S.</t>
  </si>
  <si>
    <t>Simone</t>
  </si>
  <si>
    <t>NJC72L4</t>
  </si>
  <si>
    <t>Hussein, N.</t>
  </si>
  <si>
    <t>Nada</t>
  </si>
  <si>
    <t>NMN77K4</t>
  </si>
  <si>
    <t>Cetinkaya Vurel, B.</t>
  </si>
  <si>
    <t>Billur</t>
  </si>
  <si>
    <t>NMN48D3</t>
  </si>
  <si>
    <t>Wietses, E.</t>
  </si>
  <si>
    <t>Ester</t>
  </si>
  <si>
    <t>NLP92T7</t>
  </si>
  <si>
    <t>Van der Laars, L.</t>
  </si>
  <si>
    <t>NMN85P8</t>
  </si>
  <si>
    <t>Van Rijswijk, F.</t>
  </si>
  <si>
    <t>Fenna</t>
  </si>
  <si>
    <t>NMP10M9</t>
  </si>
  <si>
    <t xml:space="preserve">Van den Bergh, M. </t>
  </si>
  <si>
    <t>Marit</t>
  </si>
  <si>
    <t>NMP73C8</t>
  </si>
  <si>
    <t>Uljee, T.</t>
  </si>
  <si>
    <t>Naam</t>
  </si>
  <si>
    <t>Team</t>
  </si>
  <si>
    <t>Functie</t>
  </si>
  <si>
    <t>eigen team</t>
  </si>
  <si>
    <t>Mark Morelissen</t>
  </si>
  <si>
    <t>Coach A1</t>
  </si>
  <si>
    <t>X</t>
  </si>
  <si>
    <t>Ruben Blokland</t>
  </si>
  <si>
    <t>Assistent A1</t>
  </si>
  <si>
    <t>Coach A2</t>
  </si>
  <si>
    <t>Olivier Klink</t>
  </si>
  <si>
    <t>Trainer/Coach</t>
  </si>
  <si>
    <t>Tim van Gent</t>
  </si>
  <si>
    <t>Lex van Dalen</t>
  </si>
  <si>
    <t>Robbert van Ameijden</t>
  </si>
  <si>
    <t>Marijn Klink</t>
  </si>
  <si>
    <t>S1/S2</t>
  </si>
  <si>
    <t>Xanne Klink</t>
  </si>
  <si>
    <t>Robert Koster</t>
  </si>
  <si>
    <t>Tim Groeneweg</t>
  </si>
  <si>
    <t>Bart Driesprong</t>
  </si>
  <si>
    <t xml:space="preserve">S1 </t>
  </si>
  <si>
    <t>Mark Schindler</t>
  </si>
  <si>
    <t>Alex de Boer</t>
  </si>
  <si>
    <t>Assistent</t>
  </si>
  <si>
    <t>Lieke Ploeg</t>
  </si>
  <si>
    <t>Rob van Dongen</t>
  </si>
  <si>
    <t>Mirthe Verweij</t>
  </si>
  <si>
    <t>Robin van Kalkeren</t>
  </si>
  <si>
    <t>Joram Flach</t>
  </si>
  <si>
    <t>Marlies Valk</t>
  </si>
  <si>
    <t>Erik vd Burgt</t>
  </si>
  <si>
    <t>Lianne Stomp-vd Burgt</t>
  </si>
  <si>
    <t>Marcel St. Nicolaas</t>
  </si>
  <si>
    <t>Martijn van der Wiel</t>
  </si>
  <si>
    <t>Jany Lacroes</t>
  </si>
  <si>
    <t>Tessa Dubbeld</t>
  </si>
  <si>
    <t>Jet van Trooijen</t>
  </si>
  <si>
    <t>Kimberly Jacobs</t>
  </si>
  <si>
    <t>Anouk de Jongh</t>
  </si>
  <si>
    <t>Coach</t>
  </si>
  <si>
    <t>Sjoerd van Ameijden</t>
  </si>
  <si>
    <t>Ilonka Bouwknegt</t>
  </si>
  <si>
    <t>Melina vd Merwe</t>
  </si>
  <si>
    <t>Ondersteuning</t>
  </si>
  <si>
    <t>Laura Koote</t>
  </si>
  <si>
    <t>Suzanne Klink</t>
  </si>
  <si>
    <t>Laurens Verhagen</t>
  </si>
  <si>
    <t>Bente van Wijngaarden</t>
  </si>
  <si>
    <t>Kim Dommisse</t>
  </si>
  <si>
    <t>Jasper Kleingeld</t>
  </si>
  <si>
    <t>Annemarie Schipper-de Boer</t>
  </si>
  <si>
    <t>Tom van de Ven</t>
  </si>
  <si>
    <t>Jordi Vaartmans</t>
  </si>
  <si>
    <t>Julia Bozuwa</t>
  </si>
  <si>
    <t>Carlijn Lievaart</t>
  </si>
  <si>
    <t>Kim de Reus</t>
  </si>
  <si>
    <t>Liesbeth Wibbens</t>
  </si>
  <si>
    <t>Monique te Witt</t>
  </si>
  <si>
    <t>Lindi Fasbender</t>
  </si>
  <si>
    <t>Maritte Vogelaar</t>
  </si>
  <si>
    <t>Sara Boshoven</t>
  </si>
  <si>
    <t>A1/A2</t>
  </si>
  <si>
    <t>Lion van der Klooster</t>
  </si>
  <si>
    <t>Coach S1</t>
  </si>
  <si>
    <t>Niels Molendijk</t>
  </si>
  <si>
    <t>Assistent S1</t>
  </si>
  <si>
    <t>Ruben Kamerbeek</t>
  </si>
  <si>
    <t>Fysio</t>
  </si>
  <si>
    <t>Theo Anrochte</t>
  </si>
  <si>
    <t>Verzorger</t>
  </si>
  <si>
    <t>Coach S2</t>
  </si>
  <si>
    <t>Kim Ardon</t>
  </si>
  <si>
    <t>Begeleider</t>
  </si>
  <si>
    <t>Marco van Kalkeren</t>
  </si>
  <si>
    <t>Thuiscoach</t>
  </si>
  <si>
    <t>Tom Hendriks</t>
  </si>
  <si>
    <t>Gestopt</t>
  </si>
  <si>
    <t>Egbert Vos</t>
  </si>
  <si>
    <t>Rick Goudriaan</t>
  </si>
  <si>
    <t>Check V</t>
  </si>
  <si>
    <t>Check M</t>
  </si>
  <si>
    <t>Check</t>
  </si>
  <si>
    <t>Relatiecode</t>
  </si>
  <si>
    <t>Volledige naam (1)</t>
  </si>
  <si>
    <t>Geboortedatum</t>
  </si>
  <si>
    <t>Geslacht</t>
  </si>
  <si>
    <t>Straatnaam</t>
  </si>
  <si>
    <t>Huisnummer</t>
  </si>
  <si>
    <t>Toevoeging</t>
  </si>
  <si>
    <t>Postcode</t>
  </si>
  <si>
    <t>Plaats</t>
  </si>
  <si>
    <t>Land</t>
  </si>
  <si>
    <t>Mobiel</t>
  </si>
  <si>
    <t>Telefoon</t>
  </si>
  <si>
    <t>E-mail</t>
  </si>
  <si>
    <t>Status</t>
  </si>
  <si>
    <t>Bondssporten</t>
  </si>
  <si>
    <t>Lidmaatschapcode</t>
  </si>
  <si>
    <t>Verenigingssporten</t>
  </si>
  <si>
    <t>Lidsoort</t>
  </si>
  <si>
    <t>Contributiecategorie</t>
  </si>
  <si>
    <t>Lid sinds</t>
  </si>
  <si>
    <t>Afmelddatum</t>
  </si>
  <si>
    <t>Hoed, Wilbert den</t>
  </si>
  <si>
    <t>M</t>
  </si>
  <si>
    <t>Schieweg</t>
  </si>
  <si>
    <t>3038 AG</t>
  </si>
  <si>
    <t>ROTTERDAM</t>
  </si>
  <si>
    <t>Nederland</t>
  </si>
  <si>
    <t>078-6213529</t>
  </si>
  <si>
    <t>wilbert_nr1@hotmail.com</t>
  </si>
  <si>
    <t>af te melden</t>
  </si>
  <si>
    <t>Veld -  Week, Zaal -  Week</t>
  </si>
  <si>
    <t>Algemeen reserve - Algemeen reserve - Week</t>
  </si>
  <si>
    <t>Bondslid</t>
  </si>
  <si>
    <t xml:space="preserve">Senior </t>
  </si>
  <si>
    <t>V</t>
  </si>
  <si>
    <t>Zinkweg</t>
  </si>
  <si>
    <t>3262 BG</t>
  </si>
  <si>
    <t>OUD-BEIJERLAND</t>
  </si>
  <si>
    <t>06-15336761</t>
  </si>
  <si>
    <t>maritteisarin@gmail.com</t>
  </si>
  <si>
    <t>overschrijving spelactiviteit</t>
  </si>
  <si>
    <t>Kangoeroe Klup</t>
  </si>
  <si>
    <t>Korfbal - Korfbal - Week</t>
  </si>
  <si>
    <t>Kangoeroe</t>
  </si>
  <si>
    <t>Friebel, Luuk</t>
  </si>
  <si>
    <t>Kuipershaven</t>
  </si>
  <si>
    <t>3311 AL</t>
  </si>
  <si>
    <t>DORDRECHT</t>
  </si>
  <si>
    <t>06-39841583</t>
  </si>
  <si>
    <t>luukfriebel@gmail.com</t>
  </si>
  <si>
    <t>definitief</t>
  </si>
  <si>
    <t>Friebel, Angela</t>
  </si>
  <si>
    <t>06-25586186</t>
  </si>
  <si>
    <t>angelafriebel02@gmail.com</t>
  </si>
  <si>
    <t>Junior</t>
  </si>
  <si>
    <t>Hulsker, Nina</t>
  </si>
  <si>
    <t>Stooplaan</t>
  </si>
  <si>
    <t>3311 DM</t>
  </si>
  <si>
    <t>06-41774946</t>
  </si>
  <si>
    <t>078-6316490</t>
  </si>
  <si>
    <t>ninahulsker@hotmail.com</t>
  </si>
  <si>
    <t>Klein, Daan</t>
  </si>
  <si>
    <t>Van Slingelandtlaan</t>
  </si>
  <si>
    <t>3311 DP</t>
  </si>
  <si>
    <t>06-21804332</t>
  </si>
  <si>
    <t>078-6147494</t>
  </si>
  <si>
    <t>elinedejonge75@gmail.com</t>
  </si>
  <si>
    <t>Aspirant</t>
  </si>
  <si>
    <t>Bos, Bryanna</t>
  </si>
  <si>
    <t>Grote Spuistraat</t>
  </si>
  <si>
    <t>3311 GE</t>
  </si>
  <si>
    <t>06-27617857</t>
  </si>
  <si>
    <t>luthiendenheeten@gmail.com</t>
  </si>
  <si>
    <t>Pupil</t>
  </si>
  <si>
    <t>Vreeling, Anouk</t>
  </si>
  <si>
    <t>Rozenhof</t>
  </si>
  <si>
    <t>3311 JT</t>
  </si>
  <si>
    <t>06-41809939</t>
  </si>
  <si>
    <t>nellavreeling@gmail.com</t>
  </si>
  <si>
    <t>Oostlander, Elise</t>
  </si>
  <si>
    <t>Adriaan v Bleijenburgstr</t>
  </si>
  <si>
    <t>3311 LB</t>
  </si>
  <si>
    <t>06-38751645</t>
  </si>
  <si>
    <t>078-6350904</t>
  </si>
  <si>
    <t>eliseoostlander@gmail.com</t>
  </si>
  <si>
    <t>Brouwer, Nynke</t>
  </si>
  <si>
    <t>Koningin Wilhelminastr</t>
  </si>
  <si>
    <t>3311 LN</t>
  </si>
  <si>
    <t>06-24649690</t>
  </si>
  <si>
    <t>078-8437702</t>
  </si>
  <si>
    <t>nynke.brouwer@hotmail.nl</t>
  </si>
  <si>
    <t>Ploeg, Lieke</t>
  </si>
  <si>
    <t>Clara en Mariahof</t>
  </si>
  <si>
    <t>3311 NC</t>
  </si>
  <si>
    <t>06-40775677</t>
  </si>
  <si>
    <t>liekeploeg@gmail.com</t>
  </si>
  <si>
    <t>Minkelis, Jonathan van de</t>
  </si>
  <si>
    <t>Singel</t>
  </si>
  <si>
    <t>3311 SJ</t>
  </si>
  <si>
    <t>06-50561693</t>
  </si>
  <si>
    <t>078-6310318</t>
  </si>
  <si>
    <t>jonathan.vandeminkelis@leerlingen.jdw.nl</t>
  </si>
  <si>
    <t>Boer, EsmÃ©e de</t>
  </si>
  <si>
    <t>Steltenpad</t>
  </si>
  <si>
    <t>3311 SL</t>
  </si>
  <si>
    <t>06-26468565</t>
  </si>
  <si>
    <t>078-6136388</t>
  </si>
  <si>
    <t>alexenannemarie@outlook.com</t>
  </si>
  <si>
    <t>Boer, Layla de</t>
  </si>
  <si>
    <t>Assem, Lisette van den</t>
  </si>
  <si>
    <t>Bethlehemplein</t>
  </si>
  <si>
    <t>3311 VB</t>
  </si>
  <si>
    <t>06-48937954</t>
  </si>
  <si>
    <t>lisette1983@msn.com</t>
  </si>
  <si>
    <t>Jong, Bas de</t>
  </si>
  <si>
    <t>Slikveld</t>
  </si>
  <si>
    <t>3311 VT</t>
  </si>
  <si>
    <t>06-15435426</t>
  </si>
  <si>
    <t>basdejong1990@hotmail.com</t>
  </si>
  <si>
    <t>Veld, Puck in 't</t>
  </si>
  <si>
    <t>Twintighuizen</t>
  </si>
  <si>
    <t>3311 WX</t>
  </si>
  <si>
    <t>06-13307105</t>
  </si>
  <si>
    <t>marianwibbens@hotmail.com</t>
  </si>
  <si>
    <t>Veld, Roos in 't</t>
  </si>
  <si>
    <t>06-27026044</t>
  </si>
  <si>
    <t>e_int_veld@hotmail.com</t>
  </si>
  <si>
    <t>Ameijden, Robbert van</t>
  </si>
  <si>
    <t>Kasperspad</t>
  </si>
  <si>
    <t>3311 ZE</t>
  </si>
  <si>
    <t>06-15161476</t>
  </si>
  <si>
    <t>robbert1990@live.nl</t>
  </si>
  <si>
    <t>Canli, Dilan</t>
  </si>
  <si>
    <t>Marcellus Schampersstr</t>
  </si>
  <si>
    <t>3311 ZJ</t>
  </si>
  <si>
    <t>06-39118111</t>
  </si>
  <si>
    <t>dilannetje@live.nl</t>
  </si>
  <si>
    <t>Meijer, Joeke</t>
  </si>
  <si>
    <t>Reeweg Oost</t>
  </si>
  <si>
    <t>3312 CL</t>
  </si>
  <si>
    <t>06-14990505</t>
  </si>
  <si>
    <t>078-6352444</t>
  </si>
  <si>
    <t>jacco.yvette@gmail.com</t>
  </si>
  <si>
    <t>Verbeek, Yente</t>
  </si>
  <si>
    <t>3312 CT</t>
  </si>
  <si>
    <t>06-36397595</t>
  </si>
  <si>
    <t>078-7518742</t>
  </si>
  <si>
    <t>yenteverbeek@gmail.com</t>
  </si>
  <si>
    <t>Noels, Arjan</t>
  </si>
  <si>
    <t>Bankastraat</t>
  </si>
  <si>
    <t>3312 GG</t>
  </si>
  <si>
    <t>078-8432770</t>
  </si>
  <si>
    <t>arjan.noels@upcmail.nl</t>
  </si>
  <si>
    <t>Rooij, Eva van</t>
  </si>
  <si>
    <t>Halmaheiraplein</t>
  </si>
  <si>
    <t>3312 GH</t>
  </si>
  <si>
    <t>06-10294549</t>
  </si>
  <si>
    <t>jamila1982@hotmail.com</t>
  </si>
  <si>
    <t>Reus, Kim de</t>
  </si>
  <si>
    <t>Medanstraat</t>
  </si>
  <si>
    <t>3312 GX</t>
  </si>
  <si>
    <t>078-6139393</t>
  </si>
  <si>
    <t>cvadr@telfort.nl</t>
  </si>
  <si>
    <t>Kalkeren, Robin van</t>
  </si>
  <si>
    <t>Boeroestraat</t>
  </si>
  <si>
    <t>3312 HA</t>
  </si>
  <si>
    <t>06-37433979</t>
  </si>
  <si>
    <t>robinvankalkeren@hotmail.com</t>
  </si>
  <si>
    <t>Verweij, Mirthe</t>
  </si>
  <si>
    <t>06-83200520</t>
  </si>
  <si>
    <t>mirtheverweij94@gmail.com</t>
  </si>
  <si>
    <t>Oppe, Mees</t>
  </si>
  <si>
    <t>3312 HB</t>
  </si>
  <si>
    <t>06-24179974</t>
  </si>
  <si>
    <t>078-6311330</t>
  </si>
  <si>
    <t>mees.oppe@gmail.com</t>
  </si>
  <si>
    <t>Oppe, Milou</t>
  </si>
  <si>
    <t>06-24175062</t>
  </si>
  <si>
    <t>milou.oppe@gmail.com</t>
  </si>
  <si>
    <t>Gent, Lex van</t>
  </si>
  <si>
    <t>3312 HC</t>
  </si>
  <si>
    <t>06-41457456</t>
  </si>
  <si>
    <t>078-8442745</t>
  </si>
  <si>
    <t>lexvgent@gmail.com</t>
  </si>
  <si>
    <t>Leijdsman, Robin</t>
  </si>
  <si>
    <t>078-6166096</t>
  </si>
  <si>
    <t>robinleijdsman@gmail.com</t>
  </si>
  <si>
    <t>Hoeve, Milan ten</t>
  </si>
  <si>
    <t>Floresstraat</t>
  </si>
  <si>
    <t>3312 HG</t>
  </si>
  <si>
    <t>06-42203662</t>
  </si>
  <si>
    <t>078-6134080</t>
  </si>
  <si>
    <t>milantenhoeve@kpnmail.nl</t>
  </si>
  <si>
    <t>Hoeve, Senne ten</t>
  </si>
  <si>
    <t>06-38734564</t>
  </si>
  <si>
    <t>fam.tenhoeve@kpnmail.nl</t>
  </si>
  <si>
    <t>Linden, Benthe van der</t>
  </si>
  <si>
    <t>3312 HH</t>
  </si>
  <si>
    <t>06-48507085</t>
  </si>
  <si>
    <t>078-6470115</t>
  </si>
  <si>
    <t>maaike_mol86@hotmail.com</t>
  </si>
  <si>
    <t>Linden, Ize van der</t>
  </si>
  <si>
    <t>Mol, Laura</t>
  </si>
  <si>
    <t>Soembastraat</t>
  </si>
  <si>
    <t>3312 HW</t>
  </si>
  <si>
    <t>06-27437017</t>
  </si>
  <si>
    <t>078-6319949</t>
  </si>
  <si>
    <t>lauraadrianamol@gmail.com</t>
  </si>
  <si>
    <t>Bozuwa, Julia</t>
  </si>
  <si>
    <t>Heysterbachstraat</t>
  </si>
  <si>
    <t>3312 JH</t>
  </si>
  <si>
    <t>06-42741987</t>
  </si>
  <si>
    <t>barboos@kpnmail.nl</t>
  </si>
  <si>
    <t>Nobel, Merle</t>
  </si>
  <si>
    <t>Werkenmondestraat</t>
  </si>
  <si>
    <t>3312 JW</t>
  </si>
  <si>
    <t>06-14637415</t>
  </si>
  <si>
    <t>078-6351371</t>
  </si>
  <si>
    <t>martinewimnobel@gmail.com</t>
  </si>
  <si>
    <t>Pichel, Timo</t>
  </si>
  <si>
    <t>Wijnie Jabaaijlaan</t>
  </si>
  <si>
    <t>3312 KA</t>
  </si>
  <si>
    <t>06-20964405</t>
  </si>
  <si>
    <t>ckv.ow@dpic.33mail.com</t>
  </si>
  <si>
    <t>Vlaming, Roy de</t>
  </si>
  <si>
    <t>06-22828627</t>
  </si>
  <si>
    <t>r.vlaming55@upcmail.nl</t>
  </si>
  <si>
    <t>Belder, Lenn</t>
  </si>
  <si>
    <t>Dubbeldamseweg Zuid</t>
  </si>
  <si>
    <t>3312 KT</t>
  </si>
  <si>
    <t>06-14559553</t>
  </si>
  <si>
    <t>s.k.belder@kpnplanet.nl</t>
  </si>
  <si>
    <t>Driesprong, Anne</t>
  </si>
  <si>
    <t>Krommedijk</t>
  </si>
  <si>
    <t>3312 LD</t>
  </si>
  <si>
    <t>06-34616849</t>
  </si>
  <si>
    <t>078-6149579</t>
  </si>
  <si>
    <t>annedriesprong@gmail.com</t>
  </si>
  <si>
    <t>Driesprong, Meike</t>
  </si>
  <si>
    <t>06-24390406</t>
  </si>
  <si>
    <t>meike.driesprong@gmail.com</t>
  </si>
  <si>
    <t>Driesprong, Jana</t>
  </si>
  <si>
    <t>06-39674495</t>
  </si>
  <si>
    <t>brendaenjos@gmail.com</t>
  </si>
  <si>
    <t>Driesprong, Niek</t>
  </si>
  <si>
    <t>Figee, Niek</t>
  </si>
  <si>
    <t>Standhasenstraat</t>
  </si>
  <si>
    <t>3312 LN</t>
  </si>
  <si>
    <t>daan.goedhart@hotmail.com</t>
  </si>
  <si>
    <t>Gurp, Merel van</t>
  </si>
  <si>
    <t>Dubbelmondestraat</t>
  </si>
  <si>
    <t>3312 NB</t>
  </si>
  <si>
    <t>06-48537999</t>
  </si>
  <si>
    <t>merelvangurp@gmail.com</t>
  </si>
  <si>
    <t>Booy, Jan</t>
  </si>
  <si>
    <t>06-37471107</t>
  </si>
  <si>
    <t>janbooy1990@gmail.com</t>
  </si>
  <si>
    <t>Alberts, Sem</t>
  </si>
  <si>
    <t>Nessestraat</t>
  </si>
  <si>
    <t>3312 NR</t>
  </si>
  <si>
    <t>06-38259574</t>
  </si>
  <si>
    <t>06-41394499</t>
  </si>
  <si>
    <t>sem.jalberts@gmail.com</t>
  </si>
  <si>
    <t>Tijssen, Naomi</t>
  </si>
  <si>
    <t>Hoekenessestraat</t>
  </si>
  <si>
    <t>3312 PJ</t>
  </si>
  <si>
    <t>06-10222243</t>
  </si>
  <si>
    <t>barttijssen@hotmail.com</t>
  </si>
  <si>
    <t>Hemert, Stijn van</t>
  </si>
  <si>
    <t>Wolbrandsstraat</t>
  </si>
  <si>
    <t>3312 PV</t>
  </si>
  <si>
    <t>06-46514641</t>
  </si>
  <si>
    <t>yvonne@hmrt.nl</t>
  </si>
  <si>
    <t>NJH51W3</t>
  </si>
  <si>
    <t>Berendsen, Peter</t>
  </si>
  <si>
    <t>Ceramstraat</t>
  </si>
  <si>
    <t>3312 SG</t>
  </si>
  <si>
    <t>078-6140135</t>
  </si>
  <si>
    <t>peter.hj@kpnmail.nl</t>
  </si>
  <si>
    <t>Ameijden, Joep van</t>
  </si>
  <si>
    <t>3312 SK</t>
  </si>
  <si>
    <t>06-54350454</t>
  </si>
  <si>
    <t>s.ameijden@chello.nl</t>
  </si>
  <si>
    <t>Ameijden, Morris van</t>
  </si>
  <si>
    <t>sjoest@gmail.com</t>
  </si>
  <si>
    <t>Mert, Rezzan</t>
  </si>
  <si>
    <t>Roerdompstraat</t>
  </si>
  <si>
    <t>3312 ST</t>
  </si>
  <si>
    <t>06-34193873</t>
  </si>
  <si>
    <t>078-6134312</t>
  </si>
  <si>
    <t>safiyeseme38@live.nl</t>
  </si>
  <si>
    <t>Gent, Tim van</t>
  </si>
  <si>
    <t>Balistraat</t>
  </si>
  <si>
    <t>3312 VC</t>
  </si>
  <si>
    <t>06-46016762</t>
  </si>
  <si>
    <t>timmie_078@hotmail.com</t>
  </si>
  <si>
    <t>Groeneweg, Tim</t>
  </si>
  <si>
    <t>Tijpoort</t>
  </si>
  <si>
    <t>3312 WB</t>
  </si>
  <si>
    <t>06-48225022</t>
  </si>
  <si>
    <t>078-6317903</t>
  </si>
  <si>
    <t>tdgroeneweg@gmail.com</t>
  </si>
  <si>
    <t>Groeneweg, Roos</t>
  </si>
  <si>
    <t>06-24907542</t>
  </si>
  <si>
    <t>roosgroeneweg@gmail.com</t>
  </si>
  <si>
    <t>Seevinck, Djuna</t>
  </si>
  <si>
    <t>Eb</t>
  </si>
  <si>
    <t>3312 WC</t>
  </si>
  <si>
    <t>06-13280075</t>
  </si>
  <si>
    <t>078-6164434</t>
  </si>
  <si>
    <t>djunaseevinck@gmail.com</t>
  </si>
  <si>
    <t>Seevinck, Tim</t>
  </si>
  <si>
    <t>06-38609562</t>
  </si>
  <si>
    <t>bseevinck@globaloffshore.nl</t>
  </si>
  <si>
    <t>Seevinck, Bert</t>
  </si>
  <si>
    <t>06-53393684</t>
  </si>
  <si>
    <t>voorzitter@ckvoranjewit.nl</t>
  </si>
  <si>
    <t>BÃ¤cker, Tijn</t>
  </si>
  <si>
    <t>Vloed</t>
  </si>
  <si>
    <t>3312 WD</t>
  </si>
  <si>
    <t>06-51232854</t>
  </si>
  <si>
    <t>078-6168940</t>
  </si>
  <si>
    <t>stertijn@gmail.com</t>
  </si>
  <si>
    <t>Voorbij, Doeska</t>
  </si>
  <si>
    <t>Riouwstraat</t>
  </si>
  <si>
    <t>3312 XL</t>
  </si>
  <si>
    <t>06-29341220</t>
  </si>
  <si>
    <t>078-6144742</t>
  </si>
  <si>
    <t>hessel@hotmail.com</t>
  </si>
  <si>
    <t>Voorbij, Lova</t>
  </si>
  <si>
    <t>info@samshine.nl</t>
  </si>
  <si>
    <t>Bax, Erinn</t>
  </si>
  <si>
    <t>Jekerstraat</t>
  </si>
  <si>
    <t>3313 AN</t>
  </si>
  <si>
    <t>06-15678585</t>
  </si>
  <si>
    <t>erinnbax@hotmail.com</t>
  </si>
  <si>
    <t>Korfbal - Korfbal - Week, Zaal -  Week</t>
  </si>
  <si>
    <t>Driel, Quinten van</t>
  </si>
  <si>
    <t>Volkerakweg</t>
  </si>
  <si>
    <t>3313 BN</t>
  </si>
  <si>
    <t>06-81641426</t>
  </si>
  <si>
    <t>078-6167584</t>
  </si>
  <si>
    <t>quintdriel@msn.com</t>
  </si>
  <si>
    <t>Gent, Elsemieke van</t>
  </si>
  <si>
    <t>Oosterdiep</t>
  </si>
  <si>
    <t>3313 TG</t>
  </si>
  <si>
    <t>06-18391299</t>
  </si>
  <si>
    <t>078-6161763</t>
  </si>
  <si>
    <t>margriet.vangent@kpnmail.nl</t>
  </si>
  <si>
    <t>Naaktgeboren, Stefan</t>
  </si>
  <si>
    <t>Johannes Spaanstraat</t>
  </si>
  <si>
    <t>3313 XE</t>
  </si>
  <si>
    <t>06-18981545</t>
  </si>
  <si>
    <t>stefan.naaktgeboren@hotmail.com</t>
  </si>
  <si>
    <t>Bouwknegt, Lianne</t>
  </si>
  <si>
    <t>Hugo de Grootlaan</t>
  </si>
  <si>
    <t>3314 AG</t>
  </si>
  <si>
    <t>06-50465962</t>
  </si>
  <si>
    <t>078-6139925</t>
  </si>
  <si>
    <t>liannevalerieb9@gmail.com</t>
  </si>
  <si>
    <t>Bouwknegt, Enora</t>
  </si>
  <si>
    <t>ilonka.at.sea@12move.nl</t>
  </si>
  <si>
    <t>Volker, Lisa</t>
  </si>
  <si>
    <t>Marnixstraat</t>
  </si>
  <si>
    <t>3314 AM</t>
  </si>
  <si>
    <t>06-20327383</t>
  </si>
  <si>
    <t>078-6316327</t>
  </si>
  <si>
    <t>lisavolker03@gmail.com</t>
  </si>
  <si>
    <t>Volker, Karlijn</t>
  </si>
  <si>
    <t>06-18331030</t>
  </si>
  <si>
    <t>karlijnvolker@gmail.com</t>
  </si>
  <si>
    <t>Volker, Tess</t>
  </si>
  <si>
    <t>jennyvolker73@gmail.com</t>
  </si>
  <si>
    <t>Groen, Evie</t>
  </si>
  <si>
    <t>Reviusstraat</t>
  </si>
  <si>
    <t>3314 AP</t>
  </si>
  <si>
    <t>06-15699019</t>
  </si>
  <si>
    <t>sharonmolenberg@hotmail.com</t>
  </si>
  <si>
    <t>Ehmila, Jenna</t>
  </si>
  <si>
    <t>Hooftstraat</t>
  </si>
  <si>
    <t>3314 BB</t>
  </si>
  <si>
    <t>06-40381275</t>
  </si>
  <si>
    <t>fleurbusch@hotmail.nl</t>
  </si>
  <si>
    <t>Jongkind, Floortje</t>
  </si>
  <si>
    <t>Johan Willem Frisostraat</t>
  </si>
  <si>
    <t>3314 JN</t>
  </si>
  <si>
    <t>06-25307329</t>
  </si>
  <si>
    <t>078-6350571</t>
  </si>
  <si>
    <t>annemiekjongkind@hotmail.com</t>
  </si>
  <si>
    <t>Vroegindeweij, Jim</t>
  </si>
  <si>
    <t>Mariannestraat</t>
  </si>
  <si>
    <t>3314 JP</t>
  </si>
  <si>
    <t>06-11733886</t>
  </si>
  <si>
    <t>nina_busch@hotmail.com</t>
  </si>
  <si>
    <t>Driesprong, Bart</t>
  </si>
  <si>
    <t>Lodewijkstraat</t>
  </si>
  <si>
    <t>3314 LN</t>
  </si>
  <si>
    <t>06-28825794</t>
  </si>
  <si>
    <t>bart3sprong@gmail.com</t>
  </si>
  <si>
    <t>Dubbeld, Sanne</t>
  </si>
  <si>
    <t>Camphuijzenstraat</t>
  </si>
  <si>
    <t>3314 ZB</t>
  </si>
  <si>
    <t>06-41821282</t>
  </si>
  <si>
    <t>078-6146308</t>
  </si>
  <si>
    <t>sannedubbeld@hotmail.com</t>
  </si>
  <si>
    <t>Herremans, Jennifer</t>
  </si>
  <si>
    <t>Jacob Catsstraat</t>
  </si>
  <si>
    <t>3314 ZD</t>
  </si>
  <si>
    <t>06-81437267</t>
  </si>
  <si>
    <t>danoontje132305@hotmail.com</t>
  </si>
  <si>
    <t>NKZ02T5</t>
  </si>
  <si>
    <t>Trooijen, Jet van</t>
  </si>
  <si>
    <t>Tesselschadestraat</t>
  </si>
  <si>
    <t>3314 ZG</t>
  </si>
  <si>
    <t>jetvantrooijen@hotmail.com</t>
  </si>
  <si>
    <t>Recreanten - Recreanten - Week</t>
  </si>
  <si>
    <t>Rest, Mitchel van de</t>
  </si>
  <si>
    <t>Rudyard Kipling-erf</t>
  </si>
  <si>
    <t>3315 AB</t>
  </si>
  <si>
    <t>06-20535504</t>
  </si>
  <si>
    <t>b.katwijk@chello.nl</t>
  </si>
  <si>
    <t>Zwoll, Simone van</t>
  </si>
  <si>
    <t>3315 AG</t>
  </si>
  <si>
    <t>06-31 95 44 76</t>
  </si>
  <si>
    <t>078-6229705</t>
  </si>
  <si>
    <t>simone_94@hotmail.com</t>
  </si>
  <si>
    <t>Hashmei, Ali</t>
  </si>
  <si>
    <t>3315 AH</t>
  </si>
  <si>
    <t>06-81643319</t>
  </si>
  <si>
    <t>faridehaslani9@gmail.com</t>
  </si>
  <si>
    <t>Ibrahim, Abdi</t>
  </si>
  <si>
    <t>3315 AL</t>
  </si>
  <si>
    <t>06-43636170</t>
  </si>
  <si>
    <t>umaxaft@hotmail.com</t>
  </si>
  <si>
    <t>Valk, Marlies</t>
  </si>
  <si>
    <t>Selma Lagerlof-erf</t>
  </si>
  <si>
    <t>3315 AV</t>
  </si>
  <si>
    <t>06-29277876</t>
  </si>
  <si>
    <t>078-6132392</t>
  </si>
  <si>
    <t>liesjevalk2003@gmail.com</t>
  </si>
  <si>
    <t>Valk, Jarno</t>
  </si>
  <si>
    <t>06-30720425</t>
  </si>
  <si>
    <t>gunilda@hotmail.com</t>
  </si>
  <si>
    <t>Wibbens, Esther</t>
  </si>
  <si>
    <t>Boris Pasternak-erf</t>
  </si>
  <si>
    <t>3315 BR</t>
  </si>
  <si>
    <t>06-26620056</t>
  </si>
  <si>
    <t>078-6160107</t>
  </si>
  <si>
    <t>essie-wib@hotmail.com</t>
  </si>
  <si>
    <t>Reuvers, Lisa</t>
  </si>
  <si>
    <t>3315 BS</t>
  </si>
  <si>
    <t>06-11344264</t>
  </si>
  <si>
    <t>odette.de.jong0@gmail.com</t>
  </si>
  <si>
    <t>Dalen, Lex van</t>
  </si>
  <si>
    <t>3315 BT</t>
  </si>
  <si>
    <t>06-23796624</t>
  </si>
  <si>
    <t>078-6164427</t>
  </si>
  <si>
    <t>atm200@hotmail.com</t>
  </si>
  <si>
    <t>Afsharbegloe, Parham</t>
  </si>
  <si>
    <t>3315 BV</t>
  </si>
  <si>
    <t>06-20383314</t>
  </si>
  <si>
    <t>maralsh@yahoo.com</t>
  </si>
  <si>
    <t>Heeren, Djess van</t>
  </si>
  <si>
    <t>06-17532029</t>
  </si>
  <si>
    <t>arjovh@planet.nl</t>
  </si>
  <si>
    <t>NJM89M7</t>
  </si>
  <si>
    <t>Gerritsen, Peter</t>
  </si>
  <si>
    <t>Stadspolderring</t>
  </si>
  <si>
    <t>3315 CK</t>
  </si>
  <si>
    <t>06-43792462</t>
  </si>
  <si>
    <t>petergerritsen81@gmail.com</t>
  </si>
  <si>
    <t>1000 + 300</t>
  </si>
  <si>
    <t>Dubbeld, Tessa</t>
  </si>
  <si>
    <t>Rietveld-Erf</t>
  </si>
  <si>
    <t>3315 DB</t>
  </si>
  <si>
    <t>06-28137963</t>
  </si>
  <si>
    <t>078-6450250</t>
  </si>
  <si>
    <t>tessadubbeld2000@gmail.com</t>
  </si>
  <si>
    <t>Dubbeld, Ruben</t>
  </si>
  <si>
    <t>06-28148792</t>
  </si>
  <si>
    <t>rubendubbeld@gmail.com</t>
  </si>
  <si>
    <t>Nelemans, Ingrid</t>
  </si>
  <si>
    <t>078-6161541</t>
  </si>
  <si>
    <t>wh.nelemans@kpnmail.nl</t>
  </si>
  <si>
    <t>Altena, Evan</t>
  </si>
  <si>
    <t>3315 DE</t>
  </si>
  <si>
    <t>06-21713501</t>
  </si>
  <si>
    <t>078-6161206</t>
  </si>
  <si>
    <t>evanaltena.a@gmail.com</t>
  </si>
  <si>
    <t>Altena, Jaron</t>
  </si>
  <si>
    <t>06-29144468</t>
  </si>
  <si>
    <t>jaronaltena.a@gmail.com</t>
  </si>
  <si>
    <t>Klooster, Carmen van der</t>
  </si>
  <si>
    <t>Van Ravesteyn-erf</t>
  </si>
  <si>
    <t>3315 DJ</t>
  </si>
  <si>
    <t>06-52880273</t>
  </si>
  <si>
    <t>078-8447424</t>
  </si>
  <si>
    <t>alexvdk75@gmail.com</t>
  </si>
  <si>
    <t>Klooster, Danique van der</t>
  </si>
  <si>
    <t>Pille, Menno</t>
  </si>
  <si>
    <t>3315 DL</t>
  </si>
  <si>
    <t>06-51247377</t>
  </si>
  <si>
    <t>078-6165967</t>
  </si>
  <si>
    <t>fam@pille.tweak.nl</t>
  </si>
  <si>
    <t>Kuperus, Steven</t>
  </si>
  <si>
    <t>3315 DP</t>
  </si>
  <si>
    <t>078-6211546</t>
  </si>
  <si>
    <t>koeperus@hotmail.com</t>
  </si>
  <si>
    <t>Oomens, Hanna</t>
  </si>
  <si>
    <t>Aletta Jacobs-erf</t>
  </si>
  <si>
    <t>3315 EB</t>
  </si>
  <si>
    <t>06-50486531</t>
  </si>
  <si>
    <t>078-6185851</t>
  </si>
  <si>
    <t>mandyoomens@gmail.com</t>
  </si>
  <si>
    <t>Bezemer, Eva</t>
  </si>
  <si>
    <t>3315 EH</t>
  </si>
  <si>
    <t>06-34608685</t>
  </si>
  <si>
    <t>kmbezemer@hotmail.nl</t>
  </si>
  <si>
    <t>QuarrÃ©, Elena</t>
  </si>
  <si>
    <t>3315 EJ</t>
  </si>
  <si>
    <t>06-24759248</t>
  </si>
  <si>
    <t>078-6161216</t>
  </si>
  <si>
    <t>martha.quarre@gmail.com</t>
  </si>
  <si>
    <t>Quarre, Stephan</t>
  </si>
  <si>
    <t>Dijk, Joeri van</t>
  </si>
  <si>
    <t>Aletta Jacobserf</t>
  </si>
  <si>
    <t>3315 EM</t>
  </si>
  <si>
    <t>06-42592261</t>
  </si>
  <si>
    <t>078-6213113</t>
  </si>
  <si>
    <t>joerivandijk@kpnmail.nl</t>
  </si>
  <si>
    <t>Verkerke, Julia</t>
  </si>
  <si>
    <t>06-47508491</t>
  </si>
  <si>
    <t>jdverkerke@gmail.com</t>
  </si>
  <si>
    <t>Mans, Bob</t>
  </si>
  <si>
    <t>Mina Kruseman-erf</t>
  </si>
  <si>
    <t>3315 GD</t>
  </si>
  <si>
    <t>078-6228817</t>
  </si>
  <si>
    <t>bobmans123@hotmail.com</t>
  </si>
  <si>
    <t>Fernhout, Tirsa</t>
  </si>
  <si>
    <t>06-37281657</t>
  </si>
  <si>
    <t>078-6168339</t>
  </si>
  <si>
    <t>tirsafernhout@hotmail.com</t>
  </si>
  <si>
    <t>Engelfriet, Demi</t>
  </si>
  <si>
    <t>Johanna Naber-erf</t>
  </si>
  <si>
    <t>3315 HD</t>
  </si>
  <si>
    <t>06-50899851</t>
  </si>
  <si>
    <t>t.i.vanvliet@ziggo.nl</t>
  </si>
  <si>
    <t>Jager, Sam de</t>
  </si>
  <si>
    <t>3315 HL</t>
  </si>
  <si>
    <t>06-36049584</t>
  </si>
  <si>
    <t>samdejager@kpnmail.nl</t>
  </si>
  <si>
    <t>Kilsdonk, Sophie</t>
  </si>
  <si>
    <t>Bakema-erf</t>
  </si>
  <si>
    <t>3315 JC</t>
  </si>
  <si>
    <t>06-44115852</t>
  </si>
  <si>
    <t>dianne.kilsdonk@kpnmail.nl</t>
  </si>
  <si>
    <t>Fernhout, LoÃ¯s</t>
  </si>
  <si>
    <t>Berlage-erf</t>
  </si>
  <si>
    <t>3315 JJ</t>
  </si>
  <si>
    <t>06-67466706</t>
  </si>
  <si>
    <t>loisfernhout@icloud.com</t>
  </si>
  <si>
    <t>Lindhout, Demi</t>
  </si>
  <si>
    <t>3315 JL</t>
  </si>
  <si>
    <t>saskia.gerde@gmail.com</t>
  </si>
  <si>
    <t>Post, Joaz</t>
  </si>
  <si>
    <t>Maaskant-Erf</t>
  </si>
  <si>
    <t>3315 KK</t>
  </si>
  <si>
    <t>06-51038710</t>
  </si>
  <si>
    <t>078-6163356</t>
  </si>
  <si>
    <t>postpollema@gmail.com</t>
  </si>
  <si>
    <t>Baas, Nikki</t>
  </si>
  <si>
    <t>06-21231894</t>
  </si>
  <si>
    <t>078-6161086</t>
  </si>
  <si>
    <t>babaas2@gmail.com</t>
  </si>
  <si>
    <t>Dommisse, Robin</t>
  </si>
  <si>
    <t>3315 KL</t>
  </si>
  <si>
    <t>06-34681450</t>
  </si>
  <si>
    <t>078-6213914</t>
  </si>
  <si>
    <t>robin.rianne.dommisse@gmail.com</t>
  </si>
  <si>
    <t>Dommisse, Kim</t>
  </si>
  <si>
    <t>06-39679868</t>
  </si>
  <si>
    <t>kimdommisse12@gmail.com</t>
  </si>
  <si>
    <t>Dekker, Onno den</t>
  </si>
  <si>
    <t>3315 KN</t>
  </si>
  <si>
    <t>06-28559859</t>
  </si>
  <si>
    <t>078-6168466</t>
  </si>
  <si>
    <t>jhdendekker@hetnet.nl</t>
  </si>
  <si>
    <t>Dekker, Tiemen den</t>
  </si>
  <si>
    <t>06-10676132</t>
  </si>
  <si>
    <t>Hoedelmans, Tobias</t>
  </si>
  <si>
    <t>Chico Mendesring</t>
  </si>
  <si>
    <t>3315 MB</t>
  </si>
  <si>
    <t>06-34823767</t>
  </si>
  <si>
    <t>ivandernoll@gmail.com</t>
  </si>
  <si>
    <t>Lacroes, Jany</t>
  </si>
  <si>
    <t>Mahonie</t>
  </si>
  <si>
    <t>3315 MJ</t>
  </si>
  <si>
    <t>06-40340598</t>
  </si>
  <si>
    <t>078-6180375</t>
  </si>
  <si>
    <t>r.lacroes1@upcmail.nl</t>
  </si>
  <si>
    <t>Klijn, Calvin</t>
  </si>
  <si>
    <t>06-41652155</t>
  </si>
  <si>
    <t>078-6212436</t>
  </si>
  <si>
    <t>calvin20klijn@gmail.com</t>
  </si>
  <si>
    <t>Zuijderwijk, Ilse</t>
  </si>
  <si>
    <t>078-6226818</t>
  </si>
  <si>
    <t>idzuijderwijk190701@gmail.com</t>
  </si>
  <si>
    <t>Jongh, Anouk de</t>
  </si>
  <si>
    <t>Azobe</t>
  </si>
  <si>
    <t>3315 NC</t>
  </si>
  <si>
    <t>06-15544067</t>
  </si>
  <si>
    <t>078-6578217</t>
  </si>
  <si>
    <t>sportpolizhz@live.nl</t>
  </si>
  <si>
    <t>Jongh, Matthijs de</t>
  </si>
  <si>
    <t>Uijl, Daniel den</t>
  </si>
  <si>
    <t>06-57232028</t>
  </si>
  <si>
    <t>078-6225653</t>
  </si>
  <si>
    <t>jeroenenying@kpnmail.nl</t>
  </si>
  <si>
    <t>Visser, Renske</t>
  </si>
  <si>
    <t>Balsa</t>
  </si>
  <si>
    <t>3315 NL</t>
  </si>
  <si>
    <t>06-15211794</t>
  </si>
  <si>
    <t>078-6210499</t>
  </si>
  <si>
    <t>renske.visser@hotmail.com</t>
  </si>
  <si>
    <t>Zwanenburg, Jack</t>
  </si>
  <si>
    <t>3315 NM</t>
  </si>
  <si>
    <t>06-20255046</t>
  </si>
  <si>
    <t>078-6212283</t>
  </si>
  <si>
    <t>debmoerman@hotmail.com</t>
  </si>
  <si>
    <t>Zwanenburg, Robin</t>
  </si>
  <si>
    <t>Warmerdam, Fauve</t>
  </si>
  <si>
    <t>06-25057045</t>
  </si>
  <si>
    <t>melinavandemerwe@gmail.com</t>
  </si>
  <si>
    <t>Boon, Thijs</t>
  </si>
  <si>
    <t>Marowijne</t>
  </si>
  <si>
    <t>3315 PE</t>
  </si>
  <si>
    <t>06-15688607</t>
  </si>
  <si>
    <t>078-6182553</t>
  </si>
  <si>
    <t>boonthijs@icloud.com</t>
  </si>
  <si>
    <t>Manduapessy, Merel</t>
  </si>
  <si>
    <t>3315 PG</t>
  </si>
  <si>
    <t>06-12476294</t>
  </si>
  <si>
    <t>078-7070575</t>
  </si>
  <si>
    <t>evelien.sterk@upcmail.nl</t>
  </si>
  <si>
    <t>Horst, Bridget ter</t>
  </si>
  <si>
    <t>06-38281863</t>
  </si>
  <si>
    <t>078-6455276</t>
  </si>
  <si>
    <t>b03terhorst@gmail.com</t>
  </si>
  <si>
    <t>Horst, Renee ter</t>
  </si>
  <si>
    <t>06-11066670</t>
  </si>
  <si>
    <t>eterhorst74@gmail.com</t>
  </si>
  <si>
    <t>3315 PJ</t>
  </si>
  <si>
    <t>06-47766441</t>
  </si>
  <si>
    <t>rubenvdboogaart85@gmail.com</t>
  </si>
  <si>
    <t>Raab, Ilse</t>
  </si>
  <si>
    <t>Iroko</t>
  </si>
  <si>
    <t>3315 PK</t>
  </si>
  <si>
    <t>06-48463079</t>
  </si>
  <si>
    <t>078-6167924</t>
  </si>
  <si>
    <t>ingrid.kreszner@upcmail.nl</t>
  </si>
  <si>
    <t>Mahabier, Jeevan</t>
  </si>
  <si>
    <t>3315 PL</t>
  </si>
  <si>
    <t>06-42341060</t>
  </si>
  <si>
    <t>mcbol23@hotmail.com</t>
  </si>
  <si>
    <t>Klink, Xanne</t>
  </si>
  <si>
    <t>3315 PN</t>
  </si>
  <si>
    <t>078-6161731</t>
  </si>
  <si>
    <t>x.klink@hotmail.com</t>
  </si>
  <si>
    <t>Klink, Suzanne</t>
  </si>
  <si>
    <t>06-3742208</t>
  </si>
  <si>
    <t>suzanneklink2003@hotmail.com</t>
  </si>
  <si>
    <t>Spijk, Jikke van</t>
  </si>
  <si>
    <t>3315 PR</t>
  </si>
  <si>
    <t>06-32273543</t>
  </si>
  <si>
    <t>078-6226216</t>
  </si>
  <si>
    <t>jikkevanspijk@xs4all.nl</t>
  </si>
  <si>
    <t>IJben, Chris</t>
  </si>
  <si>
    <t>3315 PV</t>
  </si>
  <si>
    <t>06-50442567</t>
  </si>
  <si>
    <t>078-6165272</t>
  </si>
  <si>
    <t>chrisijben@gmail.com</t>
  </si>
  <si>
    <t>Ven, Jonas van de</t>
  </si>
  <si>
    <t>Van Doesburg-Erf</t>
  </si>
  <si>
    <t>3315 RB</t>
  </si>
  <si>
    <t>06-51838534</t>
  </si>
  <si>
    <t>tomvandeven.mail@gmail.com</t>
  </si>
  <si>
    <t>Ven, Abel van de</t>
  </si>
  <si>
    <t>Wit, Mila de</t>
  </si>
  <si>
    <t>3315 RC</t>
  </si>
  <si>
    <t>06-41439541</t>
  </si>
  <si>
    <t>078-6426063</t>
  </si>
  <si>
    <t>bartdewit2506@gmail.com</t>
  </si>
  <si>
    <t>Wit, Bart de</t>
  </si>
  <si>
    <t>06-53714855</t>
  </si>
  <si>
    <t>Wit, de, Merlijn</t>
  </si>
  <si>
    <t>mirjam.dewit@live.nl</t>
  </si>
  <si>
    <t>Wietses, JoÃ«l</t>
  </si>
  <si>
    <t>3315 RG</t>
  </si>
  <si>
    <t>06-29582254</t>
  </si>
  <si>
    <t>078-6352310</t>
  </si>
  <si>
    <t>fennegien@wietses.nl</t>
  </si>
  <si>
    <t>Lievaart, Carlijn</t>
  </si>
  <si>
    <t>06-11137522</t>
  </si>
  <si>
    <t>078-6213443</t>
  </si>
  <si>
    <t>wy.lievaart@kpnmail.nl</t>
  </si>
  <si>
    <t>Wall, Johan van der</t>
  </si>
  <si>
    <t>Van den Broek-erf</t>
  </si>
  <si>
    <t>3315 SH</t>
  </si>
  <si>
    <t>078-6229003</t>
  </si>
  <si>
    <t>wall127@gmail.com</t>
  </si>
  <si>
    <t>Boeije, Amber</t>
  </si>
  <si>
    <t>H Roland Holst-erf</t>
  </si>
  <si>
    <t>3315 TB</t>
  </si>
  <si>
    <t>06-40357585</t>
  </si>
  <si>
    <t>078-6191223</t>
  </si>
  <si>
    <t>familieboeije@t-mobilethuis.nl</t>
  </si>
  <si>
    <t>Everaarts, Jesse</t>
  </si>
  <si>
    <t>3315 TC</t>
  </si>
  <si>
    <t>06-81225746</t>
  </si>
  <si>
    <t>078-6138053</t>
  </si>
  <si>
    <t>jesseeveraarts@solcon.nl</t>
  </si>
  <si>
    <t>Everaarts, Anna</t>
  </si>
  <si>
    <t>damaris@solcon.nl</t>
  </si>
  <si>
    <t>Everaarts, Levi</t>
  </si>
  <si>
    <t>Hart, Olav 't</t>
  </si>
  <si>
    <t>3315 TJ</t>
  </si>
  <si>
    <t>06-13675260</t>
  </si>
  <si>
    <t>078-6515115</t>
  </si>
  <si>
    <t>marsja.euser@gmail.com</t>
  </si>
  <si>
    <t>Vos, Jeslynn</t>
  </si>
  <si>
    <t>Meranti</t>
  </si>
  <si>
    <t>3315 TW</t>
  </si>
  <si>
    <t>06-51919415</t>
  </si>
  <si>
    <t>gfb1502@gmail.com</t>
  </si>
  <si>
    <t>Waard, Olivia de</t>
  </si>
  <si>
    <t>Makore</t>
  </si>
  <si>
    <t>3315 TX</t>
  </si>
  <si>
    <t>06-41382428</t>
  </si>
  <si>
    <t>ew2000@gmail.com</t>
  </si>
  <si>
    <t>Timmer, Jordan</t>
  </si>
  <si>
    <t>Joke Smit-erf</t>
  </si>
  <si>
    <t>3315 VA</t>
  </si>
  <si>
    <t>06-48506507</t>
  </si>
  <si>
    <t>howardtimmer@hotmail.com</t>
  </si>
  <si>
    <t>Timmer, Edith</t>
  </si>
  <si>
    <t>edithtimmer@hotmail.nl</t>
  </si>
  <si>
    <t>Brouwer, Veerle</t>
  </si>
  <si>
    <t>3315 VD</t>
  </si>
  <si>
    <t>06-28405371</t>
  </si>
  <si>
    <t>merijnensifra@gmail.com</t>
  </si>
  <si>
    <t>Brouwer, Noor</t>
  </si>
  <si>
    <t>Goedegebuur, Mels</t>
  </si>
  <si>
    <t>3315 VG</t>
  </si>
  <si>
    <t>06-17153911</t>
  </si>
  <si>
    <t>jantineg@gmail.com</t>
  </si>
  <si>
    <t>Nijhoff, Liv</t>
  </si>
  <si>
    <t>Colorado</t>
  </si>
  <si>
    <t>3315 WB</t>
  </si>
  <si>
    <t>06-43937227</t>
  </si>
  <si>
    <t>friedanijhoff@gmail.com</t>
  </si>
  <si>
    <t>Korfbal - Korfbal - Week, Niet spelend - Niet spelend - Week</t>
  </si>
  <si>
    <t>Everdingen, Tessa van</t>
  </si>
  <si>
    <t>06-12505548</t>
  </si>
  <si>
    <t>alex.van.everdingen@kpnmail.nl</t>
  </si>
  <si>
    <t>Verhagen, Laurens</t>
  </si>
  <si>
    <t>06-28658584</t>
  </si>
  <si>
    <t>078-6513149</t>
  </si>
  <si>
    <t>aldo@kpnmail.nl</t>
  </si>
  <si>
    <t>Tims, Fay</t>
  </si>
  <si>
    <t>3315 WD</t>
  </si>
  <si>
    <t>06-19854120</t>
  </si>
  <si>
    <t>mandydonker@hotmail.com</t>
  </si>
  <si>
    <t>Lange, Mathijs</t>
  </si>
  <si>
    <t xml:space="preserve">Colorado </t>
  </si>
  <si>
    <t>3315 WE</t>
  </si>
  <si>
    <t>06-20415309</t>
  </si>
  <si>
    <t>078-6166491</t>
  </si>
  <si>
    <t>fflange@xs4all.nl</t>
  </si>
  <si>
    <t>Koster, Senne</t>
  </si>
  <si>
    <t>06-42230197</t>
  </si>
  <si>
    <t>078-6215562</t>
  </si>
  <si>
    <t>rcjkoster@kpnmail.nl</t>
  </si>
  <si>
    <t>Koornneef, Tommie</t>
  </si>
  <si>
    <t>3315 WN</t>
  </si>
  <si>
    <t>06-53337443</t>
  </si>
  <si>
    <t>078-8449886</t>
  </si>
  <si>
    <t>dionnepronk@gmail.com</t>
  </si>
  <si>
    <t>Koornneef, Wouter</t>
  </si>
  <si>
    <t>06-19582477</t>
  </si>
  <si>
    <t>Fasbender, Tijmen</t>
  </si>
  <si>
    <t>06-15141699</t>
  </si>
  <si>
    <t>078-6227535</t>
  </si>
  <si>
    <t>tijmen.fasbender@gmail.com</t>
  </si>
  <si>
    <t>Fasbender, Lindi</t>
  </si>
  <si>
    <t>jerzy.fasbender@gmail.com</t>
  </si>
  <si>
    <t>Est, Koen van</t>
  </si>
  <si>
    <t>06-28572256</t>
  </si>
  <si>
    <t>078-6134160</t>
  </si>
  <si>
    <t>karinawaardenburg@hotmail.com</t>
  </si>
  <si>
    <t>Est, Sarah van</t>
  </si>
  <si>
    <t>Wolleswinkel, Iza</t>
  </si>
  <si>
    <t>Branco</t>
  </si>
  <si>
    <t>3315 WR</t>
  </si>
  <si>
    <t>06-20603855</t>
  </si>
  <si>
    <t>078-6211215</t>
  </si>
  <si>
    <t>jwolleswinkel@translas.com</t>
  </si>
  <si>
    <t>Teerds, Eva</t>
  </si>
  <si>
    <t>3315 WS</t>
  </si>
  <si>
    <t>06-10766109</t>
  </si>
  <si>
    <t>078-6168163</t>
  </si>
  <si>
    <t>evateerds@gmail.com</t>
  </si>
  <si>
    <t>Wijngaarden, Dagmar van</t>
  </si>
  <si>
    <t>Amazone</t>
  </si>
  <si>
    <t>3315 WV</t>
  </si>
  <si>
    <t>06-51443462</t>
  </si>
  <si>
    <t>078-6510912</t>
  </si>
  <si>
    <t>dagmar@vwijngaarden.nl</t>
  </si>
  <si>
    <t>Wijngaarden, Bente van</t>
  </si>
  <si>
    <t>06-22469933</t>
  </si>
  <si>
    <t>esther.martin@vwijngaarden.nl</t>
  </si>
  <si>
    <t>Broere, Dionne</t>
  </si>
  <si>
    <t>M Harpertsz Trompwg</t>
  </si>
  <si>
    <t>3317 BM</t>
  </si>
  <si>
    <t>06-43178088</t>
  </si>
  <si>
    <t>dionnebroere@hotmail.com</t>
  </si>
  <si>
    <t>Vos, Egbert</t>
  </si>
  <si>
    <t>Cosmea</t>
  </si>
  <si>
    <t>3317 JA</t>
  </si>
  <si>
    <t>06-39856293</t>
  </si>
  <si>
    <t>egbert.vos@prinsfloris.nl</t>
  </si>
  <si>
    <t>Vos, Juda</t>
  </si>
  <si>
    <t>Draaijer, Rens</t>
  </si>
  <si>
    <t>Abraham Kuyperweg</t>
  </si>
  <si>
    <t>3317 KE</t>
  </si>
  <si>
    <t>078-6160851</t>
  </si>
  <si>
    <t>rensdraaijerig@hotmail.com</t>
  </si>
  <si>
    <t>Brugge, Bart van der</t>
  </si>
  <si>
    <t>Buitengrave</t>
  </si>
  <si>
    <t>3317 MH</t>
  </si>
  <si>
    <t>06-24344832</t>
  </si>
  <si>
    <t>bartvanderbrugge@hotmail.com</t>
  </si>
  <si>
    <t>Haas, Amber de</t>
  </si>
  <si>
    <t>Saturnuslaan</t>
  </si>
  <si>
    <t>3318 ER</t>
  </si>
  <si>
    <t>06-41822197</t>
  </si>
  <si>
    <t>078-6310870</t>
  </si>
  <si>
    <t>amrie-dehaas@hotmail.com</t>
  </si>
  <si>
    <t>Karsten, Tara</t>
  </si>
  <si>
    <t>Marslaan</t>
  </si>
  <si>
    <t>3318 JG</t>
  </si>
  <si>
    <t>06-31934914</t>
  </si>
  <si>
    <t>c.m.karsten@hotmail.com</t>
  </si>
  <si>
    <t>Bakker, Femke</t>
  </si>
  <si>
    <t>Gemmahof</t>
  </si>
  <si>
    <t>3318 RC</t>
  </si>
  <si>
    <t>06-12523782</t>
  </si>
  <si>
    <t>078-6149404</t>
  </si>
  <si>
    <t>remcolieke@gmail.com</t>
  </si>
  <si>
    <t>Bakker, Anouk</t>
  </si>
  <si>
    <t>NFV12W2</t>
  </si>
  <si>
    <t>Stomp-Burgt, Lianne vd</t>
  </si>
  <si>
    <t>Stevensweg</t>
  </si>
  <si>
    <t>3319 AK</t>
  </si>
  <si>
    <t>06-48795041</t>
  </si>
  <si>
    <t>liantje007@hotmail.com</t>
  </si>
  <si>
    <t>Stomp, Noa</t>
  </si>
  <si>
    <t>078-8443312</t>
  </si>
  <si>
    <t>Stomp, Joshua</t>
  </si>
  <si>
    <t>Kuijper, David</t>
  </si>
  <si>
    <t>Burg Beelaertspark</t>
  </si>
  <si>
    <t>3319 AR</t>
  </si>
  <si>
    <t>06-15924581</t>
  </si>
  <si>
    <t>078-6228584</t>
  </si>
  <si>
    <t>david.kuijper@kpnmail.nl</t>
  </si>
  <si>
    <t>Kuijper, Raoul</t>
  </si>
  <si>
    <t>06-22374496</t>
  </si>
  <si>
    <t>mark.kuijper@kpnmail.nl</t>
  </si>
  <si>
    <t>Vlaming, Jens de</t>
  </si>
  <si>
    <t>3319 AV</t>
  </si>
  <si>
    <t>06-20529433</t>
  </si>
  <si>
    <t>078-6210056</t>
  </si>
  <si>
    <t>richarddevlaming@gmail.com</t>
  </si>
  <si>
    <t>Sempel, Jasper</t>
  </si>
  <si>
    <t>06-16916555</t>
  </si>
  <si>
    <t>magdasempel@gmail.com</t>
  </si>
  <si>
    <t>Strijen, Lars van</t>
  </si>
  <si>
    <t>06-14808057</t>
  </si>
  <si>
    <t>lars.van.strijen@outlook.com</t>
  </si>
  <si>
    <t>Vliet, Tycho</t>
  </si>
  <si>
    <t>Stevenshof</t>
  </si>
  <si>
    <t>b</t>
  </si>
  <si>
    <t>3319 AX</t>
  </si>
  <si>
    <t>06-55724772</t>
  </si>
  <si>
    <t>078-6228365</t>
  </si>
  <si>
    <t>familievliet@gmail.com</t>
  </si>
  <si>
    <t>Vliet, Kian</t>
  </si>
  <si>
    <t>Klink, Marijn</t>
  </si>
  <si>
    <t>Damstraat</t>
  </si>
  <si>
    <t>3319 BC</t>
  </si>
  <si>
    <t>06-11292600</t>
  </si>
  <si>
    <t>078-6162033</t>
  </si>
  <si>
    <t>marijn.klink@hotmail.com</t>
  </si>
  <si>
    <t>Isarin, Thomas</t>
  </si>
  <si>
    <t>Nijhofflaan</t>
  </si>
  <si>
    <t>3319 BP</t>
  </si>
  <si>
    <t>06-15021538</t>
  </si>
  <si>
    <t>thomasisarin@gmail.com</t>
  </si>
  <si>
    <t>Ardon, Linda</t>
  </si>
  <si>
    <t>06-15297007</t>
  </si>
  <si>
    <t>lindaardon92@gmail.com</t>
  </si>
  <si>
    <t>Breekveldt, Tessa</t>
  </si>
  <si>
    <t>3319 BS</t>
  </si>
  <si>
    <t>06-11381312</t>
  </si>
  <si>
    <t>rbreekveldt@hotmail.com</t>
  </si>
  <si>
    <t>Dullemeijer, Mandy</t>
  </si>
  <si>
    <t>r.breekveldt@hotmail.com</t>
  </si>
  <si>
    <t>Degenhardt, Kim</t>
  </si>
  <si>
    <t>Van Deysselstraat</t>
  </si>
  <si>
    <t>3319 BV</t>
  </si>
  <si>
    <t>06-20590171</t>
  </si>
  <si>
    <t>078-6226424</t>
  </si>
  <si>
    <t>m.a.degenhardt@kpnmail.nl</t>
  </si>
  <si>
    <t>Sas, Niek</t>
  </si>
  <si>
    <t>Baron van Boetzelaerlaan</t>
  </si>
  <si>
    <t>3319 CK</t>
  </si>
  <si>
    <t>06-36313588</t>
  </si>
  <si>
    <t>078-7890128</t>
  </si>
  <si>
    <t>jm_batenburg@hotmail.com</t>
  </si>
  <si>
    <t>Sas, Maarten</t>
  </si>
  <si>
    <t>Wensen, Maud van</t>
  </si>
  <si>
    <t>3319 CM</t>
  </si>
  <si>
    <t>06-12559594</t>
  </si>
  <si>
    <t>078-6168331</t>
  </si>
  <si>
    <t>andrekarin@live.nl</t>
  </si>
  <si>
    <t>Exalto, Laura</t>
  </si>
  <si>
    <t>Jhr vd Wall Repelaerstr</t>
  </si>
  <si>
    <t>3319 CR</t>
  </si>
  <si>
    <t>06-25293916</t>
  </si>
  <si>
    <t>hans.exalto@kpnmail.nl</t>
  </si>
  <si>
    <t>Exalto, Lisa</t>
  </si>
  <si>
    <t>Klink, Olivier</t>
  </si>
  <si>
    <t>Dennenlaan</t>
  </si>
  <si>
    <t>3319 EA</t>
  </si>
  <si>
    <t>06-52295347</t>
  </si>
  <si>
    <t>olivier.klink@outlook.com</t>
  </si>
  <si>
    <t>Klink, Stijn</t>
  </si>
  <si>
    <t>06-42540967</t>
  </si>
  <si>
    <t>stijn.klink@hotmail.com</t>
  </si>
  <si>
    <t>Laban, Antjan</t>
  </si>
  <si>
    <t>Dubbelsteynlaan Oost</t>
  </si>
  <si>
    <t>3319 EB</t>
  </si>
  <si>
    <t>06-10966068</t>
  </si>
  <si>
    <t>antjanlaban@gmail.com</t>
  </si>
  <si>
    <t>Laban-Sinke, Ingrid</t>
  </si>
  <si>
    <t>06-45754444</t>
  </si>
  <si>
    <t>ingridsinke@hotmail.com</t>
  </si>
  <si>
    <t>Laban, Freek</t>
  </si>
  <si>
    <t>Dongen, Freek van</t>
  </si>
  <si>
    <t>3319 EG</t>
  </si>
  <si>
    <t>06-48729093</t>
  </si>
  <si>
    <t>078-6119828</t>
  </si>
  <si>
    <t>rajvandongen@planet.nl</t>
  </si>
  <si>
    <t>Dongen, Madelief van</t>
  </si>
  <si>
    <t>06-28868987</t>
  </si>
  <si>
    <t>Dongen, Pien van</t>
  </si>
  <si>
    <t>Burgt, Seth van de</t>
  </si>
  <si>
    <t>Dubbelsteynlaan West</t>
  </si>
  <si>
    <t>3319 EL</t>
  </si>
  <si>
    <t>06-22962625</t>
  </si>
  <si>
    <t>erikvandeburgt@hotmail.com</t>
  </si>
  <si>
    <t>Burgt, Elize van de</t>
  </si>
  <si>
    <t>Burgt, Feline van de</t>
  </si>
  <si>
    <t>Dekker, DaniÃ«lle</t>
  </si>
  <si>
    <t>Haaswijkweg Oost</t>
  </si>
  <si>
    <t>a</t>
  </si>
  <si>
    <t>3319 GA</t>
  </si>
  <si>
    <t>06-53938278</t>
  </si>
  <si>
    <t>danielledekker.2004@gmail.com</t>
  </si>
  <si>
    <t>Verboom, Finn</t>
  </si>
  <si>
    <t>Haaswijkweg</t>
  </si>
  <si>
    <t>West</t>
  </si>
  <si>
    <t>3319 GE</t>
  </si>
  <si>
    <t>06-20406504</t>
  </si>
  <si>
    <t>06-15027268</t>
  </si>
  <si>
    <t>jeroenenjoyceverboom@gmail.com</t>
  </si>
  <si>
    <t>Nijman, Famke</t>
  </si>
  <si>
    <t>Noorderlicht</t>
  </si>
  <si>
    <t>3319 GJ</t>
  </si>
  <si>
    <t>06-34850782</t>
  </si>
  <si>
    <t>irmajanga@hotmail.com</t>
  </si>
  <si>
    <t>Lohuis, Jens</t>
  </si>
  <si>
    <t>Vissersdijk</t>
  </si>
  <si>
    <t>e</t>
  </si>
  <si>
    <t>3319 GV</t>
  </si>
  <si>
    <t>06-29457574</t>
  </si>
  <si>
    <t>078-6215520</t>
  </si>
  <si>
    <t>ajlohuis@hotmail.com</t>
  </si>
  <si>
    <t>Lohuis, Floor</t>
  </si>
  <si>
    <t>Hovestadt, Diederik</t>
  </si>
  <si>
    <t>06-54357342</t>
  </si>
  <si>
    <t>johanensusanna@gmail.com</t>
  </si>
  <si>
    <t>Vaartmans, Jordi</t>
  </si>
  <si>
    <t>Klein Kruithof</t>
  </si>
  <si>
    <t>3319 GX</t>
  </si>
  <si>
    <t>06-22561824</t>
  </si>
  <si>
    <t>078-6132574</t>
  </si>
  <si>
    <t>fam.vaartmans@gmail.com</t>
  </si>
  <si>
    <t>Vaartmans, Britt</t>
  </si>
  <si>
    <t>Vos, Justin</t>
  </si>
  <si>
    <t>Hortensiastraat</t>
  </si>
  <si>
    <t>3319 HE</t>
  </si>
  <si>
    <t>06-25289380</t>
  </si>
  <si>
    <t>ilzevos80@gmail.com</t>
  </si>
  <si>
    <t>Vos, Thomas</t>
  </si>
  <si>
    <t>Slotboom, Amber</t>
  </si>
  <si>
    <t>Laurierstraat</t>
  </si>
  <si>
    <t>3319 HM</t>
  </si>
  <si>
    <t>06-42703642</t>
  </si>
  <si>
    <t>078-6167084</t>
  </si>
  <si>
    <t>amberslotboom@upcmail.nl</t>
  </si>
  <si>
    <t>Flach, Joram</t>
  </si>
  <si>
    <t>06-25186900</t>
  </si>
  <si>
    <t>078-6212884</t>
  </si>
  <si>
    <t>joram.flach@upcmail.nl</t>
  </si>
  <si>
    <t>Bemer, Githa</t>
  </si>
  <si>
    <t>Visserstuin</t>
  </si>
  <si>
    <t>3319 LL</t>
  </si>
  <si>
    <t>06-11342336</t>
  </si>
  <si>
    <t>078-8440601</t>
  </si>
  <si>
    <t>roelbemer@yahoo.com</t>
  </si>
  <si>
    <t>Bemer, Jarno</t>
  </si>
  <si>
    <t>06-11483820</t>
  </si>
  <si>
    <t>Bemer, Tygo</t>
  </si>
  <si>
    <t>Bemer, Falco</t>
  </si>
  <si>
    <t>Littooij, Feline</t>
  </si>
  <si>
    <t>06-15368858</t>
  </si>
  <si>
    <t>lindakousemaker@hotmail.com</t>
  </si>
  <si>
    <t>Hendriks, Tom</t>
  </si>
  <si>
    <t>06-15882252</t>
  </si>
  <si>
    <t>078-6513731</t>
  </si>
  <si>
    <t>tom.a.hendriks@gmail.com</t>
  </si>
  <si>
    <t>Camphens, Tijn</t>
  </si>
  <si>
    <t>3319 LN</t>
  </si>
  <si>
    <t>06-53969936</t>
  </si>
  <si>
    <t>078-6141099</t>
  </si>
  <si>
    <t>basbarc@gmail.com</t>
  </si>
  <si>
    <t>Camphens, Saar</t>
  </si>
  <si>
    <t>Rijkers, Ilse</t>
  </si>
  <si>
    <t>Molendijkhof</t>
  </si>
  <si>
    <t>3319 LP</t>
  </si>
  <si>
    <t>06-30951785</t>
  </si>
  <si>
    <t>078-6134590</t>
  </si>
  <si>
    <t>ilse.rijkers@kpnmail.nl</t>
  </si>
  <si>
    <t>Rutten, Maarten</t>
  </si>
  <si>
    <t>Koningstraat</t>
  </si>
  <si>
    <t>3319 PH</t>
  </si>
  <si>
    <t>06-48619713</t>
  </si>
  <si>
    <t>astrid.rutten@xs4all.nl</t>
  </si>
  <si>
    <t>Kleingeld, Jasper</t>
  </si>
  <si>
    <t>Couperusstraat</t>
  </si>
  <si>
    <t>3319 RC</t>
  </si>
  <si>
    <t>jasperkleingeld@hotmail.com</t>
  </si>
  <si>
    <t>Kleingeld, Julia</t>
  </si>
  <si>
    <t>06-33656998</t>
  </si>
  <si>
    <t>liesbeth.kleingeld@gmail.com</t>
  </si>
  <si>
    <t>Kleingeld, Evi</t>
  </si>
  <si>
    <t>Kleingeld, Sofie</t>
  </si>
  <si>
    <t>Rasul, Bahar</t>
  </si>
  <si>
    <t>Stadhouderstraat</t>
  </si>
  <si>
    <t>3319 RM</t>
  </si>
  <si>
    <t>06-48229563</t>
  </si>
  <si>
    <t>samer-2999@hotmail.com</t>
  </si>
  <si>
    <t>Heersping, Dani</t>
  </si>
  <si>
    <t>Van Schendelstraat</t>
  </si>
  <si>
    <t>3319 RN</t>
  </si>
  <si>
    <t>06-18207181</t>
  </si>
  <si>
    <t>berend.chantal@gmail.com</t>
  </si>
  <si>
    <t>Heersping, Sander</t>
  </si>
  <si>
    <t>Kamerman, ZoÃ«</t>
  </si>
  <si>
    <t>06-24612671</t>
  </si>
  <si>
    <t>kimberlynyc@hotmail.com</t>
  </si>
  <si>
    <t>Witman, Kimberley</t>
  </si>
  <si>
    <t>Lijsterbesstraat</t>
  </si>
  <si>
    <t>3319 VK</t>
  </si>
  <si>
    <t>06-41224848</t>
  </si>
  <si>
    <t>078-6318583</t>
  </si>
  <si>
    <t>fam.witman@hotmail.nl</t>
  </si>
  <si>
    <t>Vos, Thijs</t>
  </si>
  <si>
    <t>Groenhove</t>
  </si>
  <si>
    <t>3319 WD</t>
  </si>
  <si>
    <t>06-12678291</t>
  </si>
  <si>
    <t>slametvos@hotmail.com</t>
  </si>
  <si>
    <t>Boshoven, Davy</t>
  </si>
  <si>
    <t>Noordsigt</t>
  </si>
  <si>
    <t>3319 WE</t>
  </si>
  <si>
    <t>06-24260172</t>
  </si>
  <si>
    <t>078-6351806</t>
  </si>
  <si>
    <t>dboshoven@upcmail.nl</t>
  </si>
  <si>
    <t>Boshoven, Sara</t>
  </si>
  <si>
    <t>06-31794945</t>
  </si>
  <si>
    <t>Boshoven, Casper</t>
  </si>
  <si>
    <t>06-24247230</t>
  </si>
  <si>
    <t>aboshoven@upcmail.nl</t>
  </si>
  <si>
    <t>Seijner, FabiÃ«nne</t>
  </si>
  <si>
    <t>Vlietzicht</t>
  </si>
  <si>
    <t>3319 WJ</t>
  </si>
  <si>
    <t>06-48520771</t>
  </si>
  <si>
    <t>078-6182211</t>
  </si>
  <si>
    <t>s.seijner@kpnmail.nl</t>
  </si>
  <si>
    <t>Reijerkerk, Sterre</t>
  </si>
  <si>
    <t>Elzenlaan</t>
  </si>
  <si>
    <t>3319 XB</t>
  </si>
  <si>
    <t>06-11222956</t>
  </si>
  <si>
    <t>reijerkerk.muskee@gmail.com</t>
  </si>
  <si>
    <t>NFW13X3</t>
  </si>
  <si>
    <t>Jong, Rene 't</t>
  </si>
  <si>
    <t>Stratosfeerstraat</t>
  </si>
  <si>
    <t>3328 GP</t>
  </si>
  <si>
    <t>078-6179457</t>
  </si>
  <si>
    <t>fam.tjong@planet.nl</t>
  </si>
  <si>
    <t>Geneugelijk, Tess</t>
  </si>
  <si>
    <t>Andromeda-ring</t>
  </si>
  <si>
    <t>3328 HB</t>
  </si>
  <si>
    <t>06-47678946</t>
  </si>
  <si>
    <t>nadine.hageman@hotmail.com</t>
  </si>
  <si>
    <t>Geneugelijk, Luca</t>
  </si>
  <si>
    <t>nadine.hageman@gmail.com</t>
  </si>
  <si>
    <t>Temme, Judith</t>
  </si>
  <si>
    <t>Brittenburg</t>
  </si>
  <si>
    <t>3328 JD</t>
  </si>
  <si>
    <t>06-23781629</t>
  </si>
  <si>
    <t>078-6173013</t>
  </si>
  <si>
    <t>judithtemme13@gmail.com</t>
  </si>
  <si>
    <t>Wijgaart, Rick van de</t>
  </si>
  <si>
    <t>Laan van Braets</t>
  </si>
  <si>
    <t>3328 LK</t>
  </si>
  <si>
    <t>06-24727899</t>
  </si>
  <si>
    <t>rickvandewijgaart@live.nl</t>
  </si>
  <si>
    <t>Wiel, Danique van der</t>
  </si>
  <si>
    <t>06-44754105</t>
  </si>
  <si>
    <t>tinus_10@hotmail.com</t>
  </si>
  <si>
    <t>Wiel, Yara van der</t>
  </si>
  <si>
    <t>Verboom, Stella</t>
  </si>
  <si>
    <t>Lyra</t>
  </si>
  <si>
    <t>3328 NJ</t>
  </si>
  <si>
    <t>06-37356694</t>
  </si>
  <si>
    <t>078-6351413</t>
  </si>
  <si>
    <t>charlottebettenhaussen@hotmail.com</t>
  </si>
  <si>
    <t>Jacobs, Xavi</t>
  </si>
  <si>
    <t>Weegschaal</t>
  </si>
  <si>
    <t>3328 PB</t>
  </si>
  <si>
    <t>06-81142320</t>
  </si>
  <si>
    <t>078-6454604</t>
  </si>
  <si>
    <t>kimmy_ow@hotmail.com</t>
  </si>
  <si>
    <t>Grootenboer, Tess</t>
  </si>
  <si>
    <t>Waterman</t>
  </si>
  <si>
    <t>3328 RK</t>
  </si>
  <si>
    <t>06-12245319</t>
  </si>
  <si>
    <t>078-6171791</t>
  </si>
  <si>
    <t>famgrootenboer@upcmail.nl</t>
  </si>
  <si>
    <t>Muller, Joaz</t>
  </si>
  <si>
    <t>Abeelstraat</t>
  </si>
  <si>
    <t>3329 AG</t>
  </si>
  <si>
    <t>06-52007007</t>
  </si>
  <si>
    <t>arthyn1302@hotmail.com</t>
  </si>
  <si>
    <t>Muller, Lieve</t>
  </si>
  <si>
    <t>Vercouteren, Noortje</t>
  </si>
  <si>
    <t>Hovenlaan</t>
  </si>
  <si>
    <t>3329 BB</t>
  </si>
  <si>
    <t>06-14476590</t>
  </si>
  <si>
    <t>reca.vercouteren@gmail.com</t>
  </si>
  <si>
    <t>Naeije, Lisanne</t>
  </si>
  <si>
    <t>Romanovhof</t>
  </si>
  <si>
    <t>3329 BD</t>
  </si>
  <si>
    <t>06-29316373</t>
  </si>
  <si>
    <t>pnaeije@gmail.com</t>
  </si>
  <si>
    <t>Baars, Luuk</t>
  </si>
  <si>
    <t>Noordendijk</t>
  </si>
  <si>
    <t>3329 KG</t>
  </si>
  <si>
    <t>06-37348240</t>
  </si>
  <si>
    <t>078-6100272</t>
  </si>
  <si>
    <t>luukbaars2001@gmail.com</t>
  </si>
  <si>
    <t>Visser-Michelsen, Diana</t>
  </si>
  <si>
    <t>Da Costastraat</t>
  </si>
  <si>
    <t>3331 EC</t>
  </si>
  <si>
    <t>ZWIJNDRECHT</t>
  </si>
  <si>
    <t>06-31158548</t>
  </si>
  <si>
    <t>diana_visser@hotmail.com</t>
  </si>
  <si>
    <t>MorÃ©e, Jessica de</t>
  </si>
  <si>
    <t>Dotterbloemstraat</t>
  </si>
  <si>
    <t>3333 GP</t>
  </si>
  <si>
    <t>06-38256565</t>
  </si>
  <si>
    <t>078-6126929</t>
  </si>
  <si>
    <t>jessica.demoree@hotmail.com</t>
  </si>
  <si>
    <t>Felix, Jesper</t>
  </si>
  <si>
    <t>Alver</t>
  </si>
  <si>
    <t>3356 EM</t>
  </si>
  <si>
    <t>PAPENDRECHT</t>
  </si>
  <si>
    <t>06-18333382</t>
  </si>
  <si>
    <t>078-6318844</t>
  </si>
  <si>
    <t>jesper.felix@upcmail.nl</t>
  </si>
  <si>
    <t>Jong, CÃ©line de</t>
  </si>
  <si>
    <t>Johannes vd Madelaan</t>
  </si>
  <si>
    <t>3356 GJ</t>
  </si>
  <si>
    <t>06-42590598</t>
  </si>
  <si>
    <t>celine_de_jong2000@hotmail.com</t>
  </si>
  <si>
    <t>Hooijdonk, Otte van</t>
  </si>
  <si>
    <t>Voordijk</t>
  </si>
  <si>
    <t>4209 SE</t>
  </si>
  <si>
    <t>SCHELLUINEN</t>
  </si>
  <si>
    <t>06-29831875</t>
  </si>
  <si>
    <t>078-6144626</t>
  </si>
  <si>
    <t>otte.van.hooijdonk@gmail.com</t>
  </si>
  <si>
    <t>Matena, Anjanette</t>
  </si>
  <si>
    <t>Kerkstraat</t>
  </si>
  <si>
    <t>4281 LL</t>
  </si>
  <si>
    <t>ANDEL</t>
  </si>
  <si>
    <t>06-59412895</t>
  </si>
  <si>
    <t>matena003@kpnmail.nl</t>
  </si>
  <si>
    <t>Peuter, Freek de</t>
  </si>
  <si>
    <t>Burg H Blokstraat</t>
  </si>
  <si>
    <t>4286 CA</t>
  </si>
  <si>
    <t>ALMKERK</t>
  </si>
  <si>
    <t>06-30035126</t>
  </si>
  <si>
    <t>0183-402223</t>
  </si>
  <si>
    <t>freekpeuter@gmail.com</t>
  </si>
  <si>
    <t>Ardon, Esther</t>
  </si>
  <si>
    <t>Dasseburcht</t>
  </si>
  <si>
    <t>4874 JM</t>
  </si>
  <si>
    <t>ETTEN-LEUR</t>
  </si>
  <si>
    <t>06-37229038</t>
  </si>
  <si>
    <t>estherardon@hotmail.com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</si>
</sst>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 style="thin">
        <color theme="5" tint="0.79998168889431442"/>
      </right>
      <top style="medium">
        <color theme="5"/>
      </top>
      <bottom style="thin">
        <color theme="5" tint="0.79998168889431442"/>
      </bottom>
      <diagonal/>
    </border>
    <border>
      <left style="thin">
        <color theme="5" tint="0.79998168889431442"/>
      </left>
      <right style="thin">
        <color theme="5" tint="0.79998168889431442"/>
      </right>
      <top style="medium">
        <color theme="5"/>
      </top>
      <bottom style="thin">
        <color theme="5" tint="0.79998168889431442"/>
      </bottom>
      <diagonal/>
    </border>
    <border>
      <left style="thin">
        <color theme="5" tint="0.79998168889431442"/>
      </left>
      <right style="medium">
        <color theme="5"/>
      </right>
      <top style="medium">
        <color theme="5"/>
      </top>
      <bottom style="thin">
        <color theme="5" tint="0.79998168889431442"/>
      </bottom>
      <diagonal/>
    </border>
    <border>
      <left style="medium">
        <color theme="5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5" tint="0.79998168889431442"/>
      </left>
      <right style="medium">
        <color theme="5"/>
      </right>
      <top style="thin">
        <color theme="5" tint="0.79998168889431442"/>
      </top>
      <bottom style="thin">
        <color theme="5" tint="0.79998168889431442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9">
    <xf numFmtId="0" fontId="0" fillId="0" borderId="0" xfId="0"/>
    <xf numFmtId="14" fontId="0" fillId="0" borderId="0" xfId="0" applyNumberForma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0" xfId="0" applyFill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0" xfId="0" applyFill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1" fillId="4" borderId="13" xfId="0" applyFont="1" applyFill="1" applyBorder="1"/>
    <xf numFmtId="164" fontId="1" fillId="5" borderId="3" xfId="0" applyNumberFormat="1" applyFont="1" applyFill="1" applyBorder="1"/>
    <xf numFmtId="0" fontId="0" fillId="4" borderId="20" xfId="0" applyFill="1" applyBorder="1"/>
    <xf numFmtId="0" fontId="0" fillId="0" borderId="20" xfId="0" applyBorder="1"/>
    <xf numFmtId="14" fontId="0" fillId="4" borderId="20" xfId="0" applyNumberFormat="1" applyFill="1" applyBorder="1"/>
    <xf numFmtId="14" fontId="0" fillId="0" borderId="20" xfId="0" applyNumberFormat="1" applyBorder="1"/>
    <xf numFmtId="14" fontId="0" fillId="4" borderId="0" xfId="0" applyNumberFormat="1" applyFill="1"/>
    <xf numFmtId="0" fontId="3" fillId="0" borderId="0" xfId="1" quotePrefix="1"/>
    <xf numFmtId="0" fontId="0" fillId="7" borderId="0" xfId="0" applyFill="1"/>
    <xf numFmtId="0" fontId="4" fillId="0" borderId="1" xfId="0" applyFont="1" applyBorder="1"/>
    <xf numFmtId="1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14" fontId="5" fillId="0" borderId="1" xfId="0" applyNumberFormat="1" applyFont="1" applyBorder="1" applyAlignment="1">
      <alignment wrapText="1"/>
    </xf>
    <xf numFmtId="14" fontId="4" fillId="0" borderId="1" xfId="0" applyNumberFormat="1" applyFont="1" applyBorder="1" applyAlignment="1">
      <alignment horizontal="center"/>
    </xf>
    <xf numFmtId="14" fontId="4" fillId="0" borderId="0" xfId="0" applyNumberFormat="1" applyFont="1"/>
    <xf numFmtId="0" fontId="4" fillId="0" borderId="0" xfId="0" applyFont="1" applyAlignment="1">
      <alignment horizontal="center"/>
    </xf>
    <xf numFmtId="0" fontId="6" fillId="0" borderId="1" xfId="0" applyFont="1" applyBorder="1"/>
    <xf numFmtId="0" fontId="4" fillId="0" borderId="1" xfId="0" quotePrefix="1" applyFont="1" applyBorder="1" applyAlignment="1">
      <alignment horizontal="center"/>
    </xf>
    <xf numFmtId="0" fontId="4" fillId="0" borderId="21" xfId="0" applyFont="1" applyBorder="1"/>
    <xf numFmtId="0" fontId="4" fillId="0" borderId="22" xfId="0" applyFont="1" applyBorder="1"/>
    <xf numFmtId="0" fontId="4" fillId="0" borderId="22" xfId="0" applyFont="1" applyBorder="1" applyAlignment="1">
      <alignment horizontal="center" wrapText="1"/>
    </xf>
    <xf numFmtId="14" fontId="4" fillId="0" borderId="22" xfId="0" applyNumberFormat="1" applyFont="1" applyBorder="1"/>
    <xf numFmtId="0" fontId="4" fillId="0" borderId="23" xfId="0" applyFont="1" applyBorder="1" applyAlignment="1">
      <alignment wrapText="1"/>
    </xf>
    <xf numFmtId="0" fontId="4" fillId="0" borderId="24" xfId="0" applyFont="1" applyBorder="1"/>
    <xf numFmtId="0" fontId="4" fillId="0" borderId="25" xfId="0" applyFont="1" applyBorder="1"/>
    <xf numFmtId="0" fontId="4" fillId="0" borderId="25" xfId="0" applyFont="1" applyBorder="1" applyAlignment="1">
      <alignment horizontal="center"/>
    </xf>
    <xf numFmtId="14" fontId="4" fillId="0" borderId="24" xfId="0" applyNumberFormat="1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7" xfId="0" applyFont="1" applyBorder="1" applyAlignment="1">
      <alignment horizontal="center"/>
    </xf>
    <xf numFmtId="14" fontId="4" fillId="0" borderId="27" xfId="0" applyNumberFormat="1" applyFont="1" applyBorder="1"/>
    <xf numFmtId="0" fontId="4" fillId="0" borderId="28" xfId="0" applyFont="1" applyBorder="1"/>
    <xf numFmtId="0" fontId="4" fillId="0" borderId="23" xfId="0" applyFont="1" applyBorder="1" applyAlignment="1">
      <alignment horizontal="center" wrapText="1"/>
    </xf>
    <xf numFmtId="0" fontId="4" fillId="0" borderId="28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8" borderId="0" xfId="0" applyFill="1"/>
    <xf numFmtId="0" fontId="2" fillId="6" borderId="16" xfId="0" applyFont="1" applyFill="1" applyBorder="1" applyAlignment="1">
      <alignment horizontal="center" vertical="center" textRotation="90"/>
    </xf>
  </cellXfs>
  <cellStyles count="2">
    <cellStyle name="Hyperlink" xfId="1" builtinId="8"/>
    <cellStyle name="Standaard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E9BBE-C725-4F1C-BD01-A039350FEC28}" name="Tabel1" displayName="Tabel1" ref="A1:H196" totalsRowShown="0" headerRowDxfId="25" dataDxfId="24" headerRowBorderDxfId="22" tableBorderDxfId="23" totalsRowBorderDxfId="21">
  <autoFilter ref="A1:H196" xr:uid="{AE6E9BBE-C725-4F1C-BD01-A039350FEC28}"/>
  <tableColumns count="8">
    <tableColumn id="1" xr3:uid="{DAD90888-E12D-4FE7-96A0-7F4BFF04D99D}" name="Rel.nr" dataDxfId="20"/>
    <tableColumn id="2" xr3:uid="{D9B86D9B-3872-43E4-B56E-B6D22C092B3D}" name="Naam &amp; Initialen)" dataDxfId="19"/>
    <tableColumn id="3" xr3:uid="{CFC207A0-0670-4B58-A13D-75317CFE7CA0}" name="Roepnaam" dataDxfId="18"/>
    <tableColumn id="4" xr3:uid="{4B4FD741-0429-4F2D-B9C5-42EED222BB21}" name="Leeftijd Peildatum" dataDxfId="17"/>
    <tableColumn id="5" xr3:uid="{671D7D19-9841-4CCC-9AE4-344DB8604D3E}" name="Geb datum" dataDxfId="16"/>
    <tableColumn id="6" xr3:uid="{6D5D68BF-CD98-4A54-AB00-D70A65528EAB}" name="Team op Peildatum" dataDxfId="15"/>
    <tableColumn id="7" xr3:uid="{08FA66E4-6DA5-4CB2-8E6E-0FD40911EDEA}" name="Team       20-21" dataDxfId="14"/>
    <tableColumn id="8" xr3:uid="{4059E91F-D872-4761-905F-839B29A8AAD5}" name="AR" dataDxfId="1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46C684-F586-4B64-BE6C-6ADE40A70A37}" name="Tabel3" displayName="Tabel3" ref="J1:Q160" totalsRowShown="0" headerRowDxfId="12" dataDxfId="11" headerRowBorderDxfId="9" tableBorderDxfId="10" totalsRowBorderDxfId="8">
  <autoFilter ref="J1:Q160" xr:uid="{4B46C684-F586-4B64-BE6C-6ADE40A70A37}"/>
  <tableColumns count="8">
    <tableColumn id="1" xr3:uid="{39F9CA59-15DF-4038-A3D0-F30CE46BB845}" name="Rel.nr" dataDxfId="7"/>
    <tableColumn id="2" xr3:uid="{E4A71CD9-07CE-46AC-9546-D216D4E285ED}" name="Naam &amp; Initialen" dataDxfId="6"/>
    <tableColumn id="3" xr3:uid="{B1BB36A2-7C76-49C9-8DEB-279B073BDB6C}" name="Roepnaam" dataDxfId="5"/>
    <tableColumn id="4" xr3:uid="{CE56645C-EDBF-4F56-90C1-7F5123429BDC}" name="Leeftijd Peildatum" dataDxfId="4"/>
    <tableColumn id="5" xr3:uid="{6BE2106D-00C6-41F4-A7DA-6E00DA33CA3D}" name="Geb datum" dataDxfId="3"/>
    <tableColumn id="6" xr3:uid="{92951544-1477-4890-995E-AAB450B80516}" name="Team op Peildatum" dataDxfId="2"/>
    <tableColumn id="7" xr3:uid="{B275FF8B-3F2F-4977-A3EC-117059BE15C7}" name="Team       20-21" dataDxfId="1"/>
    <tableColumn id="8" xr3:uid="{6A33BB6B-B238-4E49-9ADF-87306C92EF3E}" name="AR" dataDxfId="0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69AF53-1EE6-4B39-9B64-3F02F0D774AB}" name="Tabel2" displayName="Tabel2" ref="A1:D96" totalsRowShown="0">
  <autoFilter ref="A1:D96" xr:uid="{E269AF53-1EE6-4B39-9B64-3F02F0D774AB}"/>
  <sortState xmlns:xlrd2="http://schemas.microsoft.com/office/spreadsheetml/2017/richdata2" ref="A2:D96">
    <sortCondition ref="B1:B96"/>
  </sortState>
  <tableColumns count="4">
    <tableColumn id="1" xr3:uid="{F4E38EE9-E2FC-4DCA-B87D-D17E9FD692D4}" name="Naam"/>
    <tableColumn id="2" xr3:uid="{E0C059FB-2261-46E4-8C50-90A4F5ABD7DD}" name="Team"/>
    <tableColumn id="3" xr3:uid="{67CE2758-1409-40A2-8A95-2CBB5A36DB73}" name="Functie"/>
    <tableColumn id="4" xr3:uid="{64EA5507-E898-44C2-B83B-BFCAFEEFA8A6}" name="eigen team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8073-5F9E-4B29-B2F6-04C6098E941D}">
  <sheetPr>
    <tabColor theme="9"/>
  </sheetPr>
  <dimension ref="A1:BD134"/>
  <sheetViews>
    <sheetView topLeftCell="A92" zoomScale="85" zoomScaleNormal="85" workbookViewId="0">
      <selection activeCell="A70" sqref="A70:A82"/>
    </sheetView>
  </sheetViews>
  <sheetFormatPr defaultRowHeight="15"/>
  <cols>
    <col min="1" max="1" width="4.7109375" customWidth="1"/>
    <col min="2" max="2" width="24.7109375" customWidth="1"/>
    <col min="3" max="3" width="7.42578125" bestFit="1" customWidth="1"/>
    <col min="4" max="4" width="4.7109375" customWidth="1"/>
    <col min="5" max="5" width="24.7109375" customWidth="1"/>
    <col min="6" max="6" width="6.7109375" bestFit="1" customWidth="1"/>
    <col min="7" max="7" width="4.7109375" customWidth="1"/>
    <col min="8" max="8" width="3.5703125" customWidth="1"/>
    <col min="9" max="9" width="24.7109375" customWidth="1"/>
    <col min="10" max="10" width="12.140625" customWidth="1"/>
    <col min="11" max="11" width="4.7109375" customWidth="1"/>
    <col min="12" max="12" width="24.7109375" customWidth="1"/>
    <col min="13" max="13" width="7.42578125" bestFit="1" customWidth="1"/>
    <col min="14" max="14" width="4.7109375" customWidth="1"/>
    <col min="15" max="15" width="3.42578125" customWidth="1"/>
    <col min="16" max="16" width="24.7109375" customWidth="1"/>
    <col min="18" max="18" width="4.7109375" customWidth="1"/>
    <col min="19" max="19" width="24.7109375" customWidth="1"/>
    <col min="21" max="21" width="4.7109375" customWidth="1"/>
    <col min="22" max="22" width="3.5703125" customWidth="1"/>
    <col min="23" max="23" width="24.7109375" customWidth="1"/>
    <col min="25" max="25" width="4.7109375" customWidth="1"/>
    <col min="26" max="26" width="24.7109375" customWidth="1"/>
    <col min="28" max="28" width="4.7109375" customWidth="1"/>
    <col min="29" max="29" width="3.85546875" customWidth="1"/>
    <col min="30" max="30" width="24.7109375" customWidth="1"/>
    <col min="32" max="32" width="4.7109375" customWidth="1"/>
    <col min="33" max="33" width="24.7109375" customWidth="1"/>
    <col min="35" max="35" width="5.28515625" customWidth="1"/>
    <col min="36" max="36" width="3.85546875" customWidth="1"/>
    <col min="37" max="37" width="24.7109375" customWidth="1"/>
    <col min="39" max="39" width="4.7109375" customWidth="1"/>
    <col min="40" max="40" width="24.7109375" customWidth="1"/>
    <col min="42" max="42" width="4.7109375" customWidth="1"/>
    <col min="44" max="44" width="24.7109375" customWidth="1"/>
    <col min="46" max="46" width="4.7109375" customWidth="1"/>
    <col min="47" max="47" width="24.7109375" customWidth="1"/>
    <col min="49" max="49" width="4.7109375" customWidth="1"/>
    <col min="51" max="51" width="24.7109375" customWidth="1"/>
    <col min="53" max="53" width="4.7109375" customWidth="1"/>
    <col min="54" max="54" width="24.7109375" customWidth="1"/>
    <col min="56" max="56" width="4.7109375" customWidth="1"/>
  </cols>
  <sheetData>
    <row r="1" spans="1:21" ht="15.75" thickBot="1"/>
    <row r="2" spans="1:21" ht="15.75" customHeight="1" thickBot="1">
      <c r="A2" s="58" t="s">
        <v>0</v>
      </c>
      <c r="B2" s="21" t="s">
        <v>1</v>
      </c>
      <c r="C2" s="21"/>
      <c r="D2" s="21"/>
      <c r="E2" s="21"/>
      <c r="F2" s="21"/>
      <c r="G2" s="22" t="e">
        <f>AVERAGE(D4:D22,G4:G22)</f>
        <v>#DIV/0!</v>
      </c>
      <c r="I2" s="21" t="s">
        <v>2</v>
      </c>
      <c r="J2" s="21"/>
      <c r="K2" s="21"/>
      <c r="L2" s="21"/>
      <c r="M2" s="21"/>
      <c r="N2" s="22" t="e">
        <f>AVERAGE(K4:K22,N4:N22)</f>
        <v>#DIV/0!</v>
      </c>
      <c r="P2" s="21" t="s">
        <v>3</v>
      </c>
      <c r="Q2" s="21"/>
      <c r="R2" s="21"/>
      <c r="S2" s="21"/>
      <c r="T2" s="21"/>
      <c r="U2" s="22" t="e">
        <f>AVERAGE(R4:R22,U4:U22)</f>
        <v>#DIV/0!</v>
      </c>
    </row>
    <row r="3" spans="1:21" ht="15.75" thickBot="1">
      <c r="A3" s="58"/>
      <c r="B3" s="8" t="str">
        <f>CONCATENATE("Dames (",COUNTA(C4:C19),")")</f>
        <v>Dames (1)</v>
      </c>
      <c r="C3" s="9"/>
      <c r="D3" s="10"/>
      <c r="E3" s="8" t="str">
        <f>CONCATENATE("Heren (",COUNTA(F4:F19),")")</f>
        <v>Heren (1)</v>
      </c>
      <c r="F3" s="9"/>
      <c r="G3" s="10"/>
      <c r="I3" s="8" t="str">
        <f>CONCATENATE("Dames (",COUNTA(J4:J19),")")</f>
        <v>Dames (1)</v>
      </c>
      <c r="J3" s="9"/>
      <c r="K3" s="10"/>
      <c r="L3" s="8" t="str">
        <f>CONCATENATE("Heren (",COUNTA(M4:M19),")")</f>
        <v>Heren (1)</v>
      </c>
      <c r="M3" s="9"/>
      <c r="N3" s="10"/>
      <c r="P3" s="8" t="str">
        <f>CONCATENATE("Dames (",COUNTA(Q4:Q19),")")</f>
        <v>Dames (1)</v>
      </c>
      <c r="Q3" s="9"/>
      <c r="R3" s="10"/>
      <c r="S3" s="8" t="str">
        <f>CONCATENATE("Heren (",COUNTA(T4:T19),")")</f>
        <v>Heren (1)</v>
      </c>
      <c r="T3" s="9"/>
      <c r="U3" s="10"/>
    </row>
    <row r="4" spans="1:21">
      <c r="A4" s="58"/>
      <c r="B4" s="3" t="str" cm="1">
        <f t="array" ref="B4">_xlfn._xlws.FILTER(Spelerslijst!$B:$B,Spelerslijst!$G:$G=B$2,"")</f>
        <v/>
      </c>
      <c r="C4" s="4" t="str" cm="1">
        <f t="array" ref="C4">_xlfn._xlws.FILTER(Spelerslijst!$C:$C,Spelerslijst!$G:$G=B$2,"")</f>
        <v/>
      </c>
      <c r="D4" s="5" t="str" cm="1">
        <f t="array" ref="D4">_xlfn._xlws.FILTER(Spelerslijst!$D:$D,Spelerslijst!$G:$G=B$2,"")</f>
        <v/>
      </c>
      <c r="E4" s="3" t="str" cm="1">
        <f t="array" ref="E4">_xlfn._xlws.FILTER(Spelerslijst!$K:$K,Spelerslijst!$P:$P=B$2,"")</f>
        <v/>
      </c>
      <c r="F4" s="4" t="str" cm="1">
        <f t="array" ref="F4">_xlfn._xlws.FILTER(Spelerslijst!$L:$L,Spelerslijst!$P:$P=B$2,"")</f>
        <v/>
      </c>
      <c r="G4" s="5" t="str" cm="1">
        <f t="array" ref="G4">_xlfn._xlws.FILTER(Spelerslijst!$M:$M,Spelerslijst!$P:$P=B$2,"")</f>
        <v/>
      </c>
      <c r="I4" s="3" t="str" cm="1">
        <f t="array" ref="I4">_xlfn._xlws.FILTER(Spelerslijst!$B:$B,Spelerslijst!$G:$G=I$2,"")</f>
        <v/>
      </c>
      <c r="J4" s="4" t="str" cm="1">
        <f t="array" ref="J4">_xlfn._xlws.FILTER(Spelerslijst!$C:$C,Spelerslijst!$G:$G=I$2,"")</f>
        <v/>
      </c>
      <c r="K4" s="5" t="str" cm="1">
        <f t="array" ref="K4">_xlfn._xlws.FILTER(Spelerslijst!$D:$D,Spelerslijst!$G:$G=I$2,"")</f>
        <v/>
      </c>
      <c r="L4" s="3" t="str" cm="1">
        <f t="array" ref="L4">_xlfn._xlws.FILTER(Spelerslijst!$K:$K,Spelerslijst!$P:$P=I$2,"")</f>
        <v/>
      </c>
      <c r="M4" s="4" t="str" cm="1">
        <f t="array" ref="M4">_xlfn._xlws.FILTER(Spelerslijst!$L:$L,Spelerslijst!$P:$P=I$2,"")</f>
        <v/>
      </c>
      <c r="N4" s="5" t="str" cm="1">
        <f t="array" ref="N4">_xlfn._xlws.FILTER(Spelerslijst!$M:$M,Spelerslijst!$P:$P=I$2,"")</f>
        <v/>
      </c>
      <c r="P4" s="3" t="str" cm="1">
        <f t="array" ref="P4">_xlfn._xlws.FILTER(Spelerslijst!$B:$B,Spelerslijst!$G:$G=P$2,"")</f>
        <v/>
      </c>
      <c r="Q4" s="4" t="str" cm="1">
        <f t="array" ref="Q4">_xlfn._xlws.FILTER(Spelerslijst!$C:$C,Spelerslijst!$G:$G=P$2,"")</f>
        <v/>
      </c>
      <c r="R4" s="5" t="str" cm="1">
        <f t="array" ref="R4">_xlfn._xlws.FILTER(Spelerslijst!$D:$D,Spelerslijst!$G:$G=P$2,"")</f>
        <v/>
      </c>
      <c r="S4" s="3" t="str" cm="1">
        <f t="array" ref="S4">_xlfn._xlws.FILTER(Spelerslijst!$K:$K,Spelerslijst!$P:$P=P$2,"")</f>
        <v/>
      </c>
      <c r="T4" s="4" t="str" cm="1">
        <f t="array" ref="T4">_xlfn._xlws.FILTER(Spelerslijst!$L:$L,Spelerslijst!$P:$P=P$2,"")</f>
        <v/>
      </c>
      <c r="U4" s="5" t="str" cm="1">
        <f t="array" ref="U4">_xlfn._xlws.FILTER(Spelerslijst!$M:$M,Spelerslijst!$P:$P=P$2,"")</f>
        <v/>
      </c>
    </row>
    <row r="5" spans="1:21">
      <c r="A5" s="58"/>
      <c r="B5" s="6"/>
      <c r="C5" s="2"/>
      <c r="D5" s="7"/>
      <c r="E5" s="6"/>
      <c r="F5" s="2"/>
      <c r="G5" s="7"/>
      <c r="I5" s="6"/>
      <c r="J5" s="2"/>
      <c r="K5" s="7"/>
      <c r="L5" s="6"/>
      <c r="M5" s="2"/>
      <c r="N5" s="7"/>
      <c r="P5" s="6"/>
      <c r="Q5" s="2"/>
      <c r="R5" s="7"/>
      <c r="S5" s="6"/>
      <c r="T5" s="2"/>
      <c r="U5" s="7"/>
    </row>
    <row r="6" spans="1:21">
      <c r="A6" s="58"/>
      <c r="B6" s="6"/>
      <c r="C6" s="2"/>
      <c r="D6" s="7"/>
      <c r="E6" s="6"/>
      <c r="F6" s="2"/>
      <c r="G6" s="7"/>
      <c r="I6" s="6"/>
      <c r="J6" s="2"/>
      <c r="K6" s="7"/>
      <c r="L6" s="6"/>
      <c r="M6" s="2"/>
      <c r="N6" s="7"/>
      <c r="P6" s="6"/>
      <c r="Q6" s="2"/>
      <c r="R6" s="7"/>
      <c r="S6" s="6"/>
      <c r="T6" s="2"/>
      <c r="U6" s="7"/>
    </row>
    <row r="7" spans="1:21">
      <c r="A7" s="58"/>
      <c r="B7" s="6"/>
      <c r="C7" s="2"/>
      <c r="D7" s="7"/>
      <c r="E7" s="6"/>
      <c r="F7" s="2"/>
      <c r="G7" s="7"/>
      <c r="I7" s="6"/>
      <c r="J7" s="2"/>
      <c r="K7" s="7"/>
      <c r="L7" s="6"/>
      <c r="M7" s="2"/>
      <c r="N7" s="7"/>
      <c r="P7" s="6"/>
      <c r="Q7" s="2"/>
      <c r="R7" s="7"/>
      <c r="S7" s="6"/>
      <c r="T7" s="2"/>
      <c r="U7" s="7"/>
    </row>
    <row r="8" spans="1:21">
      <c r="A8" s="58"/>
      <c r="B8" s="6"/>
      <c r="C8" s="2"/>
      <c r="D8" s="7"/>
      <c r="E8" s="6"/>
      <c r="F8" s="2"/>
      <c r="G8" s="7"/>
      <c r="I8" s="6"/>
      <c r="J8" s="2"/>
      <c r="K8" s="7"/>
      <c r="L8" s="6"/>
      <c r="M8" s="2"/>
      <c r="N8" s="7"/>
      <c r="P8" s="6"/>
      <c r="Q8" s="2"/>
      <c r="R8" s="7"/>
      <c r="S8" s="6"/>
      <c r="T8" s="2"/>
      <c r="U8" s="7"/>
    </row>
    <row r="9" spans="1:21">
      <c r="A9" s="58"/>
      <c r="B9" s="6"/>
      <c r="C9" s="2"/>
      <c r="D9" s="7"/>
      <c r="E9" s="6"/>
      <c r="F9" s="2"/>
      <c r="G9" s="7"/>
      <c r="I9" s="6"/>
      <c r="J9" s="2"/>
      <c r="K9" s="7"/>
      <c r="L9" s="6"/>
      <c r="M9" s="2"/>
      <c r="N9" s="7"/>
      <c r="P9" s="6"/>
      <c r="Q9" s="2"/>
      <c r="R9" s="7"/>
      <c r="S9" s="6"/>
      <c r="T9" s="2"/>
      <c r="U9" s="7"/>
    </row>
    <row r="10" spans="1:21">
      <c r="A10" s="58"/>
      <c r="B10" s="6"/>
      <c r="C10" s="2"/>
      <c r="D10" s="7"/>
      <c r="E10" s="6"/>
      <c r="F10" s="2"/>
      <c r="G10" s="7"/>
      <c r="I10" s="6"/>
      <c r="J10" s="2"/>
      <c r="K10" s="7"/>
      <c r="L10" s="6"/>
      <c r="M10" s="2"/>
      <c r="N10" s="7"/>
      <c r="P10" s="6"/>
      <c r="Q10" s="2"/>
      <c r="R10" s="7"/>
      <c r="S10" s="6"/>
      <c r="T10" s="2"/>
      <c r="U10" s="7"/>
    </row>
    <row r="11" spans="1:21">
      <c r="A11" s="58"/>
      <c r="B11" s="6"/>
      <c r="C11" s="2"/>
      <c r="D11" s="7"/>
      <c r="E11" s="6"/>
      <c r="F11" s="2"/>
      <c r="G11" s="7"/>
      <c r="I11" s="6"/>
      <c r="J11" s="2"/>
      <c r="K11" s="7"/>
      <c r="L11" s="6"/>
      <c r="M11" s="2"/>
      <c r="N11" s="7"/>
      <c r="P11" s="6"/>
      <c r="Q11" s="2"/>
      <c r="R11" s="7"/>
      <c r="S11" s="6"/>
      <c r="T11" s="2"/>
      <c r="U11" s="7"/>
    </row>
    <row r="12" spans="1:21">
      <c r="A12" s="58"/>
      <c r="B12" s="6"/>
      <c r="C12" s="2"/>
      <c r="D12" s="7"/>
      <c r="E12" s="6"/>
      <c r="F12" s="2"/>
      <c r="G12" s="7"/>
      <c r="I12" s="6"/>
      <c r="J12" s="2"/>
      <c r="K12" s="7"/>
      <c r="L12" s="6"/>
      <c r="M12" s="2"/>
      <c r="N12" s="7"/>
      <c r="P12" s="6"/>
      <c r="Q12" s="2"/>
      <c r="R12" s="7"/>
      <c r="S12" s="6"/>
      <c r="T12" s="2"/>
      <c r="U12" s="7"/>
    </row>
    <row r="13" spans="1:21">
      <c r="A13" s="58"/>
      <c r="B13" s="6"/>
      <c r="C13" s="2"/>
      <c r="D13" s="7"/>
      <c r="E13" s="6"/>
      <c r="F13" s="2"/>
      <c r="G13" s="7"/>
      <c r="I13" s="6"/>
      <c r="J13" s="2"/>
      <c r="K13" s="7"/>
      <c r="L13" s="6"/>
      <c r="M13" s="2"/>
      <c r="N13" s="7"/>
      <c r="P13" s="6"/>
      <c r="Q13" s="2"/>
      <c r="R13" s="7"/>
      <c r="S13" s="6"/>
      <c r="T13" s="2"/>
      <c r="U13" s="7"/>
    </row>
    <row r="14" spans="1:21">
      <c r="A14" s="58"/>
      <c r="B14" s="6"/>
      <c r="C14" s="2"/>
      <c r="D14" s="7"/>
      <c r="E14" s="6"/>
      <c r="F14" s="2"/>
      <c r="G14" s="7"/>
      <c r="I14" s="6"/>
      <c r="J14" s="2"/>
      <c r="K14" s="7"/>
      <c r="L14" s="6"/>
      <c r="M14" s="2"/>
      <c r="N14" s="7"/>
      <c r="P14" s="6"/>
      <c r="Q14" s="2"/>
      <c r="R14" s="7"/>
      <c r="S14" s="6"/>
      <c r="T14" s="2"/>
      <c r="U14" s="7"/>
    </row>
    <row r="15" spans="1:21">
      <c r="A15" s="58"/>
      <c r="B15" s="6"/>
      <c r="C15" s="2"/>
      <c r="D15" s="7"/>
      <c r="E15" s="6"/>
      <c r="F15" s="2"/>
      <c r="G15" s="7"/>
      <c r="I15" s="6"/>
      <c r="J15" s="2"/>
      <c r="K15" s="7"/>
      <c r="L15" s="6"/>
      <c r="M15" s="2"/>
      <c r="N15" s="7"/>
      <c r="P15" s="6"/>
      <c r="Q15" s="2"/>
      <c r="R15" s="7"/>
      <c r="S15" s="6"/>
      <c r="T15" s="2"/>
      <c r="U15" s="7"/>
    </row>
    <row r="16" spans="1:21">
      <c r="A16" s="58"/>
      <c r="B16" s="6"/>
      <c r="C16" s="2"/>
      <c r="D16" s="7"/>
      <c r="E16" s="6"/>
      <c r="F16" s="2"/>
      <c r="G16" s="7"/>
      <c r="I16" s="6"/>
      <c r="J16" s="2"/>
      <c r="K16" s="7"/>
      <c r="L16" s="6"/>
      <c r="M16" s="2"/>
      <c r="N16" s="7"/>
      <c r="P16" s="6"/>
      <c r="Q16" s="2"/>
      <c r="R16" s="7"/>
      <c r="S16" s="6"/>
      <c r="T16" s="2"/>
      <c r="U16" s="7"/>
    </row>
    <row r="17" spans="1:56">
      <c r="A17" s="58"/>
      <c r="B17" s="6"/>
      <c r="C17" s="2"/>
      <c r="D17" s="7"/>
      <c r="E17" s="6"/>
      <c r="F17" s="2"/>
      <c r="G17" s="7"/>
      <c r="I17" s="6"/>
      <c r="J17" s="2"/>
      <c r="K17" s="7"/>
      <c r="L17" s="6"/>
      <c r="M17" s="2"/>
      <c r="N17" s="7"/>
      <c r="P17" s="6"/>
      <c r="Q17" s="2"/>
      <c r="R17" s="7"/>
      <c r="S17" s="6"/>
      <c r="T17" s="2"/>
      <c r="U17" s="7"/>
    </row>
    <row r="18" spans="1:56">
      <c r="A18" s="58"/>
      <c r="B18" s="6"/>
      <c r="C18" s="2"/>
      <c r="D18" s="7"/>
      <c r="E18" s="6"/>
      <c r="F18" s="2"/>
      <c r="G18" s="7"/>
      <c r="I18" s="6"/>
      <c r="J18" s="2"/>
      <c r="K18" s="7"/>
      <c r="L18" s="6"/>
      <c r="M18" s="2"/>
      <c r="N18" s="7"/>
      <c r="P18" s="6"/>
      <c r="Q18" s="2"/>
      <c r="R18" s="7"/>
      <c r="S18" s="6"/>
      <c r="T18" s="2"/>
      <c r="U18" s="7"/>
    </row>
    <row r="19" spans="1:56" ht="15.75" thickBot="1">
      <c r="A19" s="58"/>
      <c r="B19" s="6"/>
      <c r="C19" s="2"/>
      <c r="D19" s="7"/>
      <c r="E19" s="6"/>
      <c r="F19" s="2"/>
      <c r="G19" s="7"/>
      <c r="I19" s="6"/>
      <c r="J19" s="2"/>
      <c r="K19" s="7"/>
      <c r="L19" s="6"/>
      <c r="M19" s="2"/>
      <c r="N19" s="7"/>
      <c r="P19" s="6"/>
      <c r="Q19" s="2"/>
      <c r="R19" s="7"/>
      <c r="S19" s="6"/>
      <c r="T19" s="2"/>
      <c r="U19" s="7"/>
    </row>
    <row r="20" spans="1:56">
      <c r="A20" s="58"/>
      <c r="B20" s="12" t="str" cm="1">
        <f t="array" ref="B20">_xlfn._xlws.FILTER(Staf!$C:$C,Staf!$B:$B=Teams!B2,"")</f>
        <v/>
      </c>
      <c r="C20" s="13" t="str" cm="1">
        <f t="array" ref="C20">_xlfn._xlws.FILTER(Staf!$A:$A,Staf!$B:$B=Teams!B2,"")</f>
        <v/>
      </c>
      <c r="D20" s="13"/>
      <c r="E20" s="13"/>
      <c r="F20" s="13"/>
      <c r="G20" s="14"/>
      <c r="I20" s="12" t="str" cm="1">
        <f t="array" ref="I20">_xlfn._xlws.FILTER(Staf!$C:$C,Staf!$B:$B=Teams!I2,"")</f>
        <v/>
      </c>
      <c r="J20" s="13" t="str" cm="1">
        <f t="array" ref="J20">_xlfn._xlws.FILTER(Staf!$A:$A,Staf!$B:$B=Teams!I2,"")</f>
        <v/>
      </c>
      <c r="K20" s="13"/>
      <c r="L20" s="13"/>
      <c r="M20" s="13"/>
      <c r="N20" s="14"/>
      <c r="P20" s="12" t="str" cm="1">
        <f t="array" ref="P20">_xlfn._xlws.FILTER(Staf!$C:$C,Staf!$B:$B=Teams!P2,"")</f>
        <v/>
      </c>
      <c r="Q20" s="13" t="str" cm="1">
        <f t="array" ref="Q20">_xlfn._xlws.FILTER(Staf!$A:$A,Staf!$B:$B=Teams!P2,"")</f>
        <v/>
      </c>
      <c r="R20" s="13"/>
      <c r="S20" s="13"/>
      <c r="T20" s="13"/>
      <c r="U20" s="14"/>
    </row>
    <row r="21" spans="1:56">
      <c r="A21" s="58"/>
      <c r="B21" s="15"/>
      <c r="C21" s="16"/>
      <c r="D21" s="16"/>
      <c r="E21" s="16"/>
      <c r="F21" s="16"/>
      <c r="G21" s="17"/>
      <c r="I21" s="15"/>
      <c r="J21" s="16"/>
      <c r="K21" s="16"/>
      <c r="L21" s="16"/>
      <c r="M21" s="16"/>
      <c r="N21" s="17"/>
      <c r="P21" s="15"/>
      <c r="Q21" s="16"/>
      <c r="R21" s="16"/>
      <c r="S21" s="16"/>
      <c r="T21" s="16"/>
      <c r="U21" s="17"/>
    </row>
    <row r="22" spans="1:56">
      <c r="A22" s="58"/>
      <c r="B22" s="15"/>
      <c r="C22" s="16"/>
      <c r="D22" s="16"/>
      <c r="E22" s="16"/>
      <c r="F22" s="16"/>
      <c r="G22" s="17"/>
      <c r="I22" s="15"/>
      <c r="J22" s="16"/>
      <c r="K22" s="16"/>
      <c r="L22" s="16"/>
      <c r="M22" s="16"/>
      <c r="N22" s="17"/>
      <c r="P22" s="15"/>
      <c r="Q22" s="16"/>
      <c r="R22" s="16"/>
      <c r="S22" s="16"/>
      <c r="T22" s="16"/>
      <c r="U22" s="17"/>
    </row>
    <row r="23" spans="1:56">
      <c r="A23" s="58"/>
      <c r="B23" s="15"/>
      <c r="C23" s="16"/>
      <c r="D23" s="16"/>
      <c r="E23" s="16"/>
      <c r="F23" s="16"/>
      <c r="G23" s="17"/>
      <c r="I23" s="15"/>
      <c r="J23" s="16"/>
      <c r="K23" s="16"/>
      <c r="L23" s="16"/>
      <c r="M23" s="16"/>
      <c r="N23" s="17"/>
      <c r="P23" s="15"/>
      <c r="Q23" s="16"/>
      <c r="R23" s="16"/>
      <c r="S23" s="16"/>
      <c r="T23" s="16"/>
      <c r="U23" s="17"/>
    </row>
    <row r="24" spans="1:56">
      <c r="A24" s="58"/>
      <c r="B24" s="15"/>
      <c r="C24" s="16"/>
      <c r="D24" s="16"/>
      <c r="E24" s="16"/>
      <c r="F24" s="16"/>
      <c r="G24" s="17"/>
      <c r="I24" s="15"/>
      <c r="J24" s="16"/>
      <c r="K24" s="16"/>
      <c r="L24" s="16"/>
      <c r="M24" s="16"/>
      <c r="N24" s="17"/>
      <c r="P24" s="15"/>
      <c r="Q24" s="16"/>
      <c r="R24" s="16"/>
      <c r="S24" s="16"/>
      <c r="T24" s="16"/>
      <c r="U24" s="17"/>
    </row>
    <row r="25" spans="1:56" ht="15.75" thickBot="1">
      <c r="A25" s="58"/>
      <c r="B25" s="18"/>
      <c r="C25" s="19"/>
      <c r="D25" s="19"/>
      <c r="E25" s="19"/>
      <c r="F25" s="19"/>
      <c r="G25" s="20"/>
      <c r="I25" s="18"/>
      <c r="J25" s="19"/>
      <c r="K25" s="19"/>
      <c r="L25" s="19"/>
      <c r="M25" s="19"/>
      <c r="N25" s="20"/>
      <c r="P25" s="18"/>
      <c r="Q25" s="19"/>
      <c r="R25" s="19"/>
      <c r="S25" s="19"/>
      <c r="T25" s="19"/>
      <c r="U25" s="20"/>
    </row>
    <row r="26" spans="1:56" ht="15.75" thickBot="1"/>
    <row r="27" spans="1:56" ht="15.75" thickBot="1">
      <c r="A27" s="58" t="s">
        <v>4</v>
      </c>
      <c r="B27" s="21" t="s">
        <v>5</v>
      </c>
      <c r="C27" s="21"/>
      <c r="D27" s="21"/>
      <c r="E27" s="21"/>
      <c r="F27" s="21"/>
      <c r="G27" s="22">
        <f>AVERAGE(D29:D38,G29:G38)</f>
        <v>24</v>
      </c>
      <c r="I27" s="21" t="s">
        <v>6</v>
      </c>
      <c r="J27" s="21"/>
      <c r="K27" s="21"/>
      <c r="L27" s="21"/>
      <c r="M27" s="21"/>
      <c r="N27" s="22">
        <f>AVERAGE(K29:K38,N29:N38)</f>
        <v>22.454545454545453</v>
      </c>
      <c r="P27" s="21" t="s">
        <v>7</v>
      </c>
      <c r="Q27" s="21"/>
      <c r="R27" s="21"/>
      <c r="S27" s="21"/>
      <c r="T27" s="21"/>
      <c r="U27" s="22">
        <f>AVERAGE(R29:R38,U29:U38)</f>
        <v>29.1</v>
      </c>
      <c r="W27" s="21" t="s">
        <v>8</v>
      </c>
      <c r="X27" s="21"/>
      <c r="Y27" s="21"/>
      <c r="Z27" s="21"/>
      <c r="AA27" s="21"/>
      <c r="AB27" s="22">
        <f>AVERAGE(Y29:Y38,AB29:AB38)</f>
        <v>36.727272727272727</v>
      </c>
      <c r="AD27" s="21" t="s">
        <v>9</v>
      </c>
      <c r="AE27" s="21"/>
      <c r="AF27" s="21"/>
      <c r="AG27" s="21"/>
      <c r="AH27" s="21"/>
      <c r="AI27" s="22">
        <f>AVERAGE(AF29:AF38,AI29:AI38)</f>
        <v>21.888888888888889</v>
      </c>
      <c r="AK27" s="21" t="s">
        <v>10</v>
      </c>
      <c r="AL27" s="21"/>
      <c r="AM27" s="21"/>
      <c r="AN27" s="21"/>
      <c r="AO27" s="21"/>
      <c r="AP27" s="22">
        <f>AVERAGE(AM29:AM38,AP29:AP38)</f>
        <v>19.5</v>
      </c>
      <c r="AR27" s="21" t="s">
        <v>11</v>
      </c>
      <c r="AS27" s="21"/>
      <c r="AT27" s="21"/>
      <c r="AU27" s="21"/>
      <c r="AV27" s="21"/>
      <c r="AW27" s="22">
        <f>AVERAGE(AT29:AT38,AW29:AW38)</f>
        <v>20</v>
      </c>
      <c r="AY27" s="21" t="s">
        <v>12</v>
      </c>
      <c r="AZ27" s="21"/>
      <c r="BA27" s="21"/>
      <c r="BB27" s="21"/>
      <c r="BC27" s="21"/>
      <c r="BD27" s="22">
        <f>AVERAGE(BA29:BA38,BD29:BD38)</f>
        <v>42.833333333333336</v>
      </c>
    </row>
    <row r="28" spans="1:56" ht="15.75" thickBot="1">
      <c r="A28" s="58"/>
      <c r="B28" s="8" t="str">
        <f>CONCATENATE("Dames (",COUNTA(C29:C36),")")</f>
        <v>Dames (5)</v>
      </c>
      <c r="C28" s="9"/>
      <c r="D28" s="10"/>
      <c r="E28" s="8" t="str">
        <f>CONCATENATE("Heren (",COUNTA(F29:F36),")")</f>
        <v>Heren (5)</v>
      </c>
      <c r="F28" s="9"/>
      <c r="G28" s="10"/>
      <c r="I28" s="8" t="str">
        <f>CONCATENATE("Dames (",COUNTA(J29:J36),")")</f>
        <v>Dames (5)</v>
      </c>
      <c r="J28" s="9"/>
      <c r="K28" s="10"/>
      <c r="L28" s="8" t="str">
        <f>CONCATENATE("Heren (",COUNTA(M29:M36),")")</f>
        <v>Heren (6)</v>
      </c>
      <c r="M28" s="9"/>
      <c r="N28" s="10"/>
      <c r="P28" s="8" t="str">
        <f>CONCATENATE("Dames (",COUNTA(Q29:Q36),")")</f>
        <v>Dames (5)</v>
      </c>
      <c r="Q28" s="9"/>
      <c r="R28" s="10"/>
      <c r="S28" s="8" t="str">
        <f>CONCATENATE("Heren (",COUNTA(T29:T36),")")</f>
        <v>Heren (5)</v>
      </c>
      <c r="T28" s="9"/>
      <c r="U28" s="10"/>
      <c r="W28" s="8" t="str">
        <f>CONCATENATE("Dames (",COUNTA(X29:X36),")")</f>
        <v>Dames (5)</v>
      </c>
      <c r="X28" s="9"/>
      <c r="Y28" s="10"/>
      <c r="Z28" s="8" t="str">
        <f>CONCATENATE("Heren (",COUNTA(AA29:AA36),")")</f>
        <v>Heren (6)</v>
      </c>
      <c r="AA28" s="9"/>
      <c r="AB28" s="10"/>
      <c r="AD28" s="8" t="str">
        <f>CONCATENATE("Dames (",COUNTA(AE29:AE36),")")</f>
        <v>Dames (5)</v>
      </c>
      <c r="AE28" s="9"/>
      <c r="AF28" s="10"/>
      <c r="AG28" s="8" t="str">
        <f>CONCATENATE("Heren (",COUNTA(AH29:AH36),")")</f>
        <v>Heren (4)</v>
      </c>
      <c r="AH28" s="9"/>
      <c r="AI28" s="10"/>
      <c r="AK28" s="8" t="str">
        <f>CONCATENATE("Dames (",COUNTA(AL29:AL36),")")</f>
        <v>Dames (6)</v>
      </c>
      <c r="AL28" s="9"/>
      <c r="AM28" s="10"/>
      <c r="AN28" s="8" t="str">
        <f>CONCATENATE("Heren (",COUNTA(AO29:AO36),")")</f>
        <v>Heren (4)</v>
      </c>
      <c r="AO28" s="9"/>
      <c r="AP28" s="10"/>
      <c r="AR28" s="8" t="str">
        <f>CONCATENATE("Dames (",COUNTA(AS29:AS36),")")</f>
        <v>Dames (6)</v>
      </c>
      <c r="AS28" s="9"/>
      <c r="AT28" s="10"/>
      <c r="AU28" s="8" t="str">
        <f>CONCATENATE("Heren (",COUNTA(AV29:AV36),")")</f>
        <v>Heren (3)</v>
      </c>
      <c r="AV28" s="9"/>
      <c r="AW28" s="10"/>
      <c r="AY28" s="8" t="str">
        <f>CONCATENATE("Dames (",COUNTA(AZ29:AZ36),")")</f>
        <v>Dames (6)</v>
      </c>
      <c r="AZ28" s="9"/>
      <c r="BA28" s="10"/>
      <c r="BB28" s="8" t="str">
        <f>CONCATENATE("Heren (",COUNTA(BC29:BC36),")")</f>
        <v>Heren (6)</v>
      </c>
      <c r="BC28" s="9"/>
      <c r="BD28" s="10"/>
    </row>
    <row r="29" spans="1:56">
      <c r="A29" s="58"/>
      <c r="B29" s="3" t="str" cm="1">
        <f t="array" ref="B29:B33">_xlfn._xlws.FILTER(Spelerslijst!$B:$B,Spelerslijst!$G:$G=B$27,"")</f>
        <v>Broere, D.</v>
      </c>
      <c r="C29" s="4" t="str" cm="1">
        <f t="array" ref="C29:C33">_xlfn._xlws.FILTER(Spelerslijst!$C:$C,Spelerslijst!$G:$G=B$27,"")</f>
        <v>Dionne</v>
      </c>
      <c r="D29" s="5" cm="1">
        <f t="array" ref="D29:D33">_xlfn._xlws.FILTER(Spelerslijst!$D:$D,Spelerslijst!$G:$G=B$27,"")</f>
        <v>22</v>
      </c>
      <c r="E29" s="3" t="str" cm="1">
        <f t="array" ref="E29:E33">_xlfn._xlws.FILTER(Spelerslijst!$K:$K,Spelerslijst!$P:$P=B$27,"")</f>
        <v>Driesprong, B.</v>
      </c>
      <c r="F29" s="4" t="str" cm="1">
        <f t="array" ref="F29:F33">_xlfn._xlws.FILTER(Spelerslijst!$L:$L,Spelerslijst!$P:$P=B$27,"")</f>
        <v>Bart</v>
      </c>
      <c r="G29" s="5" cm="1">
        <f t="array" ref="G29:G33">_xlfn._xlws.FILTER(Spelerslijst!$M:$M,Spelerslijst!$P:$P=B$27,"")</f>
        <v>23</v>
      </c>
      <c r="I29" s="3" t="str" cm="1">
        <f t="array" ref="I29:I33">_xlfn._xlws.FILTER(Spelerslijst!$B:$B,Spelerslijst!$G:$G=I$27,"")</f>
        <v>Dijk, van D.</v>
      </c>
      <c r="J29" s="4" t="str" cm="1">
        <f t="array" ref="J29:J33">_xlfn._xlws.FILTER(Spelerslijst!$C:$C,Spelerslijst!$G:$G=I$27,"")</f>
        <v>Demi</v>
      </c>
      <c r="K29" s="5" cm="1">
        <f t="array" ref="K29:K33">_xlfn._xlws.FILTER(Spelerslijst!$D:$D,Spelerslijst!$G:$G=I$27,"")</f>
        <v>20</v>
      </c>
      <c r="L29" s="3" t="str" cm="1">
        <f t="array" ref="L29:L34">_xlfn._xlws.FILTER(Spelerslijst!$K:$K,Spelerslijst!$P:$P=I$27,"")</f>
        <v>Dijk, van J.</v>
      </c>
      <c r="M29" s="4" t="str" cm="1">
        <f t="array" ref="M29:M34">_xlfn._xlws.FILTER(Spelerslijst!$L:$L,Spelerslijst!$P:$P=I$27,"")</f>
        <v>Joeri</v>
      </c>
      <c r="N29" s="5" cm="1">
        <f t="array" ref="N29:N34">_xlfn._xlws.FILTER(Spelerslijst!$M:$M,Spelerslijst!$P:$P=I$27,"")</f>
        <v>23</v>
      </c>
      <c r="P29" s="3" t="str" cm="1">
        <f t="array" ref="P29:P33">_xlfn._xlws.FILTER(Spelerslijst!$B:$B,Spelerslijst!$G:$G=P$27,"")</f>
        <v>Ardon, E.</v>
      </c>
      <c r="Q29" s="4" t="str" cm="1">
        <f t="array" ref="Q29:Q33">_xlfn._xlws.FILTER(Spelerslijst!$C:$C,Spelerslijst!$G:$G=P$27,"")</f>
        <v>Esther</v>
      </c>
      <c r="R29" s="5" cm="1">
        <f t="array" ref="R29:R33">_xlfn._xlws.FILTER(Spelerslijst!$D:$D,Spelerslijst!$G:$G=P$27,"")</f>
        <v>25</v>
      </c>
      <c r="S29" s="3" t="str" cm="1">
        <f t="array" ref="S29:S33">_xlfn._xlws.FILTER(Spelerslijst!$K:$K,Spelerslijst!$P:$P=P$27,"")</f>
        <v>Booy, J</v>
      </c>
      <c r="T29" s="4" t="str" cm="1">
        <f t="array" ref="T29:T33">_xlfn._xlws.FILTER(Spelerslijst!$L:$L,Spelerslijst!$P:$P=P$27,"")</f>
        <v>Jan</v>
      </c>
      <c r="U29" s="5" cm="1">
        <f t="array" ref="U29:U33">_xlfn._xlws.FILTER(Spelerslijst!$M:$M,Spelerslijst!$P:$P=P$27,"")</f>
        <v>31</v>
      </c>
      <c r="W29" s="3" t="str" cm="1">
        <f t="array" ref="W29:W33">_xlfn._xlws.FILTER(Spelerslijst!$B:$B,Spelerslijst!$G:$G=W$27,"")</f>
        <v>Assem, van den L.</v>
      </c>
      <c r="X29" s="4" t="str" cm="1">
        <f t="array" ref="X29:X33">_xlfn._xlws.FILTER(Spelerslijst!$C:$C,Spelerslijst!$G:$G=W$27,"")</f>
        <v>Lisette</v>
      </c>
      <c r="Y29" s="5" cm="1">
        <f t="array" ref="Y29:Y33">_xlfn._xlws.FILTER(Spelerslijst!$D:$D,Spelerslijst!$G:$G=W$27,"")</f>
        <v>38</v>
      </c>
      <c r="Z29" s="3" t="str" cm="1">
        <f t="array" ref="Z29:Z34">_xlfn._xlws.FILTER(Spelerslijst!$K:$K,Spelerslijst!$P:$P=W$27,"")</f>
        <v>Boshoven, D.</v>
      </c>
      <c r="AA29" s="4" t="str" cm="1">
        <f t="array" ref="AA29:AA34">_xlfn._xlws.FILTER(Spelerslijst!$L:$L,Spelerslijst!$P:$P=W$27,"")</f>
        <v>Davy</v>
      </c>
      <c r="AB29" s="5" cm="1">
        <f t="array" ref="AB29:AB34">_xlfn._xlws.FILTER(Spelerslijst!$M:$M,Spelerslijst!$P:$P=W$27,"")</f>
        <v>46</v>
      </c>
      <c r="AD29" s="3" t="str" cm="1">
        <f t="array" ref="AD29:AD33">_xlfn._xlws.FILTER(Spelerslijst!$B:$B,Spelerslijst!$G:$G=AD$27,"")</f>
        <v>Bax, E. S.</v>
      </c>
      <c r="AE29" s="4" t="str" cm="1">
        <f t="array" ref="AE29:AE33">_xlfn._xlws.FILTER(Spelerslijst!$C:$C,Spelerslijst!$G:$G=AD$27,"")</f>
        <v>Erinn</v>
      </c>
      <c r="AF29" s="5" cm="1">
        <f t="array" ref="AF29:AF33">_xlfn._xlws.FILTER(Spelerslijst!$D:$D,Spelerslijst!$G:$G=AD$27,"")</f>
        <v>23</v>
      </c>
      <c r="AG29" s="3" t="str" cm="1">
        <f t="array" ref="AG29:AG32">_xlfn._xlws.FILTER(Spelerslijst!$K:$K,Spelerslijst!$P:$P=AD$27,"")</f>
        <v>Driel, van Q.</v>
      </c>
      <c r="AH29" s="4" t="str" cm="1">
        <f t="array" ref="AH29:AH32">_xlfn._xlws.FILTER(Spelerslijst!$L:$L,Spelerslijst!$P:$P=AD$27,"")</f>
        <v>Quinten</v>
      </c>
      <c r="AI29" s="5" cm="1">
        <f t="array" ref="AI29:AI32">_xlfn._xlws.FILTER(Spelerslijst!$M:$M,Spelerslijst!$P:$P=AD$27,"")</f>
        <v>21</v>
      </c>
      <c r="AK29" s="3" t="str" cm="1">
        <f t="array" ref="AK29:AK34">_xlfn._xlws.FILTER(Spelerslijst!$B:$B,Spelerslijst!$G:$G=AK$27,"")</f>
        <v>Dubbeld, S.</v>
      </c>
      <c r="AL29" s="4" t="str" cm="1">
        <f t="array" ref="AL29:AL34">_xlfn._xlws.FILTER(Spelerslijst!$C:$C,Spelerslijst!$G:$G=AK$27,"")</f>
        <v>Sanne</v>
      </c>
      <c r="AM29" s="5" cm="1">
        <f t="array" ref="AM29:AM34">_xlfn._xlws.FILTER(Spelerslijst!$D:$D,Spelerslijst!$G:$G=AK$27,"")</f>
        <v>19</v>
      </c>
      <c r="AN29" s="3" t="str" cm="1">
        <f t="array" ref="AN29:AN32">_xlfn._xlws.FILTER(Spelerslijst!$K:$K,Spelerslijst!$P:$P=AK$27,"")</f>
        <v>Baars, L.A.</v>
      </c>
      <c r="AO29" s="4" t="str" cm="1">
        <f t="array" ref="AO29:AO32">_xlfn._xlws.FILTER(Spelerslijst!$L:$L,Spelerslijst!$P:$P=AK$27,"")</f>
        <v>Luuk</v>
      </c>
      <c r="AP29" s="5" cm="1">
        <f t="array" ref="AP29:AP32">_xlfn._xlws.FILTER(Spelerslijst!$M:$M,Spelerslijst!$P:$P=AK$27,"")</f>
        <v>20</v>
      </c>
      <c r="AR29" s="3" t="str" cm="1">
        <f t="array" ref="AR29:AR34">_xlfn._xlws.FILTER(Spelerslijst!$B:$B,Spelerslijst!$G:$G=AR$27,"")</f>
        <v>Koote, L.D.</v>
      </c>
      <c r="AS29" s="4" t="str" cm="1">
        <f t="array" ref="AS29:AS34">_xlfn._xlws.FILTER(Spelerslijst!$C:$C,Spelerslijst!$G:$G=AR$27,"")</f>
        <v>Laura</v>
      </c>
      <c r="AT29" s="5" cm="1">
        <f t="array" ref="AT29:AT34">_xlfn._xlws.FILTER(Spelerslijst!$D:$D,Spelerslijst!$G:$G=AR$27,"")</f>
        <v>19</v>
      </c>
      <c r="AU29" s="3" t="str" cm="1">
        <f t="array" ref="AU29:AU31">_xlfn._xlws.FILTER(Spelerslijst!$K:$K,Spelerslijst!$P:$P=AR$27,"")</f>
        <v>Flach, J.H.</v>
      </c>
      <c r="AV29" s="4" t="str" cm="1">
        <f t="array" ref="AV29:AV31">_xlfn._xlws.FILTER(Spelerslijst!$L:$L,Spelerslijst!$P:$P=AR$27,"")</f>
        <v>Joram</v>
      </c>
      <c r="AW29" s="5" cm="1">
        <f t="array" ref="AW29:AW31">_xlfn._xlws.FILTER(Spelerslijst!$M:$M,Spelerslijst!$P:$P=AR$27,"")</f>
        <v>22</v>
      </c>
      <c r="AY29" s="3" t="str" cm="1">
        <f t="array" ref="AY29:AY34">_xlfn._xlws.FILTER(Spelerslijst!$B:$B,Spelerslijst!$G:$G=AY$27,"")</f>
        <v>Camphens-Moerman, B.</v>
      </c>
      <c r="AZ29" s="4" t="str" cm="1">
        <f t="array" ref="AZ29:AZ34">_xlfn._xlws.FILTER(Spelerslijst!$C:$C,Spelerslijst!$G:$G=AY$27,"")</f>
        <v>Barbara</v>
      </c>
      <c r="BA29" s="5" cm="1">
        <f t="array" ref="BA29:BA34">_xlfn._xlws.FILTER(Spelerslijst!$D:$D,Spelerslijst!$G:$G=AY$27,"")</f>
        <v>40</v>
      </c>
      <c r="BB29" s="3" t="str" cm="1">
        <f t="array" ref="BB29:BB34">_xlfn._xlws.FILTER(Spelerslijst!$K:$K,Spelerslijst!$P:$P=AY$27,"")</f>
        <v>Verwaal, J.P.</v>
      </c>
      <c r="BC29" s="4" t="str" cm="1">
        <f t="array" ref="BC29:BC34">_xlfn._xlws.FILTER(Spelerslijst!$L:$L,Spelerslijst!$P:$P=AY$27,"")</f>
        <v>Jan-Peter</v>
      </c>
      <c r="BD29" s="5" cm="1">
        <f t="array" ref="BD29:BD34">_xlfn._xlws.FILTER(Spelerslijst!$M:$M,Spelerslijst!$P:$P=AY$27,"")</f>
        <v>52</v>
      </c>
    </row>
    <row r="30" spans="1:56">
      <c r="A30" s="58"/>
      <c r="B30" s="6" t="str">
        <v>Dommisse, R.</v>
      </c>
      <c r="C30" s="2" t="str">
        <v>Robin</v>
      </c>
      <c r="D30" s="7">
        <v>23</v>
      </c>
      <c r="E30" s="6" t="str">
        <v>Gent, van L</v>
      </c>
      <c r="F30" s="2" t="str">
        <v>Lex</v>
      </c>
      <c r="G30" s="7">
        <v>26</v>
      </c>
      <c r="I30" s="6" t="str">
        <v>Oppe, M.</v>
      </c>
      <c r="J30" s="2" t="str">
        <v>Milou</v>
      </c>
      <c r="K30" s="7">
        <v>19</v>
      </c>
      <c r="L30" s="6" t="str">
        <v>Gent, van T.</v>
      </c>
      <c r="M30" s="2" t="str">
        <v>Tim</v>
      </c>
      <c r="N30" s="7">
        <v>21</v>
      </c>
      <c r="P30" s="6" t="str">
        <v>Ardon, L</v>
      </c>
      <c r="Q30" s="2" t="str">
        <v>Linda</v>
      </c>
      <c r="R30" s="7">
        <v>29</v>
      </c>
      <c r="S30" s="6" t="str">
        <v>Brugge, van der B.R.</v>
      </c>
      <c r="T30" s="2" t="str">
        <v>Bart</v>
      </c>
      <c r="U30" s="7">
        <v>26</v>
      </c>
      <c r="W30" s="6" t="str">
        <v>Laban-Sinke, I.W.</v>
      </c>
      <c r="X30" s="2" t="str">
        <v>Ingrid</v>
      </c>
      <c r="Y30" s="7">
        <v>36</v>
      </c>
      <c r="Z30" s="6" t="str">
        <v>Jong, de B.</v>
      </c>
      <c r="AA30" s="2" t="str">
        <v>Bas</v>
      </c>
      <c r="AB30" s="7">
        <v>31</v>
      </c>
      <c r="AD30" s="6" t="str">
        <v>Lacroes, M.J.</v>
      </c>
      <c r="AE30" s="2" t="str">
        <v>Jany</v>
      </c>
      <c r="AF30" s="7">
        <v>23</v>
      </c>
      <c r="AG30" s="6" t="str">
        <v>Dubbeld, R.</v>
      </c>
      <c r="AH30" s="2" t="str">
        <v>Ruben</v>
      </c>
      <c r="AI30" s="7">
        <v>21</v>
      </c>
      <c r="AK30" s="6" t="str">
        <v>Dubbeld, T.</v>
      </c>
      <c r="AL30" s="2" t="str">
        <v>Tessa</v>
      </c>
      <c r="AM30" s="7">
        <v>21</v>
      </c>
      <c r="AN30" s="6" t="str">
        <v>Boon, T.</v>
      </c>
      <c r="AO30" s="2" t="str">
        <v>Thijs</v>
      </c>
      <c r="AP30" s="7">
        <v>18</v>
      </c>
      <c r="AR30" s="6" t="str">
        <v xml:space="preserve">Pierse, A. </v>
      </c>
      <c r="AS30" s="2" t="str">
        <v>Anniek</v>
      </c>
      <c r="AT30" s="7">
        <v>19</v>
      </c>
      <c r="AU30" s="6" t="str">
        <v>Schindler, M.</v>
      </c>
      <c r="AV30" s="2" t="str">
        <v>Mark</v>
      </c>
      <c r="AW30" s="7">
        <v>22</v>
      </c>
      <c r="AY30" s="6" t="str">
        <v>Everaarts, D.</v>
      </c>
      <c r="AZ30" s="2" t="str">
        <v>Damaris</v>
      </c>
      <c r="BA30" s="7">
        <v>42</v>
      </c>
      <c r="BB30" s="6" t="str">
        <v>Belder, E.</v>
      </c>
      <c r="BC30" s="2" t="str">
        <v>Erwin</v>
      </c>
      <c r="BD30" s="7">
        <v>44</v>
      </c>
    </row>
    <row r="31" spans="1:56">
      <c r="A31" s="58"/>
      <c r="B31" s="6" t="str">
        <v>Klink, X</v>
      </c>
      <c r="C31" s="2" t="str">
        <v>Xanne</v>
      </c>
      <c r="D31" s="7">
        <v>26</v>
      </c>
      <c r="E31" s="6" t="str">
        <v>Klink, M</v>
      </c>
      <c r="F31" s="2" t="str">
        <v>Marijn</v>
      </c>
      <c r="G31" s="7">
        <v>24</v>
      </c>
      <c r="I31" s="6" t="str">
        <v>Schram, M.C.</v>
      </c>
      <c r="J31" s="2" t="str">
        <v>Merel</v>
      </c>
      <c r="K31" s="7">
        <v>22</v>
      </c>
      <c r="L31" s="6" t="str">
        <v>Groeneweg, T.D.</v>
      </c>
      <c r="M31" s="2" t="str">
        <v>Tim</v>
      </c>
      <c r="N31" s="7">
        <v>20</v>
      </c>
      <c r="P31" s="6" t="str">
        <v>Gurp, van M</v>
      </c>
      <c r="Q31" s="2" t="str">
        <v>Merel</v>
      </c>
      <c r="R31" s="7">
        <v>29</v>
      </c>
      <c r="S31" s="6" t="str">
        <v>Huijgen, J</v>
      </c>
      <c r="T31" s="2" t="str">
        <v>Jeroen</v>
      </c>
      <c r="U31" s="7">
        <v>25</v>
      </c>
      <c r="W31" s="6" t="str">
        <v>Noordam, M.</v>
      </c>
      <c r="X31" s="2" t="str">
        <v>Mirjam</v>
      </c>
      <c r="Y31" s="7">
        <v>34</v>
      </c>
      <c r="Z31" s="6" t="str">
        <v>Kuperus, S.</v>
      </c>
      <c r="AA31" s="2" t="str">
        <v>Steven</v>
      </c>
      <c r="AB31" s="7">
        <v>31</v>
      </c>
      <c r="AD31" s="6" t="str">
        <v>Schram, L.J.</v>
      </c>
      <c r="AE31" s="2" t="str">
        <v>Lara</v>
      </c>
      <c r="AF31" s="7">
        <v>21</v>
      </c>
      <c r="AG31" s="6" t="str">
        <v>Jong, de I.J.</v>
      </c>
      <c r="AH31" s="2" t="str">
        <v>Jouke</v>
      </c>
      <c r="AI31" s="7">
        <v>23</v>
      </c>
      <c r="AK31" s="6" t="str">
        <v>Friebel, A.</v>
      </c>
      <c r="AL31" s="2" t="str">
        <v>Angela</v>
      </c>
      <c r="AM31" s="7">
        <v>19</v>
      </c>
      <c r="AN31" s="6" t="str">
        <v>Klijn, C.L.</v>
      </c>
      <c r="AO31" s="2" t="str">
        <v>Calvin</v>
      </c>
      <c r="AP31" s="7">
        <v>21</v>
      </c>
      <c r="AR31" s="6" t="str">
        <v>Valk, M.E.</v>
      </c>
      <c r="AS31" s="2" t="str">
        <v>Marlies</v>
      </c>
      <c r="AT31" s="7">
        <v>18</v>
      </c>
      <c r="AU31" s="6" t="str">
        <v>Wijgaart, van de R.L.H.</v>
      </c>
      <c r="AV31" s="2" t="str">
        <v>Rick</v>
      </c>
      <c r="AW31" s="7">
        <v>18</v>
      </c>
      <c r="AY31" s="6" t="str">
        <v>Opstal-Haksteen, van T.K.</v>
      </c>
      <c r="AZ31" s="2" t="str">
        <v>Tamara</v>
      </c>
      <c r="BA31" s="7">
        <v>33</v>
      </c>
      <c r="BB31" s="6" t="str">
        <v>Jong, 't M.</v>
      </c>
      <c r="BC31" s="2" t="str">
        <v>Michiel</v>
      </c>
      <c r="BD31" s="7">
        <v>40</v>
      </c>
    </row>
    <row r="32" spans="1:56">
      <c r="A32" s="58"/>
      <c r="B32" s="6" t="str">
        <v>Seevinck, D.</v>
      </c>
      <c r="C32" s="2" t="str">
        <v>Djuna</v>
      </c>
      <c r="D32" s="7">
        <v>20</v>
      </c>
      <c r="E32" s="6" t="str">
        <v>Lansbergen, M</v>
      </c>
      <c r="F32" s="2" t="str">
        <v>Matthijs</v>
      </c>
      <c r="G32" s="7">
        <v>31</v>
      </c>
      <c r="I32" s="6" t="str">
        <v>Teerds, E.L.</v>
      </c>
      <c r="J32" s="2" t="str">
        <v>Eva</v>
      </c>
      <c r="K32" s="7">
        <v>19</v>
      </c>
      <c r="L32" s="6" t="str">
        <v>Kalkeren, van R.</v>
      </c>
      <c r="M32" s="2" t="str">
        <v>Robin</v>
      </c>
      <c r="N32" s="7">
        <v>25</v>
      </c>
      <c r="P32" s="6" t="str">
        <v>Leijdsman, R.</v>
      </c>
      <c r="Q32" s="2" t="str">
        <v>Robin</v>
      </c>
      <c r="R32" s="7">
        <v>25</v>
      </c>
      <c r="S32" s="6" t="str">
        <v>Isarin, T P</v>
      </c>
      <c r="T32" s="2" t="str">
        <v>Thomas</v>
      </c>
      <c r="U32" s="7">
        <v>33</v>
      </c>
      <c r="W32" s="6" t="str">
        <v>Ploeg, L</v>
      </c>
      <c r="X32" s="2" t="str">
        <v>Lieke</v>
      </c>
      <c r="Y32" s="7">
        <v>35</v>
      </c>
      <c r="Z32" s="6" t="str">
        <v>Laban, A.J.</v>
      </c>
      <c r="AA32" s="2" t="str">
        <v>Antjan</v>
      </c>
      <c r="AB32" s="7">
        <v>41</v>
      </c>
      <c r="AD32" s="6" t="str">
        <v>Slotboom, A.</v>
      </c>
      <c r="AE32" s="2" t="str">
        <v>Amber</v>
      </c>
      <c r="AF32" s="7">
        <v>20</v>
      </c>
      <c r="AG32" s="6" t="str">
        <v>Wolff, A.</v>
      </c>
      <c r="AH32" s="2" t="str">
        <v>Alexander</v>
      </c>
      <c r="AI32" s="7">
        <v>25</v>
      </c>
      <c r="AK32" s="6" t="str">
        <v>Hulsker, N.M.</v>
      </c>
      <c r="AL32" s="2" t="str">
        <v>Nina</v>
      </c>
      <c r="AM32" s="7">
        <v>22</v>
      </c>
      <c r="AN32" s="6" t="str">
        <v>Vlaming, de J.C.</v>
      </c>
      <c r="AO32" s="2" t="str">
        <v>Jens</v>
      </c>
      <c r="AP32" s="7">
        <v>18</v>
      </c>
      <c r="AR32" s="6" t="str">
        <v>Wit, de N.M.T.</v>
      </c>
      <c r="AS32" s="2" t="str">
        <v>Nadia</v>
      </c>
      <c r="AT32" s="7">
        <v>20</v>
      </c>
      <c r="AU32" s="6"/>
      <c r="AV32" s="2"/>
      <c r="AW32" s="7"/>
      <c r="AY32" s="6" t="str">
        <v>Veld, in 't D.</v>
      </c>
      <c r="AZ32" s="2" t="str">
        <v>Dorien</v>
      </c>
      <c r="BA32" s="7">
        <v>36</v>
      </c>
      <c r="BB32" s="6" t="str">
        <v>Kalkeren, van M.</v>
      </c>
      <c r="BC32" s="2" t="str">
        <v>Marco</v>
      </c>
      <c r="BD32" s="7">
        <v>52</v>
      </c>
    </row>
    <row r="33" spans="1:56">
      <c r="A33" s="58"/>
      <c r="B33" s="6" t="str">
        <v>Verweij, M.</v>
      </c>
      <c r="C33" s="2" t="str">
        <v>Mirthe</v>
      </c>
      <c r="D33" s="7">
        <v>27</v>
      </c>
      <c r="E33" s="6" t="str">
        <v>Oppe, M.</v>
      </c>
      <c r="F33" s="2" t="str">
        <v>Mees</v>
      </c>
      <c r="G33" s="7">
        <v>18</v>
      </c>
      <c r="I33" s="6" t="str">
        <v>Visser, R.</v>
      </c>
      <c r="J33" s="2" t="str">
        <v>Renske</v>
      </c>
      <c r="K33" s="7">
        <v>23</v>
      </c>
      <c r="L33" s="6" t="str">
        <v>Mans, B.</v>
      </c>
      <c r="M33" s="2" t="str">
        <v>Bob</v>
      </c>
      <c r="N33" s="7">
        <v>25</v>
      </c>
      <c r="P33" s="6" t="str">
        <v>Hussein, N.</v>
      </c>
      <c r="Q33" s="2" t="str">
        <v>Nada</v>
      </c>
      <c r="R33" s="7">
        <v>31</v>
      </c>
      <c r="S33" s="6" t="str">
        <v>Vlaming, de R.</v>
      </c>
      <c r="T33" s="2" t="str">
        <v>Roy</v>
      </c>
      <c r="U33" s="7">
        <v>37</v>
      </c>
      <c r="W33" s="6" t="str">
        <v>Wibbens, E.</v>
      </c>
      <c r="X33" s="2" t="str">
        <v>Esther</v>
      </c>
      <c r="Y33" s="7">
        <v>29</v>
      </c>
      <c r="Z33" s="6" t="str">
        <v>Noels, A.</v>
      </c>
      <c r="AA33" s="2" t="str">
        <v>Arjan</v>
      </c>
      <c r="AB33" s="7">
        <v>41</v>
      </c>
      <c r="AD33" s="6" t="str">
        <v>Dommisse, K.</v>
      </c>
      <c r="AE33" s="2" t="str">
        <v>Kim</v>
      </c>
      <c r="AF33" s="7">
        <v>20</v>
      </c>
      <c r="AG33" s="6"/>
      <c r="AH33" s="2"/>
      <c r="AI33" s="7"/>
      <c r="AK33" s="6" t="str">
        <v>Klink, S.L.</v>
      </c>
      <c r="AL33" s="2" t="str">
        <v>Suzanne</v>
      </c>
      <c r="AM33" s="7">
        <v>18</v>
      </c>
      <c r="AN33" s="6"/>
      <c r="AO33" s="2"/>
      <c r="AP33" s="7"/>
      <c r="AR33" s="6" t="str">
        <v>Wit, de S.E.E.</v>
      </c>
      <c r="AS33" s="2" t="str">
        <v>Syrah</v>
      </c>
      <c r="AT33" s="7">
        <v>20</v>
      </c>
      <c r="AU33" s="6"/>
      <c r="AV33" s="2"/>
      <c r="AW33" s="7"/>
      <c r="AY33" s="6" t="str">
        <v>Verheijde, P.</v>
      </c>
      <c r="AZ33" s="2" t="str">
        <v>Petra</v>
      </c>
      <c r="BA33" s="7">
        <v>47</v>
      </c>
      <c r="BB33" s="6" t="str">
        <v>Kooij, C.W.</v>
      </c>
      <c r="BC33" s="2" t="str">
        <v>Wilco</v>
      </c>
      <c r="BD33" s="7">
        <v>46</v>
      </c>
    </row>
    <row r="34" spans="1:56">
      <c r="A34" s="58"/>
      <c r="B34" s="6"/>
      <c r="C34" s="2"/>
      <c r="D34" s="7"/>
      <c r="E34" s="6"/>
      <c r="F34" s="2"/>
      <c r="G34" s="7"/>
      <c r="I34" s="6"/>
      <c r="J34" s="2"/>
      <c r="K34" s="7"/>
      <c r="L34" s="6" t="str">
        <v>Naaktgeboren, S.</v>
      </c>
      <c r="M34" s="2" t="str">
        <v>Stefan</v>
      </c>
      <c r="N34" s="7">
        <v>30</v>
      </c>
      <c r="P34" s="6"/>
      <c r="Q34" s="2"/>
      <c r="R34" s="7"/>
      <c r="S34" s="6"/>
      <c r="T34" s="2"/>
      <c r="U34" s="7"/>
      <c r="W34" s="6"/>
      <c r="X34" s="2"/>
      <c r="Y34" s="7"/>
      <c r="Z34" s="6" t="str">
        <v>Wit, de B.</v>
      </c>
      <c r="AA34" s="2" t="str">
        <v>Bart</v>
      </c>
      <c r="AB34" s="7">
        <v>42</v>
      </c>
      <c r="AD34" s="6"/>
      <c r="AE34" s="2"/>
      <c r="AF34" s="7"/>
      <c r="AG34" s="6"/>
      <c r="AH34" s="2"/>
      <c r="AI34" s="7"/>
      <c r="AK34" s="6" t="str">
        <v>Van der Laars, L.</v>
      </c>
      <c r="AL34" s="2" t="str">
        <v>Laura</v>
      </c>
      <c r="AM34" s="7">
        <v>19</v>
      </c>
      <c r="AN34" s="6"/>
      <c r="AO34" s="2"/>
      <c r="AP34" s="7"/>
      <c r="AR34" s="6" t="str">
        <v>Cetinkaya Vurel, B.</v>
      </c>
      <c r="AS34" s="2" t="str">
        <v>Billur</v>
      </c>
      <c r="AT34" s="7">
        <v>22</v>
      </c>
      <c r="AU34" s="6"/>
      <c r="AV34" s="2"/>
      <c r="AW34" s="7"/>
      <c r="AY34" s="6" t="str">
        <v>Zwanenburg-Moerman, D.</v>
      </c>
      <c r="AZ34" s="2" t="str">
        <v>Debita</v>
      </c>
      <c r="BA34" s="7">
        <v>44</v>
      </c>
      <c r="BB34" s="6" t="str">
        <v>Riet, R.</v>
      </c>
      <c r="BC34" s="2" t="str">
        <v>Ronald</v>
      </c>
      <c r="BD34" s="7">
        <v>38</v>
      </c>
    </row>
    <row r="35" spans="1:56">
      <c r="A35" s="58"/>
      <c r="B35" s="6"/>
      <c r="C35" s="2"/>
      <c r="D35" s="7"/>
      <c r="E35" s="6"/>
      <c r="F35" s="2"/>
      <c r="G35" s="7"/>
      <c r="I35" s="6"/>
      <c r="J35" s="2"/>
      <c r="K35" s="7"/>
      <c r="L35" s="6"/>
      <c r="M35" s="2"/>
      <c r="N35" s="7"/>
      <c r="P35" s="6"/>
      <c r="Q35" s="2"/>
      <c r="R35" s="7"/>
      <c r="S35" s="6"/>
      <c r="T35" s="2"/>
      <c r="U35" s="7"/>
      <c r="W35" s="6"/>
      <c r="X35" s="2"/>
      <c r="Y35" s="7"/>
      <c r="Z35" s="6"/>
      <c r="AA35" s="2"/>
      <c r="AB35" s="7"/>
      <c r="AD35" s="6"/>
      <c r="AE35" s="2"/>
      <c r="AF35" s="7"/>
      <c r="AG35" s="6"/>
      <c r="AH35" s="2"/>
      <c r="AI35" s="7"/>
      <c r="AK35" s="6"/>
      <c r="AL35" s="2"/>
      <c r="AM35" s="7"/>
      <c r="AN35" s="6"/>
      <c r="AO35" s="2"/>
      <c r="AP35" s="7"/>
      <c r="AR35" s="6"/>
      <c r="AS35" s="2"/>
      <c r="AT35" s="7"/>
      <c r="AU35" s="6"/>
      <c r="AV35" s="2"/>
      <c r="AW35" s="7"/>
      <c r="AY35" s="6"/>
      <c r="AZ35" s="2"/>
      <c r="BA35" s="7"/>
      <c r="BB35" s="6"/>
      <c r="BC35" s="2"/>
      <c r="BD35" s="7"/>
    </row>
    <row r="36" spans="1:56" ht="15.75" thickBot="1">
      <c r="A36" s="58"/>
      <c r="B36" s="6"/>
      <c r="C36" s="2"/>
      <c r="D36" s="7"/>
      <c r="E36" s="6"/>
      <c r="F36" s="2"/>
      <c r="G36" s="7"/>
      <c r="I36" s="6"/>
      <c r="J36" s="2"/>
      <c r="K36" s="7"/>
      <c r="L36" s="6"/>
      <c r="M36" s="2"/>
      <c r="N36" s="7"/>
      <c r="P36" s="6"/>
      <c r="Q36" s="2"/>
      <c r="R36" s="7"/>
      <c r="S36" s="6"/>
      <c r="T36" s="2"/>
      <c r="U36" s="7"/>
      <c r="W36" s="6"/>
      <c r="X36" s="2"/>
      <c r="Y36" s="7"/>
      <c r="Z36" s="6"/>
      <c r="AA36" s="2"/>
      <c r="AB36" s="7"/>
      <c r="AD36" s="6"/>
      <c r="AE36" s="2"/>
      <c r="AF36" s="7"/>
      <c r="AG36" s="6"/>
      <c r="AH36" s="2"/>
      <c r="AI36" s="7"/>
      <c r="AK36" s="6"/>
      <c r="AL36" s="2"/>
      <c r="AM36" s="7"/>
      <c r="AN36" s="6"/>
      <c r="AO36" s="2"/>
      <c r="AP36" s="7"/>
      <c r="AR36" s="6"/>
      <c r="AS36" s="2"/>
      <c r="AT36" s="7"/>
      <c r="AU36" s="6"/>
      <c r="AV36" s="2"/>
      <c r="AW36" s="7"/>
      <c r="AY36" s="6"/>
      <c r="AZ36" s="2"/>
      <c r="BA36" s="7"/>
      <c r="BB36" s="6"/>
      <c r="BC36" s="2"/>
      <c r="BD36" s="7"/>
    </row>
    <row r="37" spans="1:56">
      <c r="A37" s="58"/>
      <c r="B37" s="12" t="str" cm="1">
        <f t="array" ref="B37:B40">_xlfn._xlws.FILTER(Staf!$C:$C,Staf!$B:$B=Teams!B27,"")</f>
        <v>Coach S1</v>
      </c>
      <c r="C37" s="13" t="str" cm="1">
        <f t="array" ref="C37:C40">_xlfn._xlws.FILTER(Staf!$A:$A,Staf!$B:$B=Teams!B27,"")</f>
        <v>Lion van der Klooster</v>
      </c>
      <c r="D37" s="13"/>
      <c r="E37" s="13"/>
      <c r="F37" s="13"/>
      <c r="G37" s="14"/>
      <c r="I37" s="12" t="str" cm="1">
        <f t="array" ref="I37">_xlfn._xlws.FILTER(Staf!$C:$C,Staf!$B:$B=Teams!I27,"")</f>
        <v>Coach S2</v>
      </c>
      <c r="J37" s="13" t="str" cm="1">
        <f t="array" ref="J37">_xlfn._xlws.FILTER(Staf!$A:$A,Staf!$B:$B=Teams!I27,"")</f>
        <v>Erik vd Burgt</v>
      </c>
      <c r="K37" s="13"/>
      <c r="L37" s="13"/>
      <c r="M37" s="13"/>
      <c r="N37" s="14"/>
      <c r="P37" s="12" t="str" cm="1">
        <f t="array" ref="P37">_xlfn._xlws.FILTER(Staf!$C:$C,Staf!$B:$B=Teams!P27,"")</f>
        <v>Begeleider</v>
      </c>
      <c r="Q37" s="13" t="str" cm="1">
        <f t="array" ref="Q37">_xlfn._xlws.FILTER(Staf!$A:$A,Staf!$B:$B=Teams!P27,"")</f>
        <v>Kim Ardon</v>
      </c>
      <c r="R37" s="13"/>
      <c r="S37" s="13"/>
      <c r="T37" s="13"/>
      <c r="U37" s="14"/>
      <c r="W37" s="12" t="str" cm="1">
        <f t="array" ref="W37">_xlfn._xlws.FILTER(Staf!$C:$C,Staf!$B:$B=Teams!W27,"")</f>
        <v>Thuiscoach</v>
      </c>
      <c r="X37" s="13" t="str" cm="1">
        <f t="array" ref="X37">_xlfn._xlws.FILTER(Staf!$A:$A,Staf!$B:$B=Teams!W27,"")</f>
        <v>Marco van Kalkeren</v>
      </c>
      <c r="Y37" s="13"/>
      <c r="Z37" s="13"/>
      <c r="AA37" s="13"/>
      <c r="AB37" s="14"/>
      <c r="AD37" s="12" t="str" cm="1">
        <f t="array" ref="AD37">_xlfn._xlws.FILTER(Staf!$C:$C,Staf!$B:$B=Teams!AD27,"")</f>
        <v/>
      </c>
      <c r="AE37" s="13" t="str" cm="1">
        <f t="array" ref="AE37">_xlfn._xlws.FILTER(Staf!$A:$A,Staf!$B:$B=Teams!AD27,"")</f>
        <v/>
      </c>
      <c r="AF37" s="13"/>
      <c r="AG37" s="13"/>
      <c r="AH37" s="13"/>
      <c r="AI37" s="14"/>
      <c r="AK37" s="12" t="str" cm="1">
        <f t="array" ref="AK37">_xlfn._xlws.FILTER(Staf!$C:$C,Staf!$B:$B=Teams!AK27,"")</f>
        <v/>
      </c>
      <c r="AL37" s="13" t="str" cm="1">
        <f t="array" ref="AL37">_xlfn._xlws.FILTER(Staf!$A:$A,Staf!$B:$B=Teams!AK27,"")</f>
        <v/>
      </c>
      <c r="AM37" s="13"/>
      <c r="AN37" s="13"/>
      <c r="AO37" s="13"/>
      <c r="AP37" s="14"/>
      <c r="AR37" s="12" t="str" cm="1">
        <f t="array" ref="AR37">_xlfn._xlws.FILTER(Staf!$C:$C,Staf!$B:$B=Teams!AR27,"")</f>
        <v/>
      </c>
      <c r="AS37" s="13" t="str" cm="1">
        <f t="array" ref="AS37">_xlfn._xlws.FILTER(Staf!$A:$A,Staf!$B:$B=Teams!AR27,"")</f>
        <v/>
      </c>
      <c r="AT37" s="13"/>
      <c r="AU37" s="13"/>
      <c r="AV37" s="13"/>
      <c r="AW37" s="14"/>
      <c r="AY37" s="12" t="str" cm="1">
        <f t="array" ref="AY37">_xlfn._xlws.FILTER(Staf!$C:$C,Staf!$B:$B=Teams!AY27,"")</f>
        <v/>
      </c>
      <c r="AZ37" s="13" t="str" cm="1">
        <f t="array" ref="AZ37">_xlfn._xlws.FILTER(Staf!$A:$A,Staf!$B:$B=Teams!AY27,"")</f>
        <v/>
      </c>
      <c r="BA37" s="13"/>
      <c r="BB37" s="13"/>
      <c r="BC37" s="13"/>
      <c r="BD37" s="14"/>
    </row>
    <row r="38" spans="1:56">
      <c r="A38" s="58"/>
      <c r="B38" s="15" t="str">
        <v>Assistent S1</v>
      </c>
      <c r="C38" s="16" t="str">
        <v>Niels Molendijk</v>
      </c>
      <c r="D38" s="16"/>
      <c r="E38" s="16"/>
      <c r="F38" s="16"/>
      <c r="G38" s="17"/>
      <c r="I38" s="15"/>
      <c r="J38" s="16"/>
      <c r="K38" s="16"/>
      <c r="L38" s="16"/>
      <c r="M38" s="16"/>
      <c r="N38" s="17"/>
      <c r="P38" s="15"/>
      <c r="Q38" s="16"/>
      <c r="R38" s="16"/>
      <c r="S38" s="16"/>
      <c r="T38" s="16"/>
      <c r="U38" s="17"/>
      <c r="W38" s="15"/>
      <c r="X38" s="16"/>
      <c r="Y38" s="16"/>
      <c r="Z38" s="16"/>
      <c r="AA38" s="16"/>
      <c r="AB38" s="17"/>
      <c r="AD38" s="15"/>
      <c r="AE38" s="16"/>
      <c r="AF38" s="16"/>
      <c r="AG38" s="16"/>
      <c r="AH38" s="16"/>
      <c r="AI38" s="17"/>
      <c r="AK38" s="15"/>
      <c r="AL38" s="16"/>
      <c r="AM38" s="16"/>
      <c r="AN38" s="16"/>
      <c r="AO38" s="16"/>
      <c r="AP38" s="17"/>
      <c r="AR38" s="15"/>
      <c r="AS38" s="16"/>
      <c r="AT38" s="16"/>
      <c r="AU38" s="16"/>
      <c r="AV38" s="16"/>
      <c r="AW38" s="17"/>
      <c r="AY38" s="15"/>
      <c r="AZ38" s="16"/>
      <c r="BA38" s="16"/>
      <c r="BB38" s="16"/>
      <c r="BC38" s="16"/>
      <c r="BD38" s="17"/>
    </row>
    <row r="39" spans="1:56" ht="15.75" thickBot="1">
      <c r="A39" s="58"/>
      <c r="B39" s="18" t="str">
        <v>Fysio</v>
      </c>
      <c r="C39" s="19" t="str">
        <v>Ruben Kamerbeek</v>
      </c>
      <c r="D39" s="19"/>
      <c r="E39" s="19"/>
      <c r="F39" s="19"/>
      <c r="G39" s="20"/>
      <c r="I39" s="18"/>
      <c r="J39" s="19"/>
      <c r="K39" s="19"/>
      <c r="L39" s="19"/>
      <c r="M39" s="19"/>
      <c r="N39" s="20"/>
      <c r="P39" s="18"/>
      <c r="Q39" s="19"/>
      <c r="R39" s="19"/>
      <c r="S39" s="19"/>
      <c r="T39" s="19"/>
      <c r="U39" s="20"/>
      <c r="W39" s="18"/>
      <c r="X39" s="19"/>
      <c r="Y39" s="19"/>
      <c r="Z39" s="19"/>
      <c r="AA39" s="19"/>
      <c r="AB39" s="20"/>
      <c r="AD39" s="18"/>
      <c r="AE39" s="19"/>
      <c r="AF39" s="19"/>
      <c r="AG39" s="19"/>
      <c r="AH39" s="19"/>
      <c r="AI39" s="20"/>
      <c r="AK39" s="18"/>
      <c r="AL39" s="19"/>
      <c r="AM39" s="19"/>
      <c r="AN39" s="19"/>
      <c r="AO39" s="19"/>
      <c r="AP39" s="20"/>
      <c r="AR39" s="18"/>
      <c r="AS39" s="19"/>
      <c r="AT39" s="19"/>
      <c r="AU39" s="19"/>
      <c r="AV39" s="19"/>
      <c r="AW39" s="20"/>
      <c r="AY39" s="18"/>
      <c r="AZ39" s="19"/>
      <c r="BA39" s="19"/>
      <c r="BB39" s="19"/>
      <c r="BC39" s="19"/>
      <c r="BD39" s="20"/>
    </row>
    <row r="40" spans="1:56" ht="15.75" thickBot="1">
      <c r="B40" t="str">
        <v>Verzorger</v>
      </c>
      <c r="C40" t="str">
        <v>Theo Anrochte</v>
      </c>
    </row>
    <row r="41" spans="1:56" ht="15.75" thickBot="1">
      <c r="A41" s="58" t="s">
        <v>13</v>
      </c>
      <c r="B41" s="21" t="s">
        <v>14</v>
      </c>
      <c r="C41" s="21"/>
      <c r="D41" s="21"/>
      <c r="E41" s="21"/>
      <c r="F41" s="21"/>
      <c r="G41" s="22">
        <f>AVERAGE(D43:D53,G43:G53)</f>
        <v>17.600000000000001</v>
      </c>
      <c r="I41" s="21" t="s">
        <v>15</v>
      </c>
      <c r="J41" s="21"/>
      <c r="K41" s="21"/>
      <c r="L41" s="21"/>
      <c r="M41" s="21"/>
      <c r="N41" s="22">
        <f>AVERAGE(K43:K53,N43:N53)</f>
        <v>16.8</v>
      </c>
      <c r="P41" s="21" t="s">
        <v>16</v>
      </c>
      <c r="Q41" s="21"/>
      <c r="R41" s="21"/>
      <c r="S41" s="21"/>
      <c r="T41" s="21"/>
      <c r="U41" s="22">
        <f>AVERAGE(R43:R53,U43:U53)</f>
        <v>16.083333333333332</v>
      </c>
      <c r="W41" s="21" t="s">
        <v>17</v>
      </c>
      <c r="X41" s="21"/>
      <c r="Y41" s="21"/>
      <c r="Z41" s="21"/>
      <c r="AA41" s="21"/>
      <c r="AB41" s="22">
        <f>AVERAGE(Y43:Y53,AB43:AB53)</f>
        <v>17</v>
      </c>
      <c r="AD41" s="21" t="s">
        <v>18</v>
      </c>
      <c r="AE41" s="21"/>
      <c r="AF41" s="21"/>
      <c r="AG41" s="21"/>
      <c r="AH41" s="21"/>
      <c r="AI41" s="22" t="e">
        <f>AVERAGE(AF43:AF53,AI43:AI53)</f>
        <v>#DIV/0!</v>
      </c>
    </row>
    <row r="42" spans="1:56" ht="15.75" thickBot="1">
      <c r="A42" s="58"/>
      <c r="B42" s="8" t="str">
        <f>CONCATENATE("Dames (",COUNTA(C43:C51),")")</f>
        <v>Dames (5)</v>
      </c>
      <c r="C42" s="9"/>
      <c r="D42" s="10"/>
      <c r="E42" s="8" t="str">
        <f>CONCATENATE("Heren (",COUNTA(F43:F51),")")</f>
        <v>Heren (5)</v>
      </c>
      <c r="F42" s="9"/>
      <c r="G42" s="10"/>
      <c r="I42" s="8" t="str">
        <f>CONCATENATE("Dames (",COUNTA(J43:J51),")")</f>
        <v>Dames (5)</v>
      </c>
      <c r="J42" s="9"/>
      <c r="K42" s="10"/>
      <c r="L42" s="8" t="str">
        <f>CONCATENATE("Heren (",COUNTA(M43:M51),")")</f>
        <v>Heren (5)</v>
      </c>
      <c r="M42" s="9"/>
      <c r="N42" s="10"/>
      <c r="P42" s="8" t="str">
        <f>CONCATENATE("Dames (",COUNTA(Q43:Q51),")")</f>
        <v>Dames (9)</v>
      </c>
      <c r="Q42" s="9"/>
      <c r="R42" s="10"/>
      <c r="S42" s="8" t="str">
        <f>CONCATENATE("Heren (",COUNTA(T43:T51),")")</f>
        <v>Heren (3)</v>
      </c>
      <c r="T42" s="9"/>
      <c r="U42" s="10"/>
      <c r="W42" s="8" t="str">
        <f>CONCATENATE("Dames (",COUNTA(X43:X51),")")</f>
        <v>Dames (4)</v>
      </c>
      <c r="X42" s="9"/>
      <c r="Y42" s="10"/>
      <c r="Z42" s="8" t="str">
        <f>CONCATENATE("Heren (",COUNTA(AA43:AA51),")")</f>
        <v>Heren (4)</v>
      </c>
      <c r="AA42" s="9"/>
      <c r="AB42" s="10"/>
      <c r="AD42" s="8" t="str">
        <f>CONCATENATE("Dames (",COUNTA(AE43:AE51),")")</f>
        <v>Dames (1)</v>
      </c>
      <c r="AE42" s="9"/>
      <c r="AF42" s="10"/>
      <c r="AG42" s="8" t="str">
        <f>CONCATENATE("Heren (",COUNTA(AH43:AH51),")")</f>
        <v>Heren (1)</v>
      </c>
      <c r="AH42" s="9"/>
      <c r="AI42" s="10"/>
    </row>
    <row r="43" spans="1:56">
      <c r="A43" s="58"/>
      <c r="B43" s="3" t="str" cm="1">
        <f t="array" ref="B43:B47">_xlfn._xlws.FILTER(Spelerslijst!$B:$B,Spelerslijst!$G:$G=B$41,"")</f>
        <v>Driesprong, M.</v>
      </c>
      <c r="C43" s="4" t="str" cm="1">
        <f t="array" ref="C43:C47">_xlfn._xlws.FILTER(Spelerslijst!$C:$C,Spelerslijst!$G:$G=B$41,"")</f>
        <v>Meike</v>
      </c>
      <c r="D43" s="5" cm="1">
        <f t="array" ref="D43:D47">_xlfn._xlws.FILTER(Spelerslijst!$D:$D,Spelerslijst!$G:$G=B$41,"")</f>
        <v>17</v>
      </c>
      <c r="E43" s="3" t="str" cm="1">
        <f t="array" ref="E43:E47">_xlfn._xlws.FILTER(Spelerslijst!$K:$K,Spelerslijst!$P:$P=B$41,"")</f>
        <v>Alberts, S.</v>
      </c>
      <c r="F43" s="4" t="str" cm="1">
        <f t="array" ref="F43:F47">_xlfn._xlws.FILTER(Spelerslijst!$L:$L,Spelerslijst!$P:$P=B$41,"")</f>
        <v>Sem</v>
      </c>
      <c r="G43" s="5" cm="1">
        <f t="array" ref="G43:G47">_xlfn._xlws.FILTER(Spelerslijst!$M:$M,Spelerslijst!$P:$P=B$41,"")</f>
        <v>17</v>
      </c>
      <c r="I43" s="3" t="str" cm="1">
        <f t="array" ref="I43:I47">_xlfn._xlws.FILTER(Spelerslijst!$B:$B,Spelerslijst!$G:$G=I$41,"")</f>
        <v>Boshoven, S.A.E.</v>
      </c>
      <c r="J43" s="4" t="str" cm="1">
        <f t="array" ref="J43:J47">_xlfn._xlws.FILTER(Spelerslijst!$C:$C,Spelerslijst!$G:$G=I$41,"")</f>
        <v>Sara</v>
      </c>
      <c r="K43" s="5" cm="1">
        <f t="array" ref="K43:K47">_xlfn._xlws.FILTER(Spelerslijst!$D:$D,Spelerslijst!$G:$G=I$41,"")</f>
        <v>16</v>
      </c>
      <c r="L43" s="3" t="str" cm="1">
        <f t="array" ref="L43:L47">_xlfn._xlws.FILTER(Spelerslijst!$K:$K,Spelerslijst!$P:$P=I$41,"")</f>
        <v>Fasbender, T.</v>
      </c>
      <c r="M43" s="4" t="str" cm="1">
        <f t="array" ref="M43:M47">_xlfn._xlws.FILTER(Spelerslijst!$L:$L,Spelerslijst!$P:$P=I$41,"")</f>
        <v>Tijmen</v>
      </c>
      <c r="N43" s="5" cm="1">
        <f t="array" ref="N43:N47">_xlfn._xlws.FILTER(Spelerslijst!$M:$M,Spelerslijst!$P:$P=I$41,"")</f>
        <v>18</v>
      </c>
      <c r="P43" s="3" t="str" cm="1">
        <f t="array" ref="P43:P51">_xlfn._xlws.FILTER(Spelerslijst!$B:$B,Spelerslijst!$G:$G=P$41,"")</f>
        <v>Boeije, A.J.</v>
      </c>
      <c r="Q43" s="4" t="str" cm="1">
        <f t="array" ref="Q43:Q51">_xlfn._xlws.FILTER(Spelerslijst!$C:$C,Spelerslijst!$G:$G=P$41,"")</f>
        <v>Amber</v>
      </c>
      <c r="R43" s="5" cm="1">
        <f t="array" ref="R43:R51">_xlfn._xlws.FILTER(Spelerslijst!$D:$D,Spelerslijst!$G:$G=P$41,"")</f>
        <v>16</v>
      </c>
      <c r="S43" s="3" t="str" cm="1">
        <f t="array" ref="S43:S45">_xlfn._xlws.FILTER(Spelerslijst!$K:$K,Spelerslijst!$P:$P=P$41,"")</f>
        <v>IJben, C.</v>
      </c>
      <c r="T43" s="4" t="str" cm="1">
        <f t="array" ref="T43:T45">_xlfn._xlws.FILTER(Spelerslijst!$L:$L,Spelerslijst!$P:$P=P$41,"")</f>
        <v>Chris</v>
      </c>
      <c r="U43" s="5" cm="1">
        <f t="array" ref="U43:U45">_xlfn._xlws.FILTER(Spelerslijst!$M:$M,Spelerslijst!$P:$P=P$41,"")</f>
        <v>16</v>
      </c>
      <c r="W43" s="3" t="str" cm="1">
        <f t="array" ref="W43:W46">_xlfn._xlws.FILTER(Spelerslijst!$B:$B,Spelerslijst!$G:$G=W$41,"")</f>
        <v>Degenhardt, K</v>
      </c>
      <c r="X43" s="4" t="str" cm="1">
        <f t="array" ref="X43:X46">_xlfn._xlws.FILTER(Spelerslijst!$C:$C,Spelerslijst!$G:$G=W$41,"")</f>
        <v>Kim</v>
      </c>
      <c r="Y43" s="5" cm="1">
        <f t="array" ref="Y43:Y46">_xlfn._xlws.FILTER(Spelerslijst!$D:$D,Spelerslijst!$G:$G=W$41,"")</f>
        <v>17</v>
      </c>
      <c r="Z43" s="3" t="str" cm="1">
        <f t="array" ref="Z43:Z46">_xlfn._xlws.FILTER(Spelerslijst!$K:$K,Spelerslijst!$P:$P=W$41,"")</f>
        <v>Everaarts, J.D.</v>
      </c>
      <c r="AA43" s="4" t="str" cm="1">
        <f t="array" ref="AA43:AA46">_xlfn._xlws.FILTER(Spelerslijst!$L:$L,Spelerslijst!$P:$P=W$41,"")</f>
        <v>Jesse</v>
      </c>
      <c r="AB43" s="5" cm="1">
        <f t="array" ref="AB43:AB46">_xlfn._xlws.FILTER(Spelerslijst!$M:$M,Spelerslijst!$P:$P=W$41,"")</f>
        <v>17</v>
      </c>
      <c r="AD43" s="3" t="str" cm="1">
        <f t="array" ref="AD43">_xlfn._xlws.FILTER(Spelerslijst!$B:$B,Spelerslijst!$G:$G=AD$41,"")</f>
        <v/>
      </c>
      <c r="AE43" s="4" t="str" cm="1">
        <f t="array" ref="AE43">_xlfn._xlws.FILTER(Spelerslijst!$C:$C,Spelerslijst!$G:$G=AD$41,"")</f>
        <v/>
      </c>
      <c r="AF43" s="5" t="str" cm="1">
        <f t="array" ref="AF43">_xlfn._xlws.FILTER(Spelerslijst!$D:$D,Spelerslijst!$G:$G=AD$41,"")</f>
        <v/>
      </c>
      <c r="AG43" s="3" t="str" cm="1">
        <f t="array" ref="AG43">_xlfn._xlws.FILTER(Spelerslijst!$K:$K,Spelerslijst!$P:$P=AD$41,"")</f>
        <v/>
      </c>
      <c r="AH43" s="4" t="str" cm="1">
        <f t="array" ref="AH43">_xlfn._xlws.FILTER(Spelerslijst!$L:$L,Spelerslijst!$P:$P=AD$41,"")</f>
        <v/>
      </c>
      <c r="AI43" s="5" t="str" cm="1">
        <f t="array" ref="AI43">_xlfn._xlws.FILTER(Spelerslijst!$M:$M,Spelerslijst!$P:$P=AD$41,"")</f>
        <v/>
      </c>
    </row>
    <row r="44" spans="1:56">
      <c r="A44" s="58"/>
      <c r="B44" s="6" t="str">
        <v>Fernhout, L.</v>
      </c>
      <c r="C44" s="2" t="str">
        <v>Loïs</v>
      </c>
      <c r="D44" s="7">
        <v>18</v>
      </c>
      <c r="E44" s="6" t="str">
        <v>Hoeve, ten M.</v>
      </c>
      <c r="F44" s="2" t="str">
        <v>Milan</v>
      </c>
      <c r="G44" s="7">
        <v>18</v>
      </c>
      <c r="I44" s="6" t="str">
        <v>Gent, van E.</v>
      </c>
      <c r="J44" s="2" t="str">
        <v>Elsemieke</v>
      </c>
      <c r="K44" s="7">
        <v>17</v>
      </c>
      <c r="L44" s="6" t="str">
        <v>Kuijper, D.V.</v>
      </c>
      <c r="M44" s="2" t="str">
        <v>David</v>
      </c>
      <c r="N44" s="7">
        <v>18</v>
      </c>
      <c r="P44" s="6" t="str">
        <v>Fasbender, L.</v>
      </c>
      <c r="Q44" s="2" t="str">
        <v>Lindi</v>
      </c>
      <c r="R44" s="7">
        <v>16</v>
      </c>
      <c r="S44" s="6" t="str">
        <v>Koornneef, W.J.</v>
      </c>
      <c r="T44" s="2" t="str">
        <v>Wouter</v>
      </c>
      <c r="U44" s="7">
        <v>16</v>
      </c>
      <c r="W44" s="6" t="str">
        <v>Dekker, D.</v>
      </c>
      <c r="X44" s="2" t="str">
        <v>Daniëlle</v>
      </c>
      <c r="Y44" s="7">
        <v>17</v>
      </c>
      <c r="Z44" s="6" t="str">
        <v>Klein, D.H.</v>
      </c>
      <c r="AA44" s="2" t="str">
        <v>Daan</v>
      </c>
      <c r="AB44" s="7">
        <v>16</v>
      </c>
      <c r="AD44" s="6"/>
      <c r="AE44" s="2"/>
      <c r="AF44" s="7"/>
      <c r="AG44" s="6"/>
      <c r="AH44" s="2"/>
      <c r="AI44" s="7"/>
    </row>
    <row r="45" spans="1:56">
      <c r="A45" s="58"/>
      <c r="B45" s="6" t="str">
        <v>Horst, ter B.A.</v>
      </c>
      <c r="C45" s="2" t="str">
        <v>Bridget</v>
      </c>
      <c r="D45" s="7">
        <v>18</v>
      </c>
      <c r="E45" s="6" t="str">
        <v>Hooijdonk, van O.</v>
      </c>
      <c r="F45" s="2" t="str">
        <v>Otte</v>
      </c>
      <c r="G45" s="7">
        <v>18</v>
      </c>
      <c r="I45" s="6" t="str">
        <v>Groeneweg, R.K.</v>
      </c>
      <c r="J45" s="2" t="str">
        <v>Roos</v>
      </c>
      <c r="K45" s="7">
        <v>16</v>
      </c>
      <c r="L45" s="6" t="str">
        <v>Lohuis, J.A.</v>
      </c>
      <c r="M45" s="2" t="str">
        <v>Jens</v>
      </c>
      <c r="N45" s="7">
        <v>16</v>
      </c>
      <c r="P45" s="6" t="str">
        <v>Horst, ter R.N.</v>
      </c>
      <c r="Q45" s="2" t="str">
        <v>Renee</v>
      </c>
      <c r="R45" s="7">
        <v>16</v>
      </c>
      <c r="S45" s="6" t="str">
        <v>Meijer, J.H.</v>
      </c>
      <c r="T45" s="2" t="str">
        <v>Joeke</v>
      </c>
      <c r="U45" s="7">
        <v>16</v>
      </c>
      <c r="W45" s="6" t="str">
        <v>Herremans, J.</v>
      </c>
      <c r="X45" s="2" t="str">
        <v>Jennifer</v>
      </c>
      <c r="Y45" s="7">
        <v>18</v>
      </c>
      <c r="Z45" s="6" t="str">
        <v>Lange, M.J.D.</v>
      </c>
      <c r="AA45" s="2" t="str">
        <v>Mathijs</v>
      </c>
      <c r="AB45" s="7">
        <v>17</v>
      </c>
      <c r="AD45" s="6"/>
      <c r="AE45" s="2"/>
      <c r="AF45" s="7"/>
      <c r="AG45" s="6"/>
      <c r="AH45" s="2"/>
      <c r="AI45" s="7"/>
    </row>
    <row r="46" spans="1:56">
      <c r="A46" s="58"/>
      <c r="B46" s="6" t="str">
        <v>Verbeek, Y.</v>
      </c>
      <c r="C46" s="2" t="str">
        <v>Yente</v>
      </c>
      <c r="D46" s="7">
        <v>17</v>
      </c>
      <c r="E46" s="6" t="str">
        <v>Timmer, J.</v>
      </c>
      <c r="F46" s="2" t="str">
        <v>Jordan</v>
      </c>
      <c r="G46" s="7">
        <v>17</v>
      </c>
      <c r="I46" s="6" t="str">
        <v>Mol, L.N.A.</v>
      </c>
      <c r="J46" s="2" t="str">
        <v>Laura</v>
      </c>
      <c r="K46" s="7">
        <v>17</v>
      </c>
      <c r="L46" s="6" t="str">
        <v>Seevinck, T.</v>
      </c>
      <c r="M46" s="2" t="str">
        <v>Tim</v>
      </c>
      <c r="N46" s="7">
        <v>18</v>
      </c>
      <c r="P46" s="6" t="str">
        <v>Jongh, de A.</v>
      </c>
      <c r="Q46" s="2" t="str">
        <v>Anouk</v>
      </c>
      <c r="R46" s="7">
        <v>16</v>
      </c>
      <c r="S46" s="6"/>
      <c r="T46" s="2"/>
      <c r="U46" s="7"/>
      <c r="W46" s="6" t="str">
        <v>Witman, K.</v>
      </c>
      <c r="X46" s="2" t="str">
        <v>Kimberley</v>
      </c>
      <c r="Y46" s="7">
        <v>17</v>
      </c>
      <c r="Z46" s="6" t="str">
        <v>Verhagen, L.A.J.</v>
      </c>
      <c r="AA46" s="2" t="str">
        <v>Laurens</v>
      </c>
      <c r="AB46" s="7">
        <v>17</v>
      </c>
      <c r="AD46" s="6"/>
      <c r="AE46" s="2"/>
      <c r="AF46" s="7"/>
      <c r="AG46" s="6"/>
      <c r="AH46" s="2"/>
      <c r="AI46" s="7"/>
    </row>
    <row r="47" spans="1:56">
      <c r="A47" s="58"/>
      <c r="B47" s="6" t="str">
        <v>Volker, L.A.</v>
      </c>
      <c r="C47" s="2" t="str">
        <v>Lisa</v>
      </c>
      <c r="D47" s="7">
        <v>18</v>
      </c>
      <c r="E47" s="6" t="str">
        <v>Uijl, den D.</v>
      </c>
      <c r="F47" s="2" t="str">
        <v>Daniel</v>
      </c>
      <c r="G47" s="7">
        <v>18</v>
      </c>
      <c r="I47" s="6" t="str">
        <v>Wensen, van M.</v>
      </c>
      <c r="J47" s="2" t="str">
        <v>Maud</v>
      </c>
      <c r="K47" s="7">
        <v>16</v>
      </c>
      <c r="L47" s="6" t="str">
        <v>Wietses, J.</v>
      </c>
      <c r="M47" s="2" t="str">
        <v>Joël</v>
      </c>
      <c r="N47" s="7">
        <v>16</v>
      </c>
      <c r="P47" s="6" t="str">
        <v>Lievaart, C.A.</v>
      </c>
      <c r="Q47" s="2" t="str">
        <v>Carlijn</v>
      </c>
      <c r="R47" s="7">
        <v>17</v>
      </c>
      <c r="S47" s="6"/>
      <c r="T47" s="2"/>
      <c r="U47" s="7"/>
      <c r="W47" s="6"/>
      <c r="X47" s="2"/>
      <c r="Y47" s="7"/>
      <c r="Z47" s="6"/>
      <c r="AA47" s="2"/>
      <c r="AB47" s="7"/>
      <c r="AD47" s="6"/>
      <c r="AE47" s="2"/>
      <c r="AF47" s="7"/>
      <c r="AG47" s="6"/>
      <c r="AH47" s="2"/>
      <c r="AI47" s="7"/>
    </row>
    <row r="48" spans="1:56">
      <c r="A48" s="58"/>
      <c r="B48" s="6"/>
      <c r="C48" s="2"/>
      <c r="D48" s="7"/>
      <c r="E48" s="6"/>
      <c r="F48" s="2"/>
      <c r="G48" s="7"/>
      <c r="I48" s="6"/>
      <c r="J48" s="2"/>
      <c r="K48" s="7"/>
      <c r="L48" s="6"/>
      <c r="M48" s="2"/>
      <c r="N48" s="7"/>
      <c r="P48" s="6" t="str">
        <v>Quarré, E.A.</v>
      </c>
      <c r="Q48" s="2" t="str">
        <v>Elena</v>
      </c>
      <c r="R48" s="7">
        <v>16</v>
      </c>
      <c r="S48" s="6"/>
      <c r="T48" s="2"/>
      <c r="U48" s="7"/>
      <c r="W48" s="6"/>
      <c r="X48" s="2"/>
      <c r="Y48" s="7"/>
      <c r="Z48" s="6"/>
      <c r="AA48" s="2"/>
      <c r="AB48" s="7"/>
      <c r="AD48" s="6"/>
      <c r="AE48" s="2"/>
      <c r="AF48" s="7"/>
      <c r="AG48" s="6"/>
      <c r="AH48" s="2"/>
      <c r="AI48" s="7"/>
    </row>
    <row r="49" spans="1:35">
      <c r="A49" s="58"/>
      <c r="B49" s="6"/>
      <c r="C49" s="2"/>
      <c r="D49" s="7"/>
      <c r="E49" s="6"/>
      <c r="F49" s="2"/>
      <c r="G49" s="7"/>
      <c r="I49" s="6"/>
      <c r="J49" s="2"/>
      <c r="K49" s="7"/>
      <c r="L49" s="6"/>
      <c r="M49" s="2"/>
      <c r="N49" s="7"/>
      <c r="P49" s="6" t="str">
        <v>Raab, I.A.S.</v>
      </c>
      <c r="Q49" s="2" t="str">
        <v>Ilse</v>
      </c>
      <c r="R49" s="7">
        <v>16</v>
      </c>
      <c r="S49" s="6"/>
      <c r="T49" s="2"/>
      <c r="U49" s="7"/>
      <c r="W49" s="6"/>
      <c r="X49" s="2"/>
      <c r="Y49" s="7"/>
      <c r="Z49" s="6"/>
      <c r="AA49" s="2"/>
      <c r="AB49" s="7"/>
      <c r="AD49" s="6"/>
      <c r="AE49" s="2"/>
      <c r="AF49" s="7"/>
      <c r="AG49" s="6"/>
      <c r="AH49" s="2"/>
      <c r="AI49" s="7"/>
    </row>
    <row r="50" spans="1:35">
      <c r="A50" s="58"/>
      <c r="B50" s="6"/>
      <c r="C50" s="2"/>
      <c r="D50" s="7"/>
      <c r="E50" s="6"/>
      <c r="F50" s="2"/>
      <c r="G50" s="7"/>
      <c r="I50" s="6"/>
      <c r="J50" s="2"/>
      <c r="K50" s="7"/>
      <c r="L50" s="6"/>
      <c r="M50" s="2"/>
      <c r="N50" s="7"/>
      <c r="P50" s="6" t="str">
        <v>Reus, de K.</v>
      </c>
      <c r="Q50" s="2" t="str">
        <v>Kim</v>
      </c>
      <c r="R50" s="7">
        <v>17</v>
      </c>
      <c r="S50" s="6"/>
      <c r="T50" s="2"/>
      <c r="U50" s="7"/>
      <c r="W50" s="6"/>
      <c r="X50" s="2"/>
      <c r="Y50" s="7"/>
      <c r="Z50" s="6"/>
      <c r="AA50" s="2"/>
      <c r="AB50" s="7"/>
      <c r="AD50" s="6"/>
      <c r="AE50" s="2"/>
      <c r="AF50" s="7"/>
      <c r="AG50" s="6"/>
      <c r="AH50" s="2"/>
      <c r="AI50" s="7"/>
    </row>
    <row r="51" spans="1:35" ht="15.75" thickBot="1">
      <c r="A51" s="58"/>
      <c r="B51" s="6"/>
      <c r="C51" s="2"/>
      <c r="D51" s="7"/>
      <c r="E51" s="6"/>
      <c r="F51" s="2"/>
      <c r="G51" s="7"/>
      <c r="I51" s="6"/>
      <c r="J51" s="2"/>
      <c r="K51" s="7"/>
      <c r="L51" s="6"/>
      <c r="M51" s="2"/>
      <c r="N51" s="7"/>
      <c r="P51" s="6" t="str">
        <v>Wijngaarden, van B.D.</v>
      </c>
      <c r="Q51" s="2" t="str">
        <v>Bente</v>
      </c>
      <c r="R51" s="7">
        <v>15</v>
      </c>
      <c r="S51" s="6"/>
      <c r="T51" s="2"/>
      <c r="U51" s="7"/>
      <c r="W51" s="6"/>
      <c r="X51" s="2"/>
      <c r="Y51" s="7"/>
      <c r="Z51" s="6"/>
      <c r="AA51" s="2"/>
      <c r="AB51" s="7"/>
      <c r="AD51" s="6"/>
      <c r="AE51" s="2"/>
      <c r="AF51" s="7"/>
      <c r="AG51" s="6"/>
      <c r="AH51" s="2"/>
      <c r="AI51" s="7"/>
    </row>
    <row r="52" spans="1:35">
      <c r="A52" s="58"/>
      <c r="B52" s="12" t="str" cm="1">
        <f t="array" ref="B52:B53">_xlfn._xlws.FILTER(Staf!$C:$C,Staf!$B:$B=Teams!B41,"")</f>
        <v>Coach A1</v>
      </c>
      <c r="C52" s="13" t="str" cm="1">
        <f t="array" ref="C52:C53">_xlfn._xlws.FILTER(Staf!$A:$A,Staf!$B:$B=Teams!B41,"")</f>
        <v>Mark Morelissen</v>
      </c>
      <c r="D52" s="13"/>
      <c r="E52" s="13"/>
      <c r="F52" s="13"/>
      <c r="G52" s="14"/>
      <c r="I52" s="12" t="str" cm="1">
        <f t="array" ref="I52">_xlfn._xlws.FILTER(Staf!$C:$C,Staf!$B:$B=Teams!I41,"")</f>
        <v>Coach A2</v>
      </c>
      <c r="J52" s="13" t="str" cm="1">
        <f t="array" ref="J52">_xlfn._xlws.FILTER(Staf!$A:$A,Staf!$B:$B=Teams!I41,"")</f>
        <v>Ruben Blokland</v>
      </c>
      <c r="K52" s="13"/>
      <c r="L52" s="13"/>
      <c r="M52" s="13"/>
      <c r="N52" s="14"/>
      <c r="P52" s="12" t="str" cm="1">
        <f t="array" ref="P52:P53">_xlfn._xlws.FILTER(Staf!$C:$C,Staf!$B:$B=Teams!P41,"")</f>
        <v>Trainer/Coach</v>
      </c>
      <c r="Q52" s="13" t="str" cm="1">
        <f t="array" ref="Q52:Q53">_xlfn._xlws.FILTER(Staf!$A:$A,Staf!$B:$B=Teams!P41,"")</f>
        <v>Olivier Klink</v>
      </c>
      <c r="R52" s="13"/>
      <c r="S52" s="13"/>
      <c r="T52" s="13"/>
      <c r="U52" s="14"/>
      <c r="W52" s="12" t="str" cm="1">
        <f t="array" ref="W52:W53">_xlfn._xlws.FILTER(Staf!$C:$C,Staf!$B:$B=Teams!W41,"")</f>
        <v>Trainer/Coach</v>
      </c>
      <c r="X52" s="13" t="str" cm="1">
        <f t="array" ref="X52:X53">_xlfn._xlws.FILTER(Staf!$A:$A,Staf!$B:$B=Teams!W41,"")</f>
        <v>Lex van Dalen</v>
      </c>
      <c r="Y52" s="13"/>
      <c r="Z52" s="13"/>
      <c r="AA52" s="13"/>
      <c r="AB52" s="14"/>
      <c r="AD52" s="12" t="str" cm="1">
        <f t="array" ref="AD52">_xlfn._xlws.FILTER(Staf!$C:$C,Staf!$B:$B=Teams!AD41,"")</f>
        <v/>
      </c>
      <c r="AE52" s="13" t="str" cm="1">
        <f t="array" ref="AE52">_xlfn._xlws.FILTER(Staf!$A:$A,Staf!$B:$B=Teams!AD41,"")</f>
        <v/>
      </c>
      <c r="AF52" s="13"/>
      <c r="AG52" s="13"/>
      <c r="AH52" s="13"/>
      <c r="AI52" s="14"/>
    </row>
    <row r="53" spans="1:35">
      <c r="A53" s="58"/>
      <c r="B53" s="15" t="str">
        <v>Assistent A1</v>
      </c>
      <c r="C53" s="16" t="str">
        <v>Ruben Blokland</v>
      </c>
      <c r="D53" s="16"/>
      <c r="E53" s="16"/>
      <c r="F53" s="16"/>
      <c r="G53" s="17"/>
      <c r="I53" s="15"/>
      <c r="J53" s="16"/>
      <c r="K53" s="16"/>
      <c r="L53" s="16"/>
      <c r="M53" s="16"/>
      <c r="N53" s="17"/>
      <c r="P53" s="15" t="str">
        <v>Trainer/Coach</v>
      </c>
      <c r="Q53" s="16" t="str">
        <v>Tim van Gent</v>
      </c>
      <c r="R53" s="16"/>
      <c r="S53" s="16"/>
      <c r="T53" s="16"/>
      <c r="U53" s="17"/>
      <c r="W53" s="15" t="str">
        <v>Trainer/Coach</v>
      </c>
      <c r="X53" s="16" t="str">
        <v>Robbert van Ameijden</v>
      </c>
      <c r="Y53" s="16"/>
      <c r="Z53" s="16"/>
      <c r="AA53" s="16"/>
      <c r="AB53" s="17"/>
      <c r="AD53" s="15"/>
      <c r="AE53" s="16"/>
      <c r="AF53" s="16"/>
      <c r="AG53" s="16"/>
      <c r="AH53" s="16"/>
      <c r="AI53" s="17"/>
    </row>
    <row r="54" spans="1:35" ht="15.75" thickBot="1">
      <c r="A54" s="58"/>
      <c r="B54" s="18"/>
      <c r="C54" s="19"/>
      <c r="D54" s="19"/>
      <c r="E54" s="19"/>
      <c r="F54" s="19"/>
      <c r="G54" s="20"/>
      <c r="I54" s="18"/>
      <c r="J54" s="19"/>
      <c r="K54" s="19"/>
      <c r="L54" s="19"/>
      <c r="M54" s="19"/>
      <c r="N54" s="20"/>
      <c r="P54" s="18"/>
      <c r="Q54" s="19"/>
      <c r="R54" s="19"/>
      <c r="S54" s="19"/>
      <c r="T54" s="19"/>
      <c r="U54" s="20"/>
      <c r="W54" s="18"/>
      <c r="X54" s="19"/>
      <c r="Y54" s="19"/>
      <c r="Z54" s="19"/>
      <c r="AA54" s="19"/>
      <c r="AB54" s="20"/>
      <c r="AD54" s="18"/>
      <c r="AE54" s="19"/>
      <c r="AF54" s="19"/>
      <c r="AG54" s="19"/>
      <c r="AH54" s="19"/>
      <c r="AI54" s="20"/>
    </row>
    <row r="55" spans="1:35" ht="15.75" thickBot="1"/>
    <row r="56" spans="1:35" ht="15.75" thickBot="1">
      <c r="A56" s="58" t="s">
        <v>19</v>
      </c>
      <c r="B56" s="21" t="s">
        <v>20</v>
      </c>
      <c r="C56" s="21"/>
      <c r="D56" s="21"/>
      <c r="E56" s="21"/>
      <c r="F56" s="21"/>
      <c r="G56" s="22">
        <f>AVERAGE(D58:D67,G58:G67)</f>
        <v>14.4</v>
      </c>
      <c r="I56" s="21" t="s">
        <v>21</v>
      </c>
      <c r="J56" s="21"/>
      <c r="K56" s="21"/>
      <c r="L56" s="21"/>
      <c r="M56" s="21"/>
      <c r="N56" s="22">
        <f>AVERAGE(K58:K67,N58:N67)</f>
        <v>14</v>
      </c>
      <c r="P56" s="21" t="s">
        <v>22</v>
      </c>
      <c r="Q56" s="21"/>
      <c r="R56" s="21"/>
      <c r="S56" s="21"/>
      <c r="T56" s="21"/>
      <c r="U56" s="22">
        <f>AVERAGE(R58:R67,U58:U67)</f>
        <v>13.8</v>
      </c>
      <c r="W56" s="21" t="s">
        <v>23</v>
      </c>
      <c r="X56" s="21"/>
      <c r="Y56" s="21"/>
      <c r="Z56" s="21"/>
      <c r="AA56" s="21"/>
      <c r="AB56" s="22" t="e">
        <f>AVERAGE(Y58:Y67,AB58:AB67)</f>
        <v>#DIV/0!</v>
      </c>
      <c r="AD56" s="21" t="s">
        <v>24</v>
      </c>
      <c r="AE56" s="21"/>
      <c r="AF56" s="21"/>
      <c r="AG56" s="21"/>
      <c r="AH56" s="21" t="s">
        <v>24</v>
      </c>
      <c r="AI56" s="22" t="e">
        <f>AVERAGE(AF58:AF67,AI58:AI67)</f>
        <v>#DIV/0!</v>
      </c>
    </row>
    <row r="57" spans="1:35" ht="15.75" thickBot="1">
      <c r="A57" s="58"/>
      <c r="B57" s="8" t="str">
        <f>CONCATENATE("Dames (",COUNTA(C58:C65),")")</f>
        <v>Dames (5)</v>
      </c>
      <c r="C57" s="9"/>
      <c r="D57" s="10"/>
      <c r="E57" s="8" t="str">
        <f>CONCATENATE("Heren (",COUNTA(F58:F65),")")</f>
        <v>Heren (5)</v>
      </c>
      <c r="F57" s="9"/>
      <c r="G57" s="10"/>
      <c r="I57" s="8" t="str">
        <f>CONCATENATE("Dames (",COUNTA(J58:J65),")")</f>
        <v>Dames (5)</v>
      </c>
      <c r="J57" s="9"/>
      <c r="K57" s="10"/>
      <c r="L57" s="8" t="str">
        <f>CONCATENATE("Heren (",COUNTA(M58:M65),")")</f>
        <v>Heren (4)</v>
      </c>
      <c r="M57" s="9"/>
      <c r="N57" s="10"/>
      <c r="P57" s="8" t="str">
        <f>CONCATENATE("Dames (",COUNTA(Q58:Q65),")")</f>
        <v>Dames (3)</v>
      </c>
      <c r="Q57" s="9"/>
      <c r="R57" s="10"/>
      <c r="S57" s="8" t="str">
        <f>CONCATENATE("Heren (",COUNTA(T58:T65),")")</f>
        <v>Heren (7)</v>
      </c>
      <c r="T57" s="9"/>
      <c r="U57" s="10"/>
      <c r="W57" s="8" t="str">
        <f>CONCATENATE("Dames (",COUNTA(X58:X65),")")</f>
        <v>Dames (1)</v>
      </c>
      <c r="X57" s="9"/>
      <c r="Y57" s="10"/>
      <c r="Z57" s="8" t="str">
        <f>CONCATENATE("Heren (",COUNTA(AA58:AA65),")")</f>
        <v>Heren (1)</v>
      </c>
      <c r="AA57" s="9"/>
      <c r="AB57" s="10"/>
      <c r="AD57" s="8" t="str">
        <f>CONCATENATE("Dames (",COUNTA(AE58:AE65),")")</f>
        <v>Dames (1)</v>
      </c>
      <c r="AE57" s="9"/>
      <c r="AF57" s="10"/>
      <c r="AG57" s="8" t="str">
        <f>CONCATENATE("Heren (",COUNTA(AH58:AH65),")")</f>
        <v>Heren (1)</v>
      </c>
      <c r="AH57" s="9"/>
      <c r="AI57" s="10"/>
    </row>
    <row r="58" spans="1:35">
      <c r="A58" s="58"/>
      <c r="B58" s="3" t="str" cm="1">
        <f t="array" ref="B58:B62">_xlfn._xlws.FILTER(Spelerslijst!$B:$B,Spelerslijst!$G:$G=B$56,"")</f>
        <v>de Haas, A</v>
      </c>
      <c r="C58" s="4" t="str" cm="1">
        <f t="array" ref="C58:C62">_xlfn._xlws.FILTER(Spelerslijst!$C:$C,Spelerslijst!$G:$G=B$56,"")</f>
        <v>Amber</v>
      </c>
      <c r="D58" s="5" cm="1">
        <f t="array" ref="D58:D62">_xlfn._xlws.FILTER(Spelerslijst!$D:$D,Spelerslijst!$G:$G=B$56,"")</f>
        <v>14</v>
      </c>
      <c r="E58" s="3" t="str" cm="1">
        <f t="array" ref="E58:E62">_xlfn._xlws.FILTER(Spelerslijst!$K:$K,Spelerslijst!$P:$P=B$56,"")</f>
        <v>Bäcker, C.J.</v>
      </c>
      <c r="F58" s="4" t="str" cm="1">
        <f t="array" ref="F58:F62">_xlfn._xlws.FILTER(Spelerslijst!$L:$L,Spelerslijst!$P:$P=B$56,"")</f>
        <v>Tijn</v>
      </c>
      <c r="G58" s="5" cm="1">
        <f t="array" ref="G58:G62">_xlfn._xlws.FILTER(Spelerslijst!$M:$M,Spelerslijst!$P:$P=B$56,"")</f>
        <v>14</v>
      </c>
      <c r="I58" s="3" t="str" cm="1">
        <f t="array" ref="I58:I62">_xlfn._xlws.FILTER(Spelerslijst!$B:$B,Spelerslijst!$G:$G=I$56,"")</f>
        <v>Bouwknegt, L.V.</v>
      </c>
      <c r="J58" s="4" t="str" cm="1">
        <f t="array" ref="J58:J62">_xlfn._xlws.FILTER(Spelerslijst!$C:$C,Spelerslijst!$G:$G=I$56,"")</f>
        <v>Lianne</v>
      </c>
      <c r="K58" s="5" cm="1">
        <f t="array" ref="K58:K62">_xlfn._xlws.FILTER(Spelerslijst!$D:$D,Spelerslijst!$G:$G=I$56,"")</f>
        <v>14</v>
      </c>
      <c r="L58" s="3" t="str" cm="1">
        <f t="array" ref="L58:L61">_xlfn._xlws.FILTER(Spelerslijst!$K:$K,Spelerslijst!$P:$P=I$56,"")</f>
        <v>Altena, E.K.</v>
      </c>
      <c r="M58" s="4" t="str" cm="1">
        <f t="array" ref="M58:M61">_xlfn._xlws.FILTER(Spelerslijst!$L:$L,Spelerslijst!$P:$P=I$56,"")</f>
        <v>Evan</v>
      </c>
      <c r="N58" s="5" cm="1">
        <f t="array" ref="N58:N61">_xlfn._xlws.FILTER(Spelerslijst!$M:$M,Spelerslijst!$P:$P=I$56,"")</f>
        <v>14</v>
      </c>
      <c r="P58" s="3" t="str" cm="1">
        <f t="array" ref="P58:P60">_xlfn._xlws.FILTER(Spelerslijst!$B:$B,Spelerslijst!$G:$G=P$56,"")</f>
        <v>Broek, van de C.</v>
      </c>
      <c r="Q58" s="4" t="str" cm="1">
        <f t="array" ref="Q58:Q60">_xlfn._xlws.FILTER(Spelerslijst!$C:$C,Spelerslijst!$G:$G=P$56,"")</f>
        <v>Carlijn</v>
      </c>
      <c r="R58" s="5" cm="1">
        <f t="array" ref="R58:R60">_xlfn._xlws.FILTER(Spelerslijst!$D:$D,Spelerslijst!$G:$G=P$56,"")</f>
        <v>13</v>
      </c>
      <c r="S58" s="3" t="str" cm="1">
        <f t="array" ref="S58:S64">_xlfn._xlws.FILTER(Spelerslijst!$K:$K,Spelerslijst!$P:$P=P$56,"")</f>
        <v>Boshoven, C.</v>
      </c>
      <c r="T58" s="4" t="str" cm="1">
        <f t="array" ref="T58:T64">_xlfn._xlws.FILTER(Spelerslijst!$L:$L,Spelerslijst!$P:$P=P$56,"")</f>
        <v>Casper</v>
      </c>
      <c r="U58" s="5" cm="1">
        <f t="array" ref="U58:U64">_xlfn._xlws.FILTER(Spelerslijst!$M:$M,Spelerslijst!$P:$P=P$56,"")</f>
        <v>13</v>
      </c>
      <c r="W58" s="3" t="str" cm="1">
        <f t="array" ref="W58">_xlfn._xlws.FILTER(Spelerslijst!$B:$B,Spelerslijst!$G:$G=W$56,"")</f>
        <v/>
      </c>
      <c r="X58" s="4" t="str" cm="1">
        <f t="array" ref="X58">_xlfn._xlws.FILTER(Spelerslijst!$C:$C,Spelerslijst!$G:$G=W$56,"")</f>
        <v/>
      </c>
      <c r="Y58" s="5" t="str" cm="1">
        <f t="array" ref="Y58">_xlfn._xlws.FILTER(Spelerslijst!$D:$D,Spelerslijst!$G:$G=W$56,"")</f>
        <v/>
      </c>
      <c r="Z58" s="3" t="str" cm="1">
        <f t="array" ref="Z58">_xlfn._xlws.FILTER(Spelerslijst!$K:$K,Spelerslijst!$P:$P=W$56,"")</f>
        <v/>
      </c>
      <c r="AA58" s="4" t="str" cm="1">
        <f t="array" ref="AA58">_xlfn._xlws.FILTER(Spelerslijst!$L:$L,Spelerslijst!$P:$P=W$56,"")</f>
        <v/>
      </c>
      <c r="AB58" s="5" t="str" cm="1">
        <f t="array" ref="AB58">_xlfn._xlws.FILTER(Spelerslijst!$M:$M,Spelerslijst!$P:$P=W$56,"")</f>
        <v/>
      </c>
      <c r="AD58" s="3" t="str" cm="1">
        <f t="array" ref="AD58">_xlfn._xlws.FILTER(Spelerslijst!$B:$B,Spelerslijst!$G:$G=AH$56,"")</f>
        <v/>
      </c>
      <c r="AE58" s="4" t="str" cm="1">
        <f t="array" ref="AE58">_xlfn._xlws.FILTER(Spelerslijst!$C:$C,Spelerslijst!$G:$G=AH$56,"")</f>
        <v/>
      </c>
      <c r="AF58" s="5" t="str" cm="1">
        <f t="array" ref="AF58">_xlfn._xlws.FILTER(Spelerslijst!$D:$D,Spelerslijst!$G:$G=AH$56,"")</f>
        <v/>
      </c>
      <c r="AG58" s="3" t="str" cm="1">
        <f t="array" ref="AG58">_xlfn._xlws.FILTER(Spelerslijst!$K:$K,Spelerslijst!$P:$P=AH$56,"")</f>
        <v/>
      </c>
      <c r="AH58" s="4" t="str" cm="1">
        <f t="array" ref="AH58">_xlfn._xlws.FILTER(Spelerslijst!$L:$L,Spelerslijst!$P:$P=AH$56,"")</f>
        <v/>
      </c>
      <c r="AI58" s="5" t="str" cm="1">
        <f t="array" ref="AI58">_xlfn._xlws.FILTER(Spelerslijst!$M:$M,Spelerslijst!$P:$P=AH$56,"")</f>
        <v/>
      </c>
    </row>
    <row r="59" spans="1:35">
      <c r="A59" s="58"/>
      <c r="B59" s="6" t="str">
        <v>Driesprong, J.</v>
      </c>
      <c r="C59" s="2" t="str">
        <v>Jana</v>
      </c>
      <c r="D59" s="7">
        <v>14</v>
      </c>
      <c r="E59" s="6" t="str">
        <v>Koster, S.</v>
      </c>
      <c r="F59" s="2" t="str">
        <v>Senne</v>
      </c>
      <c r="G59" s="7">
        <v>16</v>
      </c>
      <c r="I59" s="6" t="str">
        <v>Bozuwa, J.</v>
      </c>
      <c r="J59" s="2" t="str">
        <v>Julia</v>
      </c>
      <c r="K59" s="7">
        <v>14</v>
      </c>
      <c r="L59" s="6" t="str">
        <v>Burgt, van de S.</v>
      </c>
      <c r="M59" s="2" t="str">
        <v>Seth</v>
      </c>
      <c r="N59" s="7">
        <v>15</v>
      </c>
      <c r="P59" s="6" t="str">
        <v>Everdingen, van T.</v>
      </c>
      <c r="Q59" s="2" t="str">
        <v>Tessa</v>
      </c>
      <c r="R59" s="7">
        <v>15</v>
      </c>
      <c r="S59" s="6" t="str">
        <v>Figee, N</v>
      </c>
      <c r="T59" s="2" t="str">
        <v>Niek</v>
      </c>
      <c r="U59" s="7">
        <v>13</v>
      </c>
      <c r="W59" s="6"/>
      <c r="X59" s="2"/>
      <c r="Y59" s="7"/>
      <c r="Z59" s="6"/>
      <c r="AA59" s="2"/>
      <c r="AB59" s="7"/>
      <c r="AD59" s="6"/>
      <c r="AE59" s="2"/>
      <c r="AF59" s="7"/>
      <c r="AG59" s="6"/>
      <c r="AH59" s="2"/>
      <c r="AI59" s="7"/>
    </row>
    <row r="60" spans="1:35">
      <c r="A60" s="58"/>
      <c r="B60" s="6" t="str">
        <v>Manduapessy, M.</v>
      </c>
      <c r="C60" s="2" t="str">
        <v>Merel</v>
      </c>
      <c r="D60" s="7">
        <v>14</v>
      </c>
      <c r="E60" s="6" t="str">
        <v>Vaartmans, J.A.</v>
      </c>
      <c r="F60" s="2" t="str">
        <v>Jordi</v>
      </c>
      <c r="G60" s="7">
        <v>15</v>
      </c>
      <c r="I60" s="6" t="str">
        <v>Burgt, van de E.</v>
      </c>
      <c r="J60" s="2" t="str">
        <v>Elize</v>
      </c>
      <c r="K60" s="7">
        <v>13</v>
      </c>
      <c r="L60" s="6" t="str">
        <v>Felix, J.</v>
      </c>
      <c r="M60" s="2" t="str">
        <v>Jesper</v>
      </c>
      <c r="N60" s="7">
        <v>14</v>
      </c>
      <c r="P60" s="6" t="str">
        <v>Vreeling, A.J.P.</v>
      </c>
      <c r="Q60" s="2" t="str">
        <v>Anouk</v>
      </c>
      <c r="R60" s="7">
        <v>14</v>
      </c>
      <c r="S60" s="6" t="str">
        <v>Hashmei, A.</v>
      </c>
      <c r="T60" s="2" t="str">
        <v>Ali</v>
      </c>
      <c r="U60" s="7">
        <v>14</v>
      </c>
      <c r="W60" s="6"/>
      <c r="X60" s="2"/>
      <c r="Y60" s="7"/>
      <c r="Z60" s="6"/>
      <c r="AA60" s="2"/>
      <c r="AB60" s="7"/>
      <c r="AD60" s="6"/>
      <c r="AE60" s="2"/>
      <c r="AF60" s="7"/>
      <c r="AG60" s="6"/>
      <c r="AH60" s="2"/>
      <c r="AI60" s="7"/>
    </row>
    <row r="61" spans="1:35">
      <c r="A61" s="58"/>
      <c r="B61" s="6" t="str">
        <v>Mert, R.</v>
      </c>
      <c r="C61" s="2" t="str">
        <v>Rezzan</v>
      </c>
      <c r="D61" s="7">
        <v>15</v>
      </c>
      <c r="E61" s="6" t="str">
        <v>Valk, J.B.</v>
      </c>
      <c r="F61" s="2" t="str">
        <v>Jarno</v>
      </c>
      <c r="G61" s="7">
        <v>14</v>
      </c>
      <c r="I61" s="6" t="str">
        <v>Hoeve, ten S.</v>
      </c>
      <c r="J61" s="2" t="str">
        <v>Senne</v>
      </c>
      <c r="K61" s="7">
        <v>15</v>
      </c>
      <c r="L61" s="6" t="str">
        <v>Vliet, T.M.</v>
      </c>
      <c r="M61" s="2" t="str">
        <v>Tycho</v>
      </c>
      <c r="N61" s="7">
        <v>14</v>
      </c>
      <c r="P61" s="6"/>
      <c r="Q61" s="2"/>
      <c r="R61" s="7"/>
      <c r="S61" s="6" t="str">
        <v>Ibrahim, A.</v>
      </c>
      <c r="T61" s="2" t="str">
        <v>Abdi</v>
      </c>
      <c r="U61" s="7">
        <v>14</v>
      </c>
      <c r="W61" s="6"/>
      <c r="X61" s="2"/>
      <c r="Y61" s="7"/>
      <c r="Z61" s="6"/>
      <c r="AA61" s="2"/>
      <c r="AB61" s="7"/>
      <c r="AD61" s="6"/>
      <c r="AE61" s="2"/>
      <c r="AF61" s="7"/>
      <c r="AG61" s="6"/>
      <c r="AH61" s="2"/>
      <c r="AI61" s="7"/>
    </row>
    <row r="62" spans="1:35">
      <c r="A62" s="58"/>
      <c r="B62" s="6" t="str">
        <v>Wolleswinkel, I.M.S.</v>
      </c>
      <c r="C62" s="2" t="str">
        <v>Iza</v>
      </c>
      <c r="D62" s="7">
        <v>14</v>
      </c>
      <c r="E62" s="6" t="str">
        <v>Zwanenburg, J.</v>
      </c>
      <c r="F62" s="2" t="str">
        <v>Jack</v>
      </c>
      <c r="G62" s="7">
        <v>14</v>
      </c>
      <c r="I62" s="6" t="str">
        <v>Voorbij, D.M.</v>
      </c>
      <c r="J62" s="2" t="str">
        <v>Doeska</v>
      </c>
      <c r="K62" s="7">
        <v>13</v>
      </c>
      <c r="L62" s="6"/>
      <c r="M62" s="2"/>
      <c r="N62" s="7"/>
      <c r="P62" s="6"/>
      <c r="Q62" s="2"/>
      <c r="R62" s="7"/>
      <c r="S62" s="6" t="str">
        <v>Jongh, de M.</v>
      </c>
      <c r="T62" s="2" t="str">
        <v>Matthijs</v>
      </c>
      <c r="U62" s="7">
        <v>14</v>
      </c>
      <c r="W62" s="6"/>
      <c r="X62" s="2"/>
      <c r="Y62" s="7"/>
      <c r="Z62" s="6"/>
      <c r="AA62" s="2"/>
      <c r="AB62" s="7"/>
      <c r="AD62" s="6"/>
      <c r="AE62" s="2"/>
      <c r="AF62" s="7"/>
      <c r="AG62" s="6"/>
      <c r="AH62" s="2"/>
      <c r="AI62" s="7"/>
    </row>
    <row r="63" spans="1:35">
      <c r="A63" s="58"/>
      <c r="B63" s="6"/>
      <c r="C63" s="2"/>
      <c r="D63" s="7"/>
      <c r="E63" s="6"/>
      <c r="F63" s="2"/>
      <c r="G63" s="7"/>
      <c r="I63" s="6"/>
      <c r="J63" s="2"/>
      <c r="K63" s="7"/>
      <c r="L63" s="6"/>
      <c r="M63" s="2"/>
      <c r="N63" s="7"/>
      <c r="P63" s="6"/>
      <c r="Q63" s="2"/>
      <c r="R63" s="7"/>
      <c r="S63" s="6" t="str">
        <v>Koornneef, T.J.</v>
      </c>
      <c r="T63" s="2" t="str">
        <v>Tommie</v>
      </c>
      <c r="U63" s="7">
        <v>14</v>
      </c>
      <c r="W63" s="6"/>
      <c r="X63" s="2"/>
      <c r="Y63" s="7"/>
      <c r="Z63" s="6"/>
      <c r="AA63" s="2"/>
      <c r="AB63" s="7"/>
      <c r="AD63" s="6"/>
      <c r="AE63" s="2"/>
      <c r="AF63" s="7"/>
      <c r="AG63" s="6"/>
      <c r="AH63" s="2"/>
      <c r="AI63" s="7"/>
    </row>
    <row r="64" spans="1:35">
      <c r="A64" s="58"/>
      <c r="B64" s="6"/>
      <c r="C64" s="2"/>
      <c r="D64" s="7"/>
      <c r="E64" s="6"/>
      <c r="F64" s="2"/>
      <c r="G64" s="7"/>
      <c r="I64" s="6"/>
      <c r="J64" s="2"/>
      <c r="K64" s="7"/>
      <c r="L64" s="6"/>
      <c r="M64" s="2"/>
      <c r="N64" s="7"/>
      <c r="P64" s="6"/>
      <c r="Q64" s="2"/>
      <c r="R64" s="7"/>
      <c r="S64" s="6" t="str">
        <v>Pille, M.A.</v>
      </c>
      <c r="T64" s="2" t="str">
        <v>Menno</v>
      </c>
      <c r="U64" s="7">
        <v>14</v>
      </c>
      <c r="W64" s="6"/>
      <c r="X64" s="2"/>
      <c r="Y64" s="7"/>
      <c r="Z64" s="6"/>
      <c r="AA64" s="2"/>
      <c r="AB64" s="7"/>
      <c r="AD64" s="6"/>
      <c r="AE64" s="2"/>
      <c r="AF64" s="7"/>
      <c r="AG64" s="6"/>
      <c r="AH64" s="2"/>
      <c r="AI64" s="7"/>
    </row>
    <row r="65" spans="1:35" ht="15.75" thickBot="1">
      <c r="A65" s="58"/>
      <c r="B65" s="6"/>
      <c r="C65" s="2"/>
      <c r="D65" s="7"/>
      <c r="E65" s="6"/>
      <c r="F65" s="2"/>
      <c r="G65" s="7"/>
      <c r="I65" s="6"/>
      <c r="J65" s="2"/>
      <c r="K65" s="7"/>
      <c r="L65" s="6"/>
      <c r="M65" s="2"/>
      <c r="N65" s="7"/>
      <c r="P65" s="6"/>
      <c r="Q65" s="2"/>
      <c r="R65" s="7"/>
      <c r="S65" s="6"/>
      <c r="T65" s="2"/>
      <c r="U65" s="7"/>
      <c r="W65" s="6"/>
      <c r="X65" s="2"/>
      <c r="Y65" s="7"/>
      <c r="Z65" s="6"/>
      <c r="AA65" s="2"/>
      <c r="AB65" s="7"/>
      <c r="AD65" s="6"/>
      <c r="AE65" s="2"/>
      <c r="AF65" s="7"/>
      <c r="AG65" s="6"/>
      <c r="AH65" s="2"/>
      <c r="AI65" s="7"/>
    </row>
    <row r="66" spans="1:35">
      <c r="A66" s="58"/>
      <c r="B66" s="12" t="str" cm="1">
        <f t="array" ref="B66:B67">_xlfn._xlws.FILTER(Staf!$C:$C,Staf!$B:$B=Teams!B56,"")</f>
        <v>Trainer/Coach</v>
      </c>
      <c r="C66" s="13" t="str" cm="1">
        <f t="array" ref="C66:C67">_xlfn._xlws.FILTER(Staf!$A:$A,Staf!$B:$B=Teams!B56,"")</f>
        <v>Marijn Klink</v>
      </c>
      <c r="D66" s="13"/>
      <c r="E66" s="13"/>
      <c r="F66" s="13"/>
      <c r="G66" s="14"/>
      <c r="I66" s="12" t="str" cm="1">
        <f t="array" ref="I66:I67">_xlfn._xlws.FILTER(Staf!$C:$C,Staf!$B:$B=Teams!I56,"")</f>
        <v>Trainer/Coach</v>
      </c>
      <c r="J66" s="13" t="str" cm="1">
        <f t="array" ref="J66:J67">_xlfn._xlws.FILTER(Staf!$A:$A,Staf!$B:$B=Teams!I56,"")</f>
        <v>Robert Koster</v>
      </c>
      <c r="K66" s="13"/>
      <c r="L66" s="13"/>
      <c r="M66" s="13"/>
      <c r="N66" s="14"/>
      <c r="P66" s="12" t="str" cm="1">
        <f t="array" ref="P66:P67">_xlfn._xlws.FILTER(Staf!$C:$C,Staf!$B:$B=Teams!P56,"")</f>
        <v>Trainer/Coach</v>
      </c>
      <c r="Q66" s="13" t="str" cm="1">
        <f t="array" ref="Q66:Q67">_xlfn._xlws.FILTER(Staf!$A:$A,Staf!$B:$B=Teams!P56,"")</f>
        <v>Bart Driesprong</v>
      </c>
      <c r="R66" s="13"/>
      <c r="S66" s="13"/>
      <c r="T66" s="13"/>
      <c r="U66" s="14"/>
      <c r="W66" s="12" t="str" cm="1">
        <f t="array" ref="W66">_xlfn._xlws.FILTER(Staf!$C:$C,Staf!$B:$B=Teams!W56,"")</f>
        <v/>
      </c>
      <c r="X66" s="13" t="str" cm="1">
        <f t="array" ref="X66">_xlfn._xlws.FILTER(Staf!$A:$A,Staf!$B:$B=Teams!W56,"")</f>
        <v/>
      </c>
      <c r="Y66" s="13"/>
      <c r="Z66" s="13"/>
      <c r="AA66" s="13"/>
      <c r="AB66" s="14"/>
      <c r="AD66" s="12" t="str" cm="1">
        <f t="array" ref="AD66">_xlfn._xlws.FILTER(Staf!$C:$C,Staf!$B:$B=Teams!AD56,"")</f>
        <v/>
      </c>
      <c r="AE66" s="13" t="str" cm="1">
        <f t="array" ref="AE66">_xlfn._xlws.FILTER(Staf!$A:$A,Staf!$B:$B=Teams!AD56,"")</f>
        <v/>
      </c>
      <c r="AF66" s="13"/>
      <c r="AG66" s="13"/>
      <c r="AH66" s="13"/>
      <c r="AI66" s="14"/>
    </row>
    <row r="67" spans="1:35">
      <c r="A67" s="58"/>
      <c r="B67" s="15" t="str">
        <v>Trainer/Coach</v>
      </c>
      <c r="C67" s="16" t="str">
        <v>Xanne Klink</v>
      </c>
      <c r="D67" s="16"/>
      <c r="E67" s="16"/>
      <c r="F67" s="16"/>
      <c r="G67" s="17"/>
      <c r="I67" s="15" t="str">
        <v>Trainer/Coach</v>
      </c>
      <c r="J67" s="16" t="str">
        <v>Tim Groeneweg</v>
      </c>
      <c r="K67" s="16"/>
      <c r="L67" s="16"/>
      <c r="M67" s="16"/>
      <c r="N67" s="17"/>
      <c r="P67" s="15" t="str">
        <v>Trainer/Coach</v>
      </c>
      <c r="Q67" s="16" t="str">
        <v>Mark Schindler</v>
      </c>
      <c r="R67" s="16"/>
      <c r="S67" s="16"/>
      <c r="T67" s="16"/>
      <c r="U67" s="17"/>
      <c r="W67" s="15"/>
      <c r="X67" s="16"/>
      <c r="Y67" s="16"/>
      <c r="Z67" s="16"/>
      <c r="AA67" s="16"/>
      <c r="AB67" s="17"/>
      <c r="AD67" s="15"/>
      <c r="AE67" s="16"/>
      <c r="AF67" s="16"/>
      <c r="AG67" s="16"/>
      <c r="AH67" s="16"/>
      <c r="AI67" s="17"/>
    </row>
    <row r="68" spans="1:35" ht="15.75" thickBot="1">
      <c r="A68" s="58"/>
      <c r="B68" s="18"/>
      <c r="C68" s="19"/>
      <c r="D68" s="19"/>
      <c r="E68" s="19"/>
      <c r="F68" s="19"/>
      <c r="G68" s="20"/>
      <c r="I68" s="18"/>
      <c r="J68" s="19"/>
      <c r="K68" s="19"/>
      <c r="L68" s="19"/>
      <c r="M68" s="19"/>
      <c r="N68" s="20"/>
      <c r="P68" s="18"/>
      <c r="Q68" s="19"/>
      <c r="R68" s="19"/>
      <c r="S68" s="19"/>
      <c r="T68" s="19"/>
      <c r="U68" s="20"/>
      <c r="W68" s="18"/>
      <c r="X68" s="19"/>
      <c r="Y68" s="19"/>
      <c r="Z68" s="19"/>
      <c r="AA68" s="19"/>
      <c r="AB68" s="20"/>
      <c r="AD68" s="18"/>
      <c r="AE68" s="19"/>
      <c r="AF68" s="19"/>
      <c r="AG68" s="19"/>
      <c r="AH68" s="19"/>
      <c r="AI68" s="20"/>
    </row>
    <row r="69" spans="1:35" ht="15.75" thickBot="1"/>
    <row r="70" spans="1:35" ht="15.75" thickBot="1">
      <c r="A70" s="58" t="s">
        <v>25</v>
      </c>
      <c r="B70" s="21" t="s">
        <v>26</v>
      </c>
      <c r="C70" s="21"/>
      <c r="D70" s="21"/>
      <c r="E70" s="21"/>
      <c r="F70" s="21"/>
      <c r="G70" s="22">
        <f>AVERAGE(D72:D81,G72:G81)</f>
        <v>13</v>
      </c>
      <c r="I70" s="21" t="s">
        <v>27</v>
      </c>
      <c r="J70" s="21"/>
      <c r="K70" s="21"/>
      <c r="L70" s="21"/>
      <c r="M70" s="21"/>
      <c r="N70" s="22">
        <f>AVERAGE(K72:K81,N72:N81)</f>
        <v>12.5</v>
      </c>
      <c r="P70" s="21" t="s">
        <v>28</v>
      </c>
      <c r="Q70" s="21"/>
      <c r="R70" s="21"/>
      <c r="S70" s="21"/>
      <c r="T70" s="21"/>
      <c r="U70" s="22">
        <f>AVERAGE(R72:R81,U72:U81)</f>
        <v>12.3</v>
      </c>
      <c r="W70" s="21" t="s">
        <v>29</v>
      </c>
      <c r="X70" s="21"/>
      <c r="Y70" s="21"/>
      <c r="Z70" s="21"/>
      <c r="AA70" s="21"/>
      <c r="AB70" s="22" t="e">
        <f>AVERAGE(Y72:Y81,AB72:AB81)</f>
        <v>#DIV/0!</v>
      </c>
      <c r="AD70" s="21" t="s">
        <v>30</v>
      </c>
      <c r="AE70" s="21"/>
      <c r="AF70" s="21"/>
      <c r="AG70" s="21"/>
      <c r="AH70" s="21"/>
      <c r="AI70" s="22" t="e">
        <f>AVERAGE(AF72:AF81,AI72:AI81)</f>
        <v>#DIV/0!</v>
      </c>
    </row>
    <row r="71" spans="1:35" ht="15.75" thickBot="1">
      <c r="A71" s="58"/>
      <c r="B71" s="8" t="str">
        <f>CONCATENATE("Dames (",COUNTA(C72:C79),")")</f>
        <v>Dames (5)</v>
      </c>
      <c r="C71" s="9"/>
      <c r="D71" s="10"/>
      <c r="E71" s="8" t="str">
        <f>CONCATENATE("Heren (",COUNTA(F72:F79),")")</f>
        <v>Heren (5)</v>
      </c>
      <c r="F71" s="9"/>
      <c r="G71" s="10"/>
      <c r="I71" s="8" t="str">
        <f>CONCATENATE("Dames (",COUNTA(J72:J79),")")</f>
        <v>Dames (5)</v>
      </c>
      <c r="J71" s="9"/>
      <c r="K71" s="10"/>
      <c r="L71" s="8" t="str">
        <f>CONCATENATE("Heren (",COUNTA(M72:M79),")")</f>
        <v>Heren (5)</v>
      </c>
      <c r="M71" s="9"/>
      <c r="N71" s="10"/>
      <c r="P71" s="8" t="str">
        <f>CONCATENATE("Dames (",COUNTA(Q72:Q79),")")</f>
        <v>Dames (4)</v>
      </c>
      <c r="Q71" s="9"/>
      <c r="R71" s="10"/>
      <c r="S71" s="8" t="str">
        <f>CONCATENATE("Heren (",COUNTA(T72:T79),")")</f>
        <v>Heren (6)</v>
      </c>
      <c r="T71" s="9"/>
      <c r="U71" s="10"/>
      <c r="W71" s="8" t="str">
        <f>CONCATENATE("Dames (",COUNTA(X72:X79),")")</f>
        <v>Dames (1)</v>
      </c>
      <c r="X71" s="9"/>
      <c r="Y71" s="10"/>
      <c r="Z71" s="8" t="str">
        <f>CONCATENATE("Heren (",COUNTA(AA72:AA79),")")</f>
        <v>Heren (1)</v>
      </c>
      <c r="AA71" s="9"/>
      <c r="AB71" s="10"/>
      <c r="AD71" s="8" t="str">
        <f>CONCATENATE("Dames (",COUNTA(AE72:AE79),")")</f>
        <v>Dames (1)</v>
      </c>
      <c r="AE71" s="9"/>
      <c r="AF71" s="10"/>
      <c r="AG71" s="8" t="str">
        <f>CONCATENATE("Heren (",COUNTA(AH72:AH79),")")</f>
        <v>Heren (1)</v>
      </c>
      <c r="AH71" s="9"/>
      <c r="AI71" s="10"/>
    </row>
    <row r="72" spans="1:35">
      <c r="A72" s="58"/>
      <c r="B72" s="3" t="str" cm="1">
        <f t="array" ref="B72:B76">_xlfn._xlws.FILTER(Spelerslijst!$B:$B,Spelerslijst!$G:$G=B$70,"")</f>
        <v>Kilsdonk, S.A</v>
      </c>
      <c r="C72" s="4" t="str" cm="1">
        <f t="array" ref="C72:C76">_xlfn._xlws.FILTER(Spelerslijst!$C:$C,Spelerslijst!$G:$G=B$70,"")</f>
        <v>Sophie</v>
      </c>
      <c r="D72" s="5" cm="1">
        <f t="array" ref="D72:D76">_xlfn._xlws.FILTER(Spelerslijst!$D:$D,Spelerslijst!$G:$G=B$70,"")</f>
        <v>13</v>
      </c>
      <c r="E72" s="3" t="str" cm="1">
        <f t="array" ref="E72:E76">_xlfn._xlws.FILTER(Spelerslijst!$K:$K,Spelerslijst!$P:$P=B$70,"")</f>
        <v>Bemer, J.L.E.</v>
      </c>
      <c r="F72" s="4" t="str" cm="1">
        <f t="array" ref="F72:F76">_xlfn._xlws.FILTER(Spelerslijst!$L:$L,Spelerslijst!$P:$P=B$70,"")</f>
        <v>Jarno</v>
      </c>
      <c r="G72" s="5" cm="1">
        <f t="array" ref="G72:G76">_xlfn._xlws.FILTER(Spelerslijst!$M:$M,Spelerslijst!$P:$P=B$70,"")</f>
        <v>12</v>
      </c>
      <c r="I72" s="3" t="str" cm="1">
        <f t="array" ref="I72:I76">_xlfn._xlws.FILTER(Spelerslijst!$B:$B,Spelerslijst!$G:$G=I$70,"")</f>
        <v>Bemer, G.M.E.</v>
      </c>
      <c r="J72" s="4" t="str" cm="1">
        <f t="array" ref="J72:J76">_xlfn._xlws.FILTER(Spelerslijst!$C:$C,Spelerslijst!$G:$G=I$70,"")</f>
        <v>Githa</v>
      </c>
      <c r="K72" s="5" cm="1">
        <f t="array" ref="K72:K76">_xlfn._xlws.FILTER(Spelerslijst!$D:$D,Spelerslijst!$G:$G=I$70,"")</f>
        <v>12</v>
      </c>
      <c r="L72" s="3" t="str" cm="1">
        <f t="array" ref="L72:L76">_xlfn._xlws.FILTER(Spelerslijst!$K:$K,Spelerslijst!$P:$P=I$70,"")</f>
        <v>Camphens, T.</v>
      </c>
      <c r="M72" s="4" t="str" cm="1">
        <f t="array" ref="M72:M76">_xlfn._xlws.FILTER(Spelerslijst!$L:$L,Spelerslijst!$P:$P=I$70,"")</f>
        <v>Tijn</v>
      </c>
      <c r="N72" s="5" cm="1">
        <f t="array" ref="N72:N76">_xlfn._xlws.FILTER(Spelerslijst!$M:$M,Spelerslijst!$P:$P=I$70,"")</f>
        <v>13</v>
      </c>
      <c r="P72" s="3" t="str" cm="1">
        <f t="array" ref="P72:P75">_xlfn._xlws.FILTER(Spelerslijst!$B:$B,Spelerslijst!$G:$G=P$70,"")</f>
        <v>Kamerman, Z.</v>
      </c>
      <c r="Q72" s="4" t="str" cm="1">
        <f t="array" ref="Q72:Q75">_xlfn._xlws.FILTER(Spelerslijst!$C:$C,Spelerslijst!$G:$G=P$70,"")</f>
        <v>Zoë</v>
      </c>
      <c r="R72" s="5" cm="1">
        <f t="array" ref="R72:R75">_xlfn._xlws.FILTER(Spelerslijst!$D:$D,Spelerslijst!$G:$G=P$70,"")</f>
        <v>12</v>
      </c>
      <c r="S72" s="3" t="str" cm="1">
        <f t="array" ref="S72:S77">_xlfn._xlws.FILTER(Spelerslijst!$K:$K,Spelerslijst!$P:$P=P$70,"")</f>
        <v>Est, van K.H.T.</v>
      </c>
      <c r="T72" s="4" t="str" cm="1">
        <f t="array" ref="T72:T77">_xlfn._xlws.FILTER(Spelerslijst!$L:$L,Spelerslijst!$P:$P=P$70,"")</f>
        <v>Koen</v>
      </c>
      <c r="U72" s="5" cm="1">
        <f t="array" ref="U72:U77">_xlfn._xlws.FILTER(Spelerslijst!$M:$M,Spelerslijst!$P:$P=P$70,"")</f>
        <v>13</v>
      </c>
      <c r="W72" s="3" t="str" cm="1">
        <f t="array" ref="W72">_xlfn._xlws.FILTER(Spelerslijst!$B:$B,Spelerslijst!$G:$G=W$70,"")</f>
        <v/>
      </c>
      <c r="X72" s="4" t="str" cm="1">
        <f t="array" ref="X72">_xlfn._xlws.FILTER(Spelerslijst!$C:$C,Spelerslijst!$G:$G=W$70,"")</f>
        <v/>
      </c>
      <c r="Y72" s="5" t="str" cm="1">
        <f t="array" ref="Y72">_xlfn._xlws.FILTER(Spelerslijst!$D:$D,Spelerslijst!$G:$G=W$70,"")</f>
        <v/>
      </c>
      <c r="Z72" s="3" t="str" cm="1">
        <f t="array" ref="Z72">_xlfn._xlws.FILTER(Spelerslijst!$K:$K,Spelerslijst!$P:$P=W$70,"")</f>
        <v/>
      </c>
      <c r="AA72" s="4" t="str" cm="1">
        <f t="array" ref="AA72">_xlfn._xlws.FILTER(Spelerslijst!$L:$L,Spelerslijst!$P:$P=W$70,"")</f>
        <v/>
      </c>
      <c r="AB72" s="5" t="str" cm="1">
        <f t="array" ref="AB72">_xlfn._xlws.FILTER(Spelerslijst!$M:$M,Spelerslijst!$P:$P=W$70,"")</f>
        <v/>
      </c>
      <c r="AD72" s="3" t="str" cm="1">
        <f t="array" ref="AD72">_xlfn._xlws.FILTER(Spelerslijst!$B:$B,Spelerslijst!$G:$G=AD$70,"")</f>
        <v/>
      </c>
      <c r="AE72" s="4" t="str" cm="1">
        <f t="array" ref="AE72">_xlfn._xlws.FILTER(Spelerslijst!$C:$C,Spelerslijst!$G:$G=AD$70,"")</f>
        <v/>
      </c>
      <c r="AF72" s="5" t="str" cm="1">
        <f t="array" ref="AF72">_xlfn._xlws.FILTER(Spelerslijst!$D:$D,Spelerslijst!$G:$G=AD$70,"")</f>
        <v/>
      </c>
      <c r="AG72" s="3" t="str" cm="1">
        <f t="array" ref="AG72">_xlfn._xlws.FILTER(Spelerslijst!$K:$K,Spelerslijst!$P:$P=AD$70,"")</f>
        <v/>
      </c>
      <c r="AH72" s="4" t="str" cm="1">
        <f t="array" ref="AH72">_xlfn._xlws.FILTER(Spelerslijst!$L:$L,Spelerslijst!$P:$P=AD$70,"")</f>
        <v/>
      </c>
      <c r="AI72" s="5" t="str" cm="1">
        <f t="array" ref="AI72">_xlfn._xlws.FILTER(Spelerslijst!$M:$M,Spelerslijst!$P:$P=AD$70,"")</f>
        <v/>
      </c>
    </row>
    <row r="73" spans="1:35">
      <c r="A73" s="58"/>
      <c r="B73" s="6" t="str">
        <v>Klooster, van der C.</v>
      </c>
      <c r="C73" s="2" t="str">
        <v>Carmen</v>
      </c>
      <c r="D73" s="7">
        <v>13</v>
      </c>
      <c r="E73" s="6" t="str">
        <v>Dekker, den O.C.</v>
      </c>
      <c r="F73" s="2" t="str">
        <v>Onno</v>
      </c>
      <c r="G73" s="7">
        <v>13</v>
      </c>
      <c r="I73" s="6" t="str">
        <v>Everaarts, A.E.</v>
      </c>
      <c r="J73" s="2" t="str">
        <v>Anna</v>
      </c>
      <c r="K73" s="7">
        <v>13</v>
      </c>
      <c r="L73" s="6" t="str">
        <v>Heersping, D.B.A.C.</v>
      </c>
      <c r="M73" s="2" t="str">
        <v>Dani</v>
      </c>
      <c r="N73" s="7">
        <v>13</v>
      </c>
      <c r="P73" s="6" t="str">
        <v>Oomens, H.</v>
      </c>
      <c r="Q73" s="2" t="str">
        <v>Hanna</v>
      </c>
      <c r="R73" s="7">
        <v>13</v>
      </c>
      <c r="S73" s="6" t="str">
        <v>Hovestadt, D.</v>
      </c>
      <c r="T73" s="2" t="str">
        <v>Diederik</v>
      </c>
      <c r="U73" s="7">
        <v>12</v>
      </c>
      <c r="W73" s="6"/>
      <c r="X73" s="2"/>
      <c r="Y73" s="7"/>
      <c r="Z73" s="6"/>
      <c r="AA73" s="2"/>
      <c r="AB73" s="7"/>
      <c r="AD73" s="6"/>
      <c r="AE73" s="2"/>
      <c r="AF73" s="7"/>
      <c r="AG73" s="6"/>
      <c r="AH73" s="2"/>
      <c r="AI73" s="7"/>
    </row>
    <row r="74" spans="1:35">
      <c r="A74" s="58"/>
      <c r="B74" s="6" t="str">
        <v>Linden, van der B.S.</v>
      </c>
      <c r="C74" s="2" t="str">
        <v>Benthe</v>
      </c>
      <c r="D74" s="7">
        <v>13</v>
      </c>
      <c r="E74" s="6" t="str">
        <v>Dongen, van F.P.B.</v>
      </c>
      <c r="F74" s="2" t="str">
        <v>Freek</v>
      </c>
      <c r="G74" s="7">
        <v>14</v>
      </c>
      <c r="I74" s="6" t="str">
        <v>Lohuis, F.A.C.</v>
      </c>
      <c r="J74" s="2" t="str">
        <v>Floor</v>
      </c>
      <c r="K74" s="7">
        <v>12</v>
      </c>
      <c r="L74" s="6" t="str">
        <v>Mahabier, J.</v>
      </c>
      <c r="M74" s="2" t="str">
        <v>Jeevan</v>
      </c>
      <c r="N74" s="7">
        <v>13</v>
      </c>
      <c r="P74" s="6" t="str">
        <v>Reijerkerk, S.F.</v>
      </c>
      <c r="Q74" s="2" t="str">
        <v>Sterre</v>
      </c>
      <c r="R74" s="7">
        <v>12</v>
      </c>
      <c r="S74" s="6" t="str">
        <v>Kuijper, R.A.</v>
      </c>
      <c r="T74" s="2" t="str">
        <v>Raoul</v>
      </c>
      <c r="U74" s="7">
        <v>13</v>
      </c>
      <c r="W74" s="6"/>
      <c r="X74" s="2"/>
      <c r="Y74" s="7"/>
      <c r="Z74" s="6"/>
      <c r="AA74" s="2"/>
      <c r="AB74" s="7"/>
      <c r="AD74" s="6"/>
      <c r="AE74" s="2"/>
      <c r="AF74" s="7"/>
      <c r="AG74" s="6"/>
      <c r="AH74" s="2"/>
      <c r="AI74" s="7"/>
    </row>
    <row r="75" spans="1:35">
      <c r="A75" s="58"/>
      <c r="B75" s="6" t="str">
        <v>Reuvers, L.</v>
      </c>
      <c r="C75" s="2" t="str">
        <v>Lisa</v>
      </c>
      <c r="D75" s="7">
        <v>12</v>
      </c>
      <c r="E75" s="6" t="str">
        <v>Driesprong, N.</v>
      </c>
      <c r="F75" s="2" t="str">
        <v>Niek</v>
      </c>
      <c r="G75" s="7">
        <v>13</v>
      </c>
      <c r="I75" s="6" t="str">
        <v>Matena, A.</v>
      </c>
      <c r="J75" s="2" t="str">
        <v>Anjanette</v>
      </c>
      <c r="K75" s="7">
        <v>12</v>
      </c>
      <c r="L75" s="6" t="str">
        <v>Sempel, J.D.</v>
      </c>
      <c r="M75" s="2" t="str">
        <v>Jasper</v>
      </c>
      <c r="N75" s="7">
        <v>12</v>
      </c>
      <c r="P75" s="6" t="str">
        <v>Zwanenburg, R.J.</v>
      </c>
      <c r="Q75" s="2" t="str">
        <v>Robin</v>
      </c>
      <c r="R75" s="7">
        <v>12</v>
      </c>
      <c r="S75" s="6" t="str">
        <v>Pichel, T.</v>
      </c>
      <c r="T75" s="2" t="str">
        <v>Timo</v>
      </c>
      <c r="U75" s="7">
        <v>12</v>
      </c>
      <c r="W75" s="6"/>
      <c r="X75" s="2"/>
      <c r="Y75" s="7"/>
      <c r="Z75" s="6"/>
      <c r="AA75" s="2"/>
      <c r="AB75" s="7"/>
      <c r="AD75" s="6"/>
      <c r="AE75" s="2"/>
      <c r="AF75" s="7"/>
      <c r="AG75" s="6"/>
      <c r="AH75" s="2"/>
      <c r="AI75" s="7"/>
    </row>
    <row r="76" spans="1:35">
      <c r="A76" s="58"/>
      <c r="B76" s="6" t="str">
        <v>Wit, de M.</v>
      </c>
      <c r="C76" s="2" t="str">
        <v>Mila</v>
      </c>
      <c r="D76" s="7">
        <v>14</v>
      </c>
      <c r="E76" s="6" t="str">
        <v>Sas, M.</v>
      </c>
      <c r="F76" s="2" t="str">
        <v>Maarten</v>
      </c>
      <c r="G76" s="7">
        <v>13</v>
      </c>
      <c r="I76" s="6" t="str">
        <v>Verboom, S.</v>
      </c>
      <c r="J76" s="2" t="str">
        <v>Stella</v>
      </c>
      <c r="K76" s="7">
        <v>13</v>
      </c>
      <c r="L76" s="6" t="str">
        <v>Vliet, K.M.</v>
      </c>
      <c r="M76" s="2" t="str">
        <v>Kian</v>
      </c>
      <c r="N76" s="7">
        <v>12</v>
      </c>
      <c r="P76" s="6"/>
      <c r="Q76" s="2"/>
      <c r="R76" s="7"/>
      <c r="S76" s="6" t="str">
        <v>Quarre, S.M.</v>
      </c>
      <c r="T76" s="2" t="str">
        <v>Stephan</v>
      </c>
      <c r="U76" s="7">
        <v>12</v>
      </c>
      <c r="W76" s="6"/>
      <c r="X76" s="2"/>
      <c r="Y76" s="7"/>
      <c r="Z76" s="6"/>
      <c r="AA76" s="2"/>
      <c r="AB76" s="7"/>
      <c r="AD76" s="6"/>
      <c r="AE76" s="2"/>
      <c r="AF76" s="7"/>
      <c r="AG76" s="6"/>
      <c r="AH76" s="2"/>
      <c r="AI76" s="7"/>
    </row>
    <row r="77" spans="1:35">
      <c r="A77" s="58"/>
      <c r="B77" s="6"/>
      <c r="C77" s="2"/>
      <c r="D77" s="7"/>
      <c r="E77" s="6"/>
      <c r="F77" s="2"/>
      <c r="G77" s="7"/>
      <c r="I77" s="6"/>
      <c r="J77" s="2"/>
      <c r="K77" s="7"/>
      <c r="L77" s="6"/>
      <c r="M77" s="2"/>
      <c r="N77" s="7"/>
      <c r="P77" s="6"/>
      <c r="Q77" s="2"/>
      <c r="R77" s="7"/>
      <c r="S77" s="6" t="str">
        <v>Vos, J.</v>
      </c>
      <c r="T77" s="2" t="str">
        <v>Justin</v>
      </c>
      <c r="U77" s="7">
        <v>12</v>
      </c>
      <c r="W77" s="6"/>
      <c r="X77" s="2"/>
      <c r="Y77" s="7"/>
      <c r="Z77" s="6"/>
      <c r="AA77" s="2"/>
      <c r="AB77" s="7"/>
      <c r="AD77" s="6"/>
      <c r="AE77" s="2"/>
      <c r="AF77" s="7"/>
      <c r="AG77" s="6"/>
      <c r="AH77" s="2"/>
      <c r="AI77" s="7"/>
    </row>
    <row r="78" spans="1:35">
      <c r="A78" s="58"/>
      <c r="B78" s="6"/>
      <c r="C78" s="2"/>
      <c r="D78" s="7"/>
      <c r="E78" s="6"/>
      <c r="F78" s="2"/>
      <c r="G78" s="7"/>
      <c r="I78" s="6"/>
      <c r="J78" s="2"/>
      <c r="K78" s="7"/>
      <c r="L78" s="6"/>
      <c r="M78" s="2"/>
      <c r="N78" s="7"/>
      <c r="P78" s="6"/>
      <c r="Q78" s="2"/>
      <c r="R78" s="7"/>
      <c r="S78" s="6"/>
      <c r="T78" s="2"/>
      <c r="U78" s="7"/>
      <c r="W78" s="6"/>
      <c r="X78" s="2"/>
      <c r="Y78" s="7"/>
      <c r="Z78" s="6"/>
      <c r="AA78" s="2"/>
      <c r="AB78" s="7"/>
      <c r="AD78" s="6"/>
      <c r="AE78" s="2"/>
      <c r="AF78" s="7"/>
      <c r="AG78" s="6"/>
      <c r="AH78" s="2"/>
      <c r="AI78" s="7"/>
    </row>
    <row r="79" spans="1:35" ht="15.75" thickBot="1">
      <c r="A79" s="58"/>
      <c r="B79" s="6"/>
      <c r="C79" s="2"/>
      <c r="D79" s="7"/>
      <c r="E79" s="6"/>
      <c r="F79" s="2"/>
      <c r="G79" s="7"/>
      <c r="I79" s="6"/>
      <c r="J79" s="2"/>
      <c r="K79" s="7"/>
      <c r="L79" s="6"/>
      <c r="M79" s="2"/>
      <c r="N79" s="7"/>
      <c r="P79" s="6"/>
      <c r="Q79" s="2"/>
      <c r="R79" s="7"/>
      <c r="S79" s="6"/>
      <c r="T79" s="2"/>
      <c r="U79" s="7"/>
      <c r="W79" s="6"/>
      <c r="X79" s="2"/>
      <c r="Y79" s="7"/>
      <c r="Z79" s="6"/>
      <c r="AA79" s="2"/>
      <c r="AB79" s="7"/>
      <c r="AD79" s="6"/>
      <c r="AE79" s="2"/>
      <c r="AF79" s="7"/>
      <c r="AG79" s="6"/>
      <c r="AH79" s="2"/>
      <c r="AI79" s="7"/>
    </row>
    <row r="80" spans="1:35">
      <c r="A80" s="58"/>
      <c r="B80" s="12" t="str" cm="1">
        <f t="array" ref="B80:B82">_xlfn._xlws.FILTER(Staf!$C:$C,Staf!$B:$B=Teams!B70,"")</f>
        <v>Assistent</v>
      </c>
      <c r="C80" s="13" t="str" cm="1">
        <f t="array" ref="C80:C82">_xlfn._xlws.FILTER(Staf!$A:$A,Staf!$B:$B=Teams!B70,"")</f>
        <v>Alex de Boer</v>
      </c>
      <c r="D80" s="13"/>
      <c r="E80" s="13"/>
      <c r="F80" s="13"/>
      <c r="G80" s="14"/>
      <c r="I80" s="12" t="str" cm="1">
        <f t="array" ref="I80:I81">_xlfn._xlws.FILTER(Staf!$C:$C,Staf!$B:$B=Teams!I70,"")</f>
        <v>Trainer/Coach</v>
      </c>
      <c r="J80" s="13" t="str" cm="1">
        <f t="array" ref="J80:J81">_xlfn._xlws.FILTER(Staf!$A:$A,Staf!$B:$B=Teams!I70,"")</f>
        <v>Mirthe Verweij</v>
      </c>
      <c r="K80" s="13"/>
      <c r="L80" s="13"/>
      <c r="M80" s="13"/>
      <c r="N80" s="14"/>
      <c r="P80" s="12" t="str" cm="1">
        <f t="array" ref="P80:P81">_xlfn._xlws.FILTER(Staf!$C:$C,Staf!$B:$B=Teams!P70,"")</f>
        <v>Trainer/Coach</v>
      </c>
      <c r="Q80" s="13" t="str" cm="1">
        <f t="array" ref="Q80:Q81">_xlfn._xlws.FILTER(Staf!$A:$A,Staf!$B:$B=Teams!P70,"")</f>
        <v>Joram Flach</v>
      </c>
      <c r="R80" s="13"/>
      <c r="S80" s="13"/>
      <c r="T80" s="13"/>
      <c r="U80" s="14"/>
      <c r="W80" s="12" t="str" cm="1">
        <f t="array" ref="W80">_xlfn._xlws.FILTER(Staf!$C:$C,Staf!$B:$B=Teams!W70,"")</f>
        <v/>
      </c>
      <c r="X80" s="13" t="str" cm="1">
        <f t="array" ref="X80">_xlfn._xlws.FILTER(Staf!$A:$A,Staf!$B:$B=Teams!W70,"")</f>
        <v/>
      </c>
      <c r="Y80" s="13"/>
      <c r="Z80" s="13"/>
      <c r="AA80" s="13"/>
      <c r="AB80" s="14"/>
      <c r="AD80" s="12" t="str" cm="1">
        <f t="array" ref="AD80">_xlfn._xlws.FILTER(Staf!$C:$C,Staf!$B:$B=Teams!AD70,"")</f>
        <v/>
      </c>
      <c r="AE80" s="13" t="str" cm="1">
        <f t="array" ref="AE80">_xlfn._xlws.FILTER(Staf!$A:$A,Staf!$B:$B=Teams!AD70,"")</f>
        <v/>
      </c>
      <c r="AF80" s="13"/>
      <c r="AG80" s="13"/>
      <c r="AH80" s="13"/>
      <c r="AI80" s="14"/>
    </row>
    <row r="81" spans="1:35">
      <c r="A81" s="58"/>
      <c r="B81" s="15" t="str">
        <v>Trainer/Coach</v>
      </c>
      <c r="C81" s="16" t="str">
        <v>Lieke Ploeg</v>
      </c>
      <c r="D81" s="16"/>
      <c r="E81" s="16"/>
      <c r="F81" s="16"/>
      <c r="G81" s="17"/>
      <c r="I81" s="15" t="str">
        <v>Trainer/Coach</v>
      </c>
      <c r="J81" s="16" t="str">
        <v>Robin van Kalkeren</v>
      </c>
      <c r="K81" s="16"/>
      <c r="L81" s="16"/>
      <c r="M81" s="16"/>
      <c r="N81" s="17"/>
      <c r="P81" s="15" t="str">
        <v>Trainer/Coach</v>
      </c>
      <c r="Q81" s="16" t="str">
        <v>Marlies Valk</v>
      </c>
      <c r="R81" s="16"/>
      <c r="S81" s="16"/>
      <c r="T81" s="16"/>
      <c r="U81" s="17"/>
      <c r="W81" s="15"/>
      <c r="X81" s="16"/>
      <c r="Y81" s="16"/>
      <c r="Z81" s="16"/>
      <c r="AA81" s="16"/>
      <c r="AB81" s="17"/>
      <c r="AD81" s="15"/>
      <c r="AE81" s="16"/>
      <c r="AF81" s="16"/>
      <c r="AG81" s="16"/>
      <c r="AH81" s="16"/>
      <c r="AI81" s="17"/>
    </row>
    <row r="82" spans="1:35" ht="15.75" thickBot="1">
      <c r="A82" s="58"/>
      <c r="B82" s="18" t="str">
        <v>Trainer/Coach</v>
      </c>
      <c r="C82" s="19" t="str">
        <v>Rob van Dongen</v>
      </c>
      <c r="D82" s="19"/>
      <c r="E82" s="19"/>
      <c r="F82" s="19"/>
      <c r="G82" s="20"/>
      <c r="I82" s="18"/>
      <c r="J82" s="19"/>
      <c r="K82" s="19"/>
      <c r="L82" s="19"/>
      <c r="M82" s="19"/>
      <c r="N82" s="20"/>
      <c r="P82" s="18"/>
      <c r="Q82" s="19"/>
      <c r="R82" s="19"/>
      <c r="S82" s="19"/>
      <c r="T82" s="19"/>
      <c r="U82" s="20"/>
      <c r="W82" s="18"/>
      <c r="X82" s="19"/>
      <c r="Y82" s="19"/>
      <c r="Z82" s="19"/>
      <c r="AA82" s="19"/>
      <c r="AB82" s="20"/>
      <c r="AD82" s="18"/>
      <c r="AE82" s="19"/>
      <c r="AF82" s="19"/>
      <c r="AG82" s="19"/>
      <c r="AH82" s="19"/>
      <c r="AI82" s="20"/>
    </row>
    <row r="83" spans="1:35" ht="15.75" thickBot="1"/>
    <row r="84" spans="1:35" ht="15.75" thickBot="1">
      <c r="A84" s="58" t="s">
        <v>31</v>
      </c>
      <c r="B84" s="21" t="s">
        <v>32</v>
      </c>
      <c r="C84" s="21"/>
      <c r="D84" s="21"/>
      <c r="E84" s="21"/>
      <c r="F84" s="21"/>
      <c r="G84" s="22">
        <f>AVERAGE(D86:D95,G86:G95)</f>
        <v>10.8</v>
      </c>
      <c r="I84" s="21" t="s">
        <v>33</v>
      </c>
      <c r="J84" s="21"/>
      <c r="K84" s="21"/>
      <c r="L84" s="21"/>
      <c r="M84" s="21"/>
      <c r="N84" s="22">
        <f>AVERAGE(K86:K95,N86:N95)</f>
        <v>10.444444444444445</v>
      </c>
      <c r="P84" s="21" t="s">
        <v>34</v>
      </c>
      <c r="Q84" s="21"/>
      <c r="R84" s="21"/>
      <c r="S84" s="21"/>
      <c r="T84" s="21"/>
      <c r="U84" s="22">
        <f>AVERAGE(R86:R95,U86:U95)</f>
        <v>11</v>
      </c>
      <c r="W84" s="21" t="s">
        <v>35</v>
      </c>
      <c r="X84" s="21"/>
      <c r="Y84" s="21"/>
      <c r="Z84" s="21"/>
      <c r="AA84" s="21"/>
      <c r="AB84" s="22">
        <f>AVERAGE(Y86:Y95,AB86:AB95)</f>
        <v>10.4</v>
      </c>
      <c r="AD84" s="21" t="s">
        <v>36</v>
      </c>
      <c r="AE84" s="21"/>
      <c r="AF84" s="21"/>
      <c r="AG84" s="21"/>
      <c r="AH84" s="21"/>
      <c r="AI84" s="22" t="e">
        <f>AVERAGE(AF86:AF95,AI86:AI95)</f>
        <v>#DIV/0!</v>
      </c>
    </row>
    <row r="85" spans="1:35" ht="15.75" thickBot="1">
      <c r="A85" s="58"/>
      <c r="B85" s="8" t="str">
        <f>CONCATENATE("Dames (",COUNTA(C86:C93),")")</f>
        <v>Dames (5)</v>
      </c>
      <c r="C85" s="9"/>
      <c r="D85" s="10"/>
      <c r="E85" s="8" t="str">
        <f>CONCATENATE("Heren (",COUNTA(F86:F93),")")</f>
        <v>Heren (5)</v>
      </c>
      <c r="F85" s="9"/>
      <c r="G85" s="10"/>
      <c r="I85" s="8" t="str">
        <f>CONCATENATE("Dames (",COUNTA(J86:J93),")")</f>
        <v>Dames (7)</v>
      </c>
      <c r="J85" s="9"/>
      <c r="K85" s="10"/>
      <c r="L85" s="8" t="str">
        <f>CONCATENATE("Heren (",COUNTA(M86:M93),")")</f>
        <v>Heren (2)</v>
      </c>
      <c r="M85" s="9"/>
      <c r="N85" s="10"/>
      <c r="P85" s="8" t="str">
        <f>CONCATENATE("Dames (",COUNTA(Q86:Q93),")")</f>
        <v>Dames (6)</v>
      </c>
      <c r="Q85" s="9"/>
      <c r="R85" s="10"/>
      <c r="S85" s="8" t="str">
        <f>CONCATENATE("Heren (",COUNTA(T86:T93),")")</f>
        <v>Heren (4)</v>
      </c>
      <c r="T85" s="9"/>
      <c r="U85" s="10"/>
      <c r="W85" s="8" t="str">
        <f>CONCATENATE("Dames (",COUNTA(X86:X93),")")</f>
        <v>Dames (8)</v>
      </c>
      <c r="X85" s="9"/>
      <c r="Y85" s="10"/>
      <c r="Z85" s="8" t="str">
        <f>CONCATENATE("Heren (",COUNTA(AA86:AA93),")")</f>
        <v>Heren (2)</v>
      </c>
      <c r="AA85" s="9"/>
      <c r="AB85" s="10"/>
      <c r="AD85" s="8" t="str">
        <f>CONCATENATE("Dames (",COUNTA(AE86:AE93),")")</f>
        <v>Dames (1)</v>
      </c>
      <c r="AE85" s="9"/>
      <c r="AF85" s="10"/>
      <c r="AG85" s="8" t="str">
        <f>CONCATENATE("Heren (",COUNTA(AH86:AH93),")")</f>
        <v>Heren (1)</v>
      </c>
      <c r="AH85" s="9"/>
      <c r="AI85" s="10"/>
    </row>
    <row r="86" spans="1:35">
      <c r="A86" s="58"/>
      <c r="B86" s="3" t="str" cm="1">
        <f t="array" ref="B86:B90">_xlfn._xlws.FILTER(Spelerslijst!$B:$B,Spelerslijst!$G:$G=B$84,"")</f>
        <v>Burgt, van de F.</v>
      </c>
      <c r="C86" s="4" t="str" cm="1">
        <f t="array" ref="C86:C90">_xlfn._xlws.FILTER(Spelerslijst!$C:$C,Spelerslijst!$G:$G=B$84,"")</f>
        <v>Feline</v>
      </c>
      <c r="D86" s="5" cm="1">
        <f t="array" ref="D86:D90">_xlfn._xlws.FILTER(Spelerslijst!$D:$D,Spelerslijst!$G:$G=B$84,"")</f>
        <v>11</v>
      </c>
      <c r="E86" s="3" t="str" cm="1">
        <f t="array" ref="E86:E90">_xlfn._xlws.FILTER(Spelerslijst!$K:$K,Spelerslijst!$P:$P=B$84,"")</f>
        <v>Belder, L.</v>
      </c>
      <c r="F86" s="4" t="str" cm="1">
        <f t="array" ref="F86:F90">_xlfn._xlws.FILTER(Spelerslijst!$L:$L,Spelerslijst!$P:$P=B$84,"")</f>
        <v>Lenn</v>
      </c>
      <c r="G86" s="5" cm="1">
        <f t="array" ref="G86:G90">_xlfn._xlws.FILTER(Spelerslijst!$M:$M,Spelerslijst!$P:$P=B$84,"")</f>
        <v>10</v>
      </c>
      <c r="I86" s="3" t="str" cm="1">
        <f t="array" ref="I86:I92">_xlfn._xlws.FILTER(Spelerslijst!$B:$B,Spelerslijst!$G:$G=I$84,"")</f>
        <v>Bakker, F.</v>
      </c>
      <c r="J86" s="4" t="str" cm="1">
        <f t="array" ref="J86:J92">_xlfn._xlws.FILTER(Spelerslijst!$C:$C,Spelerslijst!$G:$G=I$84,"")</f>
        <v>Femke</v>
      </c>
      <c r="K86" s="5" cm="1">
        <f t="array" ref="K86:K92">_xlfn._xlws.FILTER(Spelerslijst!$D:$D,Spelerslijst!$G:$G=I$84,"")</f>
        <v>11</v>
      </c>
      <c r="L86" s="3" t="str" cm="1">
        <f t="array" ref="L86:L87">_xlfn._xlws.FILTER(Spelerslijst!$K:$K,Spelerslijst!$P:$P=I$84,"")</f>
        <v>Heersping, S.</v>
      </c>
      <c r="M86" s="4" t="str" cm="1">
        <f t="array" ref="M86:M87">_xlfn._xlws.FILTER(Spelerslijst!$L:$L,Spelerslijst!$P:$P=I$84,"")</f>
        <v>Sander</v>
      </c>
      <c r="N86" s="5" cm="1">
        <f t="array" ref="N86:N87">_xlfn._xlws.FILTER(Spelerslijst!$M:$M,Spelerslijst!$P:$P=I$84,"")</f>
        <v>10</v>
      </c>
      <c r="P86" s="3" t="str" cm="1">
        <f t="array" ref="P86:P91">_xlfn._xlws.FILTER(Spelerslijst!$B:$B,Spelerslijst!$G:$G=P$84,"")</f>
        <v>Baas, N.J.</v>
      </c>
      <c r="Q86" s="4" t="str" cm="1">
        <f t="array" ref="Q86:Q91">_xlfn._xlws.FILTER(Spelerslijst!$C:$C,Spelerslijst!$G:$G=P$84,"")</f>
        <v>Nikki</v>
      </c>
      <c r="R86" s="5" cm="1">
        <f t="array" ref="R86:R91">_xlfn._xlws.FILTER(Spelerslijst!$D:$D,Spelerslijst!$G:$G=P$84,"")</f>
        <v>11</v>
      </c>
      <c r="S86" s="3" t="str" cm="1">
        <f t="array" ref="S86:S89">_xlfn._xlws.FILTER(Spelerslijst!$K:$K,Spelerslijst!$P:$P=P$84,"")</f>
        <v>Afsharbegloe, P.</v>
      </c>
      <c r="T86" s="4" t="str" cm="1">
        <f t="array" ref="T86:T89">_xlfn._xlws.FILTER(Spelerslijst!$L:$L,Spelerslijst!$P:$P=P$84,"")</f>
        <v>Parham</v>
      </c>
      <c r="U86" s="5" cm="1">
        <f t="array" ref="U86:U89">_xlfn._xlws.FILTER(Spelerslijst!$M:$M,Spelerslijst!$P:$P=P$84,"")</f>
        <v>12</v>
      </c>
      <c r="W86" s="3" t="str" cm="1">
        <f t="array" ref="W86:W93">_xlfn._xlws.FILTER(Spelerslijst!$B:$B,Spelerslijst!$G:$G=W$84,"")</f>
        <v>Barbaroux, M.</v>
      </c>
      <c r="X86" s="4" t="str" cm="1">
        <f t="array" ref="X86:X93">_xlfn._xlws.FILTER(Spelerslijst!$C:$C,Spelerslijst!$G:$G=W$84,"")</f>
        <v>Manon</v>
      </c>
      <c r="Y86" s="5" cm="1">
        <f t="array" ref="Y86:Y93">_xlfn._xlws.FILTER(Spelerslijst!$D:$D,Spelerslijst!$G:$G=W$84,"")</f>
        <v>10</v>
      </c>
      <c r="Z86" s="3" t="str" cm="1">
        <f t="array" ref="Z86:Z87">_xlfn._xlws.FILTER(Spelerslijst!$K:$K,Spelerslijst!$P:$P=W$84,"")</f>
        <v>Jacobs, X.</v>
      </c>
      <c r="AA86" s="4" t="str" cm="1">
        <f t="array" ref="AA86:AA87">_xlfn._xlws.FILTER(Spelerslijst!$L:$L,Spelerslijst!$P:$P=W$84,"")</f>
        <v>Xavi</v>
      </c>
      <c r="AB86" s="5" cm="1">
        <f t="array" ref="AB86:AB87">_xlfn._xlws.FILTER(Spelerslijst!$M:$M,Spelerslijst!$P:$P=W$84,"")</f>
        <v>10</v>
      </c>
      <c r="AD86" s="3" t="str" cm="1">
        <f t="array" ref="AD86">_xlfn._xlws.FILTER(Spelerslijst!$B:$B,Spelerslijst!$G:$G=AD$84,"")</f>
        <v/>
      </c>
      <c r="AE86" s="4" t="str" cm="1">
        <f t="array" ref="AE86">_xlfn._xlws.FILTER(Spelerslijst!$C:$C,Spelerslijst!$G:$G=AD$84,"")</f>
        <v/>
      </c>
      <c r="AF86" s="5" t="str" cm="1">
        <f t="array" ref="AF86">_xlfn._xlws.FILTER(Spelerslijst!$D:$D,Spelerslijst!$G:$G=AD$84,"")</f>
        <v/>
      </c>
      <c r="AG86" s="3" t="str" cm="1">
        <f t="array" ref="AG86">_xlfn._xlws.FILTER(Spelerslijst!$K:$K,Spelerslijst!$P:$P=AD$84,"")</f>
        <v/>
      </c>
      <c r="AH86" s="4" t="str" cm="1">
        <f t="array" ref="AH86">_xlfn._xlws.FILTER(Spelerslijst!$L:$L,Spelerslijst!$P:$P=AD$84,"")</f>
        <v/>
      </c>
      <c r="AI86" s="5" t="str" cm="1">
        <f t="array" ref="AI86">_xlfn._xlws.FILTER(Spelerslijst!$M:$M,Spelerslijst!$P:$P=AD$84,"")</f>
        <v/>
      </c>
    </row>
    <row r="87" spans="1:35">
      <c r="A87" s="58"/>
      <c r="B87" s="6" t="str">
        <v>Klooster, van der D.</v>
      </c>
      <c r="C87" s="2" t="str">
        <v>Danique</v>
      </c>
      <c r="D87" s="7">
        <v>11</v>
      </c>
      <c r="E87" s="6" t="str">
        <v>Dekker, den T.J.</v>
      </c>
      <c r="F87" s="2" t="str">
        <v>Tiemen</v>
      </c>
      <c r="G87" s="7">
        <v>10</v>
      </c>
      <c r="I87" s="6" t="str">
        <v>Boer, de E.M.</v>
      </c>
      <c r="J87" s="2" t="str">
        <v>Esmée</v>
      </c>
      <c r="K87" s="7">
        <v>11</v>
      </c>
      <c r="L87" s="6" t="str">
        <v>Laban, F.C.</v>
      </c>
      <c r="M87" s="2" t="str">
        <v>Freek</v>
      </c>
      <c r="N87" s="7">
        <v>9</v>
      </c>
      <c r="P87" s="6" t="str">
        <v>Bouwknegt, E.L.</v>
      </c>
      <c r="Q87" s="2" t="str">
        <v>Enora</v>
      </c>
      <c r="R87" s="7">
        <v>11</v>
      </c>
      <c r="S87" s="6" t="str">
        <v>Heeren, van D.</v>
      </c>
      <c r="T87" s="2" t="str">
        <v>Djess</v>
      </c>
      <c r="U87" s="7">
        <v>11</v>
      </c>
      <c r="W87" s="6" t="str">
        <v>Bos, B.M.</v>
      </c>
      <c r="X87" s="2" t="str">
        <v>Bryanna</v>
      </c>
      <c r="Y87" s="7">
        <v>11</v>
      </c>
      <c r="Z87" s="6" t="str">
        <v>Vos, T.</v>
      </c>
      <c r="AA87" s="2" t="str">
        <v>Thijs</v>
      </c>
      <c r="AB87" s="7">
        <v>10</v>
      </c>
      <c r="AD87" s="6"/>
      <c r="AE87" s="2"/>
      <c r="AF87" s="7"/>
      <c r="AG87" s="6"/>
      <c r="AH87" s="2"/>
      <c r="AI87" s="7"/>
    </row>
    <row r="88" spans="1:35">
      <c r="A88" s="58"/>
      <c r="B88" s="6" t="str">
        <v>Lindhout, D.</v>
      </c>
      <c r="C88" s="2" t="str">
        <v>Demi</v>
      </c>
      <c r="D88" s="7">
        <v>11</v>
      </c>
      <c r="E88" s="6" t="str">
        <v>Sas, N.</v>
      </c>
      <c r="F88" s="2" t="str">
        <v>Niek</v>
      </c>
      <c r="G88" s="7">
        <v>11</v>
      </c>
      <c r="I88" s="6" t="str">
        <v>Camphens, S.</v>
      </c>
      <c r="J88" s="2" t="str">
        <v>Saar</v>
      </c>
      <c r="K88" s="7">
        <v>10</v>
      </c>
      <c r="L88" s="6"/>
      <c r="M88" s="2"/>
      <c r="N88" s="7"/>
      <c r="P88" s="6" t="str">
        <v>Dongen, van M.J.</v>
      </c>
      <c r="Q88" s="2" t="str">
        <v>Madelief</v>
      </c>
      <c r="R88" s="7">
        <v>12</v>
      </c>
      <c r="S88" s="6" t="str">
        <v>Post, J.M.</v>
      </c>
      <c r="T88" s="2" t="str">
        <v>Joaz</v>
      </c>
      <c r="U88" s="7">
        <v>11</v>
      </c>
      <c r="W88" s="6" t="str">
        <v>Groen, E.</v>
      </c>
      <c r="X88" s="2" t="str">
        <v>Evie</v>
      </c>
      <c r="Y88" s="7">
        <v>11</v>
      </c>
      <c r="Z88" s="6"/>
      <c r="AA88" s="2"/>
      <c r="AB88" s="7"/>
      <c r="AD88" s="6"/>
      <c r="AE88" s="2"/>
      <c r="AF88" s="7"/>
      <c r="AG88" s="6"/>
      <c r="AH88" s="2"/>
      <c r="AI88" s="7"/>
    </row>
    <row r="89" spans="1:35">
      <c r="A89" s="58"/>
      <c r="B89" s="6" t="str">
        <v>Stomp, N.</v>
      </c>
      <c r="C89" s="2" t="str">
        <v>Noa</v>
      </c>
      <c r="D89" s="7">
        <v>11</v>
      </c>
      <c r="E89" s="6" t="str">
        <v>Ven, van de J.</v>
      </c>
      <c r="F89" s="2" t="str">
        <v>Jonas</v>
      </c>
      <c r="G89" s="7">
        <v>11</v>
      </c>
      <c r="I89" s="6" t="str">
        <v>Engelfriet, D.</v>
      </c>
      <c r="J89" s="2" t="str">
        <v>Demi</v>
      </c>
      <c r="K89" s="7">
        <v>11</v>
      </c>
      <c r="L89" s="6"/>
      <c r="M89" s="2"/>
      <c r="N89" s="7"/>
      <c r="P89" s="6" t="str">
        <v>Grootenboer, T.L.</v>
      </c>
      <c r="Q89" s="2" t="str">
        <v>Tess</v>
      </c>
      <c r="R89" s="7">
        <v>10</v>
      </c>
      <c r="S89" s="6" t="str">
        <v>Rutten, M.</v>
      </c>
      <c r="T89" s="2" t="str">
        <v>Maarten</v>
      </c>
      <c r="U89" s="7">
        <v>11</v>
      </c>
      <c r="W89" s="6" t="str">
        <v>Jongkind, P.</v>
      </c>
      <c r="X89" s="2" t="str">
        <v>Pippa</v>
      </c>
      <c r="Y89" s="7">
        <v>10</v>
      </c>
      <c r="Z89" s="6"/>
      <c r="AA89" s="2"/>
      <c r="AB89" s="7"/>
      <c r="AD89" s="6"/>
      <c r="AE89" s="2"/>
      <c r="AF89" s="7"/>
      <c r="AG89" s="6"/>
      <c r="AH89" s="2"/>
      <c r="AI89" s="7"/>
    </row>
    <row r="90" spans="1:35">
      <c r="A90" s="58"/>
      <c r="B90" s="6" t="str">
        <v>Volker, T.N.</v>
      </c>
      <c r="C90" s="2" t="str">
        <v>Tess</v>
      </c>
      <c r="D90" s="7">
        <v>11</v>
      </c>
      <c r="E90" s="6" t="str">
        <v>Vos, T.</v>
      </c>
      <c r="F90" s="2" t="str">
        <v>Thomas</v>
      </c>
      <c r="G90" s="7">
        <v>11</v>
      </c>
      <c r="I90" s="6" t="str">
        <v>Kleingeld, J.N.</v>
      </c>
      <c r="J90" s="2" t="str">
        <v>Julia</v>
      </c>
      <c r="K90" s="7">
        <v>11</v>
      </c>
      <c r="L90" s="6"/>
      <c r="M90" s="2"/>
      <c r="N90" s="7"/>
      <c r="P90" s="6" t="str">
        <v>Jongkind, F.W.J.</v>
      </c>
      <c r="Q90" s="2" t="str">
        <v>Floortje</v>
      </c>
      <c r="R90" s="7">
        <v>11</v>
      </c>
      <c r="S90" s="6"/>
      <c r="T90" s="2"/>
      <c r="U90" s="7"/>
      <c r="W90" s="6" t="str">
        <v>Nijman, F.J.J.</v>
      </c>
      <c r="X90" s="2" t="str">
        <v>Famke</v>
      </c>
      <c r="Y90" s="7">
        <v>10</v>
      </c>
      <c r="Z90" s="6"/>
      <c r="AA90" s="2"/>
      <c r="AB90" s="7"/>
      <c r="AD90" s="6"/>
      <c r="AE90" s="2"/>
      <c r="AF90" s="7"/>
      <c r="AG90" s="6"/>
      <c r="AH90" s="2"/>
      <c r="AI90" s="7"/>
    </row>
    <row r="91" spans="1:35">
      <c r="A91" s="58"/>
      <c r="B91" s="6"/>
      <c r="C91" s="2"/>
      <c r="D91" s="7"/>
      <c r="E91" s="6"/>
      <c r="F91" s="2"/>
      <c r="G91" s="7"/>
      <c r="I91" s="6" t="str">
        <v>Vaartmans, B.</v>
      </c>
      <c r="J91" s="2" t="str">
        <v>Britt</v>
      </c>
      <c r="K91" s="7">
        <v>10</v>
      </c>
      <c r="L91" s="6"/>
      <c r="M91" s="2"/>
      <c r="N91" s="7"/>
      <c r="P91" s="6" t="str">
        <v>Karstens, T</v>
      </c>
      <c r="Q91" s="2" t="str">
        <v>Tara</v>
      </c>
      <c r="R91" s="7">
        <v>10</v>
      </c>
      <c r="S91" s="6"/>
      <c r="T91" s="2"/>
      <c r="U91" s="7"/>
      <c r="W91" s="6" t="str">
        <v>Rooij, van E.J.</v>
      </c>
      <c r="X91" s="2" t="str">
        <v>Eva</v>
      </c>
      <c r="Y91" s="7">
        <v>9</v>
      </c>
      <c r="Z91" s="6"/>
      <c r="AA91" s="2"/>
      <c r="AB91" s="7"/>
      <c r="AD91" s="6"/>
      <c r="AE91" s="2"/>
      <c r="AF91" s="7"/>
      <c r="AG91" s="6"/>
      <c r="AH91" s="2"/>
      <c r="AI91" s="7"/>
    </row>
    <row r="92" spans="1:35">
      <c r="A92" s="58"/>
      <c r="B92" s="6"/>
      <c r="C92" s="2"/>
      <c r="D92" s="7"/>
      <c r="E92" s="6"/>
      <c r="F92" s="2"/>
      <c r="G92" s="7"/>
      <c r="I92" s="6" t="str">
        <v>Wiel, van der D.N.</v>
      </c>
      <c r="J92" s="2" t="str">
        <v>Danique</v>
      </c>
      <c r="K92" s="7">
        <v>11</v>
      </c>
      <c r="L92" s="6"/>
      <c r="M92" s="2"/>
      <c r="N92" s="7"/>
      <c r="P92" s="6"/>
      <c r="Q92" s="2"/>
      <c r="R92" s="7"/>
      <c r="S92" s="6"/>
      <c r="T92" s="2"/>
      <c r="U92" s="7"/>
      <c r="W92" s="6" t="str">
        <v>Vercouteren, N.</v>
      </c>
      <c r="X92" s="2" t="str">
        <v>Noortje</v>
      </c>
      <c r="Y92" s="7">
        <v>11</v>
      </c>
      <c r="Z92" s="6"/>
      <c r="AA92" s="2"/>
      <c r="AB92" s="7"/>
      <c r="AD92" s="6"/>
      <c r="AE92" s="2"/>
      <c r="AF92" s="7"/>
      <c r="AG92" s="6"/>
      <c r="AH92" s="2"/>
      <c r="AI92" s="7"/>
    </row>
    <row r="93" spans="1:35" ht="15.75" thickBot="1">
      <c r="A93" s="58"/>
      <c r="B93" s="6"/>
      <c r="C93" s="2"/>
      <c r="D93" s="7"/>
      <c r="E93" s="6"/>
      <c r="F93" s="2"/>
      <c r="G93" s="7"/>
      <c r="I93" s="6"/>
      <c r="J93" s="2"/>
      <c r="K93" s="7"/>
      <c r="L93" s="6"/>
      <c r="M93" s="2"/>
      <c r="N93" s="7"/>
      <c r="P93" s="6"/>
      <c r="Q93" s="2"/>
      <c r="R93" s="7"/>
      <c r="S93" s="6"/>
      <c r="T93" s="2"/>
      <c r="U93" s="7"/>
      <c r="W93" s="6" t="str">
        <v>Veenendaal, E.</v>
      </c>
      <c r="X93" s="2" t="str">
        <v>Eline</v>
      </c>
      <c r="Y93" s="7">
        <v>12</v>
      </c>
      <c r="Z93" s="6"/>
      <c r="AA93" s="2"/>
      <c r="AB93" s="7"/>
      <c r="AD93" s="6"/>
      <c r="AE93" s="2"/>
      <c r="AF93" s="7"/>
      <c r="AG93" s="6"/>
      <c r="AH93" s="2"/>
      <c r="AI93" s="7"/>
    </row>
    <row r="94" spans="1:35">
      <c r="A94" s="58"/>
      <c r="B94" s="12" t="str" cm="1">
        <f t="array" ref="B94:B95">_xlfn._xlws.FILTER(Staf!$C:$C,Staf!$B:$B=Teams!B84,"")</f>
        <v>Trainer/Coach</v>
      </c>
      <c r="C94" s="13" t="str" cm="1">
        <f t="array" ref="C94:C95">_xlfn._xlws.FILTER(Staf!$A:$A,Staf!$B:$B=Teams!B84,"")</f>
        <v>Erik vd Burgt</v>
      </c>
      <c r="D94" s="13"/>
      <c r="E94" s="13"/>
      <c r="F94" s="13"/>
      <c r="G94" s="14"/>
      <c r="I94" s="12" t="str" cm="1">
        <f t="array" ref="I94:I95">_xlfn._xlws.FILTER(Staf!$C:$C,Staf!$B:$B=Teams!I84,"")</f>
        <v>Trainer/Coach</v>
      </c>
      <c r="J94" s="13" t="str" cm="1">
        <f t="array" ref="J94:J95">_xlfn._xlws.FILTER(Staf!$A:$A,Staf!$B:$B=Teams!I84,"")</f>
        <v>Marcel St. Nicolaas</v>
      </c>
      <c r="K94" s="13"/>
      <c r="L94" s="13"/>
      <c r="M94" s="13"/>
      <c r="N94" s="14"/>
      <c r="P94" s="12" t="str" cm="1">
        <f t="array" ref="P94:P95">_xlfn._xlws.FILTER(Staf!$C:$C,Staf!$B:$B=Teams!P84,"")</f>
        <v>Trainer/Coach</v>
      </c>
      <c r="Q94" s="13" t="str" cm="1">
        <f t="array" ref="Q94:Q95">_xlfn._xlws.FILTER(Staf!$A:$A,Staf!$B:$B=Teams!P84,"")</f>
        <v>Jany Lacroes</v>
      </c>
      <c r="R94" s="13"/>
      <c r="S94" s="13"/>
      <c r="T94" s="13"/>
      <c r="U94" s="14"/>
      <c r="W94" s="12" t="str" cm="1">
        <f t="array" ref="W94:W95">_xlfn._xlws.FILTER(Staf!$C:$C,Staf!$B:$B=Teams!W84,"")</f>
        <v>Trainer/Coach</v>
      </c>
      <c r="X94" s="13" t="str" cm="1">
        <f t="array" ref="X94:X95">_xlfn._xlws.FILTER(Staf!$A:$A,Staf!$B:$B=Teams!W84,"")</f>
        <v>Jet van Trooijen</v>
      </c>
      <c r="Y94" s="13"/>
      <c r="Z94" s="13"/>
      <c r="AA94" s="13"/>
      <c r="AB94" s="14"/>
      <c r="AD94" s="12" t="str" cm="1">
        <f t="array" ref="AD94">_xlfn._xlws.FILTER(Staf!$C:$C,Staf!$B:$B=Teams!AD84,"")</f>
        <v/>
      </c>
      <c r="AE94" s="13" t="str" cm="1">
        <f t="array" ref="AE94">_xlfn._xlws.FILTER(Staf!$A:$A,Staf!$B:$B=Teams!AD84,"")</f>
        <v/>
      </c>
      <c r="AF94" s="13"/>
      <c r="AG94" s="13"/>
      <c r="AH94" s="13"/>
      <c r="AI94" s="14"/>
    </row>
    <row r="95" spans="1:35">
      <c r="A95" s="58"/>
      <c r="B95" s="15" t="str">
        <v>Trainer/Coach</v>
      </c>
      <c r="C95" s="16" t="str">
        <v>Lianne Stomp-vd Burgt</v>
      </c>
      <c r="D95" s="16"/>
      <c r="E95" s="16"/>
      <c r="F95" s="16"/>
      <c r="G95" s="17"/>
      <c r="I95" s="15" t="str">
        <v>Trainer/Coach</v>
      </c>
      <c r="J95" s="16" t="str">
        <v>Martijn van der Wiel</v>
      </c>
      <c r="K95" s="16"/>
      <c r="L95" s="16"/>
      <c r="M95" s="16"/>
      <c r="N95" s="17"/>
      <c r="P95" s="15" t="str">
        <v>Trainer/Coach</v>
      </c>
      <c r="Q95" s="16" t="str">
        <v>Tessa Dubbeld</v>
      </c>
      <c r="R95" s="16"/>
      <c r="S95" s="16"/>
      <c r="T95" s="16"/>
      <c r="U95" s="17"/>
      <c r="W95" s="15" t="str">
        <v>Trainer/Coach</v>
      </c>
      <c r="X95" s="16" t="str">
        <v>Kimberly Jacobs</v>
      </c>
      <c r="Y95" s="16"/>
      <c r="Z95" s="16"/>
      <c r="AA95" s="16"/>
      <c r="AB95" s="17"/>
      <c r="AD95" s="15"/>
      <c r="AE95" s="16"/>
      <c r="AF95" s="16"/>
      <c r="AG95" s="16"/>
      <c r="AH95" s="16"/>
      <c r="AI95" s="17"/>
    </row>
    <row r="96" spans="1:35" ht="15.75" thickBot="1">
      <c r="A96" s="58"/>
      <c r="B96" s="18"/>
      <c r="C96" s="19"/>
      <c r="D96" s="19"/>
      <c r="E96" s="19"/>
      <c r="F96" s="19"/>
      <c r="G96" s="20"/>
      <c r="I96" s="18"/>
      <c r="J96" s="19"/>
      <c r="K96" s="19"/>
      <c r="L96" s="19"/>
      <c r="M96" s="19"/>
      <c r="N96" s="20"/>
      <c r="P96" s="18"/>
      <c r="Q96" s="19"/>
      <c r="R96" s="19"/>
      <c r="S96" s="19"/>
      <c r="T96" s="19"/>
      <c r="U96" s="20"/>
      <c r="W96" s="18"/>
      <c r="X96" s="19"/>
      <c r="Y96" s="19"/>
      <c r="Z96" s="19"/>
      <c r="AA96" s="19"/>
      <c r="AB96" s="20"/>
      <c r="AD96" s="18"/>
      <c r="AE96" s="19"/>
      <c r="AF96" s="19"/>
      <c r="AG96" s="19"/>
      <c r="AH96" s="19"/>
      <c r="AI96" s="20"/>
    </row>
    <row r="97" spans="1:42" ht="15.75" thickBot="1"/>
    <row r="98" spans="1:42" ht="15.75" thickBot="1">
      <c r="A98" s="58" t="s">
        <v>37</v>
      </c>
      <c r="B98" s="21" t="s">
        <v>38</v>
      </c>
      <c r="C98" s="21"/>
      <c r="D98" s="21"/>
      <c r="E98" s="21"/>
      <c r="F98" s="21"/>
      <c r="G98" s="22">
        <f>AVERAGE(D100:D107,G100:G107)</f>
        <v>9</v>
      </c>
      <c r="I98" s="21" t="s">
        <v>39</v>
      </c>
      <c r="J98" s="21"/>
      <c r="K98" s="21"/>
      <c r="L98" s="21"/>
      <c r="M98" s="21"/>
      <c r="N98" s="22">
        <f>AVERAGE(K100:K107,N100:N107)</f>
        <v>8.8000000000000007</v>
      </c>
      <c r="P98" s="21" t="s">
        <v>40</v>
      </c>
      <c r="Q98" s="21"/>
      <c r="R98" s="21"/>
      <c r="S98" s="21"/>
      <c r="T98" s="21"/>
      <c r="U98" s="22">
        <f>AVERAGE(R100:R107,U100:U107)</f>
        <v>8.8000000000000007</v>
      </c>
      <c r="W98" s="21" t="s">
        <v>41</v>
      </c>
      <c r="X98" s="21"/>
      <c r="Y98" s="21"/>
      <c r="Z98" s="21"/>
      <c r="AA98" s="21"/>
      <c r="AB98" s="22">
        <f>AVERAGE(Y100:Y107,AB100:AB107)</f>
        <v>8.6</v>
      </c>
      <c r="AD98" s="21" t="s">
        <v>42</v>
      </c>
      <c r="AE98" s="21"/>
      <c r="AF98" s="21"/>
      <c r="AG98" s="21"/>
      <c r="AH98" s="21"/>
      <c r="AI98" s="22">
        <f>AVERAGE(AF100:AF107,AI100:AI107)</f>
        <v>8</v>
      </c>
      <c r="AK98" s="21" t="s">
        <v>43</v>
      </c>
      <c r="AL98" s="21"/>
      <c r="AM98" s="21"/>
      <c r="AN98" s="21"/>
      <c r="AO98" s="21"/>
      <c r="AP98" s="22">
        <f>AVERAGE(AM100:AM107,AP100:AP107)</f>
        <v>8</v>
      </c>
    </row>
    <row r="99" spans="1:42" ht="15.75" thickBot="1">
      <c r="A99" s="58"/>
      <c r="B99" s="8" t="str">
        <f>CONCATENATE("Dames (",COUNTA(C100:C105),")")</f>
        <v>Dames (3)</v>
      </c>
      <c r="C99" s="9"/>
      <c r="D99" s="10"/>
      <c r="E99" s="8" t="str">
        <f>CONCATENATE("Heren (",COUNTA(F100:F105),")")</f>
        <v>Heren (2)</v>
      </c>
      <c r="F99" s="9"/>
      <c r="G99" s="10"/>
      <c r="I99" s="8" t="str">
        <f>CONCATENATE("Dames (",COUNTA(J100:J105),")")</f>
        <v>Dames (3)</v>
      </c>
      <c r="J99" s="9"/>
      <c r="K99" s="10"/>
      <c r="L99" s="8" t="str">
        <f>CONCATENATE("Heren (",COUNTA(M100:M105),")")</f>
        <v>Heren (2)</v>
      </c>
      <c r="M99" s="9"/>
      <c r="N99" s="10"/>
      <c r="P99" s="8" t="str">
        <f>CONCATENATE("Dames (",COUNTA(Q100:Q105),")")</f>
        <v>Dames (3)</v>
      </c>
      <c r="Q99" s="9"/>
      <c r="R99" s="10"/>
      <c r="S99" s="8" t="str">
        <f>CONCATENATE("Heren (",COUNTA(T100:T105),")")</f>
        <v>Heren (2)</v>
      </c>
      <c r="T99" s="9"/>
      <c r="U99" s="10"/>
      <c r="W99" s="8" t="str">
        <f>CONCATENATE("Dames (",COUNTA(X100:X105),")")</f>
        <v>Dames (5)</v>
      </c>
      <c r="X99" s="9"/>
      <c r="Y99" s="10"/>
      <c r="Z99" s="8" t="str">
        <f>CONCATENATE("Heren (",COUNTA(AA100:AA105),")")</f>
        <v>Heren (1)</v>
      </c>
      <c r="AA99" s="9"/>
      <c r="AB99" s="10"/>
      <c r="AD99" s="8" t="str">
        <f>CONCATENATE("Dames (",COUNTA(AE100:AE105),")")</f>
        <v>Dames (3)</v>
      </c>
      <c r="AE99" s="9"/>
      <c r="AF99" s="10"/>
      <c r="AG99" s="8" t="str">
        <f>CONCATENATE("Heren (",COUNTA(AH100:AH105),")")</f>
        <v>Heren (2)</v>
      </c>
      <c r="AH99" s="9"/>
      <c r="AI99" s="10"/>
      <c r="AK99" s="8" t="str">
        <f>CONCATENATE("Dames (",COUNTA(AL100:AL105),")")</f>
        <v>Dames (4)</v>
      </c>
      <c r="AL99" s="9"/>
      <c r="AM99" s="10"/>
      <c r="AN99" s="8" t="str">
        <f>CONCATENATE("Heren (",COUNTA(AO100:AO105),")")</f>
        <v>Heren (2)</v>
      </c>
      <c r="AO99" s="9"/>
      <c r="AP99" s="10"/>
    </row>
    <row r="100" spans="1:42">
      <c r="A100" s="58"/>
      <c r="B100" s="3" t="str" cm="1">
        <f t="array" ref="B100:B102">_xlfn._xlws.FILTER(Spelerslijst!$B:$B,Spelerslijst!$G:$G=B$98,"")</f>
        <v>Bakker, A.</v>
      </c>
      <c r="C100" s="4" t="str" cm="1">
        <f t="array" ref="C100:C102">_xlfn._xlws.FILTER(Spelerslijst!$C:$C,Spelerslijst!$G:$G=B$98,"")</f>
        <v>Anouk</v>
      </c>
      <c r="D100" s="5" cm="1">
        <f t="array" ref="D100:D102">_xlfn._xlws.FILTER(Spelerslijst!$D:$D,Spelerslijst!$G:$G=B$98,"")</f>
        <v>9</v>
      </c>
      <c r="E100" s="3" t="str" cm="1">
        <f t="array" ref="E100:E101">_xlfn._xlws.FILTER(Spelerslijst!$K:$K,Spelerslijst!$P:$P=B$98,"")</f>
        <v>Ameijden, van J.</v>
      </c>
      <c r="F100" s="4" t="str" cm="1">
        <f t="array" ref="F100:F101">_xlfn._xlws.FILTER(Spelerslijst!$L:$L,Spelerslijst!$P:$P=B$98,"")</f>
        <v>Joep</v>
      </c>
      <c r="G100" s="5" cm="1">
        <f t="array" ref="G100:G101">_xlfn._xlws.FILTER(Spelerslijst!$M:$M,Spelerslijst!$P:$P=B$98,"")</f>
        <v>9</v>
      </c>
      <c r="I100" s="3" t="str" cm="1">
        <f t="array" ref="I100:I102">_xlfn._xlws.FILTER(Spelerslijst!$B:$B,Spelerslijst!$G:$G=I$98,"")</f>
        <v>Waard, de O.J.</v>
      </c>
      <c r="J100" s="4" t="str" cm="1">
        <f t="array" ref="J100:J102">_xlfn._xlws.FILTER(Spelerslijst!$C:$C,Spelerslijst!$G:$G=I$98,"")</f>
        <v>Olivia</v>
      </c>
      <c r="K100" s="5" cm="1">
        <f t="array" ref="K100:K102">_xlfn._xlws.FILTER(Spelerslijst!$D:$D,Spelerslijst!$G:$G=I$98,"")</f>
        <v>9</v>
      </c>
      <c r="L100" s="3" t="str" cm="1">
        <f t="array" ref="L100:L101">_xlfn._xlws.FILTER(Spelerslijst!$K:$K,Spelerslijst!$P:$P=I$98,"")</f>
        <v>Goedegebuur, M.M.</v>
      </c>
      <c r="M100" s="4" t="str" cm="1">
        <f t="array" ref="M100:M101">_xlfn._xlws.FILTER(Spelerslijst!$L:$L,Spelerslijst!$P:$P=I$98,"")</f>
        <v>Mels</v>
      </c>
      <c r="N100" s="5" cm="1">
        <f t="array" ref="N100:N101">_xlfn._xlws.FILTER(Spelerslijst!$M:$M,Spelerslijst!$P:$P=I$98,"")</f>
        <v>9</v>
      </c>
      <c r="P100" s="3" t="str" cm="1">
        <f t="array" ref="P100:P102">_xlfn._xlws.FILTER(Spelerslijst!$B:$B,Spelerslijst!$G:$G=P$98,"")</f>
        <v>Bezemer, E.R.</v>
      </c>
      <c r="Q100" s="4" t="str" cm="1">
        <f t="array" ref="Q100:Q102">_xlfn._xlws.FILTER(Spelerslijst!$C:$C,Spelerslijst!$G:$G=P$98,"")</f>
        <v>Eva</v>
      </c>
      <c r="R100" s="5" cm="1">
        <f t="array" ref="R100:R102">_xlfn._xlws.FILTER(Spelerslijst!$D:$D,Spelerslijst!$G:$G=P$98,"")</f>
        <v>9</v>
      </c>
      <c r="S100" s="3" t="str" cm="1">
        <f t="array" ref="S100:S101">_xlfn._xlws.FILTER(Spelerslijst!$K:$K,Spelerslijst!$P:$P=P$98,"")</f>
        <v>Verboom, F.</v>
      </c>
      <c r="T100" s="4" t="str" cm="1">
        <f t="array" ref="T100:T101">_xlfn._xlws.FILTER(Spelerslijst!$L:$L,Spelerslijst!$P:$P=P$98,"")</f>
        <v>Finn</v>
      </c>
      <c r="U100" s="5" cm="1">
        <f t="array" ref="U100:U101">_xlfn._xlws.FILTER(Spelerslijst!$M:$M,Spelerslijst!$P:$P=P$98,"")</f>
        <v>9</v>
      </c>
      <c r="W100" s="3" t="str" cm="1">
        <f t="array" ref="W100:W104">_xlfn._xlws.FILTER(Spelerslijst!$B:$B,Spelerslijst!$G:$G=W$98,"")</f>
        <v>Ehmila, J.</v>
      </c>
      <c r="X100" s="4" t="str" cm="1">
        <f t="array" ref="X100:X104">_xlfn._xlws.FILTER(Spelerslijst!$C:$C,Spelerslijst!$G:$G=W$98,"")</f>
        <v>Jenna</v>
      </c>
      <c r="Y100" s="5" cm="1">
        <f t="array" ref="Y100:Y104">_xlfn._xlws.FILTER(Spelerslijst!$D:$D,Spelerslijst!$G:$G=W$98,"")</f>
        <v>9</v>
      </c>
      <c r="Z100" s="3" t="str" cm="1">
        <f t="array" ref="Z100">_xlfn._xlws.FILTER(Spelerslijst!$K:$K,Spelerslijst!$P:$P=W$98,"")</f>
        <v/>
      </c>
      <c r="AA100" s="4" t="str" cm="1">
        <f t="array" ref="AA100">_xlfn._xlws.FILTER(Spelerslijst!$L:$L,Spelerslijst!$P:$P=W$98,"")</f>
        <v/>
      </c>
      <c r="AB100" s="5" t="str" cm="1">
        <f t="array" ref="AB100">_xlfn._xlws.FILTER(Spelerslijst!$M:$M,Spelerslijst!$P:$P=W$98,"")</f>
        <v/>
      </c>
      <c r="AD100" s="3" t="str" cm="1">
        <f t="array" ref="AD100:AD102">_xlfn._xlws.FILTER(Spelerslijst!$B:$B,Spelerslijst!$G:$G=AD$98,"")</f>
        <v>Boer, de L.</v>
      </c>
      <c r="AE100" s="4" t="str" cm="1">
        <f t="array" ref="AE100:AE102">_xlfn._xlws.FILTER(Spelerslijst!$C:$C,Spelerslijst!$G:$G=AD$98,"")</f>
        <v>Layla</v>
      </c>
      <c r="AF100" s="5" cm="1">
        <f t="array" ref="AF100:AF102">_xlfn._xlws.FILTER(Spelerslijst!$D:$D,Spelerslijst!$G:$G=AD$98,"")</f>
        <v>8</v>
      </c>
      <c r="AG100" s="3" t="str" cm="1">
        <f t="array" ref="AG100:AG101">_xlfn._xlws.FILTER(Spelerslijst!$K:$K,Spelerslijst!$P:$P=AD$98,"")</f>
        <v>Bemer, F.G.L.</v>
      </c>
      <c r="AH100" s="4" t="str" cm="1">
        <f t="array" ref="AH100:AH101">_xlfn._xlws.FILTER(Spelerslijst!$L:$L,Spelerslijst!$P:$P=AD$98,"")</f>
        <v>Falco</v>
      </c>
      <c r="AI100" s="5" cm="1">
        <f t="array" ref="AI100:AI101">_xlfn._xlws.FILTER(Spelerslijst!$M:$M,Spelerslijst!$P:$P=AD$98,"")</f>
        <v>8</v>
      </c>
      <c r="AK100" s="3" t="str" cm="1">
        <f t="array" ref="AK100:AK103">_xlfn._xlws.FILTER(Spelerslijst!$B:$B,Spelerslijst!$G:$G=AK$98,"")</f>
        <v>Boogaart, Lenthe van den</v>
      </c>
      <c r="AL100" s="4" t="str" cm="1">
        <f t="array" ref="AL100:AL103">_xlfn._xlws.FILTER(Spelerslijst!$C:$C,Spelerslijst!$G:$G=AK$98,"")</f>
        <v>Lenthe</v>
      </c>
      <c r="AM100" s="5" cm="1">
        <f t="array" ref="AM100:AM103">_xlfn._xlws.FILTER(Spelerslijst!$D:$D,Spelerslijst!$G:$G=AK$98,"")</f>
        <v>8</v>
      </c>
      <c r="AN100" s="3" t="str" cm="1">
        <f t="array" ref="AN100:AN101">_xlfn._xlws.FILTER(Spelerslijst!$K:$K,Spelerslijst!$P:$P=AK$98,"")</f>
        <v>Ven, van de A.</v>
      </c>
      <c r="AO100" s="4" t="str" cm="1">
        <f t="array" ref="AO100:AO101">_xlfn._xlws.FILTER(Spelerslijst!$L:$L,Spelerslijst!$P:$P=AK$98,"")</f>
        <v>Abel</v>
      </c>
      <c r="AP100" s="5" cm="1">
        <f t="array" ref="AP100:AP101">_xlfn._xlws.FILTER(Spelerslijst!$M:$M,Spelerslijst!$P:$P=AK$98,"")</f>
        <v>7</v>
      </c>
    </row>
    <row r="101" spans="1:42">
      <c r="A101" s="58"/>
      <c r="B101" s="6" t="str">
        <v>Exalto, L.</v>
      </c>
      <c r="C101" s="2" t="str">
        <v>Laura</v>
      </c>
      <c r="D101" s="7">
        <v>9</v>
      </c>
      <c r="E101" s="6" t="str">
        <v>Vos, J.</v>
      </c>
      <c r="F101" s="2" t="str">
        <v>Juda</v>
      </c>
      <c r="G101" s="7">
        <v>9</v>
      </c>
      <c r="I101" s="6" t="str">
        <v>Warmerdam, F.</v>
      </c>
      <c r="J101" s="2" t="str">
        <v>Fauve</v>
      </c>
      <c r="K101" s="7">
        <v>9</v>
      </c>
      <c r="L101" s="6" t="str">
        <v>Verberkt, N.</v>
      </c>
      <c r="M101" s="2" t="str">
        <v>Nathan</v>
      </c>
      <c r="N101" s="7">
        <v>8</v>
      </c>
      <c r="P101" s="6" t="str">
        <v>Waaijers, A.</v>
      </c>
      <c r="Q101" s="2" t="str">
        <v>Anne</v>
      </c>
      <c r="R101" s="7">
        <v>10</v>
      </c>
      <c r="S101" s="6" t="str">
        <v>Kuling , F.</v>
      </c>
      <c r="T101" s="2" t="str">
        <v xml:space="preserve">Fynn </v>
      </c>
      <c r="U101" s="7">
        <v>8</v>
      </c>
      <c r="W101" s="6" t="str">
        <v>Littooij, F.R.</v>
      </c>
      <c r="X101" s="2" t="str">
        <v>Feline</v>
      </c>
      <c r="Y101" s="7">
        <v>9</v>
      </c>
      <c r="Z101" s="6"/>
      <c r="AA101" s="2"/>
      <c r="AB101" s="7"/>
      <c r="AD101" s="6" t="str">
        <v>Kleingeld, E.</v>
      </c>
      <c r="AE101" s="2" t="str">
        <v>Evi</v>
      </c>
      <c r="AF101" s="7">
        <v>8</v>
      </c>
      <c r="AG101" s="6" t="str">
        <v>Bemer, T.R.S</v>
      </c>
      <c r="AH101" s="2" t="str">
        <v>Tygo</v>
      </c>
      <c r="AI101" s="7">
        <v>8</v>
      </c>
      <c r="AK101" s="6" t="str">
        <v>Brouwer, N</v>
      </c>
      <c r="AL101" s="2" t="str">
        <v>Noor</v>
      </c>
      <c r="AM101" s="7">
        <v>8</v>
      </c>
      <c r="AN101" s="6" t="str">
        <v>Veenendaal, M.</v>
      </c>
      <c r="AO101" s="2" t="str">
        <v>Martijn</v>
      </c>
      <c r="AP101" s="7">
        <v>8</v>
      </c>
    </row>
    <row r="102" spans="1:42">
      <c r="A102" s="58"/>
      <c r="B102" s="6" t="str">
        <v>Veld, in 't R.</v>
      </c>
      <c r="C102" s="2" t="str">
        <v>Roos</v>
      </c>
      <c r="D102" s="7">
        <v>9</v>
      </c>
      <c r="E102" s="6"/>
      <c r="F102" s="2"/>
      <c r="G102" s="7"/>
      <c r="I102" s="6" t="str">
        <v>Wietses, E.</v>
      </c>
      <c r="J102" s="2" t="str">
        <v>Ester</v>
      </c>
      <c r="K102" s="7">
        <v>9</v>
      </c>
      <c r="L102" s="6"/>
      <c r="M102" s="2"/>
      <c r="N102" s="7"/>
      <c r="P102" s="6" t="str">
        <v>Tims, F.</v>
      </c>
      <c r="Q102" s="2" t="str">
        <v>Fay</v>
      </c>
      <c r="R102" s="7">
        <v>8</v>
      </c>
      <c r="S102" s="6"/>
      <c r="T102" s="2"/>
      <c r="U102" s="7"/>
      <c r="W102" s="6" t="str">
        <v>Naeije, L.</v>
      </c>
      <c r="X102" s="2" t="str">
        <v>Lisanne</v>
      </c>
      <c r="Y102" s="7">
        <v>9</v>
      </c>
      <c r="Z102" s="6"/>
      <c r="AA102" s="2"/>
      <c r="AB102" s="7"/>
      <c r="AD102" s="6" t="str">
        <v>Wiel, van der Y.J.</v>
      </c>
      <c r="AE102" s="2" t="str">
        <v>Yara</v>
      </c>
      <c r="AF102" s="7">
        <v>8</v>
      </c>
      <c r="AG102" s="6"/>
      <c r="AH102" s="2"/>
      <c r="AI102" s="7"/>
      <c r="AK102" s="6" t="str">
        <v>Van Rijswijk, F.</v>
      </c>
      <c r="AL102" s="2" t="str">
        <v>Fenna</v>
      </c>
      <c r="AM102" s="7">
        <v>9</v>
      </c>
      <c r="AN102" s="6"/>
      <c r="AO102" s="2"/>
      <c r="AP102" s="7"/>
    </row>
    <row r="103" spans="1:42">
      <c r="A103" s="58"/>
      <c r="B103" s="6"/>
      <c r="C103" s="2"/>
      <c r="D103" s="7"/>
      <c r="E103" s="6"/>
      <c r="F103" s="2"/>
      <c r="G103" s="7"/>
      <c r="I103" s="6"/>
      <c r="J103" s="2"/>
      <c r="K103" s="7"/>
      <c r="L103" s="6"/>
      <c r="M103" s="2"/>
      <c r="N103" s="7"/>
      <c r="P103" s="6"/>
      <c r="Q103" s="2"/>
      <c r="R103" s="7"/>
      <c r="S103" s="6"/>
      <c r="T103" s="2"/>
      <c r="U103" s="7"/>
      <c r="W103" s="6" t="str">
        <v>Moniz, D.</v>
      </c>
      <c r="X103" s="2" t="str">
        <v>Davina</v>
      </c>
      <c r="Y103" s="7">
        <v>8</v>
      </c>
      <c r="Z103" s="6"/>
      <c r="AA103" s="2"/>
      <c r="AB103" s="7"/>
      <c r="AD103" s="6"/>
      <c r="AE103" s="2"/>
      <c r="AF103" s="7"/>
      <c r="AG103" s="6"/>
      <c r="AH103" s="2"/>
      <c r="AI103" s="7"/>
      <c r="AK103" s="6" t="str">
        <v>Uljee, T.</v>
      </c>
      <c r="AL103" s="2" t="str">
        <v>Tess</v>
      </c>
      <c r="AM103" s="7">
        <v>8</v>
      </c>
      <c r="AN103" s="6"/>
      <c r="AO103" s="2"/>
      <c r="AP103" s="7"/>
    </row>
    <row r="104" spans="1:42">
      <c r="A104" s="58"/>
      <c r="B104" s="6"/>
      <c r="C104" s="2"/>
      <c r="D104" s="7"/>
      <c r="E104" s="6"/>
      <c r="F104" s="2"/>
      <c r="G104" s="7"/>
      <c r="I104" s="6"/>
      <c r="J104" s="2"/>
      <c r="K104" s="7"/>
      <c r="L104" s="6"/>
      <c r="M104" s="2"/>
      <c r="N104" s="7"/>
      <c r="P104" s="6"/>
      <c r="Q104" s="2"/>
      <c r="R104" s="7"/>
      <c r="S104" s="6"/>
      <c r="T104" s="2"/>
      <c r="U104" s="7"/>
      <c r="W104" s="6" t="str">
        <v>Oosse, E.</v>
      </c>
      <c r="X104" s="2" t="str">
        <v>Esther</v>
      </c>
      <c r="Y104" s="7">
        <v>8</v>
      </c>
      <c r="Z104" s="6"/>
      <c r="AA104" s="2"/>
      <c r="AB104" s="7"/>
      <c r="AD104" s="6"/>
      <c r="AE104" s="2"/>
      <c r="AF104" s="7"/>
      <c r="AG104" s="6"/>
      <c r="AH104" s="2"/>
      <c r="AI104" s="7"/>
      <c r="AK104" s="6"/>
      <c r="AL104" s="2"/>
      <c r="AM104" s="7"/>
      <c r="AN104" s="6"/>
      <c r="AO104" s="2"/>
      <c r="AP104" s="7"/>
    </row>
    <row r="105" spans="1:42" ht="15.75" thickBot="1">
      <c r="A105" s="58"/>
      <c r="B105" s="6"/>
      <c r="C105" s="2"/>
      <c r="D105" s="7"/>
      <c r="E105" s="6"/>
      <c r="F105" s="2"/>
      <c r="G105" s="7"/>
      <c r="I105" s="6"/>
      <c r="J105" s="2"/>
      <c r="K105" s="7"/>
      <c r="L105" s="6"/>
      <c r="M105" s="2"/>
      <c r="N105" s="7"/>
      <c r="P105" s="6"/>
      <c r="Q105" s="2"/>
      <c r="R105" s="7"/>
      <c r="S105" s="6"/>
      <c r="T105" s="2"/>
      <c r="U105" s="7"/>
      <c r="W105" s="6"/>
      <c r="X105" s="2"/>
      <c r="Y105" s="7"/>
      <c r="Z105" s="6"/>
      <c r="AA105" s="2"/>
      <c r="AB105" s="7"/>
      <c r="AD105" s="6"/>
      <c r="AE105" s="2"/>
      <c r="AF105" s="7"/>
      <c r="AG105" s="6"/>
      <c r="AH105" s="2"/>
      <c r="AI105" s="7"/>
      <c r="AK105" s="6"/>
      <c r="AL105" s="2"/>
      <c r="AM105" s="7"/>
      <c r="AN105" s="6"/>
      <c r="AO105" s="2"/>
      <c r="AP105" s="7"/>
    </row>
    <row r="106" spans="1:42">
      <c r="A106" s="58"/>
      <c r="B106" s="12" t="str" cm="1">
        <f t="array" ref="B106:B107">_xlfn._xlws.FILTER(Staf!$C:$C,Staf!$B:$B=Teams!B98,"")</f>
        <v>Coach</v>
      </c>
      <c r="C106" s="13" t="str" cm="1">
        <f t="array" ref="C106:C107">_xlfn._xlws.FILTER(Staf!$A:$A,Staf!$B:$B=Teams!B98,"")</f>
        <v>Anouk de Jongh</v>
      </c>
      <c r="D106" s="13"/>
      <c r="E106" s="13"/>
      <c r="F106" s="13"/>
      <c r="G106" s="14"/>
      <c r="I106" s="12" t="str" cm="1">
        <f t="array" ref="I106:I107">_xlfn._xlws.FILTER(Staf!$C:$C,Staf!$B:$B=Teams!I98,"")</f>
        <v>Coach</v>
      </c>
      <c r="J106" s="13" t="str" cm="1">
        <f t="array" ref="J106:J107">_xlfn._xlws.FILTER(Staf!$A:$A,Staf!$B:$B=Teams!I98,"")</f>
        <v>Ilonka Bouwknegt</v>
      </c>
      <c r="K106" s="13"/>
      <c r="L106" s="13"/>
      <c r="M106" s="13"/>
      <c r="N106" s="14"/>
      <c r="P106" s="12" t="str" cm="1">
        <f t="array" ref="P106:P107">_xlfn._xlws.FILTER(Staf!$C:$C,Staf!$B:$B=Teams!P98,"")</f>
        <v>Coach</v>
      </c>
      <c r="Q106" s="13" t="str" cm="1">
        <f t="array" ref="Q106:Q107">_xlfn._xlws.FILTER(Staf!$A:$A,Staf!$B:$B=Teams!P98,"")</f>
        <v>Laura Koote</v>
      </c>
      <c r="R106" s="13"/>
      <c r="S106" s="13"/>
      <c r="T106" s="13"/>
      <c r="U106" s="14"/>
      <c r="W106" s="12" t="str" cm="1">
        <f t="array" ref="W106:W108">_xlfn._xlws.FILTER(Staf!$C:$C,Staf!$B:$B=Teams!W98,"")</f>
        <v>Coach</v>
      </c>
      <c r="X106" s="13" t="str" cm="1">
        <f t="array" ref="X106:X108">_xlfn._xlws.FILTER(Staf!$A:$A,Staf!$B:$B=Teams!W98,"")</f>
        <v>Laurens Verhagen</v>
      </c>
      <c r="Y106" s="13"/>
      <c r="Z106" s="13"/>
      <c r="AA106" s="13"/>
      <c r="AB106" s="14"/>
      <c r="AD106" s="12" t="str" cm="1">
        <f t="array" ref="AD106:AD107">_xlfn._xlws.FILTER(Staf!$C:$C,Staf!$B:$B=Teams!AD98,"")</f>
        <v>Trainer/Coach</v>
      </c>
      <c r="AE106" s="13" t="str" cm="1">
        <f t="array" ref="AE106:AE107">_xlfn._xlws.FILTER(Staf!$A:$A,Staf!$B:$B=Teams!AD98,"")</f>
        <v>Jasper Kleingeld</v>
      </c>
      <c r="AF106" s="13"/>
      <c r="AG106" s="13"/>
      <c r="AH106" s="13"/>
      <c r="AI106" s="14"/>
      <c r="AK106" s="12" t="str" cm="1">
        <f t="array" ref="AK106">_xlfn._xlws.FILTER(Staf!$C:$C,Staf!$B:$B=Teams!AK98,"")</f>
        <v>Coach</v>
      </c>
      <c r="AL106" s="13" t="str" cm="1">
        <f t="array" ref="AL106">_xlfn._xlws.FILTER(Staf!$A:$A,Staf!$B:$B=Teams!AK98,"")</f>
        <v>Tom van de Ven</v>
      </c>
      <c r="AM106" s="13"/>
      <c r="AN106" s="13"/>
      <c r="AO106" s="13"/>
      <c r="AP106" s="14"/>
    </row>
    <row r="107" spans="1:42">
      <c r="A107" s="58"/>
      <c r="B107" s="15" t="str">
        <v>Coach</v>
      </c>
      <c r="C107" s="16" t="str">
        <v>Sjoerd van Ameijden</v>
      </c>
      <c r="D107" s="16"/>
      <c r="E107" s="16"/>
      <c r="F107" s="16"/>
      <c r="G107" s="17"/>
      <c r="I107" s="15" t="str">
        <v>Ondersteuning</v>
      </c>
      <c r="J107" s="16" t="str">
        <v>Melina vd Merwe</v>
      </c>
      <c r="K107" s="16"/>
      <c r="L107" s="16"/>
      <c r="M107" s="16"/>
      <c r="N107" s="17"/>
      <c r="P107" s="15" t="str">
        <v>Coach</v>
      </c>
      <c r="Q107" s="16" t="str">
        <v>Suzanne Klink</v>
      </c>
      <c r="R107" s="16"/>
      <c r="S107" s="16"/>
      <c r="T107" s="16"/>
      <c r="U107" s="17"/>
      <c r="W107" s="15" t="str">
        <v>Coach</v>
      </c>
      <c r="X107" s="16" t="str">
        <v>Bente van Wijngaarden</v>
      </c>
      <c r="Y107" s="16"/>
      <c r="Z107" s="16"/>
      <c r="AA107" s="16"/>
      <c r="AB107" s="17"/>
      <c r="AD107" s="15" t="str">
        <v>Coach</v>
      </c>
      <c r="AE107" s="16" t="str">
        <v>Annemarie Schipper-de Boer</v>
      </c>
      <c r="AF107" s="16"/>
      <c r="AG107" s="16"/>
      <c r="AH107" s="16"/>
      <c r="AI107" s="17"/>
      <c r="AK107" s="15"/>
      <c r="AL107" s="16"/>
      <c r="AM107" s="16"/>
      <c r="AN107" s="16"/>
      <c r="AO107" s="16"/>
      <c r="AP107" s="17"/>
    </row>
    <row r="108" spans="1:42" ht="15.75" thickBot="1">
      <c r="A108" s="58"/>
      <c r="B108" s="18"/>
      <c r="C108" s="19"/>
      <c r="D108" s="19"/>
      <c r="E108" s="19"/>
      <c r="F108" s="19"/>
      <c r="G108" s="20"/>
      <c r="I108" s="18"/>
      <c r="J108" s="19"/>
      <c r="K108" s="19"/>
      <c r="L108" s="19"/>
      <c r="M108" s="19"/>
      <c r="N108" s="20"/>
      <c r="P108" s="18"/>
      <c r="Q108" s="19"/>
      <c r="R108" s="19"/>
      <c r="S108" s="19"/>
      <c r="T108" s="19"/>
      <c r="U108" s="20"/>
      <c r="W108" s="18" t="str">
        <v>Ondersteuning</v>
      </c>
      <c r="X108" s="19" t="str">
        <v>Kim Dommisse</v>
      </c>
      <c r="Y108" s="19"/>
      <c r="Z108" s="19"/>
      <c r="AA108" s="19"/>
      <c r="AB108" s="20"/>
      <c r="AD108" s="18"/>
      <c r="AE108" s="19"/>
      <c r="AF108" s="19"/>
      <c r="AG108" s="19"/>
      <c r="AH108" s="19"/>
      <c r="AI108" s="20"/>
      <c r="AK108" s="18"/>
      <c r="AL108" s="19"/>
      <c r="AM108" s="19"/>
      <c r="AN108" s="19"/>
      <c r="AO108" s="19"/>
      <c r="AP108" s="20"/>
    </row>
    <row r="109" spans="1:42" ht="15.75" thickBot="1"/>
    <row r="110" spans="1:42" ht="15.75" thickBot="1">
      <c r="A110" s="58" t="s">
        <v>44</v>
      </c>
      <c r="B110" s="21" t="s">
        <v>45</v>
      </c>
      <c r="C110" s="21"/>
      <c r="D110" s="21"/>
      <c r="E110" s="21"/>
      <c r="F110" s="21"/>
      <c r="G110" s="22">
        <f>AVERAGE(D112:D119,G112:G119)</f>
        <v>7</v>
      </c>
      <c r="I110" s="21" t="s">
        <v>46</v>
      </c>
      <c r="J110" s="21"/>
      <c r="K110" s="21"/>
      <c r="L110" s="21"/>
      <c r="M110" s="21"/>
      <c r="N110" s="22">
        <f>AVERAGE(K112:K119,N112:N119)</f>
        <v>7</v>
      </c>
      <c r="P110" s="21" t="s">
        <v>47</v>
      </c>
      <c r="Q110" s="21"/>
      <c r="R110" s="21"/>
      <c r="S110" s="21"/>
      <c r="T110" s="21"/>
      <c r="U110" s="22">
        <f>AVERAGE(R112:R119,U112:U119)</f>
        <v>6.4285714285714288</v>
      </c>
      <c r="W110" s="21" t="s">
        <v>48</v>
      </c>
      <c r="X110" s="21"/>
      <c r="Y110" s="21"/>
      <c r="Z110" s="21"/>
      <c r="AA110" s="21"/>
      <c r="AB110" s="22" t="e">
        <f>AVERAGE(Y112:Y119,AB112:AB119)</f>
        <v>#DIV/0!</v>
      </c>
      <c r="AD110" s="21" t="s">
        <v>49</v>
      </c>
      <c r="AE110" s="21"/>
      <c r="AF110" s="21"/>
      <c r="AG110" s="21"/>
      <c r="AH110" s="21"/>
      <c r="AI110" s="22" t="e">
        <f>AVERAGE(AF112:AF119,AI112:AI119)</f>
        <v>#DIV/0!</v>
      </c>
    </row>
    <row r="111" spans="1:42" ht="15.75" thickBot="1">
      <c r="A111" s="58"/>
      <c r="B111" s="8" t="str">
        <f>CONCATENATE("Dames (",COUNTA(C112:C117),")")</f>
        <v>Dames (3)</v>
      </c>
      <c r="C111" s="9"/>
      <c r="D111" s="10"/>
      <c r="E111" s="8" t="str">
        <f>CONCATENATE("Heren (",COUNTA(F112:F117),")")</f>
        <v>Heren (3)</v>
      </c>
      <c r="F111" s="9"/>
      <c r="G111" s="10"/>
      <c r="I111" s="8" t="str">
        <f>CONCATENATE("Dames (",COUNTA(J112:J117),")")</f>
        <v>Dames (3)</v>
      </c>
      <c r="J111" s="9"/>
      <c r="K111" s="10"/>
      <c r="L111" s="8" t="str">
        <f>CONCATENATE("Heren (",COUNTA(M112:M117),")")</f>
        <v>Heren (3)</v>
      </c>
      <c r="M111" s="9"/>
      <c r="N111" s="10"/>
      <c r="P111" s="8" t="str">
        <f>CONCATENATE("Dames (",COUNTA(Q112:Q117),")")</f>
        <v>Dames (3)</v>
      </c>
      <c r="Q111" s="9"/>
      <c r="R111" s="10"/>
      <c r="S111" s="8" t="str">
        <f>CONCATENATE("Heren (",COUNTA(T112:T117),")")</f>
        <v>Heren (4)</v>
      </c>
      <c r="T111" s="9"/>
      <c r="U111" s="10"/>
      <c r="W111" s="8" t="str">
        <f>CONCATENATE("Dames (",COUNTA(X112:X117),")")</f>
        <v>Dames (1)</v>
      </c>
      <c r="X111" s="9"/>
      <c r="Y111" s="10"/>
      <c r="Z111" s="8" t="str">
        <f>CONCATENATE("Heren (",COUNTA(AA112:AA117),")")</f>
        <v>Heren (1)</v>
      </c>
      <c r="AA111" s="9"/>
      <c r="AB111" s="10"/>
      <c r="AD111" s="8" t="str">
        <f>CONCATENATE("Dames (",COUNTA(AE112:AE117),")")</f>
        <v>Dames (1)</v>
      </c>
      <c r="AE111" s="9"/>
      <c r="AF111" s="10"/>
      <c r="AG111" s="8" t="str">
        <f>CONCATENATE("Heren (",COUNTA(AH112:AH117),")")</f>
        <v>Heren (1)</v>
      </c>
      <c r="AH111" s="9"/>
      <c r="AI111" s="10"/>
    </row>
    <row r="112" spans="1:42">
      <c r="A112" s="58"/>
      <c r="B112" s="3" t="str" cm="1">
        <f t="array" ref="B112:B114">_xlfn._xlws.FILTER(Spelerslijst!$B:$B,Spelerslijst!$G:$G=B$110,"")</f>
        <v>Exalto, L.B.C.</v>
      </c>
      <c r="C112" s="4" t="str" cm="1">
        <f t="array" ref="C112:C114">_xlfn._xlws.FILTER(Spelerslijst!$C:$C,Spelerslijst!$G:$G=B$110,"")</f>
        <v>Lisa</v>
      </c>
      <c r="D112" s="5" cm="1">
        <f t="array" ref="D112:D114">_xlfn._xlws.FILTER(Spelerslijst!$D:$D,Spelerslijst!$G:$G=B$110,"")</f>
        <v>7</v>
      </c>
      <c r="E112" s="3" t="str" cm="1">
        <f t="array" ref="E112:E114">_xlfn._xlws.FILTER(Spelerslijst!$K:$K,Spelerslijst!$P:$P=B$110,"")</f>
        <v>Ameijden, van M.</v>
      </c>
      <c r="F112" s="4" t="str" cm="1">
        <f t="array" ref="F112:F114">_xlfn._xlws.FILTER(Spelerslijst!$L:$L,Spelerslijst!$P:$P=B$110,"")</f>
        <v>Morris</v>
      </c>
      <c r="G112" s="5" cm="1">
        <f t="array" ref="G112:G114">_xlfn._xlws.FILTER(Spelerslijst!$M:$M,Spelerslijst!$P:$P=B$110,"")</f>
        <v>7</v>
      </c>
      <c r="I112" s="3" t="str" cm="1">
        <f t="array" ref="I112:I114">_xlfn._xlws.FILTER(Spelerslijst!$B:$B,Spelerslijst!$G:$G=I$110,"")</f>
        <v>Dongen, van P.</v>
      </c>
      <c r="J112" s="4" t="str" cm="1">
        <f t="array" ref="J112:J114">_xlfn._xlws.FILTER(Spelerslijst!$C:$C,Spelerslijst!$G:$G=I$110,"")</f>
        <v>Pien</v>
      </c>
      <c r="K112" s="5" cm="1">
        <f t="array" ref="K112:K114">_xlfn._xlws.FILTER(Spelerslijst!$D:$D,Spelerslijst!$G:$G=I$110,"")</f>
        <v>7</v>
      </c>
      <c r="L112" s="3" t="str" cm="1">
        <f t="array" ref="L112:L114">_xlfn._xlws.FILTER(Spelerslijst!$K:$K,Spelerslijst!$P:$P=I$110,"")</f>
        <v>Everaarts, L.</v>
      </c>
      <c r="M112" s="4" t="str" cm="1">
        <f t="array" ref="M112:M114">_xlfn._xlws.FILTER(Spelerslijst!$L:$L,Spelerslijst!$P:$P=I$110,"")</f>
        <v>Levi</v>
      </c>
      <c r="N112" s="5" cm="1">
        <f t="array" ref="N112:N114">_xlfn._xlws.FILTER(Spelerslijst!$M:$M,Spelerslijst!$P:$P=I$110,"")</f>
        <v>7</v>
      </c>
      <c r="P112" s="3" t="str" cm="1">
        <f t="array" ref="P112:P114">_xlfn._xlws.FILTER(Spelerslijst!$B:$B,Spelerslijst!$G:$G=P$110,"")</f>
        <v>Kleingeld, S.</v>
      </c>
      <c r="Q112" s="4" t="str" cm="1">
        <f t="array" ref="Q112:Q114">_xlfn._xlws.FILTER(Spelerslijst!$C:$C,Spelerslijst!$G:$G=P$110,"")</f>
        <v>Sofie</v>
      </c>
      <c r="R112" s="5" cm="1">
        <f t="array" ref="R112:R114">_xlfn._xlws.FILTER(Spelerslijst!$D:$D,Spelerslijst!$G:$G=P$110,"")</f>
        <v>6</v>
      </c>
      <c r="S112" s="3" t="str" cm="1">
        <f t="array" ref="S112:S115">_xlfn._xlws.FILTER(Spelerslijst!$K:$K,Spelerslijst!$P:$P=P$110,"")</f>
        <v>Jongkind, J.</v>
      </c>
      <c r="T112" s="4" t="str" cm="1">
        <f t="array" ref="T112:T115">_xlfn._xlws.FILTER(Spelerslijst!$L:$L,Spelerslijst!$P:$P=P$110,"")</f>
        <v>Joep</v>
      </c>
      <c r="U112" s="5" cm="1">
        <f t="array" ref="U112:U115">_xlfn._xlws.FILTER(Spelerslijst!$M:$M,Spelerslijst!$P:$P=P$110,"")</f>
        <v>7</v>
      </c>
      <c r="W112" s="3" t="str" cm="1">
        <f t="array" ref="W112">_xlfn._xlws.FILTER(Spelerslijst!$B:$B,Spelerslijst!$G:$G=W$110,"")</f>
        <v/>
      </c>
      <c r="X112" s="4" t="str" cm="1">
        <f t="array" ref="X112">_xlfn._xlws.FILTER(Spelerslijst!$C:$C,Spelerslijst!$G:$G=W$110,"")</f>
        <v/>
      </c>
      <c r="Y112" s="5" t="str" cm="1">
        <f t="array" ref="Y112">_xlfn._xlws.FILTER(Spelerslijst!$D:$D,Spelerslijst!$G:$G=W$110,"")</f>
        <v/>
      </c>
      <c r="Z112" s="3" t="str" cm="1">
        <f t="array" ref="Z112">_xlfn._xlws.FILTER(Spelerslijst!$K:$K,Spelerslijst!$P:$P=W$110,"")</f>
        <v/>
      </c>
      <c r="AA112" s="4" t="str" cm="1">
        <f t="array" ref="AA112">_xlfn._xlws.FILTER(Spelerslijst!$L:$L,Spelerslijst!$P:$P=W$110,"")</f>
        <v/>
      </c>
      <c r="AB112" s="5" t="str" cm="1">
        <f t="array" ref="AB112">_xlfn._xlws.FILTER(Spelerslijst!$M:$M,Spelerslijst!$P:$P=W$110,"")</f>
        <v/>
      </c>
      <c r="AD112" s="3" t="str" cm="1">
        <f t="array" ref="AD112">_xlfn._xlws.FILTER(Spelerslijst!$B:$B,Spelerslijst!$G:$G=AD$110,"")</f>
        <v/>
      </c>
      <c r="AE112" s="4" t="str" cm="1">
        <f t="array" ref="AE112">_xlfn._xlws.FILTER(Spelerslijst!$C:$C,Spelerslijst!$G:$G=AD$110,"")</f>
        <v/>
      </c>
      <c r="AF112" s="5" t="str" cm="1">
        <f t="array" ref="AF112">_xlfn._xlws.FILTER(Spelerslijst!$D:$D,Spelerslijst!$G:$G=AD$110,"")</f>
        <v/>
      </c>
      <c r="AG112" s="3" t="str" cm="1">
        <f t="array" ref="AG112">_xlfn._xlws.FILTER(Spelerslijst!$K:$K,Spelerslijst!$P:$P=AD$110,"")</f>
        <v/>
      </c>
      <c r="AH112" s="4" t="str" cm="1">
        <f t="array" ref="AH112">_xlfn._xlws.FILTER(Spelerslijst!$L:$L,Spelerslijst!$P:$P=AD$110,"")</f>
        <v/>
      </c>
      <c r="AI112" s="5" t="str" cm="1">
        <f t="array" ref="AI112">_xlfn._xlws.FILTER(Spelerslijst!$M:$M,Spelerslijst!$P:$P=AD$110,"")</f>
        <v/>
      </c>
    </row>
    <row r="113" spans="1:35">
      <c r="A113" s="58"/>
      <c r="B113" s="6" t="str">
        <v>Linden, van der I.</v>
      </c>
      <c r="C113" s="2" t="str">
        <v>Ize</v>
      </c>
      <c r="D113" s="7">
        <v>7</v>
      </c>
      <c r="E113" s="6" t="str">
        <v>Hoedelmans, T.</v>
      </c>
      <c r="F113" s="2" t="str">
        <v>Tobias</v>
      </c>
      <c r="G113" s="7">
        <v>7</v>
      </c>
      <c r="I113" s="6" t="str">
        <v>Dullemeijer, M.</v>
      </c>
      <c r="J113" s="2" t="str">
        <v>Mandy</v>
      </c>
      <c r="K113" s="7">
        <v>7</v>
      </c>
      <c r="L113" s="6" t="str">
        <v>Winter, L.</v>
      </c>
      <c r="M113" s="2" t="str">
        <v>Lars</v>
      </c>
      <c r="N113" s="7">
        <v>7</v>
      </c>
      <c r="P113" s="6" t="str">
        <v>Laban, M</v>
      </c>
      <c r="Q113" s="2" t="str">
        <v>Maartje</v>
      </c>
      <c r="R113" s="7">
        <v>6</v>
      </c>
      <c r="S113" s="6" t="str">
        <v>Jongkind, S.</v>
      </c>
      <c r="T113" s="2" t="str">
        <v>Sepp</v>
      </c>
      <c r="U113" s="7">
        <v>7</v>
      </c>
      <c r="W113" s="6"/>
      <c r="X113" s="2"/>
      <c r="Y113" s="7"/>
      <c r="Z113" s="6"/>
      <c r="AA113" s="2"/>
      <c r="AB113" s="7"/>
      <c r="AD113" s="6"/>
      <c r="AE113" s="2"/>
      <c r="AF113" s="7"/>
      <c r="AG113" s="6"/>
      <c r="AH113" s="2"/>
      <c r="AI113" s="7"/>
    </row>
    <row r="114" spans="1:35">
      <c r="A114" s="58"/>
      <c r="B114" s="6" t="str">
        <v>Vos, J.</v>
      </c>
      <c r="C114" s="2" t="str">
        <v>Jeslynn</v>
      </c>
      <c r="D114" s="7">
        <v>7</v>
      </c>
      <c r="E114" s="6" t="str">
        <v>Wit, de, M.</v>
      </c>
      <c r="F114" s="2" t="str">
        <v>Merlijn</v>
      </c>
      <c r="G114" s="7">
        <v>7</v>
      </c>
      <c r="I114" s="6" t="str">
        <v>Faber, S</v>
      </c>
      <c r="J114" s="2" t="str">
        <v>Sofie</v>
      </c>
      <c r="K114" s="7">
        <v>7</v>
      </c>
      <c r="L114" s="6" t="str">
        <v>Den Dekker, J.</v>
      </c>
      <c r="M114" s="2" t="str">
        <v>Jorn</v>
      </c>
      <c r="N114" s="7">
        <v>7</v>
      </c>
      <c r="P114" s="6" t="str">
        <v>Mans, R.</v>
      </c>
      <c r="Q114" s="2" t="str">
        <v>Robin</v>
      </c>
      <c r="R114" s="7">
        <v>6</v>
      </c>
      <c r="S114" s="6" t="str">
        <v>Ploeg, K.</v>
      </c>
      <c r="T114" s="2" t="str">
        <v>Koen</v>
      </c>
      <c r="U114" s="7">
        <v>6</v>
      </c>
      <c r="W114" s="6"/>
      <c r="X114" s="2"/>
      <c r="Y114" s="7"/>
      <c r="Z114" s="6"/>
      <c r="AA114" s="2"/>
      <c r="AB114" s="7"/>
      <c r="AD114" s="6"/>
      <c r="AE114" s="2"/>
      <c r="AF114" s="7"/>
      <c r="AG114" s="6"/>
      <c r="AH114" s="2"/>
      <c r="AI114" s="7"/>
    </row>
    <row r="115" spans="1:35">
      <c r="A115" s="58"/>
      <c r="B115" s="6"/>
      <c r="C115" s="2"/>
      <c r="D115" s="7"/>
      <c r="E115" s="6"/>
      <c r="F115" s="2"/>
      <c r="G115" s="7"/>
      <c r="I115" s="6"/>
      <c r="J115" s="2"/>
      <c r="K115" s="7"/>
      <c r="L115" s="6"/>
      <c r="M115" s="2"/>
      <c r="N115" s="7"/>
      <c r="P115" s="6"/>
      <c r="Q115" s="2"/>
      <c r="R115" s="7"/>
      <c r="S115" s="6" t="str">
        <v>Van de rest, L.</v>
      </c>
      <c r="T115" s="2" t="str">
        <v>Lucas</v>
      </c>
      <c r="U115" s="7">
        <v>7</v>
      </c>
      <c r="W115" s="6"/>
      <c r="X115" s="2"/>
      <c r="Y115" s="7"/>
      <c r="Z115" s="6"/>
      <c r="AA115" s="2"/>
      <c r="AB115" s="7"/>
      <c r="AD115" s="6"/>
      <c r="AE115" s="2"/>
      <c r="AF115" s="7"/>
      <c r="AG115" s="6"/>
      <c r="AH115" s="2"/>
      <c r="AI115" s="7"/>
    </row>
    <row r="116" spans="1:35">
      <c r="A116" s="58"/>
      <c r="B116" s="6"/>
      <c r="C116" s="2"/>
      <c r="D116" s="7"/>
      <c r="E116" s="6"/>
      <c r="F116" s="2"/>
      <c r="G116" s="7"/>
      <c r="I116" s="6"/>
      <c r="J116" s="2"/>
      <c r="K116" s="7"/>
      <c r="L116" s="6"/>
      <c r="M116" s="2"/>
      <c r="N116" s="7"/>
      <c r="P116" s="6"/>
      <c r="Q116" s="2"/>
      <c r="R116" s="7"/>
      <c r="S116" s="6"/>
      <c r="T116" s="2"/>
      <c r="U116" s="7"/>
      <c r="W116" s="6"/>
      <c r="X116" s="2"/>
      <c r="Y116" s="7"/>
      <c r="Z116" s="6"/>
      <c r="AA116" s="2"/>
      <c r="AB116" s="7"/>
      <c r="AD116" s="6"/>
      <c r="AE116" s="2"/>
      <c r="AF116" s="7"/>
      <c r="AG116" s="6"/>
      <c r="AH116" s="2"/>
      <c r="AI116" s="7"/>
    </row>
    <row r="117" spans="1:35" ht="15.75" thickBot="1">
      <c r="A117" s="58"/>
      <c r="B117" s="6"/>
      <c r="C117" s="2"/>
      <c r="D117" s="7"/>
      <c r="E117" s="6"/>
      <c r="F117" s="2"/>
      <c r="G117" s="7"/>
      <c r="I117" s="6"/>
      <c r="J117" s="2"/>
      <c r="K117" s="7"/>
      <c r="L117" s="6"/>
      <c r="M117" s="2"/>
      <c r="N117" s="7"/>
      <c r="P117" s="6"/>
      <c r="Q117" s="2"/>
      <c r="R117" s="7"/>
      <c r="S117" s="6"/>
      <c r="T117" s="2"/>
      <c r="U117" s="7"/>
      <c r="W117" s="6"/>
      <c r="X117" s="2"/>
      <c r="Y117" s="7"/>
      <c r="Z117" s="6"/>
      <c r="AA117" s="2"/>
      <c r="AB117" s="7"/>
      <c r="AD117" s="6"/>
      <c r="AE117" s="2"/>
      <c r="AF117" s="7"/>
      <c r="AG117" s="6"/>
      <c r="AH117" s="2"/>
      <c r="AI117" s="7"/>
    </row>
    <row r="118" spans="1:35">
      <c r="A118" s="58"/>
      <c r="B118" s="12" t="str" cm="1">
        <f t="array" ref="B118:B119">_xlfn._xlws.FILTER(Staf!$C:$C,Staf!$B:$B=Teams!B110,"")</f>
        <v>Coach</v>
      </c>
      <c r="C118" s="13" t="str" cm="1">
        <f t="array" ref="C118:C119">_xlfn._xlws.FILTER(Staf!$A:$A,Staf!$B:$B=Teams!B110,"")</f>
        <v>Jordi Vaartmans</v>
      </c>
      <c r="D118" s="13"/>
      <c r="E118" s="13"/>
      <c r="F118" s="13"/>
      <c r="G118" s="14"/>
      <c r="I118" s="12" t="str" cm="1">
        <f t="array" ref="I118:I119">_xlfn._xlws.FILTER(Staf!$C:$C,Staf!$B:$B=Teams!I110,"")</f>
        <v>Coach</v>
      </c>
      <c r="J118" s="13" t="str" cm="1">
        <f t="array" ref="J118:J119">_xlfn._xlws.FILTER(Staf!$A:$A,Staf!$B:$B=Teams!I110,"")</f>
        <v>Carlijn Lievaart</v>
      </c>
      <c r="K118" s="13"/>
      <c r="L118" s="13"/>
      <c r="M118" s="13"/>
      <c r="N118" s="14"/>
      <c r="P118" s="12" t="str" cm="1">
        <f t="array" ref="P118:P119">_xlfn._xlws.FILTER(Staf!$C:$C,Staf!$B:$B=Teams!P110,"")</f>
        <v>Trainer/Coach</v>
      </c>
      <c r="Q118" s="13" t="str" cm="1">
        <f t="array" ref="Q118:Q119">_xlfn._xlws.FILTER(Staf!$A:$A,Staf!$B:$B=Teams!P110,"")</f>
        <v>Liesbeth Wibbens</v>
      </c>
      <c r="R118" s="13"/>
      <c r="S118" s="13"/>
      <c r="T118" s="13"/>
      <c r="U118" s="14"/>
      <c r="W118" s="12" t="str" cm="1">
        <f t="array" ref="W118">_xlfn._xlws.FILTER(Staf!$C:$C,Staf!$B:$B=Teams!W110,"")</f>
        <v/>
      </c>
      <c r="X118" s="13" t="str" cm="1">
        <f t="array" ref="X118">_xlfn._xlws.FILTER(Staf!$A:$A,Staf!$B:$B=Teams!W110,"")</f>
        <v/>
      </c>
      <c r="Y118" s="13"/>
      <c r="Z118" s="13"/>
      <c r="AA118" s="13"/>
      <c r="AB118" s="14"/>
      <c r="AD118" s="12" t="str" cm="1">
        <f t="array" ref="AD118">_xlfn._xlws.FILTER(Staf!$C:$C,Staf!$B:$B=Teams!AD110,"")</f>
        <v/>
      </c>
      <c r="AE118" s="13" t="str" cm="1">
        <f t="array" ref="AE118">_xlfn._xlws.FILTER(Staf!$A:$A,Staf!$B:$B=Teams!AD110,"")</f>
        <v/>
      </c>
      <c r="AF118" s="13"/>
      <c r="AG118" s="13"/>
      <c r="AH118" s="13"/>
      <c r="AI118" s="14"/>
    </row>
    <row r="119" spans="1:35">
      <c r="A119" s="58"/>
      <c r="B119" s="15" t="str">
        <v>Coach</v>
      </c>
      <c r="C119" s="16" t="str">
        <v>Julia Bozuwa</v>
      </c>
      <c r="D119" s="16"/>
      <c r="E119" s="16"/>
      <c r="F119" s="16"/>
      <c r="G119" s="17"/>
      <c r="I119" s="15" t="str">
        <v>Coach</v>
      </c>
      <c r="J119" s="16" t="str">
        <v>Kim de Reus</v>
      </c>
      <c r="K119" s="16"/>
      <c r="L119" s="16"/>
      <c r="M119" s="16"/>
      <c r="N119" s="17"/>
      <c r="P119" s="15" t="str">
        <v>Trainer/Coach</v>
      </c>
      <c r="Q119" s="16" t="str">
        <v>Monique te Witt</v>
      </c>
      <c r="R119" s="16"/>
      <c r="S119" s="16"/>
      <c r="T119" s="16"/>
      <c r="U119" s="17"/>
      <c r="W119" s="15"/>
      <c r="X119" s="16"/>
      <c r="Y119" s="16"/>
      <c r="Z119" s="16"/>
      <c r="AA119" s="16"/>
      <c r="AB119" s="17"/>
      <c r="AD119" s="15"/>
      <c r="AE119" s="16"/>
      <c r="AF119" s="16"/>
      <c r="AG119" s="16"/>
      <c r="AH119" s="16"/>
      <c r="AI119" s="17"/>
    </row>
    <row r="120" spans="1:35" ht="15.75" thickBot="1">
      <c r="A120" s="58"/>
      <c r="B120" s="18"/>
      <c r="C120" s="19"/>
      <c r="D120" s="19"/>
      <c r="E120" s="19"/>
      <c r="F120" s="19"/>
      <c r="G120" s="20"/>
      <c r="I120" s="18"/>
      <c r="J120" s="19"/>
      <c r="K120" s="19"/>
      <c r="L120" s="19"/>
      <c r="M120" s="19"/>
      <c r="N120" s="20"/>
      <c r="P120" s="18"/>
      <c r="Q120" s="19"/>
      <c r="R120" s="19"/>
      <c r="S120" s="19"/>
      <c r="T120" s="19"/>
      <c r="U120" s="20"/>
      <c r="W120" s="18"/>
      <c r="X120" s="19"/>
      <c r="Y120" s="19"/>
      <c r="Z120" s="19"/>
      <c r="AA120" s="19"/>
      <c r="AB120" s="20"/>
      <c r="AD120" s="18"/>
      <c r="AE120" s="19"/>
      <c r="AF120" s="19"/>
      <c r="AG120" s="19"/>
      <c r="AH120" s="19"/>
      <c r="AI120" s="20"/>
    </row>
    <row r="121" spans="1:35" ht="15.75" thickBot="1"/>
    <row r="122" spans="1:35" ht="15.75" thickBot="1">
      <c r="A122" s="58" t="s">
        <v>50</v>
      </c>
      <c r="B122" s="21" t="s">
        <v>51</v>
      </c>
      <c r="C122" s="21"/>
      <c r="D122" s="21"/>
      <c r="E122" s="21"/>
      <c r="F122" s="21"/>
      <c r="G122" s="22">
        <f>AVERAGE(D124:D133,G124:G133)</f>
        <v>4</v>
      </c>
    </row>
    <row r="123" spans="1:35" ht="15.75" thickBot="1">
      <c r="A123" s="58"/>
      <c r="B123" s="8" t="str">
        <f>CONCATENATE("Dames (",COUNTA(C124:C131),")")</f>
        <v>Dames (3)</v>
      </c>
      <c r="C123" s="9"/>
      <c r="D123" s="10"/>
      <c r="E123" s="8" t="str">
        <f>CONCATENATE("Heren (",COUNTA(F124:F131),")")</f>
        <v>Heren (1)</v>
      </c>
      <c r="F123" s="9"/>
      <c r="G123" s="10"/>
    </row>
    <row r="124" spans="1:35">
      <c r="A124" s="58"/>
      <c r="B124" s="3" t="str" cm="1">
        <f t="array" ref="B124:B126">_xlfn._xlws.FILTER(Spelerslijst!$B:$B,Spelerslijst!$G:$G=B$122,"")</f>
        <v>Brouwer, V</v>
      </c>
      <c r="C124" s="4" t="str" cm="1">
        <f t="array" ref="C124:C126">_xlfn._xlws.FILTER(Spelerslijst!$C:$C,Spelerslijst!$G:$G=B$122,"")</f>
        <v>Veerle</v>
      </c>
      <c r="D124" s="5" cm="1">
        <f t="array" ref="D124:D126">_xlfn._xlws.FILTER(Spelerslijst!$D:$D,Spelerslijst!$G:$G=B$122,"")</f>
        <v>4</v>
      </c>
      <c r="E124" s="3" t="str" cm="1">
        <f t="array" ref="E124">_xlfn._xlws.FILTER(Spelerslijst!$K:$K,Spelerslijst!$P:$P=B$122,"")</f>
        <v/>
      </c>
      <c r="F124" s="4" t="str" cm="1">
        <f t="array" ref="F124">_xlfn._xlws.FILTER(Spelerslijst!$L:$L,Spelerslijst!$P:$P=B$122,"")</f>
        <v/>
      </c>
      <c r="G124" s="5" t="str" cm="1">
        <f t="array" ref="G124">_xlfn._xlws.FILTER(Spelerslijst!$M:$M,Spelerslijst!$P:$P=B$122,"")</f>
        <v/>
      </c>
    </row>
    <row r="125" spans="1:35">
      <c r="A125" s="58"/>
      <c r="B125" s="6" t="str">
        <v>Jacobs, Vive</v>
      </c>
      <c r="C125" s="2" t="str">
        <v>Vive</v>
      </c>
      <c r="D125" s="7">
        <v>4</v>
      </c>
      <c r="E125" s="6"/>
      <c r="F125" s="2"/>
      <c r="G125" s="7"/>
    </row>
    <row r="126" spans="1:35">
      <c r="A126" s="58"/>
      <c r="B126" s="6" t="str">
        <v>Vogelaar, Elin</v>
      </c>
      <c r="C126" s="2" t="str">
        <v>Elin</v>
      </c>
      <c r="D126" s="7">
        <v>4</v>
      </c>
      <c r="E126" s="6"/>
      <c r="F126" s="2"/>
      <c r="G126" s="7"/>
    </row>
    <row r="127" spans="1:35">
      <c r="A127" s="58"/>
      <c r="B127" s="6"/>
      <c r="C127" s="2"/>
      <c r="D127" s="7"/>
      <c r="E127" s="6"/>
      <c r="F127" s="2"/>
      <c r="G127" s="7"/>
    </row>
    <row r="128" spans="1:35">
      <c r="A128" s="58"/>
      <c r="B128" s="6"/>
      <c r="C128" s="2"/>
      <c r="D128" s="7"/>
      <c r="E128" s="6"/>
      <c r="F128" s="2"/>
      <c r="G128" s="7"/>
    </row>
    <row r="129" spans="1:7">
      <c r="A129" s="58"/>
      <c r="B129" s="6"/>
      <c r="C129" s="2"/>
      <c r="D129" s="7"/>
      <c r="E129" s="6"/>
      <c r="F129" s="2"/>
      <c r="G129" s="7"/>
    </row>
    <row r="130" spans="1:7">
      <c r="A130" s="58"/>
      <c r="B130" s="6"/>
      <c r="C130" s="2"/>
      <c r="D130" s="7"/>
      <c r="E130" s="6"/>
      <c r="F130" s="2"/>
      <c r="G130" s="7"/>
    </row>
    <row r="131" spans="1:7" ht="15.75" thickBot="1">
      <c r="A131" s="58"/>
      <c r="B131" s="6"/>
      <c r="C131" s="2"/>
      <c r="D131" s="7"/>
      <c r="E131" s="6"/>
      <c r="F131" s="2"/>
      <c r="G131" s="7"/>
    </row>
    <row r="132" spans="1:7">
      <c r="A132" s="58"/>
      <c r="B132" s="12" t="str" cm="1">
        <f t="array" ref="B132:B134">_xlfn._xlws.FILTER(Staf!$C:$C,Staf!$B:$B=Teams!B122,"")</f>
        <v>Coach</v>
      </c>
      <c r="C132" s="13" t="str" cm="1">
        <f t="array" ref="C132:C134">_xlfn._xlws.FILTER(Staf!$A:$A,Staf!$B:$B=Teams!B122,"")</f>
        <v>Lindi Fasbender</v>
      </c>
      <c r="D132" s="13"/>
      <c r="E132" s="13"/>
      <c r="F132" s="13"/>
      <c r="G132" s="14"/>
    </row>
    <row r="133" spans="1:7">
      <c r="A133" s="58"/>
      <c r="B133" s="15" t="str">
        <v>Coach</v>
      </c>
      <c r="C133" s="16" t="str">
        <v>Maritte Vogelaar</v>
      </c>
      <c r="D133" s="16"/>
      <c r="E133" s="16"/>
      <c r="F133" s="16"/>
      <c r="G133" s="17"/>
    </row>
    <row r="134" spans="1:7" ht="15.75" thickBot="1">
      <c r="A134" s="58"/>
      <c r="B134" s="18" t="str">
        <v>Coach</v>
      </c>
      <c r="C134" s="19" t="str">
        <v>Sara Boshoven</v>
      </c>
      <c r="D134" s="19"/>
      <c r="E134" s="19"/>
      <c r="F134" s="19"/>
      <c r="G134" s="20"/>
    </row>
  </sheetData>
  <mergeCells count="9">
    <mergeCell ref="A2:A25"/>
    <mergeCell ref="A110:A120"/>
    <mergeCell ref="A122:A134"/>
    <mergeCell ref="A27:A39"/>
    <mergeCell ref="A41:A54"/>
    <mergeCell ref="A56:A68"/>
    <mergeCell ref="A70:A82"/>
    <mergeCell ref="A84:A96"/>
    <mergeCell ref="A98:A10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351E-45EC-4006-8418-92B03096BD68}">
  <sheetPr>
    <tabColor theme="3"/>
  </sheetPr>
  <dimension ref="A1:Q196"/>
  <sheetViews>
    <sheetView tabSelected="1" topLeftCell="H104" zoomScale="130" zoomScaleNormal="130" workbookViewId="0">
      <selection activeCell="J126" sqref="J126"/>
    </sheetView>
  </sheetViews>
  <sheetFormatPr defaultRowHeight="15"/>
  <cols>
    <col min="1" max="1" width="11" style="33" bestFit="1" customWidth="1"/>
    <col min="2" max="2" width="24.5703125" style="33" bestFit="1" customWidth="1"/>
    <col min="3" max="3" width="11.28515625" style="33" customWidth="1"/>
    <col min="4" max="4" width="11.5703125" style="37" customWidth="1"/>
    <col min="5" max="5" width="11.7109375" style="36" customWidth="1"/>
    <col min="6" max="6" width="11.140625" style="37" customWidth="1"/>
    <col min="7" max="7" width="7.7109375" style="33" customWidth="1"/>
    <col min="8" max="8" width="4.7109375" style="33" customWidth="1"/>
    <col min="9" max="9" width="2" customWidth="1"/>
    <col min="10" max="10" width="10.28515625" style="33" customWidth="1"/>
    <col min="11" max="11" width="19.7109375" style="33" bestFit="1" customWidth="1"/>
    <col min="12" max="12" width="11.28515625" style="33" customWidth="1"/>
    <col min="13" max="13" width="12.5703125" style="37" customWidth="1"/>
    <col min="14" max="14" width="11.7109375" style="36" customWidth="1"/>
    <col min="15" max="15" width="10.28515625" style="37" customWidth="1"/>
    <col min="16" max="16" width="8.28515625" style="37" customWidth="1"/>
    <col min="17" max="17" width="5.28515625" style="37" customWidth="1"/>
  </cols>
  <sheetData>
    <row r="1" spans="1:17" ht="30">
      <c r="A1" s="40" t="s">
        <v>52</v>
      </c>
      <c r="B1" s="41" t="s">
        <v>53</v>
      </c>
      <c r="C1" s="41" t="s">
        <v>54</v>
      </c>
      <c r="D1" s="42" t="s">
        <v>55</v>
      </c>
      <c r="E1" s="43" t="s">
        <v>56</v>
      </c>
      <c r="F1" s="42" t="s">
        <v>57</v>
      </c>
      <c r="G1" s="42" t="s">
        <v>58</v>
      </c>
      <c r="H1" s="44" t="s">
        <v>59</v>
      </c>
      <c r="J1" s="40" t="s">
        <v>52</v>
      </c>
      <c r="K1" s="41" t="s">
        <v>60</v>
      </c>
      <c r="L1" s="41" t="s">
        <v>54</v>
      </c>
      <c r="M1" s="42" t="s">
        <v>55</v>
      </c>
      <c r="N1" s="43" t="s">
        <v>56</v>
      </c>
      <c r="O1" s="42" t="s">
        <v>57</v>
      </c>
      <c r="P1" s="42" t="s">
        <v>58</v>
      </c>
      <c r="Q1" s="54" t="s">
        <v>59</v>
      </c>
    </row>
    <row r="2" spans="1:17">
      <c r="A2" s="45" t="s">
        <v>61</v>
      </c>
      <c r="B2" s="30" t="s">
        <v>62</v>
      </c>
      <c r="C2" s="30" t="s">
        <v>63</v>
      </c>
      <c r="D2" s="32">
        <v>38</v>
      </c>
      <c r="E2" s="31">
        <v>30344</v>
      </c>
      <c r="F2" s="32" t="s">
        <v>64</v>
      </c>
      <c r="G2" s="32" t="s">
        <v>65</v>
      </c>
      <c r="H2" s="46"/>
      <c r="J2" s="45" t="s">
        <v>66</v>
      </c>
      <c r="K2" s="30" t="s">
        <v>67</v>
      </c>
      <c r="L2" s="30" t="s">
        <v>68</v>
      </c>
      <c r="M2" s="32">
        <v>31</v>
      </c>
      <c r="N2" s="31">
        <v>32911</v>
      </c>
      <c r="O2" s="32" t="s">
        <v>64</v>
      </c>
      <c r="P2" s="32" t="s">
        <v>65</v>
      </c>
      <c r="Q2" s="47"/>
    </row>
    <row r="3" spans="1:17">
      <c r="A3" s="45" t="s">
        <v>69</v>
      </c>
      <c r="B3" s="30" t="s">
        <v>70</v>
      </c>
      <c r="C3" s="30" t="s">
        <v>71</v>
      </c>
      <c r="D3" s="32">
        <v>22</v>
      </c>
      <c r="E3" s="31">
        <v>36479</v>
      </c>
      <c r="F3" s="32" t="s">
        <v>64</v>
      </c>
      <c r="G3" s="32" t="s">
        <v>65</v>
      </c>
      <c r="H3" s="46"/>
      <c r="J3" s="45" t="s">
        <v>72</v>
      </c>
      <c r="K3" s="30" t="s">
        <v>73</v>
      </c>
      <c r="L3" s="30" t="s">
        <v>74</v>
      </c>
      <c r="M3" s="32">
        <v>40</v>
      </c>
      <c r="N3" s="31">
        <v>29709</v>
      </c>
      <c r="O3" s="32" t="s">
        <v>64</v>
      </c>
      <c r="P3" s="32" t="s">
        <v>65</v>
      </c>
      <c r="Q3" s="47"/>
    </row>
    <row r="4" spans="1:17">
      <c r="A4" s="45" t="s">
        <v>75</v>
      </c>
      <c r="B4" s="30" t="s">
        <v>76</v>
      </c>
      <c r="C4" s="30" t="s">
        <v>77</v>
      </c>
      <c r="D4" s="32">
        <v>44</v>
      </c>
      <c r="E4" s="31">
        <v>28346</v>
      </c>
      <c r="F4" s="32" t="s">
        <v>64</v>
      </c>
      <c r="G4" s="32" t="s">
        <v>65</v>
      </c>
      <c r="H4" s="46"/>
      <c r="J4" s="45" t="s">
        <v>78</v>
      </c>
      <c r="K4" s="30" t="s">
        <v>79</v>
      </c>
      <c r="L4" s="30" t="s">
        <v>80</v>
      </c>
      <c r="M4" s="32">
        <v>42</v>
      </c>
      <c r="N4" s="31">
        <v>29189</v>
      </c>
      <c r="O4" s="32" t="s">
        <v>64</v>
      </c>
      <c r="P4" s="32" t="s">
        <v>65</v>
      </c>
      <c r="Q4" s="47"/>
    </row>
    <row r="5" spans="1:17">
      <c r="A5" s="45" t="s">
        <v>81</v>
      </c>
      <c r="B5" s="30" t="s">
        <v>82</v>
      </c>
      <c r="C5" s="30" t="s">
        <v>83</v>
      </c>
      <c r="D5" s="32">
        <v>36</v>
      </c>
      <c r="E5" s="31">
        <v>31375</v>
      </c>
      <c r="F5" s="32" t="s">
        <v>64</v>
      </c>
      <c r="G5" s="32" t="s">
        <v>65</v>
      </c>
      <c r="H5" s="46"/>
      <c r="J5" s="45" t="s">
        <v>84</v>
      </c>
      <c r="K5" s="30" t="s">
        <v>85</v>
      </c>
      <c r="L5" s="30" t="s">
        <v>86</v>
      </c>
      <c r="M5" s="32">
        <v>54</v>
      </c>
      <c r="N5" s="31">
        <v>24583</v>
      </c>
      <c r="O5" s="32" t="s">
        <v>64</v>
      </c>
      <c r="P5" s="32" t="s">
        <v>65</v>
      </c>
      <c r="Q5" s="47"/>
    </row>
    <row r="6" spans="1:17">
      <c r="A6" s="45" t="s">
        <v>87</v>
      </c>
      <c r="B6" s="30" t="s">
        <v>88</v>
      </c>
      <c r="C6" s="30" t="s">
        <v>89</v>
      </c>
      <c r="D6" s="32">
        <v>34</v>
      </c>
      <c r="E6" s="31">
        <v>32045</v>
      </c>
      <c r="F6" s="32" t="s">
        <v>64</v>
      </c>
      <c r="G6" s="32" t="s">
        <v>65</v>
      </c>
      <c r="H6" s="46"/>
      <c r="J6" s="45" t="s">
        <v>90</v>
      </c>
      <c r="K6" s="30" t="s">
        <v>91</v>
      </c>
      <c r="L6" s="30" t="s">
        <v>92</v>
      </c>
      <c r="M6" s="32">
        <v>31</v>
      </c>
      <c r="N6" s="31">
        <v>33211</v>
      </c>
      <c r="O6" s="32" t="s">
        <v>64</v>
      </c>
      <c r="P6" s="32" t="s">
        <v>65</v>
      </c>
      <c r="Q6" s="47"/>
    </row>
    <row r="7" spans="1:17">
      <c r="A7" s="45" t="s">
        <v>93</v>
      </c>
      <c r="B7" s="30" t="s">
        <v>94</v>
      </c>
      <c r="C7" s="30" t="s">
        <v>95</v>
      </c>
      <c r="D7" s="32">
        <v>46</v>
      </c>
      <c r="E7" s="31">
        <v>27565</v>
      </c>
      <c r="F7" s="32" t="s">
        <v>64</v>
      </c>
      <c r="G7" s="32" t="s">
        <v>65</v>
      </c>
      <c r="H7" s="46"/>
      <c r="J7" s="45" t="s">
        <v>96</v>
      </c>
      <c r="K7" s="30" t="s">
        <v>97</v>
      </c>
      <c r="L7" s="30" t="s">
        <v>98</v>
      </c>
      <c r="M7" s="32">
        <v>28</v>
      </c>
      <c r="N7" s="31">
        <v>34255</v>
      </c>
      <c r="O7" s="32" t="s">
        <v>64</v>
      </c>
      <c r="P7" s="32" t="s">
        <v>65</v>
      </c>
      <c r="Q7" s="47"/>
    </row>
    <row r="8" spans="1:17">
      <c r="A8" s="45" t="s">
        <v>99</v>
      </c>
      <c r="B8" s="30" t="s">
        <v>100</v>
      </c>
      <c r="C8" s="30" t="s">
        <v>101</v>
      </c>
      <c r="D8" s="32">
        <v>31</v>
      </c>
      <c r="E8" s="31">
        <v>33146</v>
      </c>
      <c r="F8" s="32" t="s">
        <v>64</v>
      </c>
      <c r="G8" s="32" t="s">
        <v>65</v>
      </c>
      <c r="H8" s="46"/>
      <c r="J8" s="45" t="s">
        <v>102</v>
      </c>
      <c r="K8" s="30" t="s">
        <v>103</v>
      </c>
      <c r="L8" s="30" t="s">
        <v>104</v>
      </c>
      <c r="M8" s="32">
        <v>25</v>
      </c>
      <c r="N8" s="31">
        <v>35092</v>
      </c>
      <c r="O8" s="32" t="s">
        <v>64</v>
      </c>
      <c r="P8" s="32" t="s">
        <v>65</v>
      </c>
      <c r="Q8" s="47"/>
    </row>
    <row r="9" spans="1:17">
      <c r="A9" s="45" t="s">
        <v>105</v>
      </c>
      <c r="B9" s="30" t="s">
        <v>106</v>
      </c>
      <c r="C9" s="30" t="s">
        <v>107</v>
      </c>
      <c r="D9" s="32">
        <v>16</v>
      </c>
      <c r="E9" s="31">
        <v>38635</v>
      </c>
      <c r="F9" s="32" t="s">
        <v>108</v>
      </c>
      <c r="G9" s="32" t="s">
        <v>15</v>
      </c>
      <c r="H9" s="46"/>
      <c r="J9" s="45" t="s">
        <v>109</v>
      </c>
      <c r="K9" s="30" t="s">
        <v>110</v>
      </c>
      <c r="L9" s="30" t="s">
        <v>111</v>
      </c>
      <c r="M9" s="32">
        <v>36</v>
      </c>
      <c r="N9" s="31">
        <v>31083</v>
      </c>
      <c r="O9" s="32" t="s">
        <v>64</v>
      </c>
      <c r="P9" s="32" t="s">
        <v>65</v>
      </c>
      <c r="Q9" s="47"/>
    </row>
    <row r="10" spans="1:17">
      <c r="A10" s="45" t="s">
        <v>112</v>
      </c>
      <c r="B10" s="30" t="s">
        <v>113</v>
      </c>
      <c r="C10" s="30" t="s">
        <v>114</v>
      </c>
      <c r="D10" s="32">
        <v>17</v>
      </c>
      <c r="E10" s="31">
        <v>38011</v>
      </c>
      <c r="F10" s="32" t="s">
        <v>108</v>
      </c>
      <c r="G10" s="32" t="s">
        <v>14</v>
      </c>
      <c r="H10" s="46"/>
      <c r="J10" s="45" t="s">
        <v>115</v>
      </c>
      <c r="K10" s="30" t="s">
        <v>116</v>
      </c>
      <c r="L10" s="30" t="s">
        <v>117</v>
      </c>
      <c r="M10" s="32">
        <v>21</v>
      </c>
      <c r="N10" s="31">
        <v>36833</v>
      </c>
      <c r="O10" s="32" t="s">
        <v>64</v>
      </c>
      <c r="P10" s="32" t="s">
        <v>65</v>
      </c>
      <c r="Q10" s="47"/>
    </row>
    <row r="11" spans="1:17">
      <c r="A11" s="45" t="s">
        <v>118</v>
      </c>
      <c r="B11" s="30" t="s">
        <v>119</v>
      </c>
      <c r="C11" s="30" t="s">
        <v>120</v>
      </c>
      <c r="D11" s="32">
        <v>18</v>
      </c>
      <c r="E11" s="31">
        <v>37684</v>
      </c>
      <c r="F11" s="32" t="s">
        <v>108</v>
      </c>
      <c r="G11" s="32" t="s">
        <v>14</v>
      </c>
      <c r="H11" s="46"/>
      <c r="J11" s="45" t="s">
        <v>121</v>
      </c>
      <c r="K11" s="30" t="s">
        <v>122</v>
      </c>
      <c r="L11" s="30" t="s">
        <v>123</v>
      </c>
      <c r="M11" s="32">
        <v>55</v>
      </c>
      <c r="N11" s="31">
        <v>24133</v>
      </c>
      <c r="O11" s="32" t="s">
        <v>64</v>
      </c>
      <c r="P11" s="32" t="s">
        <v>65</v>
      </c>
      <c r="Q11" s="47"/>
    </row>
    <row r="12" spans="1:17">
      <c r="A12" s="45" t="s">
        <v>124</v>
      </c>
      <c r="B12" s="30" t="s">
        <v>125</v>
      </c>
      <c r="C12" s="30" t="s">
        <v>126</v>
      </c>
      <c r="D12" s="32">
        <v>17</v>
      </c>
      <c r="E12" s="31">
        <v>38113</v>
      </c>
      <c r="F12" s="32" t="s">
        <v>108</v>
      </c>
      <c r="G12" s="32" t="s">
        <v>15</v>
      </c>
      <c r="H12" s="46"/>
      <c r="J12" s="45" t="s">
        <v>127</v>
      </c>
      <c r="K12" s="30" t="s">
        <v>128</v>
      </c>
      <c r="L12" s="30" t="s">
        <v>129</v>
      </c>
      <c r="M12" s="32">
        <v>35</v>
      </c>
      <c r="N12" s="31">
        <v>31501</v>
      </c>
      <c r="O12" s="32" t="s">
        <v>64</v>
      </c>
      <c r="P12" s="32" t="s">
        <v>65</v>
      </c>
      <c r="Q12" s="47"/>
    </row>
    <row r="13" spans="1:17">
      <c r="A13" s="45" t="s">
        <v>130</v>
      </c>
      <c r="B13" s="30" t="s">
        <v>131</v>
      </c>
      <c r="C13" s="30" t="s">
        <v>132</v>
      </c>
      <c r="D13" s="32">
        <v>16</v>
      </c>
      <c r="E13" s="31">
        <v>38432</v>
      </c>
      <c r="F13" s="32" t="s">
        <v>108</v>
      </c>
      <c r="G13" s="32" t="s">
        <v>15</v>
      </c>
      <c r="H13" s="46"/>
      <c r="J13" s="45" t="s">
        <v>133</v>
      </c>
      <c r="K13" s="30" t="s">
        <v>134</v>
      </c>
      <c r="L13" s="30" t="s">
        <v>135</v>
      </c>
      <c r="M13" s="32">
        <v>59</v>
      </c>
      <c r="N13" s="31">
        <v>22941</v>
      </c>
      <c r="O13" s="32" t="s">
        <v>64</v>
      </c>
      <c r="P13" s="32" t="s">
        <v>65</v>
      </c>
      <c r="Q13" s="47"/>
    </row>
    <row r="14" spans="1:17">
      <c r="A14" s="45" t="s">
        <v>136</v>
      </c>
      <c r="B14" s="30" t="s">
        <v>137</v>
      </c>
      <c r="C14" s="30" t="s">
        <v>138</v>
      </c>
      <c r="D14" s="32">
        <v>18</v>
      </c>
      <c r="E14" s="31">
        <v>37771</v>
      </c>
      <c r="F14" s="32" t="s">
        <v>108</v>
      </c>
      <c r="G14" s="32" t="s">
        <v>14</v>
      </c>
      <c r="H14" s="46"/>
      <c r="J14" s="45" t="s">
        <v>139</v>
      </c>
      <c r="K14" s="30" t="s">
        <v>140</v>
      </c>
      <c r="L14" s="30" t="s">
        <v>141</v>
      </c>
      <c r="M14" s="32">
        <v>31</v>
      </c>
      <c r="N14" s="31">
        <v>32967</v>
      </c>
      <c r="O14" s="32" t="s">
        <v>64</v>
      </c>
      <c r="P14" s="32" t="s">
        <v>65</v>
      </c>
      <c r="Q14" s="47"/>
    </row>
    <row r="15" spans="1:17">
      <c r="A15" s="45" t="s">
        <v>142</v>
      </c>
      <c r="B15" s="30" t="s">
        <v>143</v>
      </c>
      <c r="C15" s="30" t="s">
        <v>144</v>
      </c>
      <c r="D15" s="32">
        <v>17</v>
      </c>
      <c r="E15" s="31">
        <v>38079</v>
      </c>
      <c r="F15" s="32" t="s">
        <v>108</v>
      </c>
      <c r="G15" s="32" t="s">
        <v>15</v>
      </c>
      <c r="H15" s="46"/>
      <c r="J15" s="45" t="s">
        <v>145</v>
      </c>
      <c r="K15" s="30" t="s">
        <v>146</v>
      </c>
      <c r="L15" s="30" t="s">
        <v>147</v>
      </c>
      <c r="M15" s="32">
        <v>60</v>
      </c>
      <c r="N15" s="31">
        <v>22358</v>
      </c>
      <c r="O15" s="32" t="s">
        <v>64</v>
      </c>
      <c r="P15" s="32" t="s">
        <v>65</v>
      </c>
      <c r="Q15" s="47"/>
    </row>
    <row r="16" spans="1:17">
      <c r="A16" s="45" t="s">
        <v>148</v>
      </c>
      <c r="B16" s="30" t="s">
        <v>149</v>
      </c>
      <c r="C16" s="30" t="s">
        <v>150</v>
      </c>
      <c r="D16" s="32">
        <v>17</v>
      </c>
      <c r="E16" s="31">
        <v>38012</v>
      </c>
      <c r="F16" s="32" t="s">
        <v>108</v>
      </c>
      <c r="G16" s="32" t="s">
        <v>14</v>
      </c>
      <c r="H16" s="46"/>
      <c r="J16" s="45" t="s">
        <v>151</v>
      </c>
      <c r="K16" s="30" t="s">
        <v>152</v>
      </c>
      <c r="L16" s="30" t="s">
        <v>153</v>
      </c>
      <c r="M16" s="32">
        <v>53</v>
      </c>
      <c r="N16" s="31">
        <v>24949</v>
      </c>
      <c r="O16" s="32" t="s">
        <v>64</v>
      </c>
      <c r="P16" s="32" t="s">
        <v>65</v>
      </c>
      <c r="Q16" s="47"/>
    </row>
    <row r="17" spans="1:17">
      <c r="A17" s="45" t="s">
        <v>154</v>
      </c>
      <c r="B17" s="30" t="s">
        <v>155</v>
      </c>
      <c r="C17" s="30" t="s">
        <v>156</v>
      </c>
      <c r="D17" s="32">
        <v>18</v>
      </c>
      <c r="E17" s="31">
        <v>37712</v>
      </c>
      <c r="F17" s="32" t="s">
        <v>108</v>
      </c>
      <c r="G17" s="32" t="s">
        <v>14</v>
      </c>
      <c r="H17" s="46"/>
      <c r="J17" s="45" t="s">
        <v>157</v>
      </c>
      <c r="K17" s="30" t="s">
        <v>158</v>
      </c>
      <c r="L17" s="30" t="s">
        <v>159</v>
      </c>
      <c r="M17" s="32">
        <v>33</v>
      </c>
      <c r="N17" s="31">
        <v>32205</v>
      </c>
      <c r="O17" s="32" t="s">
        <v>64</v>
      </c>
      <c r="P17" s="32" t="s">
        <v>65</v>
      </c>
      <c r="Q17" s="47"/>
    </row>
    <row r="18" spans="1:17">
      <c r="A18" s="45" t="s">
        <v>160</v>
      </c>
      <c r="B18" s="30" t="s">
        <v>161</v>
      </c>
      <c r="C18" s="30" t="s">
        <v>162</v>
      </c>
      <c r="D18" s="32">
        <v>16</v>
      </c>
      <c r="E18" s="31">
        <v>38451</v>
      </c>
      <c r="F18" s="32" t="s">
        <v>108</v>
      </c>
      <c r="G18" s="32" t="s">
        <v>15</v>
      </c>
      <c r="H18" s="46"/>
      <c r="J18" s="45" t="s">
        <v>163</v>
      </c>
      <c r="K18" s="30" t="s">
        <v>164</v>
      </c>
      <c r="L18" s="30" t="s">
        <v>165</v>
      </c>
      <c r="M18" s="32">
        <v>52</v>
      </c>
      <c r="N18" s="31">
        <v>25273</v>
      </c>
      <c r="O18" s="32" t="s">
        <v>64</v>
      </c>
      <c r="P18" s="32" t="s">
        <v>12</v>
      </c>
      <c r="Q18" s="47"/>
    </row>
    <row r="19" spans="1:17">
      <c r="A19" s="45" t="s">
        <v>166</v>
      </c>
      <c r="B19" s="30" t="s">
        <v>167</v>
      </c>
      <c r="C19" s="30" t="s">
        <v>168</v>
      </c>
      <c r="D19" s="32">
        <v>16</v>
      </c>
      <c r="E19" s="31">
        <v>38480</v>
      </c>
      <c r="F19" s="32" t="s">
        <v>108</v>
      </c>
      <c r="G19" s="32" t="s">
        <v>16</v>
      </c>
      <c r="H19" s="46"/>
      <c r="J19" s="45" t="s">
        <v>169</v>
      </c>
      <c r="K19" s="30" t="s">
        <v>170</v>
      </c>
      <c r="L19" s="30" t="s">
        <v>171</v>
      </c>
      <c r="M19" s="32">
        <v>40</v>
      </c>
      <c r="N19" s="31">
        <v>29725</v>
      </c>
      <c r="O19" s="32" t="s">
        <v>64</v>
      </c>
      <c r="P19" s="32" t="s">
        <v>65</v>
      </c>
      <c r="Q19" s="47"/>
    </row>
    <row r="20" spans="1:17">
      <c r="A20" s="45" t="s">
        <v>172</v>
      </c>
      <c r="B20" s="30" t="s">
        <v>173</v>
      </c>
      <c r="C20" s="30" t="s">
        <v>174</v>
      </c>
      <c r="D20" s="32">
        <v>16</v>
      </c>
      <c r="E20" s="31">
        <v>38656</v>
      </c>
      <c r="F20" s="32" t="s">
        <v>108</v>
      </c>
      <c r="G20" s="32" t="s">
        <v>16</v>
      </c>
      <c r="H20" s="46"/>
      <c r="J20" s="45" t="s">
        <v>175</v>
      </c>
      <c r="K20" s="30" t="s">
        <v>176</v>
      </c>
      <c r="L20" s="30" t="s">
        <v>177</v>
      </c>
      <c r="M20" s="32">
        <v>56</v>
      </c>
      <c r="N20" s="31">
        <v>24003</v>
      </c>
      <c r="O20" s="32" t="s">
        <v>64</v>
      </c>
      <c r="P20" s="32" t="s">
        <v>65</v>
      </c>
      <c r="Q20" s="47"/>
    </row>
    <row r="21" spans="1:17">
      <c r="A21" s="45" t="s">
        <v>178</v>
      </c>
      <c r="B21" s="30" t="s">
        <v>179</v>
      </c>
      <c r="C21" s="30" t="s">
        <v>180</v>
      </c>
      <c r="D21" s="32">
        <v>16</v>
      </c>
      <c r="E21" s="31">
        <v>38630</v>
      </c>
      <c r="F21" s="32" t="s">
        <v>108</v>
      </c>
      <c r="G21" s="32" t="s">
        <v>16</v>
      </c>
      <c r="H21" s="46"/>
      <c r="J21" s="45" t="s">
        <v>181</v>
      </c>
      <c r="K21" s="30" t="s">
        <v>182</v>
      </c>
      <c r="L21" s="30" t="s">
        <v>183</v>
      </c>
      <c r="M21" s="32">
        <v>17</v>
      </c>
      <c r="N21" s="31">
        <v>38150</v>
      </c>
      <c r="O21" s="32" t="s">
        <v>108</v>
      </c>
      <c r="P21" s="32" t="s">
        <v>14</v>
      </c>
      <c r="Q21" s="47"/>
    </row>
    <row r="22" spans="1:17">
      <c r="A22" s="45" t="s">
        <v>184</v>
      </c>
      <c r="B22" s="30" t="s">
        <v>185</v>
      </c>
      <c r="C22" s="30" t="s">
        <v>186</v>
      </c>
      <c r="D22" s="32">
        <v>16</v>
      </c>
      <c r="E22" s="31">
        <v>38597</v>
      </c>
      <c r="F22" s="32" t="s">
        <v>108</v>
      </c>
      <c r="G22" s="32" t="s">
        <v>16</v>
      </c>
      <c r="H22" s="46"/>
      <c r="J22" s="45" t="s">
        <v>187</v>
      </c>
      <c r="K22" s="30" t="s">
        <v>188</v>
      </c>
      <c r="L22" s="30" t="s">
        <v>189</v>
      </c>
      <c r="M22" s="32">
        <v>18</v>
      </c>
      <c r="N22" s="31">
        <v>37810</v>
      </c>
      <c r="O22" s="32" t="s">
        <v>108</v>
      </c>
      <c r="P22" s="32" t="s">
        <v>15</v>
      </c>
      <c r="Q22" s="47"/>
    </row>
    <row r="23" spans="1:17">
      <c r="A23" s="45" t="s">
        <v>190</v>
      </c>
      <c r="B23" s="30" t="s">
        <v>191</v>
      </c>
      <c r="C23" s="30" t="s">
        <v>192</v>
      </c>
      <c r="D23" s="32">
        <v>17</v>
      </c>
      <c r="E23" s="31">
        <v>38267</v>
      </c>
      <c r="F23" s="32" t="s">
        <v>108</v>
      </c>
      <c r="G23" s="32" t="s">
        <v>16</v>
      </c>
      <c r="H23" s="46"/>
      <c r="J23" s="45" t="s">
        <v>193</v>
      </c>
      <c r="K23" s="30" t="s">
        <v>194</v>
      </c>
      <c r="L23" s="30" t="s">
        <v>195</v>
      </c>
      <c r="M23" s="32">
        <v>18</v>
      </c>
      <c r="N23" s="31">
        <v>37897</v>
      </c>
      <c r="O23" s="32" t="s">
        <v>108</v>
      </c>
      <c r="P23" s="32" t="s">
        <v>14</v>
      </c>
      <c r="Q23" s="47"/>
    </row>
    <row r="24" spans="1:17">
      <c r="A24" s="45" t="s">
        <v>196</v>
      </c>
      <c r="B24" s="30" t="s">
        <v>197</v>
      </c>
      <c r="C24" s="30" t="s">
        <v>198</v>
      </c>
      <c r="D24" s="32">
        <v>16</v>
      </c>
      <c r="E24" s="31">
        <v>38509</v>
      </c>
      <c r="F24" s="32" t="s">
        <v>108</v>
      </c>
      <c r="G24" s="32" t="s">
        <v>16</v>
      </c>
      <c r="H24" s="46"/>
      <c r="J24" s="45" t="s">
        <v>199</v>
      </c>
      <c r="K24" s="30" t="s">
        <v>200</v>
      </c>
      <c r="L24" s="30" t="s">
        <v>201</v>
      </c>
      <c r="M24" s="32">
        <v>18</v>
      </c>
      <c r="N24" s="31">
        <v>37715</v>
      </c>
      <c r="O24" s="32" t="s">
        <v>108</v>
      </c>
      <c r="P24" s="32" t="s">
        <v>14</v>
      </c>
      <c r="Q24" s="47"/>
    </row>
    <row r="25" spans="1:17">
      <c r="A25" s="45" t="s">
        <v>202</v>
      </c>
      <c r="B25" s="30" t="s">
        <v>203</v>
      </c>
      <c r="C25" s="30" t="s">
        <v>204</v>
      </c>
      <c r="D25" s="32">
        <v>16</v>
      </c>
      <c r="E25" s="31">
        <v>38506</v>
      </c>
      <c r="F25" s="32" t="s">
        <v>108</v>
      </c>
      <c r="G25" s="32" t="s">
        <v>16</v>
      </c>
      <c r="H25" s="46"/>
      <c r="J25" s="45" t="s">
        <v>205</v>
      </c>
      <c r="K25" s="30" t="s">
        <v>206</v>
      </c>
      <c r="L25" s="30" t="s">
        <v>207</v>
      </c>
      <c r="M25" s="32">
        <v>18</v>
      </c>
      <c r="N25" s="31">
        <v>37971</v>
      </c>
      <c r="O25" s="32" t="s">
        <v>108</v>
      </c>
      <c r="P25" s="32" t="s">
        <v>15</v>
      </c>
      <c r="Q25" s="47"/>
    </row>
    <row r="26" spans="1:17">
      <c r="A26" s="45" t="s">
        <v>208</v>
      </c>
      <c r="B26" s="30" t="s">
        <v>209</v>
      </c>
      <c r="C26" s="30" t="s">
        <v>210</v>
      </c>
      <c r="D26" s="32">
        <v>17</v>
      </c>
      <c r="E26" s="31">
        <v>38159</v>
      </c>
      <c r="F26" s="32" t="s">
        <v>108</v>
      </c>
      <c r="G26" s="32" t="s">
        <v>16</v>
      </c>
      <c r="H26" s="46"/>
      <c r="J26" s="45" t="s">
        <v>211</v>
      </c>
      <c r="K26" s="30" t="s">
        <v>212</v>
      </c>
      <c r="L26" s="30" t="s">
        <v>213</v>
      </c>
      <c r="M26" s="32">
        <v>16</v>
      </c>
      <c r="N26" s="31">
        <v>38578</v>
      </c>
      <c r="O26" s="32" t="s">
        <v>108</v>
      </c>
      <c r="P26" s="32" t="s">
        <v>15</v>
      </c>
      <c r="Q26" s="47"/>
    </row>
    <row r="27" spans="1:17">
      <c r="A27" s="45" t="s">
        <v>214</v>
      </c>
      <c r="B27" s="30" t="s">
        <v>215</v>
      </c>
      <c r="C27" s="30" t="s">
        <v>216</v>
      </c>
      <c r="D27" s="32">
        <v>15</v>
      </c>
      <c r="E27" s="31">
        <v>38928</v>
      </c>
      <c r="F27" s="32" t="s">
        <v>217</v>
      </c>
      <c r="G27" s="32" t="s">
        <v>16</v>
      </c>
      <c r="H27" s="46"/>
      <c r="J27" s="45" t="s">
        <v>218</v>
      </c>
      <c r="K27" s="30" t="s">
        <v>219</v>
      </c>
      <c r="L27" s="30" t="s">
        <v>220</v>
      </c>
      <c r="M27" s="32">
        <v>18</v>
      </c>
      <c r="N27" s="31">
        <v>37932</v>
      </c>
      <c r="O27" s="32" t="s">
        <v>108</v>
      </c>
      <c r="P27" s="32" t="s">
        <v>15</v>
      </c>
      <c r="Q27" s="47"/>
    </row>
    <row r="28" spans="1:17">
      <c r="A28" s="45" t="s">
        <v>221</v>
      </c>
      <c r="B28" s="30" t="s">
        <v>222</v>
      </c>
      <c r="C28" s="30" t="s">
        <v>210</v>
      </c>
      <c r="D28" s="32">
        <v>17</v>
      </c>
      <c r="E28" s="31">
        <v>38201</v>
      </c>
      <c r="F28" s="32" t="s">
        <v>108</v>
      </c>
      <c r="G28" s="32" t="s">
        <v>17</v>
      </c>
      <c r="H28" s="46"/>
      <c r="J28" s="45" t="s">
        <v>223</v>
      </c>
      <c r="K28" s="30" t="s">
        <v>224</v>
      </c>
      <c r="L28" s="30" t="s">
        <v>225</v>
      </c>
      <c r="M28" s="32">
        <v>17</v>
      </c>
      <c r="N28" s="31">
        <v>38010</v>
      </c>
      <c r="O28" s="32" t="s">
        <v>108</v>
      </c>
      <c r="P28" s="32" t="s">
        <v>14</v>
      </c>
      <c r="Q28" s="47"/>
    </row>
    <row r="29" spans="1:17">
      <c r="A29" s="45" t="s">
        <v>226</v>
      </c>
      <c r="B29" s="30" t="s">
        <v>227</v>
      </c>
      <c r="C29" s="30" t="s">
        <v>228</v>
      </c>
      <c r="D29" s="32">
        <v>17</v>
      </c>
      <c r="E29" s="31">
        <v>38035</v>
      </c>
      <c r="F29" s="32" t="s">
        <v>108</v>
      </c>
      <c r="G29" s="32" t="s">
        <v>17</v>
      </c>
      <c r="H29" s="46"/>
      <c r="J29" s="45" t="s">
        <v>229</v>
      </c>
      <c r="K29" s="30" t="s">
        <v>230</v>
      </c>
      <c r="L29" s="30" t="s">
        <v>231</v>
      </c>
      <c r="M29" s="32">
        <v>18</v>
      </c>
      <c r="N29" s="31">
        <v>37832</v>
      </c>
      <c r="O29" s="32" t="s">
        <v>108</v>
      </c>
      <c r="P29" s="32" t="s">
        <v>14</v>
      </c>
      <c r="Q29" s="47"/>
    </row>
    <row r="30" spans="1:17">
      <c r="A30" s="45" t="s">
        <v>232</v>
      </c>
      <c r="B30" s="30" t="s">
        <v>233</v>
      </c>
      <c r="C30" s="30" t="s">
        <v>234</v>
      </c>
      <c r="D30" s="32">
        <v>18</v>
      </c>
      <c r="E30" s="31">
        <v>37807</v>
      </c>
      <c r="F30" s="32" t="s">
        <v>108</v>
      </c>
      <c r="G30" s="32" t="s">
        <v>17</v>
      </c>
      <c r="H30" s="46"/>
      <c r="J30" s="45" t="s">
        <v>235</v>
      </c>
      <c r="K30" s="30" t="s">
        <v>236</v>
      </c>
      <c r="L30" s="30" t="s">
        <v>237</v>
      </c>
      <c r="M30" s="32">
        <v>16</v>
      </c>
      <c r="N30" s="31">
        <v>38502</v>
      </c>
      <c r="O30" s="32" t="s">
        <v>108</v>
      </c>
      <c r="P30" s="32" t="s">
        <v>15</v>
      </c>
      <c r="Q30" s="47"/>
    </row>
    <row r="31" spans="1:17">
      <c r="A31" s="45" t="s">
        <v>238</v>
      </c>
      <c r="B31" s="30" t="s">
        <v>239</v>
      </c>
      <c r="C31" s="30" t="s">
        <v>240</v>
      </c>
      <c r="D31" s="32">
        <v>17</v>
      </c>
      <c r="E31" s="31">
        <v>38163</v>
      </c>
      <c r="F31" s="32" t="s">
        <v>108</v>
      </c>
      <c r="G31" s="32" t="s">
        <v>17</v>
      </c>
      <c r="H31" s="46"/>
      <c r="J31" s="45" t="s">
        <v>241</v>
      </c>
      <c r="K31" s="30" t="s">
        <v>242</v>
      </c>
      <c r="L31" s="30" t="s">
        <v>243</v>
      </c>
      <c r="M31" s="32">
        <v>16</v>
      </c>
      <c r="N31" s="31">
        <v>38519</v>
      </c>
      <c r="O31" s="32" t="s">
        <v>108</v>
      </c>
      <c r="P31" s="32" t="s">
        <v>16</v>
      </c>
      <c r="Q31" s="47"/>
    </row>
    <row r="32" spans="1:17">
      <c r="A32" s="45" t="s">
        <v>244</v>
      </c>
      <c r="B32" s="30" t="s">
        <v>245</v>
      </c>
      <c r="C32" s="30" t="s">
        <v>168</v>
      </c>
      <c r="D32" s="32">
        <v>14</v>
      </c>
      <c r="E32" s="31">
        <v>39114</v>
      </c>
      <c r="F32" s="32" t="s">
        <v>217</v>
      </c>
      <c r="G32" s="32" t="s">
        <v>20</v>
      </c>
      <c r="H32" s="46"/>
      <c r="J32" s="45" t="s">
        <v>246</v>
      </c>
      <c r="K32" s="30" t="s">
        <v>247</v>
      </c>
      <c r="L32" s="30" t="s">
        <v>248</v>
      </c>
      <c r="M32" s="32">
        <v>16</v>
      </c>
      <c r="N32" s="31">
        <v>38517</v>
      </c>
      <c r="O32" s="32" t="s">
        <v>108</v>
      </c>
      <c r="P32" s="32" t="s">
        <v>16</v>
      </c>
      <c r="Q32" s="47"/>
    </row>
    <row r="33" spans="1:17">
      <c r="A33" s="45" t="s">
        <v>249</v>
      </c>
      <c r="B33" s="30" t="s">
        <v>250</v>
      </c>
      <c r="C33" s="30" t="s">
        <v>251</v>
      </c>
      <c r="D33" s="32">
        <v>14</v>
      </c>
      <c r="E33" s="31">
        <v>39205</v>
      </c>
      <c r="F33" s="32" t="s">
        <v>217</v>
      </c>
      <c r="G33" s="32" t="s">
        <v>20</v>
      </c>
      <c r="H33" s="46"/>
      <c r="J33" s="45" t="s">
        <v>252</v>
      </c>
      <c r="K33" s="30" t="s">
        <v>253</v>
      </c>
      <c r="L33" s="30" t="s">
        <v>254</v>
      </c>
      <c r="M33" s="32">
        <v>16</v>
      </c>
      <c r="N33" s="31">
        <v>38617</v>
      </c>
      <c r="O33" s="32" t="s">
        <v>108</v>
      </c>
      <c r="P33" s="32" t="s">
        <v>16</v>
      </c>
      <c r="Q33" s="47"/>
    </row>
    <row r="34" spans="1:17">
      <c r="A34" s="45" t="s">
        <v>255</v>
      </c>
      <c r="B34" s="30" t="s">
        <v>256</v>
      </c>
      <c r="C34" s="30" t="s">
        <v>257</v>
      </c>
      <c r="D34" s="32">
        <v>14</v>
      </c>
      <c r="E34" s="31">
        <v>39324</v>
      </c>
      <c r="F34" s="32" t="s">
        <v>217</v>
      </c>
      <c r="G34" s="32" t="s">
        <v>20</v>
      </c>
      <c r="H34" s="46"/>
      <c r="J34" s="45" t="s">
        <v>258</v>
      </c>
      <c r="K34" s="30" t="s">
        <v>259</v>
      </c>
      <c r="L34" s="30" t="s">
        <v>260</v>
      </c>
      <c r="M34" s="32">
        <v>17</v>
      </c>
      <c r="N34" s="31">
        <v>38346</v>
      </c>
      <c r="O34" s="32" t="s">
        <v>108</v>
      </c>
      <c r="P34" s="32" t="s">
        <v>17</v>
      </c>
      <c r="Q34" s="47"/>
    </row>
    <row r="35" spans="1:17">
      <c r="A35" s="45" t="s">
        <v>261</v>
      </c>
      <c r="B35" s="30" t="s">
        <v>262</v>
      </c>
      <c r="C35" s="30" t="s">
        <v>263</v>
      </c>
      <c r="D35" s="32">
        <v>15</v>
      </c>
      <c r="E35" s="31">
        <v>38848</v>
      </c>
      <c r="F35" s="32" t="s">
        <v>217</v>
      </c>
      <c r="G35" s="32" t="s">
        <v>20</v>
      </c>
      <c r="H35" s="46"/>
      <c r="J35" s="45" t="s">
        <v>264</v>
      </c>
      <c r="K35" s="30" t="s">
        <v>265</v>
      </c>
      <c r="L35" s="30" t="s">
        <v>266</v>
      </c>
      <c r="M35" s="32">
        <v>16</v>
      </c>
      <c r="N35" s="31">
        <v>38667</v>
      </c>
      <c r="O35" s="32" t="s">
        <v>108</v>
      </c>
      <c r="P35" s="32" t="s">
        <v>17</v>
      </c>
      <c r="Q35" s="47"/>
    </row>
    <row r="36" spans="1:17">
      <c r="A36" s="45" t="s">
        <v>267</v>
      </c>
      <c r="B36" s="30" t="s">
        <v>268</v>
      </c>
      <c r="C36" s="30" t="s">
        <v>269</v>
      </c>
      <c r="D36" s="32">
        <v>14</v>
      </c>
      <c r="E36" s="31">
        <v>39328</v>
      </c>
      <c r="F36" s="32" t="s">
        <v>217</v>
      </c>
      <c r="G36" s="32" t="s">
        <v>20</v>
      </c>
      <c r="H36" s="46"/>
      <c r="J36" s="45" t="s">
        <v>270</v>
      </c>
      <c r="K36" s="30" t="s">
        <v>271</v>
      </c>
      <c r="L36" s="30" t="s">
        <v>272</v>
      </c>
      <c r="M36" s="32">
        <v>17</v>
      </c>
      <c r="N36" s="31">
        <v>38169</v>
      </c>
      <c r="O36" s="32" t="s">
        <v>108</v>
      </c>
      <c r="P36" s="32" t="s">
        <v>17</v>
      </c>
      <c r="Q36" s="47"/>
    </row>
    <row r="37" spans="1:17">
      <c r="A37" s="45" t="s">
        <v>273</v>
      </c>
      <c r="B37" s="30" t="s">
        <v>274</v>
      </c>
      <c r="C37" s="30" t="s">
        <v>275</v>
      </c>
      <c r="D37" s="32">
        <v>14</v>
      </c>
      <c r="E37" s="31">
        <v>39199</v>
      </c>
      <c r="F37" s="32" t="s">
        <v>217</v>
      </c>
      <c r="G37" s="32" t="s">
        <v>21</v>
      </c>
      <c r="H37" s="46"/>
      <c r="J37" s="45" t="s">
        <v>276</v>
      </c>
      <c r="K37" s="30" t="s">
        <v>277</v>
      </c>
      <c r="L37" s="30" t="s">
        <v>278</v>
      </c>
      <c r="M37" s="32">
        <v>17</v>
      </c>
      <c r="N37" s="31">
        <v>38090</v>
      </c>
      <c r="O37" s="32" t="s">
        <v>108</v>
      </c>
      <c r="P37" s="32" t="s">
        <v>17</v>
      </c>
      <c r="Q37" s="47"/>
    </row>
    <row r="38" spans="1:17">
      <c r="A38" s="45" t="s">
        <v>279</v>
      </c>
      <c r="B38" s="30" t="s">
        <v>280</v>
      </c>
      <c r="C38" s="30" t="s">
        <v>281</v>
      </c>
      <c r="D38" s="32">
        <v>14</v>
      </c>
      <c r="E38" s="31">
        <v>39274</v>
      </c>
      <c r="F38" s="32" t="s">
        <v>217</v>
      </c>
      <c r="G38" s="32" t="s">
        <v>21</v>
      </c>
      <c r="H38" s="46"/>
      <c r="J38" s="45" t="s">
        <v>282</v>
      </c>
      <c r="K38" s="30" t="s">
        <v>283</v>
      </c>
      <c r="L38" s="30" t="s">
        <v>284</v>
      </c>
      <c r="M38" s="32">
        <v>14</v>
      </c>
      <c r="N38" s="31">
        <v>39239</v>
      </c>
      <c r="O38" s="32" t="s">
        <v>217</v>
      </c>
      <c r="P38" s="32" t="s">
        <v>20</v>
      </c>
      <c r="Q38" s="47"/>
    </row>
    <row r="39" spans="1:17">
      <c r="A39" s="45" t="s">
        <v>285</v>
      </c>
      <c r="B39" s="30" t="s">
        <v>286</v>
      </c>
      <c r="C39" s="30" t="s">
        <v>287</v>
      </c>
      <c r="D39" s="32">
        <v>13</v>
      </c>
      <c r="E39" s="31">
        <v>39804</v>
      </c>
      <c r="F39" s="32" t="s">
        <v>288</v>
      </c>
      <c r="G39" s="32" t="s">
        <v>21</v>
      </c>
      <c r="H39" s="46"/>
      <c r="J39" s="45" t="s">
        <v>289</v>
      </c>
      <c r="K39" s="30" t="s">
        <v>290</v>
      </c>
      <c r="L39" s="30" t="s">
        <v>291</v>
      </c>
      <c r="M39" s="32">
        <v>16</v>
      </c>
      <c r="N39" s="31">
        <v>38657</v>
      </c>
      <c r="O39" s="32" t="s">
        <v>108</v>
      </c>
      <c r="P39" s="32" t="s">
        <v>20</v>
      </c>
      <c r="Q39" s="47"/>
    </row>
    <row r="40" spans="1:17">
      <c r="A40" s="45" t="s">
        <v>292</v>
      </c>
      <c r="B40" s="30" t="s">
        <v>293</v>
      </c>
      <c r="C40" s="30" t="s">
        <v>291</v>
      </c>
      <c r="D40" s="32">
        <v>15</v>
      </c>
      <c r="E40" s="31">
        <v>39006</v>
      </c>
      <c r="F40" s="32" t="s">
        <v>217</v>
      </c>
      <c r="G40" s="32" t="s">
        <v>21</v>
      </c>
      <c r="H40" s="46"/>
      <c r="J40" s="45" t="s">
        <v>294</v>
      </c>
      <c r="K40" s="30" t="s">
        <v>295</v>
      </c>
      <c r="L40" s="30" t="s">
        <v>296</v>
      </c>
      <c r="M40" s="32">
        <v>15</v>
      </c>
      <c r="N40" s="31">
        <v>39069</v>
      </c>
      <c r="O40" s="32" t="s">
        <v>217</v>
      </c>
      <c r="P40" s="32" t="s">
        <v>20</v>
      </c>
      <c r="Q40" s="47"/>
    </row>
    <row r="41" spans="1:17">
      <c r="A41" s="45" t="s">
        <v>297</v>
      </c>
      <c r="B41" s="30" t="s">
        <v>298</v>
      </c>
      <c r="C41" s="30" t="s">
        <v>299</v>
      </c>
      <c r="D41" s="32">
        <v>13</v>
      </c>
      <c r="E41" s="31">
        <v>39751</v>
      </c>
      <c r="F41" s="32" t="s">
        <v>288</v>
      </c>
      <c r="G41" s="32" t="s">
        <v>21</v>
      </c>
      <c r="H41" s="46"/>
      <c r="J41" s="45" t="s">
        <v>300</v>
      </c>
      <c r="K41" s="30" t="s">
        <v>301</v>
      </c>
      <c r="L41" s="30" t="s">
        <v>302</v>
      </c>
      <c r="M41" s="32">
        <v>14</v>
      </c>
      <c r="N41" s="31">
        <v>39367</v>
      </c>
      <c r="O41" s="32" t="s">
        <v>217</v>
      </c>
      <c r="P41" s="32" t="s">
        <v>20</v>
      </c>
      <c r="Q41" s="47"/>
    </row>
    <row r="42" spans="1:17" ht="15.75">
      <c r="A42" s="45" t="s">
        <v>303</v>
      </c>
      <c r="B42" s="30" t="s">
        <v>304</v>
      </c>
      <c r="C42" s="30" t="s">
        <v>192</v>
      </c>
      <c r="D42" s="32">
        <v>13</v>
      </c>
      <c r="E42" s="34">
        <v>39692</v>
      </c>
      <c r="F42" s="32" t="s">
        <v>288</v>
      </c>
      <c r="G42" s="32" t="s">
        <v>22</v>
      </c>
      <c r="H42" s="46"/>
      <c r="J42" s="45" t="s">
        <v>305</v>
      </c>
      <c r="K42" s="30" t="s">
        <v>306</v>
      </c>
      <c r="L42" s="30" t="s">
        <v>307</v>
      </c>
      <c r="M42" s="32">
        <v>14</v>
      </c>
      <c r="N42" s="31">
        <v>39356</v>
      </c>
      <c r="O42" s="32" t="s">
        <v>217</v>
      </c>
      <c r="P42" s="32" t="s">
        <v>20</v>
      </c>
      <c r="Q42" s="47"/>
    </row>
    <row r="43" spans="1:17">
      <c r="A43" s="45" t="s">
        <v>308</v>
      </c>
      <c r="B43" s="30" t="s">
        <v>309</v>
      </c>
      <c r="C43" s="30" t="s">
        <v>310</v>
      </c>
      <c r="D43" s="32">
        <v>15</v>
      </c>
      <c r="E43" s="31">
        <v>38900</v>
      </c>
      <c r="F43" s="32" t="s">
        <v>217</v>
      </c>
      <c r="G43" s="32" t="s">
        <v>22</v>
      </c>
      <c r="H43" s="46"/>
      <c r="J43" s="45" t="s">
        <v>311</v>
      </c>
      <c r="K43" s="30" t="s">
        <v>312</v>
      </c>
      <c r="L43" s="30" t="s">
        <v>313</v>
      </c>
      <c r="M43" s="32">
        <v>14</v>
      </c>
      <c r="N43" s="31">
        <v>39100</v>
      </c>
      <c r="O43" s="32" t="s">
        <v>217</v>
      </c>
      <c r="P43" s="32" t="s">
        <v>21</v>
      </c>
      <c r="Q43" s="47"/>
    </row>
    <row r="44" spans="1:17">
      <c r="A44" s="45" t="s">
        <v>314</v>
      </c>
      <c r="B44" s="30" t="s">
        <v>315</v>
      </c>
      <c r="C44" s="30" t="s">
        <v>186</v>
      </c>
      <c r="D44" s="32">
        <v>14</v>
      </c>
      <c r="E44" s="31">
        <v>39427</v>
      </c>
      <c r="F44" s="32" t="s">
        <v>217</v>
      </c>
      <c r="G44" s="32" t="s">
        <v>22</v>
      </c>
      <c r="H44" s="46"/>
      <c r="J44" s="45" t="s">
        <v>316</v>
      </c>
      <c r="K44" s="30" t="s">
        <v>317</v>
      </c>
      <c r="L44" s="30" t="s">
        <v>318</v>
      </c>
      <c r="M44" s="32">
        <v>15</v>
      </c>
      <c r="N44" s="31">
        <v>39018</v>
      </c>
      <c r="O44" s="32" t="s">
        <v>217</v>
      </c>
      <c r="P44" s="32" t="s">
        <v>21</v>
      </c>
      <c r="Q44" s="47"/>
    </row>
    <row r="45" spans="1:17">
      <c r="A45" s="45" t="s">
        <v>319</v>
      </c>
      <c r="B45" s="30" t="s">
        <v>320</v>
      </c>
      <c r="C45" s="30" t="s">
        <v>321</v>
      </c>
      <c r="D45" s="32">
        <v>13</v>
      </c>
      <c r="E45" s="31">
        <v>39538</v>
      </c>
      <c r="F45" s="32" t="s">
        <v>288</v>
      </c>
      <c r="G45" s="32" t="s">
        <v>26</v>
      </c>
      <c r="H45" s="46"/>
      <c r="J45" s="45" t="s">
        <v>322</v>
      </c>
      <c r="K45" s="30" t="s">
        <v>323</v>
      </c>
      <c r="L45" s="30" t="s">
        <v>324</v>
      </c>
      <c r="M45" s="32">
        <v>14</v>
      </c>
      <c r="N45" s="31">
        <v>39420</v>
      </c>
      <c r="O45" s="32" t="s">
        <v>288</v>
      </c>
      <c r="P45" s="32" t="s">
        <v>21</v>
      </c>
      <c r="Q45" s="47"/>
    </row>
    <row r="46" spans="1:17">
      <c r="A46" s="45" t="s">
        <v>325</v>
      </c>
      <c r="B46" s="30" t="s">
        <v>326</v>
      </c>
      <c r="C46" s="30" t="s">
        <v>327</v>
      </c>
      <c r="D46" s="32">
        <v>13</v>
      </c>
      <c r="E46" s="31">
        <v>39760</v>
      </c>
      <c r="F46" s="32" t="s">
        <v>288</v>
      </c>
      <c r="G46" s="32" t="s">
        <v>26</v>
      </c>
      <c r="H46" s="46"/>
      <c r="J46" s="45" t="s">
        <v>328</v>
      </c>
      <c r="K46" s="30" t="s">
        <v>329</v>
      </c>
      <c r="L46" s="30" t="s">
        <v>330</v>
      </c>
      <c r="M46" s="32">
        <v>14</v>
      </c>
      <c r="N46" s="31">
        <v>39346</v>
      </c>
      <c r="O46" s="32" t="s">
        <v>217</v>
      </c>
      <c r="P46" s="32" t="s">
        <v>21</v>
      </c>
      <c r="Q46" s="47"/>
    </row>
    <row r="47" spans="1:17">
      <c r="A47" s="45" t="s">
        <v>331</v>
      </c>
      <c r="B47" s="30" t="s">
        <v>332</v>
      </c>
      <c r="C47" s="30" t="s">
        <v>333</v>
      </c>
      <c r="D47" s="32">
        <v>13</v>
      </c>
      <c r="E47" s="31">
        <v>39629</v>
      </c>
      <c r="F47" s="32" t="s">
        <v>288</v>
      </c>
      <c r="G47" s="32" t="s">
        <v>26</v>
      </c>
      <c r="H47" s="46"/>
      <c r="J47" s="45" t="s">
        <v>334</v>
      </c>
      <c r="K47" s="30" t="s">
        <v>335</v>
      </c>
      <c r="L47" s="30" t="s">
        <v>336</v>
      </c>
      <c r="M47" s="32">
        <v>13</v>
      </c>
      <c r="N47" s="31">
        <v>39676</v>
      </c>
      <c r="O47" s="32" t="s">
        <v>288</v>
      </c>
      <c r="P47" s="32" t="s">
        <v>22</v>
      </c>
      <c r="Q47" s="47"/>
    </row>
    <row r="48" spans="1:17">
      <c r="A48" s="45" t="s">
        <v>337</v>
      </c>
      <c r="B48" s="30" t="s">
        <v>338</v>
      </c>
      <c r="C48" s="30" t="s">
        <v>156</v>
      </c>
      <c r="D48" s="32">
        <v>12</v>
      </c>
      <c r="E48" s="31">
        <v>39993</v>
      </c>
      <c r="F48" s="32" t="s">
        <v>288</v>
      </c>
      <c r="G48" s="32" t="s">
        <v>26</v>
      </c>
      <c r="H48" s="46"/>
      <c r="J48" s="45" t="s">
        <v>339</v>
      </c>
      <c r="K48" s="30" t="s">
        <v>340</v>
      </c>
      <c r="L48" s="30" t="s">
        <v>341</v>
      </c>
      <c r="M48" s="32">
        <v>13</v>
      </c>
      <c r="N48" s="31">
        <v>39677</v>
      </c>
      <c r="O48" s="32" t="s">
        <v>288</v>
      </c>
      <c r="P48" s="56" t="s">
        <v>22</v>
      </c>
      <c r="Q48" s="47"/>
    </row>
    <row r="49" spans="1:17">
      <c r="A49" s="45" t="s">
        <v>342</v>
      </c>
      <c r="B49" s="30" t="s">
        <v>343</v>
      </c>
      <c r="C49" s="30" t="s">
        <v>344</v>
      </c>
      <c r="D49" s="32">
        <v>14</v>
      </c>
      <c r="E49" s="31">
        <v>39433</v>
      </c>
      <c r="F49" s="32" t="s">
        <v>217</v>
      </c>
      <c r="G49" s="32" t="s">
        <v>26</v>
      </c>
      <c r="H49" s="46"/>
      <c r="J49" s="45" t="s">
        <v>345</v>
      </c>
      <c r="K49" s="30" t="s">
        <v>346</v>
      </c>
      <c r="L49" s="30" t="s">
        <v>347</v>
      </c>
      <c r="M49" s="32">
        <v>14</v>
      </c>
      <c r="N49" s="31">
        <v>39402</v>
      </c>
      <c r="O49" s="32" t="s">
        <v>217</v>
      </c>
      <c r="P49" s="32" t="s">
        <v>22</v>
      </c>
      <c r="Q49" s="47"/>
    </row>
    <row r="50" spans="1:17">
      <c r="A50" s="45" t="s">
        <v>348</v>
      </c>
      <c r="B50" s="30" t="s">
        <v>349</v>
      </c>
      <c r="C50" s="30" t="s">
        <v>350</v>
      </c>
      <c r="D50" s="32">
        <v>12</v>
      </c>
      <c r="E50" s="31">
        <v>40169</v>
      </c>
      <c r="F50" s="32" t="s">
        <v>288</v>
      </c>
      <c r="G50" s="32" t="s">
        <v>27</v>
      </c>
      <c r="H50" s="46"/>
      <c r="J50" s="45" t="s">
        <v>351</v>
      </c>
      <c r="K50" s="30" t="s">
        <v>352</v>
      </c>
      <c r="L50" s="30" t="s">
        <v>353</v>
      </c>
      <c r="M50" s="32">
        <v>14</v>
      </c>
      <c r="N50" s="31">
        <v>39402</v>
      </c>
      <c r="O50" s="32" t="s">
        <v>217</v>
      </c>
      <c r="P50" s="32" t="s">
        <v>22</v>
      </c>
      <c r="Q50" s="47"/>
    </row>
    <row r="51" spans="1:17">
      <c r="A51" s="45" t="s">
        <v>354</v>
      </c>
      <c r="B51" s="30" t="s">
        <v>355</v>
      </c>
      <c r="C51" s="30" t="s">
        <v>356</v>
      </c>
      <c r="D51" s="32">
        <v>13</v>
      </c>
      <c r="E51" s="31">
        <v>39589</v>
      </c>
      <c r="F51" s="32" t="s">
        <v>288</v>
      </c>
      <c r="G51" s="32" t="s">
        <v>27</v>
      </c>
      <c r="H51" s="46"/>
      <c r="J51" s="45" t="s">
        <v>357</v>
      </c>
      <c r="K51" s="30" t="s">
        <v>358</v>
      </c>
      <c r="L51" s="30" t="s">
        <v>359</v>
      </c>
      <c r="M51" s="32">
        <v>14</v>
      </c>
      <c r="N51" s="31">
        <v>39363</v>
      </c>
      <c r="O51" s="32" t="s">
        <v>217</v>
      </c>
      <c r="P51" s="32" t="s">
        <v>22</v>
      </c>
      <c r="Q51" s="47"/>
    </row>
    <row r="52" spans="1:17">
      <c r="A52" s="45" t="s">
        <v>360</v>
      </c>
      <c r="B52" s="30" t="s">
        <v>361</v>
      </c>
      <c r="C52" s="30" t="s">
        <v>362</v>
      </c>
      <c r="D52" s="32">
        <v>12</v>
      </c>
      <c r="E52" s="31">
        <v>39878</v>
      </c>
      <c r="F52" s="32" t="s">
        <v>288</v>
      </c>
      <c r="G52" s="32" t="s">
        <v>27</v>
      </c>
      <c r="H52" s="46"/>
      <c r="J52" s="45" t="s">
        <v>363</v>
      </c>
      <c r="K52" s="30" t="s">
        <v>364</v>
      </c>
      <c r="L52" s="30" t="s">
        <v>365</v>
      </c>
      <c r="M52" s="32">
        <v>14</v>
      </c>
      <c r="N52" s="31">
        <v>39123</v>
      </c>
      <c r="O52" s="32" t="s">
        <v>217</v>
      </c>
      <c r="P52" s="32" t="s">
        <v>22</v>
      </c>
      <c r="Q52" s="47"/>
    </row>
    <row r="53" spans="1:17">
      <c r="A53" s="45" t="s">
        <v>366</v>
      </c>
      <c r="B53" s="30" t="s">
        <v>367</v>
      </c>
      <c r="C53" s="30" t="s">
        <v>368</v>
      </c>
      <c r="D53" s="32">
        <v>12</v>
      </c>
      <c r="E53" s="31">
        <v>39961</v>
      </c>
      <c r="F53" s="32" t="s">
        <v>288</v>
      </c>
      <c r="G53" s="32" t="s">
        <v>27</v>
      </c>
      <c r="H53" s="46"/>
      <c r="J53" s="45" t="s">
        <v>369</v>
      </c>
      <c r="K53" s="30" t="s">
        <v>370</v>
      </c>
      <c r="L53" s="30" t="s">
        <v>371</v>
      </c>
      <c r="M53" s="32">
        <v>14</v>
      </c>
      <c r="N53" s="31">
        <v>39187</v>
      </c>
      <c r="O53" s="32" t="s">
        <v>217</v>
      </c>
      <c r="P53" s="32" t="s">
        <v>22</v>
      </c>
      <c r="Q53" s="47"/>
    </row>
    <row r="54" spans="1:17">
      <c r="A54" s="45" t="s">
        <v>372</v>
      </c>
      <c r="B54" s="30" t="s">
        <v>373</v>
      </c>
      <c r="C54" s="30" t="s">
        <v>374</v>
      </c>
      <c r="D54" s="32">
        <v>13</v>
      </c>
      <c r="E54" s="31">
        <v>39562</v>
      </c>
      <c r="F54" s="32" t="s">
        <v>288</v>
      </c>
      <c r="G54" s="32" t="s">
        <v>27</v>
      </c>
      <c r="H54" s="46"/>
      <c r="J54" s="45" t="s">
        <v>375</v>
      </c>
      <c r="K54" s="30" t="s">
        <v>376</v>
      </c>
      <c r="L54" s="30" t="s">
        <v>302</v>
      </c>
      <c r="M54" s="32">
        <v>12</v>
      </c>
      <c r="N54" s="31">
        <v>40169</v>
      </c>
      <c r="O54" s="32" t="s">
        <v>288</v>
      </c>
      <c r="P54" s="32" t="s">
        <v>26</v>
      </c>
      <c r="Q54" s="47"/>
    </row>
    <row r="55" spans="1:17">
      <c r="A55" s="45" t="s">
        <v>377</v>
      </c>
      <c r="B55" s="30" t="s">
        <v>378</v>
      </c>
      <c r="C55" s="30" t="s">
        <v>379</v>
      </c>
      <c r="D55" s="32">
        <v>12</v>
      </c>
      <c r="E55" s="31">
        <v>40015</v>
      </c>
      <c r="F55" s="32" t="s">
        <v>288</v>
      </c>
      <c r="G55" s="32" t="s">
        <v>28</v>
      </c>
      <c r="H55" s="46"/>
      <c r="J55" s="45" t="s">
        <v>380</v>
      </c>
      <c r="K55" s="30" t="s">
        <v>381</v>
      </c>
      <c r="L55" s="30" t="s">
        <v>382</v>
      </c>
      <c r="M55" s="32">
        <v>13</v>
      </c>
      <c r="N55" s="31">
        <v>39623</v>
      </c>
      <c r="O55" s="32" t="s">
        <v>288</v>
      </c>
      <c r="P55" s="32" t="s">
        <v>26</v>
      </c>
      <c r="Q55" s="47"/>
    </row>
    <row r="56" spans="1:17">
      <c r="A56" s="45" t="s">
        <v>383</v>
      </c>
      <c r="B56" s="30" t="s">
        <v>384</v>
      </c>
      <c r="C56" s="30" t="s">
        <v>385</v>
      </c>
      <c r="D56" s="32">
        <v>13</v>
      </c>
      <c r="E56" s="31">
        <v>39635</v>
      </c>
      <c r="F56" s="32" t="s">
        <v>288</v>
      </c>
      <c r="G56" s="32" t="s">
        <v>28</v>
      </c>
      <c r="H56" s="46"/>
      <c r="J56" s="45" t="s">
        <v>386</v>
      </c>
      <c r="K56" s="30" t="s">
        <v>387</v>
      </c>
      <c r="L56" s="30" t="s">
        <v>388</v>
      </c>
      <c r="M56" s="32">
        <v>14</v>
      </c>
      <c r="N56" s="31">
        <v>39196</v>
      </c>
      <c r="O56" s="32" t="s">
        <v>217</v>
      </c>
      <c r="P56" s="32" t="s">
        <v>26</v>
      </c>
      <c r="Q56" s="47"/>
    </row>
    <row r="57" spans="1:17">
      <c r="A57" s="45" t="s">
        <v>389</v>
      </c>
      <c r="B57" s="30" t="s">
        <v>390</v>
      </c>
      <c r="C57" s="30" t="s">
        <v>391</v>
      </c>
      <c r="D57" s="32">
        <v>12</v>
      </c>
      <c r="E57" s="31">
        <v>39861</v>
      </c>
      <c r="F57" s="32" t="s">
        <v>288</v>
      </c>
      <c r="G57" s="32" t="s">
        <v>28</v>
      </c>
      <c r="H57" s="46"/>
      <c r="J57" s="45" t="s">
        <v>392</v>
      </c>
      <c r="K57" s="30" t="s">
        <v>393</v>
      </c>
      <c r="L57" s="30" t="s">
        <v>341</v>
      </c>
      <c r="M57" s="32">
        <v>13</v>
      </c>
      <c r="N57" s="31">
        <v>39655</v>
      </c>
      <c r="O57" s="32" t="s">
        <v>288</v>
      </c>
      <c r="P57" s="32" t="s">
        <v>26</v>
      </c>
      <c r="Q57" s="47"/>
    </row>
    <row r="58" spans="1:17">
      <c r="A58" s="45" t="s">
        <v>394</v>
      </c>
      <c r="B58" s="30" t="s">
        <v>395</v>
      </c>
      <c r="C58" s="30" t="s">
        <v>396</v>
      </c>
      <c r="D58" s="32">
        <v>12</v>
      </c>
      <c r="E58" s="31">
        <v>40097</v>
      </c>
      <c r="F58" s="32" t="s">
        <v>288</v>
      </c>
      <c r="G58" s="32" t="s">
        <v>28</v>
      </c>
      <c r="H58" s="46"/>
      <c r="J58" s="45" t="s">
        <v>397</v>
      </c>
      <c r="K58" s="30" t="s">
        <v>398</v>
      </c>
      <c r="L58" s="30" t="s">
        <v>399</v>
      </c>
      <c r="M58" s="32">
        <v>13</v>
      </c>
      <c r="N58" s="31">
        <v>39686</v>
      </c>
      <c r="O58" s="32" t="s">
        <v>288</v>
      </c>
      <c r="P58" s="32" t="s">
        <v>26</v>
      </c>
      <c r="Q58" s="47"/>
    </row>
    <row r="59" spans="1:17">
      <c r="A59" s="45" t="s">
        <v>400</v>
      </c>
      <c r="B59" s="30" t="s">
        <v>401</v>
      </c>
      <c r="C59" s="30" t="s">
        <v>402</v>
      </c>
      <c r="D59" s="32">
        <v>11</v>
      </c>
      <c r="E59" s="31">
        <v>40429</v>
      </c>
      <c r="F59" s="32" t="s">
        <v>403</v>
      </c>
      <c r="G59" s="32" t="s">
        <v>32</v>
      </c>
      <c r="H59" s="46"/>
      <c r="J59" s="45" t="s">
        <v>404</v>
      </c>
      <c r="K59" s="30" t="s">
        <v>405</v>
      </c>
      <c r="L59" s="30" t="s">
        <v>284</v>
      </c>
      <c r="M59" s="32">
        <v>13</v>
      </c>
      <c r="N59" s="31">
        <v>39744</v>
      </c>
      <c r="O59" s="32" t="s">
        <v>288</v>
      </c>
      <c r="P59" s="32" t="s">
        <v>27</v>
      </c>
      <c r="Q59" s="47"/>
    </row>
    <row r="60" spans="1:17">
      <c r="A60" s="45" t="s">
        <v>406</v>
      </c>
      <c r="B60" s="30" t="s">
        <v>407</v>
      </c>
      <c r="C60" s="30" t="s">
        <v>408</v>
      </c>
      <c r="D60" s="32">
        <v>11</v>
      </c>
      <c r="E60" s="31">
        <v>40239</v>
      </c>
      <c r="F60" s="32" t="s">
        <v>403</v>
      </c>
      <c r="G60" s="32" t="s">
        <v>32</v>
      </c>
      <c r="H60" s="46"/>
      <c r="J60" s="45" t="s">
        <v>409</v>
      </c>
      <c r="K60" s="30" t="s">
        <v>410</v>
      </c>
      <c r="L60" s="30" t="s">
        <v>411</v>
      </c>
      <c r="M60" s="32">
        <v>13</v>
      </c>
      <c r="N60" s="31">
        <v>39753</v>
      </c>
      <c r="O60" s="32" t="s">
        <v>288</v>
      </c>
      <c r="P60" s="32" t="s">
        <v>27</v>
      </c>
      <c r="Q60" s="47"/>
    </row>
    <row r="61" spans="1:17">
      <c r="A61" s="45" t="s">
        <v>412</v>
      </c>
      <c r="B61" s="30" t="s">
        <v>413</v>
      </c>
      <c r="C61" s="30" t="s">
        <v>414</v>
      </c>
      <c r="D61" s="32">
        <v>11</v>
      </c>
      <c r="E61" s="31">
        <v>40189</v>
      </c>
      <c r="F61" s="32" t="s">
        <v>403</v>
      </c>
      <c r="G61" s="32" t="s">
        <v>32</v>
      </c>
      <c r="H61" s="46"/>
      <c r="J61" s="45" t="s">
        <v>415</v>
      </c>
      <c r="K61" s="30" t="s">
        <v>416</v>
      </c>
      <c r="L61" s="30" t="s">
        <v>417</v>
      </c>
      <c r="M61" s="32">
        <v>13</v>
      </c>
      <c r="N61" s="31">
        <v>39646</v>
      </c>
      <c r="O61" s="32" t="s">
        <v>288</v>
      </c>
      <c r="P61" s="32" t="s">
        <v>27</v>
      </c>
      <c r="Q61" s="47"/>
    </row>
    <row r="62" spans="1:17">
      <c r="A62" s="45" t="s">
        <v>418</v>
      </c>
      <c r="B62" s="30" t="s">
        <v>419</v>
      </c>
      <c r="C62" s="30" t="s">
        <v>420</v>
      </c>
      <c r="D62" s="32">
        <v>11</v>
      </c>
      <c r="E62" s="31">
        <v>40439</v>
      </c>
      <c r="F62" s="32" t="s">
        <v>403</v>
      </c>
      <c r="G62" s="32" t="s">
        <v>32</v>
      </c>
      <c r="H62" s="46"/>
      <c r="J62" s="45" t="s">
        <v>421</v>
      </c>
      <c r="K62" s="30" t="s">
        <v>422</v>
      </c>
      <c r="L62" s="30" t="s">
        <v>111</v>
      </c>
      <c r="M62" s="32">
        <v>12</v>
      </c>
      <c r="N62" s="31">
        <v>40100</v>
      </c>
      <c r="O62" s="32" t="s">
        <v>288</v>
      </c>
      <c r="P62" s="32" t="s">
        <v>27</v>
      </c>
      <c r="Q62" s="47"/>
    </row>
    <row r="63" spans="1:17">
      <c r="A63" s="45" t="s">
        <v>423</v>
      </c>
      <c r="B63" s="30" t="s">
        <v>424</v>
      </c>
      <c r="C63" s="30" t="s">
        <v>425</v>
      </c>
      <c r="D63" s="32">
        <v>11</v>
      </c>
      <c r="E63" s="31">
        <v>40227</v>
      </c>
      <c r="F63" s="32" t="s">
        <v>403</v>
      </c>
      <c r="G63" s="32" t="s">
        <v>32</v>
      </c>
      <c r="H63" s="46"/>
      <c r="J63" s="45" t="s">
        <v>426</v>
      </c>
      <c r="K63" s="30" t="s">
        <v>427</v>
      </c>
      <c r="L63" s="30" t="s">
        <v>428</v>
      </c>
      <c r="M63" s="32">
        <v>12</v>
      </c>
      <c r="N63" s="31">
        <v>40058</v>
      </c>
      <c r="O63" s="32" t="s">
        <v>288</v>
      </c>
      <c r="P63" s="32" t="s">
        <v>27</v>
      </c>
      <c r="Q63" s="47"/>
    </row>
    <row r="64" spans="1:17">
      <c r="A64" s="45" t="s">
        <v>429</v>
      </c>
      <c r="B64" s="30" t="s">
        <v>430</v>
      </c>
      <c r="C64" s="30" t="s">
        <v>431</v>
      </c>
      <c r="D64" s="32">
        <v>11</v>
      </c>
      <c r="E64" s="31">
        <v>40344</v>
      </c>
      <c r="F64" s="32" t="s">
        <v>403</v>
      </c>
      <c r="G64" s="32" t="s">
        <v>33</v>
      </c>
      <c r="H64" s="46"/>
      <c r="J64" s="45" t="s">
        <v>432</v>
      </c>
      <c r="K64" s="30" t="s">
        <v>433</v>
      </c>
      <c r="L64" s="30" t="s">
        <v>434</v>
      </c>
      <c r="M64" s="32">
        <v>13</v>
      </c>
      <c r="N64" s="31">
        <v>39693</v>
      </c>
      <c r="O64" s="32" t="s">
        <v>288</v>
      </c>
      <c r="P64" s="32" t="s">
        <v>28</v>
      </c>
      <c r="Q64" s="47"/>
    </row>
    <row r="65" spans="1:17">
      <c r="A65" s="45" t="s">
        <v>435</v>
      </c>
      <c r="B65" s="30" t="s">
        <v>436</v>
      </c>
      <c r="C65" s="30" t="s">
        <v>437</v>
      </c>
      <c r="D65" s="32">
        <v>11</v>
      </c>
      <c r="E65" s="31">
        <v>40328</v>
      </c>
      <c r="F65" s="32" t="s">
        <v>403</v>
      </c>
      <c r="G65" s="32" t="s">
        <v>33</v>
      </c>
      <c r="H65" s="46"/>
      <c r="J65" s="45" t="s">
        <v>438</v>
      </c>
      <c r="K65" s="30" t="s">
        <v>439</v>
      </c>
      <c r="L65" s="30" t="s">
        <v>440</v>
      </c>
      <c r="M65" s="32">
        <v>12</v>
      </c>
      <c r="N65" s="31">
        <v>40112</v>
      </c>
      <c r="O65" s="32" t="s">
        <v>288</v>
      </c>
      <c r="P65" s="32" t="s">
        <v>28</v>
      </c>
      <c r="Q65" s="47"/>
    </row>
    <row r="66" spans="1:17">
      <c r="A66" s="45" t="s">
        <v>441</v>
      </c>
      <c r="B66" s="30" t="s">
        <v>442</v>
      </c>
      <c r="C66" s="30" t="s">
        <v>443</v>
      </c>
      <c r="D66" s="32">
        <v>10</v>
      </c>
      <c r="E66" s="31">
        <v>40786</v>
      </c>
      <c r="F66" s="32" t="s">
        <v>403</v>
      </c>
      <c r="G66" s="32" t="s">
        <v>33</v>
      </c>
      <c r="H66" s="46"/>
      <c r="J66" s="45" t="s">
        <v>444</v>
      </c>
      <c r="K66" s="30" t="s">
        <v>445</v>
      </c>
      <c r="L66" s="30" t="s">
        <v>446</v>
      </c>
      <c r="M66" s="32">
        <v>13</v>
      </c>
      <c r="N66" s="31">
        <v>39629</v>
      </c>
      <c r="O66" s="32" t="s">
        <v>288</v>
      </c>
      <c r="P66" s="32" t="s">
        <v>28</v>
      </c>
      <c r="Q66" s="47"/>
    </row>
    <row r="67" spans="1:17">
      <c r="A67" s="45" t="s">
        <v>447</v>
      </c>
      <c r="B67" s="30" t="s">
        <v>448</v>
      </c>
      <c r="C67" s="30" t="s">
        <v>414</v>
      </c>
      <c r="D67" s="32">
        <v>11</v>
      </c>
      <c r="E67" s="31">
        <v>40327</v>
      </c>
      <c r="F67" s="32" t="s">
        <v>403</v>
      </c>
      <c r="G67" s="32" t="s">
        <v>33</v>
      </c>
      <c r="H67" s="46"/>
      <c r="J67" s="45" t="s">
        <v>449</v>
      </c>
      <c r="K67" s="30" t="s">
        <v>450</v>
      </c>
      <c r="L67" s="30" t="s">
        <v>451</v>
      </c>
      <c r="M67" s="32">
        <v>12</v>
      </c>
      <c r="N67" s="31">
        <v>39996</v>
      </c>
      <c r="O67" s="32" t="s">
        <v>288</v>
      </c>
      <c r="P67" s="32" t="s">
        <v>28</v>
      </c>
      <c r="Q67" s="47"/>
    </row>
    <row r="68" spans="1:17">
      <c r="A68" s="45" t="s">
        <v>452</v>
      </c>
      <c r="B68" s="30" t="s">
        <v>453</v>
      </c>
      <c r="C68" s="30" t="s">
        <v>281</v>
      </c>
      <c r="D68" s="32">
        <v>11</v>
      </c>
      <c r="E68" s="31">
        <v>40446</v>
      </c>
      <c r="F68" s="32" t="s">
        <v>403</v>
      </c>
      <c r="G68" s="32" t="s">
        <v>33</v>
      </c>
      <c r="H68" s="46"/>
      <c r="J68" s="45" t="s">
        <v>454</v>
      </c>
      <c r="K68" s="30" t="s">
        <v>455</v>
      </c>
      <c r="L68" s="30" t="s">
        <v>456</v>
      </c>
      <c r="M68" s="32">
        <v>12</v>
      </c>
      <c r="N68" s="31">
        <v>39878</v>
      </c>
      <c r="O68" s="32" t="s">
        <v>288</v>
      </c>
      <c r="P68" s="32" t="s">
        <v>28</v>
      </c>
      <c r="Q68" s="47"/>
    </row>
    <row r="69" spans="1:17">
      <c r="A69" s="45" t="s">
        <v>457</v>
      </c>
      <c r="B69" s="30" t="s">
        <v>458</v>
      </c>
      <c r="C69" s="30" t="s">
        <v>459</v>
      </c>
      <c r="D69" s="32">
        <v>10</v>
      </c>
      <c r="E69" s="31">
        <v>40561</v>
      </c>
      <c r="F69" s="32" t="s">
        <v>403</v>
      </c>
      <c r="G69" s="32" t="s">
        <v>33</v>
      </c>
      <c r="H69" s="46"/>
      <c r="J69" s="45" t="s">
        <v>460</v>
      </c>
      <c r="K69" s="30" t="s">
        <v>461</v>
      </c>
      <c r="L69" s="30" t="s">
        <v>462</v>
      </c>
      <c r="M69" s="32">
        <v>12</v>
      </c>
      <c r="N69" s="31">
        <v>39829</v>
      </c>
      <c r="O69" s="32" t="s">
        <v>288</v>
      </c>
      <c r="P69" s="32" t="s">
        <v>28</v>
      </c>
      <c r="Q69" s="47"/>
    </row>
    <row r="70" spans="1:17">
      <c r="A70" s="45" t="s">
        <v>463</v>
      </c>
      <c r="B70" s="30" t="s">
        <v>464</v>
      </c>
      <c r="C70" s="30" t="s">
        <v>465</v>
      </c>
      <c r="D70" s="32">
        <v>11</v>
      </c>
      <c r="E70" s="31">
        <v>40409</v>
      </c>
      <c r="F70" s="32" t="s">
        <v>403</v>
      </c>
      <c r="G70" s="32" t="s">
        <v>466</v>
      </c>
      <c r="H70" s="46"/>
      <c r="J70" s="45" t="s">
        <v>467</v>
      </c>
      <c r="K70" s="30" t="s">
        <v>468</v>
      </c>
      <c r="L70" s="30" t="s">
        <v>469</v>
      </c>
      <c r="M70" s="32">
        <v>10</v>
      </c>
      <c r="N70" s="31">
        <v>40557</v>
      </c>
      <c r="O70" s="32" t="s">
        <v>403</v>
      </c>
      <c r="P70" s="32" t="s">
        <v>32</v>
      </c>
      <c r="Q70" s="47"/>
    </row>
    <row r="71" spans="1:17">
      <c r="A71" s="45" t="s">
        <v>470</v>
      </c>
      <c r="B71" s="30" t="s">
        <v>471</v>
      </c>
      <c r="C71" s="30" t="s">
        <v>408</v>
      </c>
      <c r="D71" s="32">
        <v>11</v>
      </c>
      <c r="E71" s="31">
        <v>40538</v>
      </c>
      <c r="F71" s="32" t="s">
        <v>403</v>
      </c>
      <c r="G71" s="32" t="s">
        <v>33</v>
      </c>
      <c r="H71" s="46"/>
      <c r="J71" s="45" t="s">
        <v>472</v>
      </c>
      <c r="K71" s="30" t="s">
        <v>473</v>
      </c>
      <c r="L71" s="30" t="s">
        <v>141</v>
      </c>
      <c r="M71" s="32">
        <v>10</v>
      </c>
      <c r="N71" s="31">
        <v>40626</v>
      </c>
      <c r="O71" s="32" t="s">
        <v>403</v>
      </c>
      <c r="P71" s="32" t="s">
        <v>32</v>
      </c>
      <c r="Q71" s="47"/>
    </row>
    <row r="72" spans="1:17">
      <c r="A72" s="45" t="s">
        <v>474</v>
      </c>
      <c r="B72" s="30" t="s">
        <v>475</v>
      </c>
      <c r="C72" s="30" t="s">
        <v>476</v>
      </c>
      <c r="D72" s="32">
        <v>11</v>
      </c>
      <c r="E72" s="31">
        <v>40498</v>
      </c>
      <c r="F72" s="32" t="s">
        <v>403</v>
      </c>
      <c r="G72" s="32" t="s">
        <v>34</v>
      </c>
      <c r="H72" s="46"/>
      <c r="J72" s="45" t="s">
        <v>477</v>
      </c>
      <c r="K72" s="30" t="s">
        <v>478</v>
      </c>
      <c r="L72" s="30" t="s">
        <v>341</v>
      </c>
      <c r="M72" s="32">
        <v>11</v>
      </c>
      <c r="N72" s="31">
        <v>40381</v>
      </c>
      <c r="O72" s="32" t="s">
        <v>403</v>
      </c>
      <c r="P72" s="32" t="s">
        <v>32</v>
      </c>
      <c r="Q72" s="47"/>
    </row>
    <row r="73" spans="1:17">
      <c r="A73" s="45" t="s">
        <v>479</v>
      </c>
      <c r="B73" s="30" t="s">
        <v>480</v>
      </c>
      <c r="C73" s="30" t="s">
        <v>481</v>
      </c>
      <c r="D73" s="32">
        <v>11</v>
      </c>
      <c r="E73" s="31">
        <v>40512</v>
      </c>
      <c r="F73" s="32" t="s">
        <v>403</v>
      </c>
      <c r="G73" s="32" t="s">
        <v>34</v>
      </c>
      <c r="H73" s="46"/>
      <c r="J73" s="45" t="s">
        <v>482</v>
      </c>
      <c r="K73" s="30" t="s">
        <v>483</v>
      </c>
      <c r="L73" s="30" t="s">
        <v>484</v>
      </c>
      <c r="M73" s="32">
        <v>11</v>
      </c>
      <c r="N73" s="31">
        <v>40413</v>
      </c>
      <c r="O73" s="32" t="s">
        <v>403</v>
      </c>
      <c r="P73" s="32" t="s">
        <v>32</v>
      </c>
      <c r="Q73" s="47"/>
    </row>
    <row r="74" spans="1:17">
      <c r="A74" s="45" t="s">
        <v>485</v>
      </c>
      <c r="B74" s="30" t="s">
        <v>486</v>
      </c>
      <c r="C74" s="30" t="s">
        <v>487</v>
      </c>
      <c r="D74" s="32">
        <v>12</v>
      </c>
      <c r="E74" s="31">
        <v>40143</v>
      </c>
      <c r="F74" s="32" t="s">
        <v>288</v>
      </c>
      <c r="G74" s="32" t="s">
        <v>34</v>
      </c>
      <c r="H74" s="46"/>
      <c r="J74" s="45" t="s">
        <v>488</v>
      </c>
      <c r="K74" s="30" t="s">
        <v>489</v>
      </c>
      <c r="L74" s="30" t="s">
        <v>490</v>
      </c>
      <c r="M74" s="32">
        <v>11</v>
      </c>
      <c r="N74" s="31">
        <v>40446</v>
      </c>
      <c r="O74" s="32" t="s">
        <v>403</v>
      </c>
      <c r="P74" s="32" t="s">
        <v>32</v>
      </c>
      <c r="Q74" s="47"/>
    </row>
    <row r="75" spans="1:17">
      <c r="A75" s="45" t="s">
        <v>491</v>
      </c>
      <c r="B75" s="30" t="s">
        <v>492</v>
      </c>
      <c r="C75" s="30" t="s">
        <v>425</v>
      </c>
      <c r="D75" s="32">
        <v>10</v>
      </c>
      <c r="E75" s="31">
        <v>40652</v>
      </c>
      <c r="F75" s="32" t="s">
        <v>403</v>
      </c>
      <c r="G75" s="32" t="s">
        <v>34</v>
      </c>
      <c r="H75" s="46"/>
      <c r="J75" s="45" t="s">
        <v>493</v>
      </c>
      <c r="K75" s="30" t="s">
        <v>494</v>
      </c>
      <c r="L75" s="30" t="s">
        <v>495</v>
      </c>
      <c r="M75" s="32">
        <v>10</v>
      </c>
      <c r="N75" s="31">
        <v>40806</v>
      </c>
      <c r="O75" s="32" t="s">
        <v>403</v>
      </c>
      <c r="P75" s="32" t="s">
        <v>33</v>
      </c>
      <c r="Q75" s="47"/>
    </row>
    <row r="76" spans="1:17">
      <c r="A76" s="45" t="s">
        <v>496</v>
      </c>
      <c r="B76" s="30" t="s">
        <v>497</v>
      </c>
      <c r="C76" s="30" t="s">
        <v>498</v>
      </c>
      <c r="D76" s="32">
        <v>11</v>
      </c>
      <c r="E76" s="31">
        <v>40243</v>
      </c>
      <c r="F76" s="32" t="s">
        <v>403</v>
      </c>
      <c r="G76" s="32" t="s">
        <v>34</v>
      </c>
      <c r="H76" s="46"/>
      <c r="J76" s="45" t="s">
        <v>499</v>
      </c>
      <c r="K76" s="30" t="s">
        <v>500</v>
      </c>
      <c r="L76" s="30" t="s">
        <v>388</v>
      </c>
      <c r="M76" s="32">
        <v>9</v>
      </c>
      <c r="N76" s="31">
        <v>41044</v>
      </c>
      <c r="O76" s="32" t="s">
        <v>501</v>
      </c>
      <c r="P76" s="32" t="s">
        <v>33</v>
      </c>
      <c r="Q76" s="47"/>
    </row>
    <row r="77" spans="1:17">
      <c r="A77" s="45" t="s">
        <v>502</v>
      </c>
      <c r="B77" s="30" t="s">
        <v>503</v>
      </c>
      <c r="C77" s="30" t="s">
        <v>504</v>
      </c>
      <c r="D77" s="32">
        <v>10</v>
      </c>
      <c r="E77" s="31">
        <v>40822</v>
      </c>
      <c r="F77" s="32" t="s">
        <v>403</v>
      </c>
      <c r="G77" s="32" t="s">
        <v>34</v>
      </c>
      <c r="H77" s="46"/>
      <c r="J77" s="45" t="s">
        <v>505</v>
      </c>
      <c r="K77" s="30" t="s">
        <v>506</v>
      </c>
      <c r="L77" s="30" t="s">
        <v>507</v>
      </c>
      <c r="M77" s="32">
        <v>12</v>
      </c>
      <c r="N77" s="31">
        <v>40093</v>
      </c>
      <c r="O77" s="32" t="s">
        <v>288</v>
      </c>
      <c r="P77" s="32" t="s">
        <v>34</v>
      </c>
      <c r="Q77" s="47"/>
    </row>
    <row r="78" spans="1:17">
      <c r="A78" s="45" t="s">
        <v>508</v>
      </c>
      <c r="B78" s="30" t="s">
        <v>509</v>
      </c>
      <c r="C78" s="30" t="s">
        <v>510</v>
      </c>
      <c r="D78" s="32">
        <v>10</v>
      </c>
      <c r="E78" s="31">
        <v>40637</v>
      </c>
      <c r="F78" s="32" t="s">
        <v>403</v>
      </c>
      <c r="G78" s="32" t="s">
        <v>35</v>
      </c>
      <c r="H78" s="46"/>
      <c r="J78" s="45" t="s">
        <v>511</v>
      </c>
      <c r="K78" s="30" t="s">
        <v>512</v>
      </c>
      <c r="L78" s="30" t="s">
        <v>513</v>
      </c>
      <c r="M78" s="32">
        <v>11</v>
      </c>
      <c r="N78" s="31">
        <v>40253</v>
      </c>
      <c r="O78" s="32" t="s">
        <v>403</v>
      </c>
      <c r="P78" s="32" t="s">
        <v>34</v>
      </c>
      <c r="Q78" s="47"/>
    </row>
    <row r="79" spans="1:17">
      <c r="A79" s="45" t="s">
        <v>514</v>
      </c>
      <c r="B79" s="30" t="s">
        <v>515</v>
      </c>
      <c r="C79" s="30" t="s">
        <v>516</v>
      </c>
      <c r="D79" s="32">
        <v>11</v>
      </c>
      <c r="E79" s="31">
        <v>40373</v>
      </c>
      <c r="F79" s="32" t="s">
        <v>403</v>
      </c>
      <c r="G79" s="32" t="s">
        <v>35</v>
      </c>
      <c r="H79" s="46"/>
      <c r="J79" s="45" t="s">
        <v>517</v>
      </c>
      <c r="K79" s="30" t="s">
        <v>518</v>
      </c>
      <c r="L79" s="30" t="s">
        <v>519</v>
      </c>
      <c r="M79" s="32">
        <v>11</v>
      </c>
      <c r="N79" s="31">
        <v>40309</v>
      </c>
      <c r="O79" s="32" t="s">
        <v>403</v>
      </c>
      <c r="P79" s="32" t="s">
        <v>34</v>
      </c>
      <c r="Q79" s="47"/>
    </row>
    <row r="80" spans="1:17">
      <c r="A80" s="45" t="s">
        <v>520</v>
      </c>
      <c r="B80" s="30" t="s">
        <v>521</v>
      </c>
      <c r="C80" s="30" t="s">
        <v>522</v>
      </c>
      <c r="D80" s="32">
        <v>11</v>
      </c>
      <c r="E80" s="31">
        <v>40329</v>
      </c>
      <c r="F80" s="32" t="s">
        <v>403</v>
      </c>
      <c r="G80" s="32" t="s">
        <v>35</v>
      </c>
      <c r="H80" s="46"/>
      <c r="J80" s="45" t="s">
        <v>523</v>
      </c>
      <c r="K80" s="30" t="s">
        <v>524</v>
      </c>
      <c r="L80" s="30" t="s">
        <v>399</v>
      </c>
      <c r="M80" s="32">
        <v>11</v>
      </c>
      <c r="N80" s="31">
        <v>40227</v>
      </c>
      <c r="O80" s="32" t="s">
        <v>403</v>
      </c>
      <c r="P80" s="32" t="s">
        <v>34</v>
      </c>
      <c r="Q80" s="47"/>
    </row>
    <row r="81" spans="1:17">
      <c r="A81" s="45" t="s">
        <v>525</v>
      </c>
      <c r="B81" s="30" t="s">
        <v>526</v>
      </c>
      <c r="C81" s="30" t="s">
        <v>527</v>
      </c>
      <c r="D81" s="32">
        <v>10</v>
      </c>
      <c r="E81" s="35">
        <v>40796</v>
      </c>
      <c r="F81" s="32" t="s">
        <v>403</v>
      </c>
      <c r="G81" s="32" t="s">
        <v>35</v>
      </c>
      <c r="H81" s="46"/>
      <c r="J81" s="45" t="s">
        <v>528</v>
      </c>
      <c r="K81" s="30" t="s">
        <v>529</v>
      </c>
      <c r="L81" s="30" t="s">
        <v>530</v>
      </c>
      <c r="M81" s="32">
        <v>10</v>
      </c>
      <c r="N81" s="31">
        <v>40750</v>
      </c>
      <c r="O81" s="32" t="s">
        <v>403</v>
      </c>
      <c r="P81" s="32" t="s">
        <v>35</v>
      </c>
      <c r="Q81" s="47"/>
    </row>
    <row r="82" spans="1:17">
      <c r="A82" s="45" t="s">
        <v>531</v>
      </c>
      <c r="B82" s="30" t="s">
        <v>532</v>
      </c>
      <c r="C82" s="30" t="s">
        <v>533</v>
      </c>
      <c r="D82" s="32">
        <v>10</v>
      </c>
      <c r="E82" s="31">
        <v>40722</v>
      </c>
      <c r="F82" s="32" t="s">
        <v>403</v>
      </c>
      <c r="G82" s="32" t="s">
        <v>35</v>
      </c>
      <c r="H82" s="46"/>
      <c r="J82" s="45" t="s">
        <v>534</v>
      </c>
      <c r="K82" s="30" t="s">
        <v>489</v>
      </c>
      <c r="L82" s="30" t="s">
        <v>535</v>
      </c>
      <c r="M82" s="32">
        <v>10</v>
      </c>
      <c r="N82" s="31">
        <v>40790</v>
      </c>
      <c r="O82" s="32" t="s">
        <v>403</v>
      </c>
      <c r="P82" s="32" t="s">
        <v>35</v>
      </c>
      <c r="Q82" s="47"/>
    </row>
    <row r="83" spans="1:17">
      <c r="A83" s="45" t="s">
        <v>536</v>
      </c>
      <c r="B83" s="30" t="s">
        <v>537</v>
      </c>
      <c r="C83" s="30" t="s">
        <v>538</v>
      </c>
      <c r="D83" s="32">
        <v>9</v>
      </c>
      <c r="E83" s="31">
        <v>41167</v>
      </c>
      <c r="F83" s="32" t="s">
        <v>501</v>
      </c>
      <c r="G83" s="32" t="s">
        <v>35</v>
      </c>
      <c r="H83" s="46"/>
      <c r="J83" s="45" t="s">
        <v>539</v>
      </c>
      <c r="K83" s="30" t="s">
        <v>540</v>
      </c>
      <c r="L83" s="30" t="s">
        <v>541</v>
      </c>
      <c r="M83" s="32">
        <v>9</v>
      </c>
      <c r="N83" s="31">
        <v>40929</v>
      </c>
      <c r="O83" s="32" t="s">
        <v>501</v>
      </c>
      <c r="P83" s="32" t="s">
        <v>38</v>
      </c>
      <c r="Q83" s="47"/>
    </row>
    <row r="84" spans="1:17">
      <c r="A84" s="45" t="s">
        <v>542</v>
      </c>
      <c r="B84" s="30" t="s">
        <v>543</v>
      </c>
      <c r="C84" s="30" t="s">
        <v>544</v>
      </c>
      <c r="D84" s="32">
        <v>11</v>
      </c>
      <c r="E84" s="31">
        <v>40226</v>
      </c>
      <c r="F84" s="32" t="s">
        <v>403</v>
      </c>
      <c r="G84" s="32" t="s">
        <v>35</v>
      </c>
      <c r="H84" s="46"/>
      <c r="J84" s="45" t="s">
        <v>545</v>
      </c>
      <c r="K84" s="30" t="s">
        <v>546</v>
      </c>
      <c r="L84" s="30" t="s">
        <v>547</v>
      </c>
      <c r="M84" s="32">
        <v>8</v>
      </c>
      <c r="N84" s="31">
        <v>41299</v>
      </c>
      <c r="O84" s="32" t="s">
        <v>501</v>
      </c>
      <c r="P84" s="32" t="s">
        <v>42</v>
      </c>
      <c r="Q84" s="47"/>
    </row>
    <row r="85" spans="1:17">
      <c r="A85" s="45" t="s">
        <v>548</v>
      </c>
      <c r="B85" s="30" t="s">
        <v>549</v>
      </c>
      <c r="C85" s="30" t="s">
        <v>550</v>
      </c>
      <c r="D85" s="32">
        <v>12</v>
      </c>
      <c r="E85" s="31">
        <v>40075</v>
      </c>
      <c r="F85" s="32" t="s">
        <v>288</v>
      </c>
      <c r="G85" s="32" t="s">
        <v>35</v>
      </c>
      <c r="H85" s="46"/>
      <c r="J85" s="45" t="s">
        <v>551</v>
      </c>
      <c r="K85" s="30" t="s">
        <v>552</v>
      </c>
      <c r="L85" s="30" t="s">
        <v>553</v>
      </c>
      <c r="M85" s="32">
        <v>8</v>
      </c>
      <c r="N85" s="31">
        <v>41299</v>
      </c>
      <c r="O85" s="32" t="s">
        <v>501</v>
      </c>
      <c r="P85" s="32" t="s">
        <v>42</v>
      </c>
      <c r="Q85" s="47"/>
    </row>
    <row r="86" spans="1:17">
      <c r="A86" s="45" t="s">
        <v>554</v>
      </c>
      <c r="B86" s="30" t="s">
        <v>555</v>
      </c>
      <c r="C86" s="30" t="s">
        <v>186</v>
      </c>
      <c r="D86" s="32">
        <v>9</v>
      </c>
      <c r="E86" s="31">
        <v>41214</v>
      </c>
      <c r="F86" s="32" t="s">
        <v>501</v>
      </c>
      <c r="G86" s="32" t="s">
        <v>38</v>
      </c>
      <c r="H86" s="46"/>
      <c r="J86" s="45" t="s">
        <v>556</v>
      </c>
      <c r="K86" s="30" t="s">
        <v>557</v>
      </c>
      <c r="L86" s="30" t="s">
        <v>558</v>
      </c>
      <c r="M86" s="32">
        <v>9</v>
      </c>
      <c r="N86" s="31">
        <v>40957</v>
      </c>
      <c r="O86" s="32" t="s">
        <v>501</v>
      </c>
      <c r="P86" s="32" t="s">
        <v>39</v>
      </c>
      <c r="Q86" s="47"/>
    </row>
    <row r="87" spans="1:17">
      <c r="A87" s="45" t="s">
        <v>559</v>
      </c>
      <c r="B87" s="30" t="s">
        <v>560</v>
      </c>
      <c r="C87" s="30" t="s">
        <v>538</v>
      </c>
      <c r="D87" s="32">
        <v>9</v>
      </c>
      <c r="E87" s="31">
        <v>41014</v>
      </c>
      <c r="F87" s="32" t="s">
        <v>501</v>
      </c>
      <c r="G87" s="32" t="s">
        <v>40</v>
      </c>
      <c r="H87" s="46"/>
      <c r="J87" s="45" t="s">
        <v>561</v>
      </c>
      <c r="K87" s="30" t="s">
        <v>562</v>
      </c>
      <c r="L87" s="30" t="s">
        <v>117</v>
      </c>
      <c r="M87" s="32">
        <v>9</v>
      </c>
      <c r="N87" s="31">
        <v>41179</v>
      </c>
      <c r="O87" s="32" t="s">
        <v>501</v>
      </c>
      <c r="P87" s="32" t="s">
        <v>466</v>
      </c>
      <c r="Q87" s="47"/>
    </row>
    <row r="88" spans="1:17">
      <c r="A88" s="45" t="s">
        <v>563</v>
      </c>
      <c r="B88" s="30" t="s">
        <v>564</v>
      </c>
      <c r="C88" s="30" t="s">
        <v>565</v>
      </c>
      <c r="D88" s="32">
        <v>8</v>
      </c>
      <c r="E88" s="31">
        <v>41474</v>
      </c>
      <c r="F88" s="32" t="s">
        <v>501</v>
      </c>
      <c r="G88" s="32" t="s">
        <v>42</v>
      </c>
      <c r="H88" s="46"/>
      <c r="J88" s="45" t="s">
        <v>566</v>
      </c>
      <c r="K88" s="30" t="s">
        <v>567</v>
      </c>
      <c r="L88" s="30" t="s">
        <v>568</v>
      </c>
      <c r="M88" s="32">
        <v>7</v>
      </c>
      <c r="N88" s="31">
        <v>41668</v>
      </c>
      <c r="O88" s="32" t="s">
        <v>569</v>
      </c>
      <c r="P88" s="32" t="s">
        <v>43</v>
      </c>
      <c r="Q88" s="47"/>
    </row>
    <row r="89" spans="1:17">
      <c r="A89" s="45" t="s">
        <v>570</v>
      </c>
      <c r="B89" s="30" t="s">
        <v>571</v>
      </c>
      <c r="C89" s="30" t="s">
        <v>572</v>
      </c>
      <c r="D89" s="32">
        <v>8</v>
      </c>
      <c r="E89" s="31">
        <v>41557</v>
      </c>
      <c r="F89" s="32" t="s">
        <v>501</v>
      </c>
      <c r="G89" s="32" t="s">
        <v>43</v>
      </c>
      <c r="H89" s="46"/>
      <c r="J89" s="45" t="s">
        <v>573</v>
      </c>
      <c r="K89" s="30" t="s">
        <v>574</v>
      </c>
      <c r="L89" s="30" t="s">
        <v>575</v>
      </c>
      <c r="M89" s="32">
        <v>9</v>
      </c>
      <c r="N89" s="31">
        <v>40974</v>
      </c>
      <c r="O89" s="32" t="s">
        <v>501</v>
      </c>
      <c r="P89" s="32" t="s">
        <v>40</v>
      </c>
      <c r="Q89" s="47"/>
    </row>
    <row r="90" spans="1:17">
      <c r="A90" s="45" t="s">
        <v>576</v>
      </c>
      <c r="B90" s="30" t="s">
        <v>577</v>
      </c>
      <c r="C90" s="30" t="s">
        <v>310</v>
      </c>
      <c r="D90" s="32">
        <v>9</v>
      </c>
      <c r="E90" s="31">
        <v>41123</v>
      </c>
      <c r="F90" s="32" t="s">
        <v>501</v>
      </c>
      <c r="G90" s="32" t="s">
        <v>466</v>
      </c>
      <c r="H90" s="46"/>
      <c r="J90" s="45" t="s">
        <v>578</v>
      </c>
      <c r="K90" s="30" t="s">
        <v>461</v>
      </c>
      <c r="L90" s="30" t="s">
        <v>579</v>
      </c>
      <c r="M90" s="32">
        <v>9</v>
      </c>
      <c r="N90" s="31">
        <v>41121</v>
      </c>
      <c r="O90" s="32" t="s">
        <v>501</v>
      </c>
      <c r="P90" s="32" t="s">
        <v>38</v>
      </c>
      <c r="Q90" s="47"/>
    </row>
    <row r="91" spans="1:17" ht="15.75">
      <c r="A91" s="45" t="s">
        <v>580</v>
      </c>
      <c r="B91" s="30" t="s">
        <v>581</v>
      </c>
      <c r="C91" s="30" t="s">
        <v>582</v>
      </c>
      <c r="D91" s="32">
        <v>8</v>
      </c>
      <c r="E91" s="31">
        <v>41574</v>
      </c>
      <c r="F91" s="32" t="s">
        <v>501</v>
      </c>
      <c r="G91" s="32" t="s">
        <v>43</v>
      </c>
      <c r="H91" s="46"/>
      <c r="J91" s="45" t="s">
        <v>583</v>
      </c>
      <c r="K91" s="38" t="s">
        <v>584</v>
      </c>
      <c r="L91" s="30" t="s">
        <v>585</v>
      </c>
      <c r="M91" s="32">
        <v>8</v>
      </c>
      <c r="N91" s="31">
        <v>41375</v>
      </c>
      <c r="O91" s="32" t="s">
        <v>501</v>
      </c>
      <c r="P91" s="32" t="s">
        <v>40</v>
      </c>
      <c r="Q91" s="47"/>
    </row>
    <row r="92" spans="1:17">
      <c r="A92" s="45" t="s">
        <v>586</v>
      </c>
      <c r="B92" s="30" t="s">
        <v>587</v>
      </c>
      <c r="C92" s="30" t="s">
        <v>588</v>
      </c>
      <c r="D92" s="32">
        <v>9</v>
      </c>
      <c r="E92" s="31">
        <v>41108</v>
      </c>
      <c r="F92" s="32" t="s">
        <v>501</v>
      </c>
      <c r="G92" s="32" t="s">
        <v>41</v>
      </c>
      <c r="H92" s="46"/>
      <c r="J92" s="45" t="s">
        <v>589</v>
      </c>
      <c r="K92" s="30" t="s">
        <v>590</v>
      </c>
      <c r="L92" s="30" t="s">
        <v>591</v>
      </c>
      <c r="M92" s="32">
        <v>8</v>
      </c>
      <c r="N92" s="31">
        <v>41611</v>
      </c>
      <c r="O92" s="32" t="s">
        <v>501</v>
      </c>
      <c r="P92" s="32" t="s">
        <v>43</v>
      </c>
      <c r="Q92" s="47"/>
    </row>
    <row r="93" spans="1:17">
      <c r="A93" s="45" t="s">
        <v>592</v>
      </c>
      <c r="B93" s="30" t="s">
        <v>593</v>
      </c>
      <c r="C93" s="30" t="s">
        <v>594</v>
      </c>
      <c r="D93" s="32">
        <v>10</v>
      </c>
      <c r="E93" s="31">
        <v>40611</v>
      </c>
      <c r="F93" s="32" t="s">
        <v>403</v>
      </c>
      <c r="G93" s="32" t="s">
        <v>40</v>
      </c>
      <c r="H93" s="46"/>
      <c r="J93" s="45" t="s">
        <v>595</v>
      </c>
      <c r="K93" s="30" t="s">
        <v>596</v>
      </c>
      <c r="L93" s="30" t="s">
        <v>597</v>
      </c>
      <c r="M93" s="32">
        <v>7</v>
      </c>
      <c r="N93" s="31">
        <v>41780</v>
      </c>
      <c r="O93" s="32" t="s">
        <v>569</v>
      </c>
      <c r="P93" s="32" t="s">
        <v>45</v>
      </c>
      <c r="Q93" s="47"/>
    </row>
    <row r="94" spans="1:17">
      <c r="A94" s="45" t="s">
        <v>394</v>
      </c>
      <c r="B94" s="30" t="s">
        <v>598</v>
      </c>
      <c r="C94" s="30" t="s">
        <v>144</v>
      </c>
      <c r="D94" s="32">
        <v>9</v>
      </c>
      <c r="E94" s="31">
        <v>41047</v>
      </c>
      <c r="F94" s="32" t="s">
        <v>501</v>
      </c>
      <c r="G94" s="32" t="s">
        <v>38</v>
      </c>
      <c r="H94" s="46"/>
      <c r="J94" s="45" t="s">
        <v>599</v>
      </c>
      <c r="K94" s="30" t="s">
        <v>600</v>
      </c>
      <c r="L94" s="30" t="s">
        <v>601</v>
      </c>
      <c r="M94" s="32">
        <v>7</v>
      </c>
      <c r="N94" s="31">
        <v>41832</v>
      </c>
      <c r="O94" s="32" t="s">
        <v>569</v>
      </c>
      <c r="P94" s="32" t="s">
        <v>46</v>
      </c>
      <c r="Q94" s="47"/>
    </row>
    <row r="95" spans="1:17">
      <c r="A95" s="45" t="s">
        <v>602</v>
      </c>
      <c r="B95" s="30" t="s">
        <v>603</v>
      </c>
      <c r="C95" s="30" t="s">
        <v>604</v>
      </c>
      <c r="D95" s="32">
        <v>8</v>
      </c>
      <c r="E95" s="31">
        <v>41407</v>
      </c>
      <c r="F95" s="32" t="s">
        <v>501</v>
      </c>
      <c r="G95" s="32" t="s">
        <v>42</v>
      </c>
      <c r="H95" s="46"/>
      <c r="J95" s="45" t="s">
        <v>605</v>
      </c>
      <c r="K95" s="30" t="s">
        <v>606</v>
      </c>
      <c r="L95" s="30" t="s">
        <v>607</v>
      </c>
      <c r="M95" s="32">
        <v>7</v>
      </c>
      <c r="N95" s="31">
        <v>41737</v>
      </c>
      <c r="O95" s="32" t="s">
        <v>569</v>
      </c>
      <c r="P95" s="32" t="s">
        <v>45</v>
      </c>
      <c r="Q95" s="47"/>
    </row>
    <row r="96" spans="1:17">
      <c r="A96" s="45" t="s">
        <v>608</v>
      </c>
      <c r="B96" s="30" t="s">
        <v>609</v>
      </c>
      <c r="C96" s="30" t="s">
        <v>402</v>
      </c>
      <c r="D96" s="32">
        <v>9</v>
      </c>
      <c r="E96" s="31">
        <v>41159</v>
      </c>
      <c r="F96" s="32" t="s">
        <v>501</v>
      </c>
      <c r="G96" s="32" t="s">
        <v>41</v>
      </c>
      <c r="H96" s="46"/>
      <c r="J96" s="45" t="s">
        <v>610</v>
      </c>
      <c r="K96" s="30" t="s">
        <v>611</v>
      </c>
      <c r="L96" s="30" t="s">
        <v>612</v>
      </c>
      <c r="M96" s="32">
        <v>7</v>
      </c>
      <c r="N96" s="31">
        <v>41801</v>
      </c>
      <c r="O96" s="32" t="s">
        <v>569</v>
      </c>
      <c r="P96" s="32" t="s">
        <v>45</v>
      </c>
      <c r="Q96" s="47"/>
    </row>
    <row r="97" spans="1:17">
      <c r="A97" s="45" t="s">
        <v>613</v>
      </c>
      <c r="B97" s="30" t="s">
        <v>614</v>
      </c>
      <c r="C97" s="30" t="s">
        <v>615</v>
      </c>
      <c r="D97" s="32">
        <v>9</v>
      </c>
      <c r="E97" s="31">
        <v>41149</v>
      </c>
      <c r="F97" s="32" t="s">
        <v>501</v>
      </c>
      <c r="G97" s="32" t="s">
        <v>41</v>
      </c>
      <c r="H97" s="46"/>
      <c r="J97" s="45" t="s">
        <v>616</v>
      </c>
      <c r="K97" s="30" t="s">
        <v>617</v>
      </c>
      <c r="L97" s="30" t="s">
        <v>618</v>
      </c>
      <c r="M97" s="32">
        <v>7</v>
      </c>
      <c r="N97" s="31">
        <v>41686</v>
      </c>
      <c r="O97" s="32" t="s">
        <v>569</v>
      </c>
      <c r="P97" s="32" t="s">
        <v>46</v>
      </c>
      <c r="Q97" s="47"/>
    </row>
    <row r="98" spans="1:17">
      <c r="A98" s="45" t="s">
        <v>619</v>
      </c>
      <c r="B98" s="30" t="s">
        <v>620</v>
      </c>
      <c r="C98" s="30" t="s">
        <v>621</v>
      </c>
      <c r="D98" s="32">
        <v>8</v>
      </c>
      <c r="E98" s="31">
        <v>41477</v>
      </c>
      <c r="F98" s="32" t="s">
        <v>501</v>
      </c>
      <c r="G98" s="32" t="s">
        <v>40</v>
      </c>
      <c r="H98" s="46"/>
      <c r="J98" s="45" t="s">
        <v>622</v>
      </c>
      <c r="K98" s="30" t="s">
        <v>623</v>
      </c>
      <c r="L98" s="30" t="s">
        <v>624</v>
      </c>
      <c r="M98" s="32">
        <v>7</v>
      </c>
      <c r="N98" s="31">
        <v>41867</v>
      </c>
      <c r="O98" s="32" t="s">
        <v>569</v>
      </c>
      <c r="P98" s="32" t="s">
        <v>46</v>
      </c>
      <c r="Q98" s="47"/>
    </row>
    <row r="99" spans="1:17">
      <c r="A99" s="45" t="s">
        <v>625</v>
      </c>
      <c r="B99" s="30" t="s">
        <v>626</v>
      </c>
      <c r="C99" s="30" t="s">
        <v>132</v>
      </c>
      <c r="D99" s="32">
        <v>9</v>
      </c>
      <c r="E99" s="31">
        <v>40995</v>
      </c>
      <c r="F99" s="32" t="s">
        <v>501</v>
      </c>
      <c r="G99" s="32" t="s">
        <v>38</v>
      </c>
      <c r="H99" s="46"/>
      <c r="J99" s="45" t="s">
        <v>627</v>
      </c>
      <c r="K99" s="30" t="s">
        <v>628</v>
      </c>
      <c r="L99" s="30" t="s">
        <v>629</v>
      </c>
      <c r="M99" s="32">
        <v>20</v>
      </c>
      <c r="N99" s="31">
        <v>36929</v>
      </c>
      <c r="O99" s="32" t="s">
        <v>64</v>
      </c>
      <c r="P99" s="32" t="s">
        <v>10</v>
      </c>
      <c r="Q99" s="47"/>
    </row>
    <row r="100" spans="1:17">
      <c r="A100" s="45" t="s">
        <v>630</v>
      </c>
      <c r="B100" s="30" t="s">
        <v>631</v>
      </c>
      <c r="C100" s="30" t="s">
        <v>632</v>
      </c>
      <c r="D100" s="32">
        <v>9</v>
      </c>
      <c r="E100" s="31">
        <v>40937</v>
      </c>
      <c r="F100" s="32" t="s">
        <v>501</v>
      </c>
      <c r="G100" s="32" t="s">
        <v>39</v>
      </c>
      <c r="H100" s="46"/>
      <c r="J100" s="45" t="s">
        <v>633</v>
      </c>
      <c r="K100" s="30" t="s">
        <v>634</v>
      </c>
      <c r="L100" s="30" t="s">
        <v>535</v>
      </c>
      <c r="M100" s="32">
        <v>18</v>
      </c>
      <c r="N100" s="31">
        <v>37960</v>
      </c>
      <c r="O100" s="32" t="s">
        <v>108</v>
      </c>
      <c r="P100" s="32" t="s">
        <v>10</v>
      </c>
      <c r="Q100" s="47"/>
    </row>
    <row r="101" spans="1:17">
      <c r="A101" s="45" t="s">
        <v>635</v>
      </c>
      <c r="B101" s="30" t="s">
        <v>636</v>
      </c>
      <c r="C101" s="30" t="s">
        <v>637</v>
      </c>
      <c r="D101" s="32">
        <v>9</v>
      </c>
      <c r="E101" s="31">
        <v>41194</v>
      </c>
      <c r="F101" s="32" t="s">
        <v>501</v>
      </c>
      <c r="G101" s="32" t="s">
        <v>39</v>
      </c>
      <c r="H101" s="46"/>
      <c r="J101" s="45" t="s">
        <v>638</v>
      </c>
      <c r="K101" s="30" t="s">
        <v>639</v>
      </c>
      <c r="L101" s="30" t="s">
        <v>640</v>
      </c>
      <c r="M101" s="32">
        <v>21</v>
      </c>
      <c r="N101" s="31">
        <v>36666</v>
      </c>
      <c r="O101" s="32" t="s">
        <v>64</v>
      </c>
      <c r="P101" s="32" t="s">
        <v>9</v>
      </c>
      <c r="Q101" s="47"/>
    </row>
    <row r="102" spans="1:17">
      <c r="A102" s="45" t="s">
        <v>641</v>
      </c>
      <c r="B102" s="30" t="s">
        <v>642</v>
      </c>
      <c r="C102" s="30" t="s">
        <v>643</v>
      </c>
      <c r="D102" s="32">
        <v>8</v>
      </c>
      <c r="E102" s="31">
        <v>41537</v>
      </c>
      <c r="F102" s="32" t="s">
        <v>501</v>
      </c>
      <c r="G102" s="32" t="s">
        <v>42</v>
      </c>
      <c r="H102" s="46"/>
      <c r="J102" s="45" t="s">
        <v>644</v>
      </c>
      <c r="K102" s="30" t="s">
        <v>645</v>
      </c>
      <c r="L102" s="30" t="s">
        <v>646</v>
      </c>
      <c r="M102" s="32">
        <v>21</v>
      </c>
      <c r="N102" s="31">
        <v>36865</v>
      </c>
      <c r="O102" s="32" t="s">
        <v>64</v>
      </c>
      <c r="P102" s="32" t="s">
        <v>9</v>
      </c>
      <c r="Q102" s="47"/>
    </row>
    <row r="103" spans="1:17">
      <c r="A103" s="45" t="s">
        <v>647</v>
      </c>
      <c r="B103" s="30" t="s">
        <v>648</v>
      </c>
      <c r="C103" s="30" t="s">
        <v>649</v>
      </c>
      <c r="D103" s="32">
        <v>8</v>
      </c>
      <c r="E103" s="31">
        <v>41398</v>
      </c>
      <c r="F103" s="32" t="s">
        <v>501</v>
      </c>
      <c r="G103" s="32" t="s">
        <v>41</v>
      </c>
      <c r="H103" s="46"/>
      <c r="J103" s="45" t="s">
        <v>650</v>
      </c>
      <c r="K103" s="30" t="s">
        <v>651</v>
      </c>
      <c r="L103" s="30" t="s">
        <v>652</v>
      </c>
      <c r="M103" s="32">
        <v>22</v>
      </c>
      <c r="N103" s="31">
        <v>36465</v>
      </c>
      <c r="O103" s="32" t="s">
        <v>64</v>
      </c>
      <c r="P103" s="32" t="s">
        <v>11</v>
      </c>
      <c r="Q103" s="47"/>
    </row>
    <row r="104" spans="1:17">
      <c r="A104" s="45" t="s">
        <v>653</v>
      </c>
      <c r="B104" s="30" t="s">
        <v>654</v>
      </c>
      <c r="C104" s="30" t="s">
        <v>655</v>
      </c>
      <c r="D104" s="32">
        <v>8</v>
      </c>
      <c r="E104" s="31">
        <v>41323</v>
      </c>
      <c r="F104" s="32" t="s">
        <v>501</v>
      </c>
      <c r="G104" s="32" t="s">
        <v>41</v>
      </c>
      <c r="H104" s="46"/>
      <c r="J104" s="45" t="s">
        <v>656</v>
      </c>
      <c r="K104" s="30" t="s">
        <v>657</v>
      </c>
      <c r="L104" s="30" t="s">
        <v>629</v>
      </c>
      <c r="M104" s="32">
        <v>21</v>
      </c>
      <c r="N104" s="31">
        <v>36683</v>
      </c>
      <c r="O104" s="32" t="s">
        <v>64</v>
      </c>
      <c r="P104" s="39" t="s">
        <v>65</v>
      </c>
      <c r="Q104" s="47"/>
    </row>
    <row r="105" spans="1:17">
      <c r="A105" s="45" t="s">
        <v>658</v>
      </c>
      <c r="B105" s="30" t="s">
        <v>659</v>
      </c>
      <c r="C105" s="30" t="s">
        <v>660</v>
      </c>
      <c r="D105" s="32">
        <v>7</v>
      </c>
      <c r="E105" s="31">
        <v>41901</v>
      </c>
      <c r="F105" s="32" t="s">
        <v>569</v>
      </c>
      <c r="G105" s="32" t="s">
        <v>46</v>
      </c>
      <c r="H105" s="46"/>
      <c r="J105" s="45" t="s">
        <v>661</v>
      </c>
      <c r="K105" s="30" t="s">
        <v>662</v>
      </c>
      <c r="L105" s="30" t="s">
        <v>663</v>
      </c>
      <c r="M105" s="32">
        <v>23</v>
      </c>
      <c r="N105" s="31">
        <v>35797</v>
      </c>
      <c r="O105" s="32" t="s">
        <v>64</v>
      </c>
      <c r="P105" s="32" t="s">
        <v>9</v>
      </c>
      <c r="Q105" s="47"/>
    </row>
    <row r="106" spans="1:17">
      <c r="A106" s="45" t="s">
        <v>664</v>
      </c>
      <c r="B106" s="30" t="s">
        <v>665</v>
      </c>
      <c r="C106" s="30" t="s">
        <v>666</v>
      </c>
      <c r="D106" s="32">
        <v>7</v>
      </c>
      <c r="E106" s="31">
        <v>41822</v>
      </c>
      <c r="F106" s="32" t="s">
        <v>569</v>
      </c>
      <c r="G106" s="32" t="s">
        <v>46</v>
      </c>
      <c r="H106" s="46"/>
      <c r="J106" s="45" t="s">
        <v>667</v>
      </c>
      <c r="K106" s="30" t="s">
        <v>668</v>
      </c>
      <c r="L106" s="30" t="s">
        <v>669</v>
      </c>
      <c r="M106" s="32">
        <v>21</v>
      </c>
      <c r="N106" s="31">
        <v>36605</v>
      </c>
      <c r="O106" s="32" t="s">
        <v>64</v>
      </c>
      <c r="P106" s="32" t="s">
        <v>10</v>
      </c>
      <c r="Q106" s="47"/>
    </row>
    <row r="107" spans="1:17">
      <c r="A107" s="45" t="s">
        <v>670</v>
      </c>
      <c r="B107" s="30" t="s">
        <v>671</v>
      </c>
      <c r="C107" s="30" t="s">
        <v>156</v>
      </c>
      <c r="D107" s="32">
        <v>7</v>
      </c>
      <c r="E107" s="31">
        <v>41807</v>
      </c>
      <c r="F107" s="32" t="s">
        <v>569</v>
      </c>
      <c r="G107" s="32" t="s">
        <v>45</v>
      </c>
      <c r="H107" s="46"/>
      <c r="J107" s="45" t="s">
        <v>672</v>
      </c>
      <c r="K107" s="30" t="s">
        <v>673</v>
      </c>
      <c r="L107" s="30" t="s">
        <v>674</v>
      </c>
      <c r="M107" s="32">
        <v>23</v>
      </c>
      <c r="N107" s="31">
        <v>36143</v>
      </c>
      <c r="O107" s="32" t="s">
        <v>64</v>
      </c>
      <c r="P107" s="32" t="s">
        <v>466</v>
      </c>
      <c r="Q107" s="47"/>
    </row>
    <row r="108" spans="1:17">
      <c r="A108" s="45" t="s">
        <v>675</v>
      </c>
      <c r="B108" s="30" t="s">
        <v>676</v>
      </c>
      <c r="C108" s="30" t="s">
        <v>677</v>
      </c>
      <c r="D108" s="32">
        <v>7</v>
      </c>
      <c r="E108" s="31">
        <v>41761</v>
      </c>
      <c r="F108" s="32" t="s">
        <v>569</v>
      </c>
      <c r="G108" s="32" t="s">
        <v>46</v>
      </c>
      <c r="H108" s="46"/>
      <c r="J108" s="45" t="s">
        <v>678</v>
      </c>
      <c r="K108" s="30" t="s">
        <v>679</v>
      </c>
      <c r="L108" s="30" t="s">
        <v>680</v>
      </c>
      <c r="M108" s="32">
        <v>22</v>
      </c>
      <c r="N108" s="31">
        <v>36308</v>
      </c>
      <c r="O108" s="32" t="s">
        <v>64</v>
      </c>
      <c r="P108" s="32" t="s">
        <v>11</v>
      </c>
      <c r="Q108" s="47"/>
    </row>
    <row r="109" spans="1:17">
      <c r="A109" s="45" t="s">
        <v>681</v>
      </c>
      <c r="B109" s="30" t="s">
        <v>682</v>
      </c>
      <c r="C109" s="30" t="s">
        <v>677</v>
      </c>
      <c r="D109" s="32">
        <v>6</v>
      </c>
      <c r="E109" s="31">
        <v>42096</v>
      </c>
      <c r="F109" s="32" t="s">
        <v>569</v>
      </c>
      <c r="G109" s="32" t="s">
        <v>47</v>
      </c>
      <c r="H109" s="46"/>
      <c r="J109" s="45" t="s">
        <v>683</v>
      </c>
      <c r="K109" s="30" t="s">
        <v>684</v>
      </c>
      <c r="L109" s="30" t="s">
        <v>213</v>
      </c>
      <c r="M109" s="32">
        <v>18</v>
      </c>
      <c r="N109" s="31">
        <v>37974</v>
      </c>
      <c r="O109" s="32" t="s">
        <v>108</v>
      </c>
      <c r="P109" s="32" t="s">
        <v>10</v>
      </c>
      <c r="Q109" s="47"/>
    </row>
    <row r="110" spans="1:17">
      <c r="A110" s="45" t="s">
        <v>685</v>
      </c>
      <c r="B110" s="30" t="s">
        <v>686</v>
      </c>
      <c r="C110" s="30" t="s">
        <v>687</v>
      </c>
      <c r="D110" s="32">
        <v>6</v>
      </c>
      <c r="E110" s="31">
        <v>42058</v>
      </c>
      <c r="F110" s="32" t="s">
        <v>569</v>
      </c>
      <c r="G110" s="32" t="s">
        <v>47</v>
      </c>
      <c r="H110" s="46"/>
      <c r="J110" s="45" t="s">
        <v>688</v>
      </c>
      <c r="K110" s="30" t="s">
        <v>689</v>
      </c>
      <c r="L110" s="30" t="s">
        <v>690</v>
      </c>
      <c r="M110" s="32">
        <v>18</v>
      </c>
      <c r="N110" s="31">
        <v>37909</v>
      </c>
      <c r="O110" s="32" t="s">
        <v>108</v>
      </c>
      <c r="P110" s="32" t="s">
        <v>11</v>
      </c>
      <c r="Q110" s="47"/>
    </row>
    <row r="111" spans="1:17">
      <c r="A111" s="45" t="s">
        <v>691</v>
      </c>
      <c r="B111" s="30" t="s">
        <v>692</v>
      </c>
      <c r="C111" s="30" t="s">
        <v>693</v>
      </c>
      <c r="D111" s="32">
        <v>7</v>
      </c>
      <c r="E111" s="31">
        <v>41662</v>
      </c>
      <c r="F111" s="32" t="s">
        <v>569</v>
      </c>
      <c r="G111" s="32" t="s">
        <v>45</v>
      </c>
      <c r="H111" s="46"/>
      <c r="J111" s="45" t="s">
        <v>694</v>
      </c>
      <c r="K111" s="30" t="s">
        <v>695</v>
      </c>
      <c r="L111" s="30" t="s">
        <v>696</v>
      </c>
      <c r="M111" s="32">
        <v>44</v>
      </c>
      <c r="N111" s="31">
        <v>28259</v>
      </c>
      <c r="O111" s="32" t="s">
        <v>64</v>
      </c>
      <c r="P111" s="32" t="s">
        <v>12</v>
      </c>
      <c r="Q111" s="47"/>
    </row>
    <row r="112" spans="1:17">
      <c r="A112" s="45" t="s">
        <v>697</v>
      </c>
      <c r="B112" s="30" t="s">
        <v>698</v>
      </c>
      <c r="C112" s="30" t="s">
        <v>396</v>
      </c>
      <c r="D112" s="32">
        <v>6</v>
      </c>
      <c r="E112" s="31">
        <v>42249</v>
      </c>
      <c r="F112" s="32" t="s">
        <v>569</v>
      </c>
      <c r="G112" s="32" t="s">
        <v>47</v>
      </c>
      <c r="H112" s="46"/>
      <c r="J112" s="45" t="s">
        <v>699</v>
      </c>
      <c r="K112" s="30" t="s">
        <v>700</v>
      </c>
      <c r="L112" s="30" t="s">
        <v>701</v>
      </c>
      <c r="M112" s="32">
        <v>40</v>
      </c>
      <c r="N112" s="31">
        <v>29718</v>
      </c>
      <c r="O112" s="32" t="s">
        <v>64</v>
      </c>
      <c r="P112" s="32" t="s">
        <v>12</v>
      </c>
      <c r="Q112" s="47"/>
    </row>
    <row r="113" spans="1:17">
      <c r="A113" s="45" t="s">
        <v>702</v>
      </c>
      <c r="B113" s="30" t="s">
        <v>703</v>
      </c>
      <c r="C113" s="30" t="s">
        <v>704</v>
      </c>
      <c r="D113" s="32">
        <v>6</v>
      </c>
      <c r="E113" s="31">
        <v>42021</v>
      </c>
      <c r="F113" s="32" t="s">
        <v>569</v>
      </c>
      <c r="G113" s="32" t="s">
        <v>466</v>
      </c>
      <c r="H113" s="46"/>
      <c r="J113" s="45" t="s">
        <v>705</v>
      </c>
      <c r="K113" s="30" t="s">
        <v>706</v>
      </c>
      <c r="L113" s="30" t="s">
        <v>707</v>
      </c>
      <c r="M113" s="32">
        <v>52</v>
      </c>
      <c r="N113" s="31">
        <v>25227</v>
      </c>
      <c r="O113" s="32" t="s">
        <v>64</v>
      </c>
      <c r="P113" s="32" t="s">
        <v>12</v>
      </c>
      <c r="Q113" s="47"/>
    </row>
    <row r="114" spans="1:17">
      <c r="A114" s="45" t="s">
        <v>708</v>
      </c>
      <c r="B114" s="30" t="s">
        <v>461</v>
      </c>
      <c r="C114" s="30" t="s">
        <v>709</v>
      </c>
      <c r="D114" s="32">
        <v>7</v>
      </c>
      <c r="E114" s="31">
        <v>41692</v>
      </c>
      <c r="F114" s="32" t="s">
        <v>569</v>
      </c>
      <c r="G114" s="32" t="s">
        <v>45</v>
      </c>
      <c r="H114" s="46"/>
      <c r="J114" s="45" t="s">
        <v>710</v>
      </c>
      <c r="K114" s="30" t="s">
        <v>711</v>
      </c>
      <c r="L114" s="30" t="s">
        <v>712</v>
      </c>
      <c r="M114" s="32">
        <v>46</v>
      </c>
      <c r="N114" s="31">
        <v>27643</v>
      </c>
      <c r="O114" s="32" t="s">
        <v>64</v>
      </c>
      <c r="P114" s="32" t="s">
        <v>12</v>
      </c>
      <c r="Q114" s="47"/>
    </row>
    <row r="115" spans="1:17">
      <c r="A115" s="45" t="s">
        <v>713</v>
      </c>
      <c r="B115" s="30" t="s">
        <v>714</v>
      </c>
      <c r="C115" s="30" t="s">
        <v>715</v>
      </c>
      <c r="D115" s="32">
        <v>23</v>
      </c>
      <c r="E115" s="31">
        <v>36032</v>
      </c>
      <c r="F115" s="32" t="s">
        <v>64</v>
      </c>
      <c r="G115" s="32" t="s">
        <v>9</v>
      </c>
      <c r="H115" s="46"/>
      <c r="J115" s="45" t="s">
        <v>716</v>
      </c>
      <c r="K115" s="30" t="s">
        <v>717</v>
      </c>
      <c r="L115" s="30" t="s">
        <v>718</v>
      </c>
      <c r="M115" s="32">
        <v>38</v>
      </c>
      <c r="N115" s="31">
        <v>30397</v>
      </c>
      <c r="O115" s="32" t="s">
        <v>64</v>
      </c>
      <c r="P115" s="32" t="s">
        <v>12</v>
      </c>
      <c r="Q115" s="47"/>
    </row>
    <row r="116" spans="1:17">
      <c r="A116" s="45" t="s">
        <v>719</v>
      </c>
      <c r="B116" s="30" t="s">
        <v>720</v>
      </c>
      <c r="C116" s="30" t="s">
        <v>721</v>
      </c>
      <c r="D116" s="32">
        <v>19</v>
      </c>
      <c r="E116" s="31">
        <v>37333</v>
      </c>
      <c r="F116" s="32" t="s">
        <v>64</v>
      </c>
      <c r="G116" s="32" t="s">
        <v>466</v>
      </c>
      <c r="H116" s="46"/>
      <c r="J116" s="45" t="s">
        <v>722</v>
      </c>
      <c r="K116" s="30" t="s">
        <v>723</v>
      </c>
      <c r="L116" s="30" t="s">
        <v>724</v>
      </c>
      <c r="M116" s="32">
        <v>23</v>
      </c>
      <c r="N116" s="31">
        <v>35873</v>
      </c>
      <c r="O116" s="32" t="s">
        <v>64</v>
      </c>
      <c r="P116" s="32" t="s">
        <v>6</v>
      </c>
      <c r="Q116" s="47"/>
    </row>
    <row r="117" spans="1:17">
      <c r="A117" s="45" t="s">
        <v>725</v>
      </c>
      <c r="B117" s="30" t="s">
        <v>726</v>
      </c>
      <c r="C117" s="30" t="s">
        <v>727</v>
      </c>
      <c r="D117" s="32">
        <v>19</v>
      </c>
      <c r="E117" s="31">
        <v>37295</v>
      </c>
      <c r="F117" s="32" t="s">
        <v>64</v>
      </c>
      <c r="G117" s="32" t="s">
        <v>10</v>
      </c>
      <c r="H117" s="46"/>
      <c r="J117" s="45" t="s">
        <v>728</v>
      </c>
      <c r="K117" s="30" t="s">
        <v>729</v>
      </c>
      <c r="L117" s="30" t="s">
        <v>730</v>
      </c>
      <c r="M117" s="32">
        <v>23</v>
      </c>
      <c r="N117" s="31">
        <v>36077</v>
      </c>
      <c r="O117" s="32" t="s">
        <v>64</v>
      </c>
      <c r="P117" s="32" t="s">
        <v>5</v>
      </c>
      <c r="Q117" s="47"/>
    </row>
    <row r="118" spans="1:17">
      <c r="A118" s="45" t="s">
        <v>731</v>
      </c>
      <c r="B118" s="30" t="s">
        <v>732</v>
      </c>
      <c r="C118" s="30" t="s">
        <v>310</v>
      </c>
      <c r="D118" s="32">
        <v>21</v>
      </c>
      <c r="E118" s="31">
        <v>36865</v>
      </c>
      <c r="F118" s="32" t="s">
        <v>64</v>
      </c>
      <c r="G118" s="32" t="s">
        <v>10</v>
      </c>
      <c r="H118" s="46"/>
      <c r="J118" s="45" t="s">
        <v>733</v>
      </c>
      <c r="K118" s="30" t="s">
        <v>734</v>
      </c>
      <c r="L118" s="30" t="s">
        <v>86</v>
      </c>
      <c r="M118" s="32">
        <v>26</v>
      </c>
      <c r="N118" s="31">
        <v>34711</v>
      </c>
      <c r="O118" s="32" t="s">
        <v>64</v>
      </c>
      <c r="P118" s="32" t="s">
        <v>5</v>
      </c>
      <c r="Q118" s="47"/>
    </row>
    <row r="119" spans="1:17">
      <c r="A119" s="45" t="s">
        <v>735</v>
      </c>
      <c r="B119" s="30" t="s">
        <v>736</v>
      </c>
      <c r="C119" s="30" t="s">
        <v>737</v>
      </c>
      <c r="D119" s="32">
        <v>19</v>
      </c>
      <c r="E119" s="31">
        <v>37541</v>
      </c>
      <c r="F119" s="32" t="s">
        <v>64</v>
      </c>
      <c r="G119" s="32" t="s">
        <v>10</v>
      </c>
      <c r="H119" s="47"/>
      <c r="J119" s="45" t="s">
        <v>738</v>
      </c>
      <c r="K119" s="30" t="s">
        <v>739</v>
      </c>
      <c r="L119" s="30" t="s">
        <v>220</v>
      </c>
      <c r="M119" s="32">
        <v>21</v>
      </c>
      <c r="N119" s="31">
        <v>36567</v>
      </c>
      <c r="O119" s="32" t="s">
        <v>64</v>
      </c>
      <c r="P119" s="32" t="s">
        <v>6</v>
      </c>
      <c r="Q119" s="47"/>
    </row>
    <row r="120" spans="1:17">
      <c r="A120" s="45" t="s">
        <v>740</v>
      </c>
      <c r="B120" s="30" t="s">
        <v>741</v>
      </c>
      <c r="C120" s="30" t="s">
        <v>742</v>
      </c>
      <c r="D120" s="32">
        <v>22</v>
      </c>
      <c r="E120" s="31">
        <v>36385</v>
      </c>
      <c r="F120" s="32" t="s">
        <v>64</v>
      </c>
      <c r="G120" s="32" t="s">
        <v>10</v>
      </c>
      <c r="H120" s="46"/>
      <c r="J120" s="45" t="s">
        <v>743</v>
      </c>
      <c r="K120" s="30" t="s">
        <v>744</v>
      </c>
      <c r="L120" s="30" t="s">
        <v>220</v>
      </c>
      <c r="M120" s="32">
        <v>20</v>
      </c>
      <c r="N120" s="31">
        <v>37246</v>
      </c>
      <c r="O120" s="32" t="s">
        <v>64</v>
      </c>
      <c r="P120" s="32" t="s">
        <v>6</v>
      </c>
      <c r="Q120" s="47"/>
    </row>
    <row r="121" spans="1:17">
      <c r="A121" s="45" t="s">
        <v>745</v>
      </c>
      <c r="B121" s="30" t="s">
        <v>746</v>
      </c>
      <c r="C121" s="30" t="s">
        <v>747</v>
      </c>
      <c r="D121" s="32">
        <v>18</v>
      </c>
      <c r="E121" s="31">
        <v>37801</v>
      </c>
      <c r="F121" s="32" t="s">
        <v>108</v>
      </c>
      <c r="G121" s="32" t="s">
        <v>10</v>
      </c>
      <c r="H121" s="46"/>
      <c r="J121" s="45" t="s">
        <v>748</v>
      </c>
      <c r="K121" s="30" t="s">
        <v>749</v>
      </c>
      <c r="L121" s="30" t="s">
        <v>396</v>
      </c>
      <c r="M121" s="32">
        <v>25</v>
      </c>
      <c r="N121" s="31">
        <v>35246</v>
      </c>
      <c r="O121" s="32" t="s">
        <v>64</v>
      </c>
      <c r="P121" s="32" t="s">
        <v>6</v>
      </c>
      <c r="Q121" s="47"/>
    </row>
    <row r="122" spans="1:17">
      <c r="A122" s="45" t="s">
        <v>592</v>
      </c>
      <c r="B122" s="30" t="s">
        <v>750</v>
      </c>
      <c r="C122" s="30" t="s">
        <v>144</v>
      </c>
      <c r="D122" s="32">
        <v>19</v>
      </c>
      <c r="E122" s="31">
        <v>37269</v>
      </c>
      <c r="F122" s="32" t="s">
        <v>108</v>
      </c>
      <c r="G122" s="32" t="s">
        <v>11</v>
      </c>
      <c r="H122" s="46"/>
      <c r="J122" s="45" t="s">
        <v>751</v>
      </c>
      <c r="K122" s="30" t="s">
        <v>752</v>
      </c>
      <c r="L122" s="30" t="s">
        <v>753</v>
      </c>
      <c r="M122" s="32">
        <v>24</v>
      </c>
      <c r="N122" s="31">
        <v>35550</v>
      </c>
      <c r="O122" s="32" t="s">
        <v>64</v>
      </c>
      <c r="P122" s="32" t="s">
        <v>5</v>
      </c>
      <c r="Q122" s="47"/>
    </row>
    <row r="123" spans="1:17">
      <c r="A123" s="45" t="s">
        <v>754</v>
      </c>
      <c r="B123" s="30" t="s">
        <v>755</v>
      </c>
      <c r="C123" s="30" t="s">
        <v>756</v>
      </c>
      <c r="D123" s="32">
        <v>23</v>
      </c>
      <c r="E123" s="31">
        <v>36013</v>
      </c>
      <c r="F123" s="32" t="s">
        <v>64</v>
      </c>
      <c r="G123" s="32" t="s">
        <v>9</v>
      </c>
      <c r="H123" s="46"/>
      <c r="J123" s="45" t="s">
        <v>757</v>
      </c>
      <c r="K123" s="30" t="s">
        <v>758</v>
      </c>
      <c r="L123" s="30" t="s">
        <v>359</v>
      </c>
      <c r="M123" s="32">
        <v>31</v>
      </c>
      <c r="N123" s="31">
        <v>32952</v>
      </c>
      <c r="O123" s="32" t="s">
        <v>64</v>
      </c>
      <c r="P123" s="32" t="s">
        <v>5</v>
      </c>
      <c r="Q123" s="47"/>
    </row>
    <row r="124" spans="1:17">
      <c r="A124" s="45" t="s">
        <v>759</v>
      </c>
      <c r="B124" s="30" t="s">
        <v>760</v>
      </c>
      <c r="C124" s="30" t="s">
        <v>761</v>
      </c>
      <c r="D124" s="32">
        <v>19</v>
      </c>
      <c r="E124" s="31">
        <v>37324</v>
      </c>
      <c r="F124" s="32" t="s">
        <v>64</v>
      </c>
      <c r="G124" s="32" t="s">
        <v>11</v>
      </c>
      <c r="H124" s="46"/>
      <c r="J124" s="45" t="s">
        <v>762</v>
      </c>
      <c r="K124" s="30" t="s">
        <v>763</v>
      </c>
      <c r="L124" s="30" t="s">
        <v>764</v>
      </c>
      <c r="M124" s="32">
        <v>25</v>
      </c>
      <c r="N124" s="31">
        <v>35372</v>
      </c>
      <c r="O124" s="32" t="s">
        <v>64</v>
      </c>
      <c r="P124" s="32" t="s">
        <v>6</v>
      </c>
      <c r="Q124" s="47"/>
    </row>
    <row r="125" spans="1:17">
      <c r="A125" s="45" t="s">
        <v>765</v>
      </c>
      <c r="B125" s="30" t="s">
        <v>766</v>
      </c>
      <c r="C125" s="30" t="s">
        <v>767</v>
      </c>
      <c r="D125" s="32">
        <v>21</v>
      </c>
      <c r="E125" s="31">
        <v>36887</v>
      </c>
      <c r="F125" s="32" t="s">
        <v>64</v>
      </c>
      <c r="G125" s="32" t="s">
        <v>9</v>
      </c>
      <c r="H125" s="46"/>
      <c r="J125" s="45" t="s">
        <v>768</v>
      </c>
      <c r="K125" s="30" t="s">
        <v>769</v>
      </c>
      <c r="L125" s="30" t="s">
        <v>98</v>
      </c>
      <c r="M125" s="32">
        <v>30</v>
      </c>
      <c r="N125" s="31">
        <v>33241</v>
      </c>
      <c r="O125" s="32" t="s">
        <v>64</v>
      </c>
      <c r="P125" s="32" t="s">
        <v>6</v>
      </c>
      <c r="Q125" s="47"/>
    </row>
    <row r="126" spans="1:17">
      <c r="A126" s="45" t="s">
        <v>770</v>
      </c>
      <c r="B126" s="30" t="s">
        <v>771</v>
      </c>
      <c r="C126" s="30" t="s">
        <v>168</v>
      </c>
      <c r="D126" s="32">
        <v>20</v>
      </c>
      <c r="E126" s="31">
        <v>37224</v>
      </c>
      <c r="F126" s="32" t="s">
        <v>64</v>
      </c>
      <c r="G126" s="32" t="s">
        <v>9</v>
      </c>
      <c r="H126" s="46"/>
      <c r="J126" s="45" t="s">
        <v>772</v>
      </c>
      <c r="K126" s="30" t="s">
        <v>773</v>
      </c>
      <c r="L126" s="30" t="s">
        <v>774</v>
      </c>
      <c r="M126" s="32">
        <v>18</v>
      </c>
      <c r="N126" s="31">
        <v>37683</v>
      </c>
      <c r="O126" s="32" t="s">
        <v>108</v>
      </c>
      <c r="P126" s="32" t="s">
        <v>5</v>
      </c>
      <c r="Q126" s="47"/>
    </row>
    <row r="127" spans="1:17">
      <c r="A127" s="45" t="s">
        <v>775</v>
      </c>
      <c r="B127" s="30" t="s">
        <v>776</v>
      </c>
      <c r="C127" s="30" t="s">
        <v>777</v>
      </c>
      <c r="D127" s="32">
        <v>18</v>
      </c>
      <c r="E127" s="31">
        <v>37702</v>
      </c>
      <c r="F127" s="32" t="s">
        <v>108</v>
      </c>
      <c r="G127" s="32" t="s">
        <v>11</v>
      </c>
      <c r="H127" s="46"/>
      <c r="J127" s="45" t="s">
        <v>778</v>
      </c>
      <c r="K127" s="30" t="s">
        <v>779</v>
      </c>
      <c r="L127" s="30" t="s">
        <v>388</v>
      </c>
      <c r="M127" s="32">
        <v>25</v>
      </c>
      <c r="N127" s="31">
        <v>35270</v>
      </c>
      <c r="O127" s="32" t="s">
        <v>64</v>
      </c>
      <c r="P127" s="32" t="s">
        <v>65</v>
      </c>
      <c r="Q127" s="47"/>
    </row>
    <row r="128" spans="1:17">
      <c r="A128" s="45" t="s">
        <v>780</v>
      </c>
      <c r="B128" s="30" t="s">
        <v>781</v>
      </c>
      <c r="C128" s="30" t="s">
        <v>782</v>
      </c>
      <c r="D128" s="32">
        <v>20</v>
      </c>
      <c r="E128" s="31">
        <v>37104</v>
      </c>
      <c r="F128" s="32" t="s">
        <v>64</v>
      </c>
      <c r="G128" s="32" t="s">
        <v>11</v>
      </c>
      <c r="H128" s="46"/>
      <c r="J128" s="45" t="s">
        <v>783</v>
      </c>
      <c r="K128" s="30" t="s">
        <v>784</v>
      </c>
      <c r="L128" s="30" t="s">
        <v>618</v>
      </c>
      <c r="M128" s="32">
        <v>25</v>
      </c>
      <c r="N128" s="31">
        <v>35330</v>
      </c>
      <c r="O128" s="32" t="s">
        <v>64</v>
      </c>
      <c r="P128" s="32" t="s">
        <v>65</v>
      </c>
      <c r="Q128" s="47"/>
    </row>
    <row r="129" spans="1:17">
      <c r="A129" s="45" t="s">
        <v>785</v>
      </c>
      <c r="B129" s="30" t="s">
        <v>786</v>
      </c>
      <c r="C129" s="30" t="s">
        <v>787</v>
      </c>
      <c r="D129" s="32">
        <v>20</v>
      </c>
      <c r="E129" s="31">
        <v>37104</v>
      </c>
      <c r="F129" s="32" t="s">
        <v>64</v>
      </c>
      <c r="G129" s="32" t="s">
        <v>11</v>
      </c>
      <c r="H129" s="46"/>
      <c r="J129" s="45" t="s">
        <v>788</v>
      </c>
      <c r="K129" s="30" t="s">
        <v>789</v>
      </c>
      <c r="L129" s="30" t="s">
        <v>790</v>
      </c>
      <c r="M129" s="32">
        <v>31</v>
      </c>
      <c r="N129" s="31">
        <v>33100</v>
      </c>
      <c r="O129" s="32" t="s">
        <v>64</v>
      </c>
      <c r="P129" s="32" t="s">
        <v>7</v>
      </c>
      <c r="Q129" s="47"/>
    </row>
    <row r="130" spans="1:17">
      <c r="A130" s="45" t="s">
        <v>791</v>
      </c>
      <c r="B130" s="30" t="s">
        <v>792</v>
      </c>
      <c r="C130" s="30" t="s">
        <v>793</v>
      </c>
      <c r="D130" s="32">
        <v>4</v>
      </c>
      <c r="E130" s="31">
        <v>42943</v>
      </c>
      <c r="F130" s="32" t="s">
        <v>51</v>
      </c>
      <c r="G130" s="32" t="s">
        <v>51</v>
      </c>
      <c r="H130" s="46"/>
      <c r="J130" s="45" t="s">
        <v>794</v>
      </c>
      <c r="K130" s="30" t="s">
        <v>795</v>
      </c>
      <c r="L130" s="30" t="s">
        <v>730</v>
      </c>
      <c r="M130" s="32">
        <v>26</v>
      </c>
      <c r="N130" s="31">
        <v>34900</v>
      </c>
      <c r="O130" s="32" t="s">
        <v>64</v>
      </c>
      <c r="P130" s="32" t="s">
        <v>7</v>
      </c>
      <c r="Q130" s="47"/>
    </row>
    <row r="131" spans="1:17">
      <c r="A131" s="45" t="s">
        <v>796</v>
      </c>
      <c r="B131" s="30" t="s">
        <v>797</v>
      </c>
      <c r="C131" s="30" t="s">
        <v>798</v>
      </c>
      <c r="D131" s="32">
        <v>4</v>
      </c>
      <c r="E131" s="31">
        <v>42788</v>
      </c>
      <c r="F131" s="32" t="s">
        <v>51</v>
      </c>
      <c r="G131" s="32" t="s">
        <v>51</v>
      </c>
      <c r="H131" s="46"/>
      <c r="J131" s="45" t="s">
        <v>799</v>
      </c>
      <c r="K131" s="30" t="s">
        <v>800</v>
      </c>
      <c r="L131" s="30" t="s">
        <v>801</v>
      </c>
      <c r="M131" s="32">
        <v>25</v>
      </c>
      <c r="N131" s="31">
        <v>35145</v>
      </c>
      <c r="O131" s="32" t="s">
        <v>64</v>
      </c>
      <c r="P131" s="32" t="s">
        <v>7</v>
      </c>
      <c r="Q131" s="47"/>
    </row>
    <row r="132" spans="1:17">
      <c r="A132" s="45" t="s">
        <v>802</v>
      </c>
      <c r="B132" s="30" t="s">
        <v>803</v>
      </c>
      <c r="C132" s="30" t="s">
        <v>804</v>
      </c>
      <c r="D132" s="32">
        <v>4</v>
      </c>
      <c r="E132" s="31">
        <v>43083</v>
      </c>
      <c r="F132" s="32" t="s">
        <v>51</v>
      </c>
      <c r="G132" s="32" t="s">
        <v>51</v>
      </c>
      <c r="H132" s="46"/>
      <c r="J132" s="45" t="s">
        <v>805</v>
      </c>
      <c r="K132" s="30" t="s">
        <v>806</v>
      </c>
      <c r="L132" s="30" t="s">
        <v>490</v>
      </c>
      <c r="M132" s="32">
        <v>33</v>
      </c>
      <c r="N132" s="31">
        <v>32357</v>
      </c>
      <c r="O132" s="32" t="s">
        <v>64</v>
      </c>
      <c r="P132" s="32" t="s">
        <v>7</v>
      </c>
      <c r="Q132" s="47"/>
    </row>
    <row r="133" spans="1:17">
      <c r="A133" s="45" t="s">
        <v>807</v>
      </c>
      <c r="B133" s="30" t="s">
        <v>808</v>
      </c>
      <c r="C133" s="30" t="s">
        <v>809</v>
      </c>
      <c r="D133" s="32">
        <v>40</v>
      </c>
      <c r="E133" s="31">
        <v>29885</v>
      </c>
      <c r="F133" s="32" t="s">
        <v>64</v>
      </c>
      <c r="G133" s="32" t="s">
        <v>12</v>
      </c>
      <c r="H133" s="46"/>
      <c r="J133" s="45" t="s">
        <v>810</v>
      </c>
      <c r="K133" s="30" t="s">
        <v>811</v>
      </c>
      <c r="L133" s="30" t="s">
        <v>812</v>
      </c>
      <c r="M133" s="32">
        <v>37</v>
      </c>
      <c r="N133" s="31">
        <v>30994</v>
      </c>
      <c r="O133" s="32" t="s">
        <v>64</v>
      </c>
      <c r="P133" s="32" t="s">
        <v>7</v>
      </c>
      <c r="Q133" s="47"/>
    </row>
    <row r="134" spans="1:17">
      <c r="A134" s="45" t="s">
        <v>813</v>
      </c>
      <c r="B134" s="30" t="s">
        <v>814</v>
      </c>
      <c r="C134" s="30" t="s">
        <v>815</v>
      </c>
      <c r="D134" s="32">
        <v>42</v>
      </c>
      <c r="E134" s="31">
        <v>28948</v>
      </c>
      <c r="F134" s="32" t="s">
        <v>64</v>
      </c>
      <c r="G134" s="32" t="s">
        <v>12</v>
      </c>
      <c r="H134" s="46"/>
      <c r="J134" s="45" t="s">
        <v>816</v>
      </c>
      <c r="K134" s="30" t="s">
        <v>817</v>
      </c>
      <c r="L134" s="30" t="s">
        <v>818</v>
      </c>
      <c r="M134" s="32">
        <v>46</v>
      </c>
      <c r="N134" s="31">
        <v>27506</v>
      </c>
      <c r="O134" s="32" t="s">
        <v>64</v>
      </c>
      <c r="P134" s="32" t="s">
        <v>8</v>
      </c>
      <c r="Q134" s="47"/>
    </row>
    <row r="135" spans="1:17">
      <c r="A135" s="45" t="s">
        <v>819</v>
      </c>
      <c r="B135" s="30" t="s">
        <v>820</v>
      </c>
      <c r="C135" s="30" t="s">
        <v>821</v>
      </c>
      <c r="D135" s="32">
        <v>33</v>
      </c>
      <c r="E135" s="31">
        <v>32197</v>
      </c>
      <c r="F135" s="32" t="s">
        <v>64</v>
      </c>
      <c r="G135" s="32" t="s">
        <v>12</v>
      </c>
      <c r="H135" s="46"/>
      <c r="J135" s="45" t="s">
        <v>822</v>
      </c>
      <c r="K135" s="30" t="s">
        <v>823</v>
      </c>
      <c r="L135" s="30" t="s">
        <v>824</v>
      </c>
      <c r="M135" s="32">
        <v>31</v>
      </c>
      <c r="N135" s="31">
        <v>33019</v>
      </c>
      <c r="O135" s="32" t="s">
        <v>64</v>
      </c>
      <c r="P135" s="32" t="s">
        <v>8</v>
      </c>
      <c r="Q135" s="47"/>
    </row>
    <row r="136" spans="1:17">
      <c r="A136" s="45" t="s">
        <v>825</v>
      </c>
      <c r="B136" s="30" t="s">
        <v>826</v>
      </c>
      <c r="C136" s="30" t="s">
        <v>827</v>
      </c>
      <c r="D136" s="32">
        <v>36</v>
      </c>
      <c r="E136" s="31">
        <v>31086</v>
      </c>
      <c r="F136" s="32" t="s">
        <v>64</v>
      </c>
      <c r="G136" s="32" t="s">
        <v>12</v>
      </c>
      <c r="H136" s="46"/>
      <c r="J136" s="45" t="s">
        <v>828</v>
      </c>
      <c r="K136" s="30" t="s">
        <v>829</v>
      </c>
      <c r="L136" s="30" t="s">
        <v>74</v>
      </c>
      <c r="M136" s="32">
        <v>31</v>
      </c>
      <c r="N136" s="31">
        <v>33058</v>
      </c>
      <c r="O136" s="32" t="s">
        <v>64</v>
      </c>
      <c r="P136" s="32" t="s">
        <v>8</v>
      </c>
      <c r="Q136" s="47"/>
    </row>
    <row r="137" spans="1:17">
      <c r="A137" s="45" t="s">
        <v>830</v>
      </c>
      <c r="B137" s="30" t="s">
        <v>831</v>
      </c>
      <c r="C137" s="30" t="s">
        <v>832</v>
      </c>
      <c r="D137" s="32">
        <v>47</v>
      </c>
      <c r="E137" s="31">
        <v>27135</v>
      </c>
      <c r="F137" s="32" t="s">
        <v>64</v>
      </c>
      <c r="G137" s="32" t="s">
        <v>12</v>
      </c>
      <c r="H137" s="46"/>
      <c r="J137" s="45" t="s">
        <v>833</v>
      </c>
      <c r="K137" s="30" t="s">
        <v>834</v>
      </c>
      <c r="L137" s="30" t="s">
        <v>835</v>
      </c>
      <c r="M137" s="32">
        <v>41</v>
      </c>
      <c r="N137" s="31">
        <v>29340</v>
      </c>
      <c r="O137" s="32" t="s">
        <v>64</v>
      </c>
      <c r="P137" s="32" t="s">
        <v>8</v>
      </c>
      <c r="Q137" s="47"/>
    </row>
    <row r="138" spans="1:17">
      <c r="A138" s="45" t="s">
        <v>836</v>
      </c>
      <c r="B138" s="30" t="s">
        <v>837</v>
      </c>
      <c r="C138" s="30" t="s">
        <v>838</v>
      </c>
      <c r="D138" s="32">
        <v>44</v>
      </c>
      <c r="E138" s="31">
        <v>28329</v>
      </c>
      <c r="F138" s="32" t="s">
        <v>64</v>
      </c>
      <c r="G138" s="32" t="s">
        <v>12</v>
      </c>
      <c r="H138" s="46"/>
      <c r="J138" s="45" t="s">
        <v>839</v>
      </c>
      <c r="K138" s="30" t="s">
        <v>840</v>
      </c>
      <c r="L138" s="30" t="s">
        <v>841</v>
      </c>
      <c r="M138" s="32">
        <v>41</v>
      </c>
      <c r="N138" s="31">
        <v>29523</v>
      </c>
      <c r="O138" s="32" t="s">
        <v>64</v>
      </c>
      <c r="P138" s="32" t="s">
        <v>8</v>
      </c>
      <c r="Q138" s="47"/>
    </row>
    <row r="139" spans="1:17">
      <c r="A139" s="45" t="s">
        <v>842</v>
      </c>
      <c r="B139" s="30" t="s">
        <v>843</v>
      </c>
      <c r="C139" s="30" t="s">
        <v>844</v>
      </c>
      <c r="D139" s="32">
        <v>22</v>
      </c>
      <c r="E139" s="31">
        <v>36460</v>
      </c>
      <c r="F139" s="32" t="s">
        <v>64</v>
      </c>
      <c r="G139" s="32" t="s">
        <v>5</v>
      </c>
      <c r="H139" s="46"/>
      <c r="J139" s="45" t="s">
        <v>845</v>
      </c>
      <c r="K139" s="30" t="s">
        <v>846</v>
      </c>
      <c r="L139" s="30" t="s">
        <v>730</v>
      </c>
      <c r="M139" s="32">
        <v>42</v>
      </c>
      <c r="N139" s="31">
        <v>29031</v>
      </c>
      <c r="O139" s="32" t="s">
        <v>64</v>
      </c>
      <c r="P139" s="32" t="s">
        <v>8</v>
      </c>
      <c r="Q139" s="47"/>
    </row>
    <row r="140" spans="1:17">
      <c r="A140" s="45" t="s">
        <v>847</v>
      </c>
      <c r="B140" s="30" t="s">
        <v>848</v>
      </c>
      <c r="C140" s="30" t="s">
        <v>414</v>
      </c>
      <c r="D140" s="32">
        <v>20</v>
      </c>
      <c r="E140" s="31">
        <v>36938</v>
      </c>
      <c r="F140" s="32" t="s">
        <v>64</v>
      </c>
      <c r="G140" s="32" t="s">
        <v>6</v>
      </c>
      <c r="H140" s="46"/>
      <c r="J140" s="45" t="s">
        <v>849</v>
      </c>
      <c r="K140" s="30" t="s">
        <v>850</v>
      </c>
      <c r="L140" s="30" t="s">
        <v>851</v>
      </c>
      <c r="M140" s="32">
        <v>20</v>
      </c>
      <c r="N140" s="31">
        <v>37170</v>
      </c>
      <c r="O140" s="32" t="s">
        <v>64</v>
      </c>
      <c r="P140" s="32" t="s">
        <v>466</v>
      </c>
      <c r="Q140" s="47"/>
    </row>
    <row r="141" spans="1:17">
      <c r="A141" s="45" t="s">
        <v>852</v>
      </c>
      <c r="B141" s="30" t="s">
        <v>853</v>
      </c>
      <c r="C141" s="30" t="s">
        <v>396</v>
      </c>
      <c r="D141" s="32">
        <v>23</v>
      </c>
      <c r="E141" s="31">
        <v>36111</v>
      </c>
      <c r="F141" s="32" t="s">
        <v>64</v>
      </c>
      <c r="G141" s="32" t="s">
        <v>5</v>
      </c>
      <c r="H141" s="46"/>
      <c r="J141" s="45" t="s">
        <v>854</v>
      </c>
      <c r="K141" s="30" t="s">
        <v>855</v>
      </c>
      <c r="L141" s="30" t="s">
        <v>388</v>
      </c>
      <c r="M141" s="32">
        <v>18</v>
      </c>
      <c r="N141" s="31">
        <v>37823</v>
      </c>
      <c r="O141" s="32" t="s">
        <v>108</v>
      </c>
      <c r="P141" s="32" t="s">
        <v>466</v>
      </c>
      <c r="Q141" s="47"/>
    </row>
    <row r="142" spans="1:17">
      <c r="A142" s="45" t="s">
        <v>856</v>
      </c>
      <c r="B142" s="30" t="s">
        <v>857</v>
      </c>
      <c r="C142" s="30" t="s">
        <v>858</v>
      </c>
      <c r="D142" s="32">
        <v>26</v>
      </c>
      <c r="E142" s="31">
        <v>34885</v>
      </c>
      <c r="F142" s="32" t="s">
        <v>64</v>
      </c>
      <c r="G142" s="32" t="s">
        <v>5</v>
      </c>
      <c r="H142" s="46"/>
      <c r="J142" s="45" t="s">
        <v>859</v>
      </c>
      <c r="K142" s="30" t="s">
        <v>860</v>
      </c>
      <c r="L142" s="30" t="s">
        <v>861</v>
      </c>
      <c r="M142" s="32">
        <v>8</v>
      </c>
      <c r="N142" s="31">
        <v>41412</v>
      </c>
      <c r="O142" s="32" t="s">
        <v>501</v>
      </c>
      <c r="P142" s="32" t="s">
        <v>466</v>
      </c>
      <c r="Q142" s="47"/>
    </row>
    <row r="143" spans="1:17">
      <c r="A143" s="45" t="s">
        <v>862</v>
      </c>
      <c r="B143" s="30" t="s">
        <v>773</v>
      </c>
      <c r="C143" s="30" t="s">
        <v>863</v>
      </c>
      <c r="D143" s="32">
        <v>19</v>
      </c>
      <c r="E143" s="31">
        <v>37307</v>
      </c>
      <c r="F143" s="32" t="s">
        <v>64</v>
      </c>
      <c r="G143" s="32" t="s">
        <v>6</v>
      </c>
      <c r="H143" s="46"/>
      <c r="J143" s="45" t="s">
        <v>864</v>
      </c>
      <c r="K143" s="30" t="s">
        <v>865</v>
      </c>
      <c r="L143" s="30" t="s">
        <v>866</v>
      </c>
      <c r="M143" s="32">
        <v>11</v>
      </c>
      <c r="N143" s="31">
        <v>40291</v>
      </c>
      <c r="O143" s="32" t="s">
        <v>403</v>
      </c>
      <c r="P143" s="32" t="s">
        <v>466</v>
      </c>
      <c r="Q143" s="47"/>
    </row>
    <row r="144" spans="1:17">
      <c r="A144" s="45" t="s">
        <v>867</v>
      </c>
      <c r="B144" s="30" t="s">
        <v>868</v>
      </c>
      <c r="C144" s="30" t="s">
        <v>257</v>
      </c>
      <c r="D144" s="32">
        <v>22</v>
      </c>
      <c r="E144" s="31">
        <v>36432</v>
      </c>
      <c r="F144" s="32" t="s">
        <v>64</v>
      </c>
      <c r="G144" s="32" t="s">
        <v>6</v>
      </c>
      <c r="H144" s="46"/>
      <c r="J144" s="45" t="s">
        <v>869</v>
      </c>
      <c r="K144" s="30" t="s">
        <v>870</v>
      </c>
      <c r="L144" s="30" t="s">
        <v>871</v>
      </c>
      <c r="M144" s="32">
        <v>31</v>
      </c>
      <c r="N144" s="31">
        <v>33052</v>
      </c>
      <c r="O144" s="32" t="s">
        <v>64</v>
      </c>
      <c r="P144" s="32" t="s">
        <v>466</v>
      </c>
      <c r="Q144" s="47"/>
    </row>
    <row r="145" spans="1:17">
      <c r="A145" s="45" t="s">
        <v>872</v>
      </c>
      <c r="B145" s="30" t="s">
        <v>873</v>
      </c>
      <c r="C145" s="30" t="s">
        <v>874</v>
      </c>
      <c r="D145" s="32">
        <v>20</v>
      </c>
      <c r="E145" s="31">
        <v>37246</v>
      </c>
      <c r="F145" s="32" t="s">
        <v>64</v>
      </c>
      <c r="G145" s="32" t="s">
        <v>5</v>
      </c>
      <c r="H145" s="46"/>
      <c r="J145" s="45" t="s">
        <v>875</v>
      </c>
      <c r="K145" s="30" t="s">
        <v>876</v>
      </c>
      <c r="L145" s="30" t="s">
        <v>877</v>
      </c>
      <c r="M145" s="32">
        <v>21</v>
      </c>
      <c r="N145" s="31">
        <v>36588</v>
      </c>
      <c r="O145" s="32" t="s">
        <v>64</v>
      </c>
      <c r="P145" s="32" t="s">
        <v>466</v>
      </c>
      <c r="Q145" s="47"/>
    </row>
    <row r="146" spans="1:17">
      <c r="A146" s="45" t="s">
        <v>878</v>
      </c>
      <c r="B146" s="30" t="s">
        <v>879</v>
      </c>
      <c r="C146" s="30" t="s">
        <v>538</v>
      </c>
      <c r="D146" s="32">
        <v>19</v>
      </c>
      <c r="E146" s="31">
        <v>37551</v>
      </c>
      <c r="F146" s="32" t="s">
        <v>64</v>
      </c>
      <c r="G146" s="32" t="s">
        <v>6</v>
      </c>
      <c r="H146" s="46"/>
      <c r="J146" s="45" t="s">
        <v>880</v>
      </c>
      <c r="K146" s="30" t="s">
        <v>881</v>
      </c>
      <c r="L146" s="30" t="s">
        <v>882</v>
      </c>
      <c r="M146" s="32">
        <v>21</v>
      </c>
      <c r="N146" s="31">
        <v>36843</v>
      </c>
      <c r="O146" s="32" t="s">
        <v>64</v>
      </c>
      <c r="P146" s="32" t="s">
        <v>466</v>
      </c>
      <c r="Q146" s="47"/>
    </row>
    <row r="147" spans="1:17">
      <c r="A147" s="45" t="s">
        <v>883</v>
      </c>
      <c r="B147" s="30" t="s">
        <v>884</v>
      </c>
      <c r="C147" s="30" t="s">
        <v>885</v>
      </c>
      <c r="D147" s="32">
        <v>27</v>
      </c>
      <c r="E147" s="31">
        <v>34650</v>
      </c>
      <c r="F147" s="32" t="s">
        <v>64</v>
      </c>
      <c r="G147" s="32" t="s">
        <v>5</v>
      </c>
      <c r="H147" s="46"/>
      <c r="J147" s="45" t="s">
        <v>886</v>
      </c>
      <c r="K147" s="30" t="s">
        <v>887</v>
      </c>
      <c r="L147" s="30" t="s">
        <v>888</v>
      </c>
      <c r="M147" s="32">
        <v>6</v>
      </c>
      <c r="N147" s="31">
        <v>42091</v>
      </c>
      <c r="O147" s="32" t="s">
        <v>569</v>
      </c>
      <c r="P147" s="32" t="s">
        <v>466</v>
      </c>
      <c r="Q147" s="47"/>
    </row>
    <row r="148" spans="1:17">
      <c r="A148" s="45" t="s">
        <v>889</v>
      </c>
      <c r="B148" s="30" t="s">
        <v>890</v>
      </c>
      <c r="C148" s="30" t="s">
        <v>891</v>
      </c>
      <c r="D148" s="32">
        <v>23</v>
      </c>
      <c r="E148" s="31">
        <v>36011</v>
      </c>
      <c r="F148" s="32" t="s">
        <v>64</v>
      </c>
      <c r="G148" s="32" t="s">
        <v>6</v>
      </c>
      <c r="H148" s="46"/>
      <c r="J148" s="45" t="s">
        <v>892</v>
      </c>
      <c r="K148" s="30" t="s">
        <v>893</v>
      </c>
      <c r="L148" s="30" t="s">
        <v>894</v>
      </c>
      <c r="M148" s="32">
        <v>15</v>
      </c>
      <c r="N148" s="31">
        <v>38835</v>
      </c>
      <c r="O148" s="32" t="s">
        <v>217</v>
      </c>
      <c r="P148" s="32" t="s">
        <v>466</v>
      </c>
      <c r="Q148" s="47"/>
    </row>
    <row r="149" spans="1:17">
      <c r="A149" s="45" t="s">
        <v>895</v>
      </c>
      <c r="B149" s="30" t="s">
        <v>896</v>
      </c>
      <c r="C149" s="30" t="s">
        <v>204</v>
      </c>
      <c r="D149" s="32">
        <v>20</v>
      </c>
      <c r="E149" s="31">
        <v>37091</v>
      </c>
      <c r="F149" s="32" t="s">
        <v>64</v>
      </c>
      <c r="G149" s="32" t="s">
        <v>65</v>
      </c>
      <c r="H149" s="46"/>
      <c r="J149" s="45" t="s">
        <v>897</v>
      </c>
      <c r="K149" s="30" t="s">
        <v>898</v>
      </c>
      <c r="L149" s="30" t="s">
        <v>899</v>
      </c>
      <c r="M149" s="32">
        <v>17</v>
      </c>
      <c r="N149" s="31">
        <v>38317</v>
      </c>
      <c r="O149" s="32" t="s">
        <v>108</v>
      </c>
      <c r="P149" s="32" t="s">
        <v>466</v>
      </c>
      <c r="Q149" s="47"/>
    </row>
    <row r="150" spans="1:17">
      <c r="A150" s="45" t="s">
        <v>900</v>
      </c>
      <c r="B150" s="30" t="s">
        <v>901</v>
      </c>
      <c r="C150" s="30" t="s">
        <v>655</v>
      </c>
      <c r="D150" s="32">
        <v>25</v>
      </c>
      <c r="E150" s="31">
        <v>35337</v>
      </c>
      <c r="F150" s="32" t="s">
        <v>64</v>
      </c>
      <c r="G150" s="32" t="s">
        <v>7</v>
      </c>
      <c r="H150" s="46"/>
      <c r="J150" s="45" t="s">
        <v>902</v>
      </c>
      <c r="K150" s="30" t="s">
        <v>903</v>
      </c>
      <c r="L150" s="30" t="s">
        <v>519</v>
      </c>
      <c r="M150" s="32">
        <v>11</v>
      </c>
      <c r="N150" s="31">
        <v>40405</v>
      </c>
      <c r="O150" s="32" t="s">
        <v>403</v>
      </c>
      <c r="P150" s="32" t="s">
        <v>466</v>
      </c>
      <c r="Q150" s="47"/>
    </row>
    <row r="151" spans="1:17">
      <c r="A151" s="45" t="s">
        <v>904</v>
      </c>
      <c r="B151" s="30" t="s">
        <v>905</v>
      </c>
      <c r="C151" s="30" t="s">
        <v>906</v>
      </c>
      <c r="D151" s="32">
        <v>29</v>
      </c>
      <c r="E151" s="31">
        <v>33696</v>
      </c>
      <c r="F151" s="32" t="s">
        <v>64</v>
      </c>
      <c r="G151" s="32" t="s">
        <v>7</v>
      </c>
      <c r="H151" s="46"/>
      <c r="J151" s="45" t="s">
        <v>907</v>
      </c>
      <c r="K151" s="30" t="s">
        <v>908</v>
      </c>
      <c r="L151" s="30" t="s">
        <v>909</v>
      </c>
      <c r="M151" s="32">
        <v>14</v>
      </c>
      <c r="N151" s="31">
        <v>39414</v>
      </c>
      <c r="O151" s="32" t="s">
        <v>217</v>
      </c>
      <c r="P151" s="32" t="s">
        <v>466</v>
      </c>
      <c r="Q151" s="47"/>
    </row>
    <row r="152" spans="1:17">
      <c r="A152" s="45" t="s">
        <v>910</v>
      </c>
      <c r="B152" s="30" t="s">
        <v>911</v>
      </c>
      <c r="C152" s="30" t="s">
        <v>912</v>
      </c>
      <c r="D152" s="32">
        <v>34</v>
      </c>
      <c r="E152" s="31">
        <v>32050</v>
      </c>
      <c r="F152" s="32" t="s">
        <v>64</v>
      </c>
      <c r="G152" s="32" t="s">
        <v>65</v>
      </c>
      <c r="H152" s="46"/>
      <c r="J152" s="45" t="s">
        <v>913</v>
      </c>
      <c r="K152" s="30" t="s">
        <v>914</v>
      </c>
      <c r="L152" s="30" t="s">
        <v>915</v>
      </c>
      <c r="M152" s="32">
        <v>10</v>
      </c>
      <c r="N152" s="31">
        <v>40869</v>
      </c>
      <c r="O152" s="32" t="s">
        <v>501</v>
      </c>
      <c r="P152" s="32" t="s">
        <v>466</v>
      </c>
      <c r="Q152" s="47"/>
    </row>
    <row r="153" spans="1:17">
      <c r="A153" s="45" t="s">
        <v>916</v>
      </c>
      <c r="B153" s="30" t="s">
        <v>917</v>
      </c>
      <c r="C153" s="30" t="s">
        <v>257</v>
      </c>
      <c r="D153" s="32">
        <v>29</v>
      </c>
      <c r="E153" s="31">
        <v>33828</v>
      </c>
      <c r="F153" s="32" t="s">
        <v>64</v>
      </c>
      <c r="G153" s="32" t="s">
        <v>7</v>
      </c>
      <c r="H153" s="46"/>
      <c r="J153" s="45" t="s">
        <v>918</v>
      </c>
      <c r="K153" s="30" t="s">
        <v>919</v>
      </c>
      <c r="L153" s="30" t="s">
        <v>920</v>
      </c>
      <c r="M153" s="32">
        <v>10</v>
      </c>
      <c r="N153" s="31">
        <v>40603</v>
      </c>
      <c r="O153" s="32" t="s">
        <v>403</v>
      </c>
      <c r="P153" s="32" t="s">
        <v>921</v>
      </c>
      <c r="Q153" s="47"/>
    </row>
    <row r="154" spans="1:17">
      <c r="A154" s="45" t="s">
        <v>922</v>
      </c>
      <c r="B154" s="30" t="s">
        <v>923</v>
      </c>
      <c r="C154" s="30" t="s">
        <v>396</v>
      </c>
      <c r="D154" s="32">
        <v>25</v>
      </c>
      <c r="E154" s="31">
        <v>35195</v>
      </c>
      <c r="F154" s="32" t="s">
        <v>64</v>
      </c>
      <c r="G154" s="32" t="s">
        <v>7</v>
      </c>
      <c r="H154" s="46"/>
      <c r="J154" s="45" t="s">
        <v>924</v>
      </c>
      <c r="K154" s="30" t="s">
        <v>925</v>
      </c>
      <c r="L154" s="30" t="s">
        <v>926</v>
      </c>
      <c r="M154" s="32">
        <v>21</v>
      </c>
      <c r="N154" s="31">
        <v>36664</v>
      </c>
      <c r="O154" s="32" t="s">
        <v>64</v>
      </c>
      <c r="P154" s="32" t="s">
        <v>466</v>
      </c>
      <c r="Q154" s="47"/>
    </row>
    <row r="155" spans="1:17">
      <c r="A155" s="45" t="s">
        <v>927</v>
      </c>
      <c r="B155" s="30" t="s">
        <v>928</v>
      </c>
      <c r="C155" s="30" t="s">
        <v>929</v>
      </c>
      <c r="D155" s="32">
        <v>38</v>
      </c>
      <c r="E155" s="31">
        <v>30573</v>
      </c>
      <c r="F155" s="32" t="s">
        <v>64</v>
      </c>
      <c r="G155" s="32" t="s">
        <v>8</v>
      </c>
      <c r="H155" s="46"/>
      <c r="J155" s="45" t="s">
        <v>930</v>
      </c>
      <c r="K155" s="30" t="s">
        <v>931</v>
      </c>
      <c r="L155" s="30" t="s">
        <v>541</v>
      </c>
      <c r="M155" s="32">
        <v>7</v>
      </c>
      <c r="N155" s="31">
        <v>41760</v>
      </c>
      <c r="O155" s="32" t="s">
        <v>569</v>
      </c>
      <c r="P155" s="32" t="s">
        <v>47</v>
      </c>
      <c r="Q155" s="47"/>
    </row>
    <row r="156" spans="1:17">
      <c r="A156" s="45" t="s">
        <v>932</v>
      </c>
      <c r="B156" s="30" t="s">
        <v>933</v>
      </c>
      <c r="C156" s="30" t="s">
        <v>934</v>
      </c>
      <c r="D156" s="32">
        <v>36</v>
      </c>
      <c r="E156" s="31">
        <v>31209</v>
      </c>
      <c r="F156" s="32" t="s">
        <v>64</v>
      </c>
      <c r="G156" s="32" t="s">
        <v>8</v>
      </c>
      <c r="H156" s="46"/>
      <c r="J156" s="45" t="s">
        <v>935</v>
      </c>
      <c r="K156" s="30" t="s">
        <v>936</v>
      </c>
      <c r="L156" s="30" t="s">
        <v>937</v>
      </c>
      <c r="M156" s="32">
        <v>7</v>
      </c>
      <c r="N156" s="31">
        <v>41760</v>
      </c>
      <c r="O156" s="32" t="s">
        <v>569</v>
      </c>
      <c r="P156" s="32" t="s">
        <v>47</v>
      </c>
      <c r="Q156" s="47"/>
    </row>
    <row r="157" spans="1:17">
      <c r="A157" s="45" t="s">
        <v>938</v>
      </c>
      <c r="B157" s="30" t="s">
        <v>939</v>
      </c>
      <c r="C157" s="30" t="s">
        <v>940</v>
      </c>
      <c r="D157" s="32">
        <v>34</v>
      </c>
      <c r="E157" s="31">
        <v>32119</v>
      </c>
      <c r="F157" s="32" t="s">
        <v>64</v>
      </c>
      <c r="G157" s="32" t="s">
        <v>8</v>
      </c>
      <c r="H157" s="46"/>
      <c r="J157" s="45" t="s">
        <v>941</v>
      </c>
      <c r="K157" s="30" t="s">
        <v>942</v>
      </c>
      <c r="L157" s="30" t="s">
        <v>434</v>
      </c>
      <c r="M157" s="32">
        <v>6</v>
      </c>
      <c r="N157" s="31">
        <v>42040</v>
      </c>
      <c r="O157" s="32" t="s">
        <v>569</v>
      </c>
      <c r="P157" s="32" t="s">
        <v>47</v>
      </c>
      <c r="Q157" s="47"/>
    </row>
    <row r="158" spans="1:17">
      <c r="A158" s="45" t="s">
        <v>943</v>
      </c>
      <c r="B158" s="30" t="s">
        <v>944</v>
      </c>
      <c r="C158" s="30" t="s">
        <v>63</v>
      </c>
      <c r="D158" s="32">
        <v>35</v>
      </c>
      <c r="E158" s="31">
        <v>31732</v>
      </c>
      <c r="F158" s="32" t="s">
        <v>64</v>
      </c>
      <c r="G158" s="32" t="s">
        <v>8</v>
      </c>
      <c r="H158" s="46"/>
      <c r="J158" s="45" t="s">
        <v>945</v>
      </c>
      <c r="K158" s="30" t="s">
        <v>946</v>
      </c>
      <c r="L158" s="30" t="s">
        <v>947</v>
      </c>
      <c r="M158" s="32">
        <v>8</v>
      </c>
      <c r="N158" s="31">
        <v>41282</v>
      </c>
      <c r="O158" s="32" t="s">
        <v>501</v>
      </c>
      <c r="P158" s="32" t="s">
        <v>39</v>
      </c>
      <c r="Q158" s="47"/>
    </row>
    <row r="159" spans="1:17">
      <c r="A159" s="45" t="s">
        <v>948</v>
      </c>
      <c r="B159" s="30" t="s">
        <v>949</v>
      </c>
      <c r="C159" s="30" t="s">
        <v>655</v>
      </c>
      <c r="D159" s="32">
        <v>29</v>
      </c>
      <c r="E159" s="31">
        <v>33690</v>
      </c>
      <c r="F159" s="32" t="s">
        <v>64</v>
      </c>
      <c r="G159" s="32" t="s">
        <v>8</v>
      </c>
      <c r="H159" s="46"/>
      <c r="J159" s="49" t="s">
        <v>950</v>
      </c>
      <c r="K159" s="50" t="s">
        <v>951</v>
      </c>
      <c r="L159" s="50" t="s">
        <v>952</v>
      </c>
      <c r="M159" s="51">
        <v>7</v>
      </c>
      <c r="N159" s="52">
        <v>41662</v>
      </c>
      <c r="O159" s="51" t="s">
        <v>569</v>
      </c>
      <c r="P159" s="51" t="s">
        <v>47</v>
      </c>
      <c r="Q159" s="55"/>
    </row>
    <row r="160" spans="1:17">
      <c r="A160" s="45" t="s">
        <v>953</v>
      </c>
      <c r="B160" s="30" t="s">
        <v>954</v>
      </c>
      <c r="C160" s="30" t="s">
        <v>955</v>
      </c>
      <c r="D160" s="32">
        <v>13</v>
      </c>
      <c r="E160" s="31">
        <v>39637</v>
      </c>
      <c r="F160" s="32" t="s">
        <v>288</v>
      </c>
      <c r="G160" s="32" t="s">
        <v>466</v>
      </c>
      <c r="H160" s="46"/>
      <c r="J160" s="49" t="s">
        <v>956</v>
      </c>
      <c r="K160" s="50" t="s">
        <v>957</v>
      </c>
      <c r="L160" s="50" t="s">
        <v>80</v>
      </c>
      <c r="M160" s="51">
        <v>25</v>
      </c>
      <c r="N160" s="52">
        <v>35231</v>
      </c>
      <c r="O160" s="51" t="s">
        <v>64</v>
      </c>
      <c r="P160" s="51" t="s">
        <v>9</v>
      </c>
      <c r="Q160" s="55"/>
    </row>
    <row r="161" spans="1:8">
      <c r="A161" s="45" t="s">
        <v>958</v>
      </c>
      <c r="B161" s="30" t="s">
        <v>959</v>
      </c>
      <c r="C161" s="30" t="s">
        <v>960</v>
      </c>
      <c r="D161" s="32">
        <v>18</v>
      </c>
      <c r="E161" s="31">
        <v>37624</v>
      </c>
      <c r="F161" s="32" t="s">
        <v>108</v>
      </c>
      <c r="G161" s="32" t="s">
        <v>466</v>
      </c>
      <c r="H161" s="47"/>
    </row>
    <row r="162" spans="1:8">
      <c r="A162" s="45" t="s">
        <v>961</v>
      </c>
      <c r="B162" s="30" t="s">
        <v>962</v>
      </c>
      <c r="C162" s="30" t="s">
        <v>210</v>
      </c>
      <c r="D162" s="32">
        <v>20</v>
      </c>
      <c r="E162" s="31">
        <v>36993</v>
      </c>
      <c r="F162" s="32" t="s">
        <v>64</v>
      </c>
      <c r="G162" s="32" t="s">
        <v>9</v>
      </c>
      <c r="H162" s="46"/>
    </row>
    <row r="163" spans="1:8">
      <c r="A163" s="45" t="s">
        <v>963</v>
      </c>
      <c r="B163" s="30" t="s">
        <v>964</v>
      </c>
      <c r="C163" s="30" t="s">
        <v>594</v>
      </c>
      <c r="D163" s="32">
        <v>21</v>
      </c>
      <c r="E163" s="31">
        <v>36727</v>
      </c>
      <c r="F163" s="32" t="s">
        <v>64</v>
      </c>
      <c r="G163" s="32" t="s">
        <v>466</v>
      </c>
      <c r="H163" s="46"/>
    </row>
    <row r="164" spans="1:8">
      <c r="A164" s="45" t="s">
        <v>965</v>
      </c>
      <c r="B164" s="30" t="s">
        <v>966</v>
      </c>
      <c r="C164" s="30" t="s">
        <v>967</v>
      </c>
      <c r="D164" s="32">
        <v>11</v>
      </c>
      <c r="E164" s="31">
        <v>40213</v>
      </c>
      <c r="F164" s="32" t="s">
        <v>403</v>
      </c>
      <c r="G164" s="32" t="s">
        <v>466</v>
      </c>
      <c r="H164" s="46"/>
    </row>
    <row r="165" spans="1:8">
      <c r="A165" s="45" t="s">
        <v>968</v>
      </c>
      <c r="B165" s="30" t="s">
        <v>969</v>
      </c>
      <c r="C165" s="30" t="s">
        <v>970</v>
      </c>
      <c r="D165" s="32">
        <v>23</v>
      </c>
      <c r="E165" s="31">
        <v>35817</v>
      </c>
      <c r="F165" s="32" t="s">
        <v>64</v>
      </c>
      <c r="G165" s="32" t="s">
        <v>466</v>
      </c>
      <c r="H165" s="46"/>
    </row>
    <row r="166" spans="1:8">
      <c r="A166" s="45" t="s">
        <v>971</v>
      </c>
      <c r="B166" s="30" t="s">
        <v>972</v>
      </c>
      <c r="C166" s="30" t="s">
        <v>425</v>
      </c>
      <c r="D166" s="32">
        <v>8</v>
      </c>
      <c r="E166" s="31">
        <v>41412</v>
      </c>
      <c r="F166" s="32" t="s">
        <v>501</v>
      </c>
      <c r="G166" s="32" t="s">
        <v>466</v>
      </c>
      <c r="H166" s="46"/>
    </row>
    <row r="167" spans="1:8">
      <c r="A167" s="45" t="s">
        <v>973</v>
      </c>
      <c r="B167" s="30" t="s">
        <v>974</v>
      </c>
      <c r="C167" s="30" t="s">
        <v>975</v>
      </c>
      <c r="D167" s="32">
        <v>21</v>
      </c>
      <c r="E167" s="31">
        <v>36849</v>
      </c>
      <c r="F167" s="32" t="s">
        <v>64</v>
      </c>
      <c r="G167" s="32" t="s">
        <v>466</v>
      </c>
      <c r="H167" s="46"/>
    </row>
    <row r="168" spans="1:8">
      <c r="A168" s="45" t="s">
        <v>976</v>
      </c>
      <c r="B168" s="30" t="s">
        <v>977</v>
      </c>
      <c r="C168" s="30" t="s">
        <v>978</v>
      </c>
      <c r="D168" s="32">
        <v>18</v>
      </c>
      <c r="E168" s="31">
        <v>37720</v>
      </c>
      <c r="F168" s="32" t="s">
        <v>108</v>
      </c>
      <c r="G168" s="32" t="s">
        <v>466</v>
      </c>
      <c r="H168" s="46"/>
    </row>
    <row r="169" spans="1:8">
      <c r="A169" s="45" t="s">
        <v>979</v>
      </c>
      <c r="B169" s="30" t="s">
        <v>980</v>
      </c>
      <c r="C169" s="30" t="s">
        <v>981</v>
      </c>
      <c r="D169" s="32">
        <v>17</v>
      </c>
      <c r="E169" s="31">
        <v>38303</v>
      </c>
      <c r="F169" s="32" t="s">
        <v>108</v>
      </c>
      <c r="G169" s="32" t="s">
        <v>466</v>
      </c>
      <c r="H169" s="46"/>
    </row>
    <row r="170" spans="1:8">
      <c r="A170" s="45" t="s">
        <v>982</v>
      </c>
      <c r="B170" s="30" t="s">
        <v>983</v>
      </c>
      <c r="C170" s="30" t="s">
        <v>984</v>
      </c>
      <c r="D170" s="32">
        <v>21</v>
      </c>
      <c r="E170" s="31">
        <v>36706</v>
      </c>
      <c r="F170" s="32" t="s">
        <v>64</v>
      </c>
      <c r="G170" s="32" t="s">
        <v>466</v>
      </c>
      <c r="H170" s="46"/>
    </row>
    <row r="171" spans="1:8">
      <c r="A171" s="45" t="s">
        <v>160</v>
      </c>
      <c r="B171" s="30" t="s">
        <v>985</v>
      </c>
      <c r="C171" s="30" t="s">
        <v>934</v>
      </c>
      <c r="D171" s="32">
        <v>54</v>
      </c>
      <c r="E171" s="31">
        <v>24525</v>
      </c>
      <c r="F171" s="32" t="s">
        <v>64</v>
      </c>
      <c r="G171" s="32" t="s">
        <v>466</v>
      </c>
      <c r="H171" s="46"/>
    </row>
    <row r="172" spans="1:8">
      <c r="A172" s="45" t="s">
        <v>986</v>
      </c>
      <c r="B172" s="30" t="s">
        <v>987</v>
      </c>
      <c r="C172" s="30" t="s">
        <v>988</v>
      </c>
      <c r="D172" s="32">
        <v>10</v>
      </c>
      <c r="E172" s="31">
        <v>40565</v>
      </c>
      <c r="F172" s="32" t="s">
        <v>403</v>
      </c>
      <c r="G172" s="32" t="s">
        <v>466</v>
      </c>
      <c r="H172" s="46"/>
    </row>
    <row r="173" spans="1:8">
      <c r="A173" s="45" t="s">
        <v>989</v>
      </c>
      <c r="B173" s="30" t="s">
        <v>990</v>
      </c>
      <c r="C173" s="30" t="s">
        <v>991</v>
      </c>
      <c r="D173" s="32">
        <v>15</v>
      </c>
      <c r="E173" s="31">
        <v>38847</v>
      </c>
      <c r="F173" s="32" t="s">
        <v>217</v>
      </c>
      <c r="G173" s="32" t="s">
        <v>466</v>
      </c>
      <c r="H173" s="47"/>
    </row>
    <row r="174" spans="1:8">
      <c r="A174" s="45" t="s">
        <v>992</v>
      </c>
      <c r="B174" s="30" t="s">
        <v>993</v>
      </c>
      <c r="C174" s="30" t="s">
        <v>994</v>
      </c>
      <c r="D174" s="32">
        <v>19</v>
      </c>
      <c r="E174" s="31">
        <v>37494</v>
      </c>
      <c r="F174" s="32" t="s">
        <v>64</v>
      </c>
      <c r="G174" s="32" t="s">
        <v>466</v>
      </c>
      <c r="H174" s="46"/>
    </row>
    <row r="175" spans="1:8">
      <c r="A175" s="45" t="s">
        <v>995</v>
      </c>
      <c r="B175" s="30" t="s">
        <v>996</v>
      </c>
      <c r="C175" s="30" t="s">
        <v>997</v>
      </c>
      <c r="D175" s="32">
        <v>9</v>
      </c>
      <c r="E175" s="31">
        <v>41152</v>
      </c>
      <c r="F175" s="32" t="s">
        <v>501</v>
      </c>
      <c r="G175" s="32" t="s">
        <v>466</v>
      </c>
      <c r="H175" s="46"/>
    </row>
    <row r="176" spans="1:8">
      <c r="A176" s="45" t="s">
        <v>998</v>
      </c>
      <c r="B176" s="30" t="s">
        <v>999</v>
      </c>
      <c r="C176" s="30" t="s">
        <v>204</v>
      </c>
      <c r="D176" s="32">
        <v>15</v>
      </c>
      <c r="E176" s="31">
        <v>38820</v>
      </c>
      <c r="F176" s="32" t="s">
        <v>217</v>
      </c>
      <c r="G176" s="32" t="s">
        <v>466</v>
      </c>
      <c r="H176" s="47"/>
    </row>
    <row r="177" spans="1:8">
      <c r="A177" s="45" t="s">
        <v>1000</v>
      </c>
      <c r="B177" s="30" t="s">
        <v>1001</v>
      </c>
      <c r="C177" s="30" t="s">
        <v>1002</v>
      </c>
      <c r="D177" s="32">
        <v>13</v>
      </c>
      <c r="E177" s="31">
        <v>39709</v>
      </c>
      <c r="F177" s="32" t="s">
        <v>288</v>
      </c>
      <c r="G177" s="32" t="s">
        <v>466</v>
      </c>
      <c r="H177" s="46"/>
    </row>
    <row r="178" spans="1:8">
      <c r="A178" s="45" t="s">
        <v>1003</v>
      </c>
      <c r="B178" s="30" t="s">
        <v>1004</v>
      </c>
      <c r="C178" s="30" t="s">
        <v>1005</v>
      </c>
      <c r="D178" s="32">
        <v>18</v>
      </c>
      <c r="E178" s="31">
        <v>37673</v>
      </c>
      <c r="F178" s="32" t="s">
        <v>108</v>
      </c>
      <c r="G178" s="32" t="s">
        <v>466</v>
      </c>
      <c r="H178" s="47"/>
    </row>
    <row r="179" spans="1:8">
      <c r="A179" s="45" t="s">
        <v>1006</v>
      </c>
      <c r="B179" s="30" t="s">
        <v>1007</v>
      </c>
      <c r="C179" s="30" t="s">
        <v>1008</v>
      </c>
      <c r="D179" s="32">
        <v>18</v>
      </c>
      <c r="E179" s="31">
        <v>37868</v>
      </c>
      <c r="F179" s="32" t="s">
        <v>108</v>
      </c>
      <c r="G179" s="32" t="s">
        <v>466</v>
      </c>
      <c r="H179" s="46"/>
    </row>
    <row r="180" spans="1:8">
      <c r="A180" s="45" t="s">
        <v>1009</v>
      </c>
      <c r="B180" s="30" t="s">
        <v>1010</v>
      </c>
      <c r="C180" s="30" t="s">
        <v>1011</v>
      </c>
      <c r="D180" s="32">
        <v>19</v>
      </c>
      <c r="E180" s="31">
        <v>37448</v>
      </c>
      <c r="F180" s="32" t="s">
        <v>64</v>
      </c>
      <c r="G180" s="32" t="s">
        <v>466</v>
      </c>
      <c r="H180" s="46"/>
    </row>
    <row r="181" spans="1:8">
      <c r="A181" s="45" t="s">
        <v>1012</v>
      </c>
      <c r="B181" s="30" t="s">
        <v>1013</v>
      </c>
      <c r="C181" s="30" t="s">
        <v>1014</v>
      </c>
      <c r="D181" s="32">
        <v>10</v>
      </c>
      <c r="E181" s="31">
        <v>40660</v>
      </c>
      <c r="F181" s="32" t="s">
        <v>403</v>
      </c>
      <c r="G181" s="32" t="s">
        <v>466</v>
      </c>
      <c r="H181" s="46"/>
    </row>
    <row r="182" spans="1:8">
      <c r="A182" s="45" t="s">
        <v>1015</v>
      </c>
      <c r="B182" s="30" t="s">
        <v>1016</v>
      </c>
      <c r="C182" s="30" t="s">
        <v>1017</v>
      </c>
      <c r="D182" s="32">
        <v>15</v>
      </c>
      <c r="E182" s="31">
        <v>38929</v>
      </c>
      <c r="F182" s="32" t="s">
        <v>217</v>
      </c>
      <c r="G182" s="32" t="s">
        <v>466</v>
      </c>
      <c r="H182" s="47"/>
    </row>
    <row r="183" spans="1:8">
      <c r="A183" s="45" t="s">
        <v>1018</v>
      </c>
      <c r="B183" s="30" t="s">
        <v>1019</v>
      </c>
      <c r="C183" s="30" t="s">
        <v>281</v>
      </c>
      <c r="D183" s="32">
        <v>15</v>
      </c>
      <c r="E183" s="31">
        <v>39044</v>
      </c>
      <c r="F183" s="32" t="s">
        <v>217</v>
      </c>
      <c r="G183" s="32" t="s">
        <v>466</v>
      </c>
      <c r="H183" s="47"/>
    </row>
    <row r="184" spans="1:8">
      <c r="A184" s="45" t="s">
        <v>1020</v>
      </c>
      <c r="B184" s="30" t="s">
        <v>1021</v>
      </c>
      <c r="C184" s="30" t="s">
        <v>1022</v>
      </c>
      <c r="D184" s="32">
        <v>29</v>
      </c>
      <c r="E184" s="31">
        <v>33777</v>
      </c>
      <c r="F184" s="32" t="s">
        <v>64</v>
      </c>
      <c r="G184" s="32" t="s">
        <v>466</v>
      </c>
      <c r="H184" s="46"/>
    </row>
    <row r="185" spans="1:8">
      <c r="A185" s="45" t="s">
        <v>1023</v>
      </c>
      <c r="B185" s="30" t="s">
        <v>1024</v>
      </c>
      <c r="C185" s="30" t="s">
        <v>1025</v>
      </c>
      <c r="D185" s="32">
        <v>16</v>
      </c>
      <c r="E185" s="31">
        <v>38417</v>
      </c>
      <c r="F185" s="32" t="s">
        <v>108</v>
      </c>
      <c r="G185" s="32" t="s">
        <v>466</v>
      </c>
      <c r="H185" s="47"/>
    </row>
    <row r="186" spans="1:8">
      <c r="A186" s="45" t="s">
        <v>1026</v>
      </c>
      <c r="B186" s="30" t="s">
        <v>1027</v>
      </c>
      <c r="C186" s="30" t="s">
        <v>1028</v>
      </c>
      <c r="D186" s="32">
        <v>9</v>
      </c>
      <c r="E186" s="31">
        <v>41174</v>
      </c>
      <c r="F186" s="32" t="s">
        <v>501</v>
      </c>
      <c r="G186" s="32" t="s">
        <v>466</v>
      </c>
      <c r="H186" s="46"/>
    </row>
    <row r="187" spans="1:8">
      <c r="A187" s="45" t="s">
        <v>1029</v>
      </c>
      <c r="B187" s="30" t="s">
        <v>1030</v>
      </c>
      <c r="C187" s="30" t="s">
        <v>1031</v>
      </c>
      <c r="D187" s="32">
        <v>20</v>
      </c>
      <c r="E187" s="31">
        <v>37177</v>
      </c>
      <c r="F187" s="32" t="s">
        <v>64</v>
      </c>
      <c r="G187" s="32" t="s">
        <v>466</v>
      </c>
      <c r="H187" s="46"/>
    </row>
    <row r="188" spans="1:8">
      <c r="A188" s="45" t="s">
        <v>1032</v>
      </c>
      <c r="B188" s="30" t="s">
        <v>1033</v>
      </c>
      <c r="C188" s="30" t="s">
        <v>1034</v>
      </c>
      <c r="D188" s="32">
        <v>18</v>
      </c>
      <c r="E188" s="31">
        <v>37960</v>
      </c>
      <c r="F188" s="32" t="s">
        <v>108</v>
      </c>
      <c r="G188" s="32" t="s">
        <v>466</v>
      </c>
      <c r="H188" s="46"/>
    </row>
    <row r="189" spans="1:8">
      <c r="A189" s="45" t="s">
        <v>1035</v>
      </c>
      <c r="B189" s="30" t="s">
        <v>1036</v>
      </c>
      <c r="C189" s="30" t="s">
        <v>1037</v>
      </c>
      <c r="D189" s="32">
        <v>27</v>
      </c>
      <c r="E189" s="31">
        <v>34635</v>
      </c>
      <c r="F189" s="32" t="s">
        <v>64</v>
      </c>
      <c r="G189" s="32" t="s">
        <v>466</v>
      </c>
      <c r="H189" s="46"/>
    </row>
    <row r="190" spans="1:8">
      <c r="A190" s="48" t="s">
        <v>1038</v>
      </c>
      <c r="B190" s="30" t="s">
        <v>1039</v>
      </c>
      <c r="C190" s="30" t="s">
        <v>1040</v>
      </c>
      <c r="D190" s="32">
        <v>31</v>
      </c>
      <c r="E190" s="31">
        <v>32945</v>
      </c>
      <c r="F190" s="32" t="s">
        <v>64</v>
      </c>
      <c r="G190" s="32" t="s">
        <v>7</v>
      </c>
      <c r="H190" s="46"/>
    </row>
    <row r="191" spans="1:8">
      <c r="A191" s="45" t="s">
        <v>1041</v>
      </c>
      <c r="B191" s="30" t="s">
        <v>1042</v>
      </c>
      <c r="C191" s="30" t="s">
        <v>1043</v>
      </c>
      <c r="D191" s="32">
        <v>22</v>
      </c>
      <c r="E191" s="31">
        <v>36309</v>
      </c>
      <c r="F191" s="32" t="s">
        <v>64</v>
      </c>
      <c r="G191" s="32" t="s">
        <v>11</v>
      </c>
      <c r="H191" s="46"/>
    </row>
    <row r="192" spans="1:8">
      <c r="A192" s="49" t="s">
        <v>1044</v>
      </c>
      <c r="B192" s="50" t="s">
        <v>1045</v>
      </c>
      <c r="C192" s="50" t="s">
        <v>1046</v>
      </c>
      <c r="D192" s="51">
        <v>9</v>
      </c>
      <c r="E192" s="52">
        <v>40918</v>
      </c>
      <c r="F192" s="51" t="s">
        <v>501</v>
      </c>
      <c r="G192" s="51" t="s">
        <v>39</v>
      </c>
      <c r="H192" s="53"/>
    </row>
    <row r="193" spans="1:8">
      <c r="A193" s="49" t="s">
        <v>1047</v>
      </c>
      <c r="B193" s="50" t="s">
        <v>1048</v>
      </c>
      <c r="C193" s="50" t="s">
        <v>144</v>
      </c>
      <c r="D193" s="51">
        <v>19</v>
      </c>
      <c r="E193" s="52">
        <v>37465</v>
      </c>
      <c r="F193" s="51" t="s">
        <v>64</v>
      </c>
      <c r="G193" s="51" t="s">
        <v>10</v>
      </c>
      <c r="H193" s="53"/>
    </row>
    <row r="194" spans="1:8">
      <c r="A194" s="49" t="s">
        <v>1049</v>
      </c>
      <c r="B194" s="50" t="s">
        <v>1050</v>
      </c>
      <c r="C194" s="50" t="s">
        <v>1051</v>
      </c>
      <c r="D194" s="51">
        <v>9</v>
      </c>
      <c r="E194" s="52">
        <v>41068</v>
      </c>
      <c r="F194" s="51" t="s">
        <v>501</v>
      </c>
      <c r="G194" s="51" t="s">
        <v>43</v>
      </c>
      <c r="H194" s="53"/>
    </row>
    <row r="195" spans="1:8">
      <c r="A195" s="49" t="s">
        <v>1052</v>
      </c>
      <c r="B195" s="50" t="s">
        <v>1053</v>
      </c>
      <c r="C195" s="50" t="s">
        <v>1054</v>
      </c>
      <c r="D195" s="51">
        <v>11</v>
      </c>
      <c r="E195" s="52">
        <v>40541</v>
      </c>
      <c r="F195" s="51" t="s">
        <v>403</v>
      </c>
      <c r="G195" s="51"/>
      <c r="H195" s="53"/>
    </row>
    <row r="196" spans="1:8">
      <c r="A196" s="49" t="s">
        <v>1055</v>
      </c>
      <c r="B196" s="50" t="s">
        <v>1056</v>
      </c>
      <c r="C196" s="50" t="s">
        <v>425</v>
      </c>
      <c r="D196" s="51">
        <v>8</v>
      </c>
      <c r="E196" s="52">
        <v>41582</v>
      </c>
      <c r="F196" s="51" t="s">
        <v>501</v>
      </c>
      <c r="G196" s="51" t="s">
        <v>43</v>
      </c>
      <c r="H196" s="53"/>
    </row>
  </sheetData>
  <sortState xmlns:xlrd2="http://schemas.microsoft.com/office/spreadsheetml/2017/richdata2" ref="J2:Q154">
    <sortCondition ref="P2:P154"/>
  </sortState>
  <pageMargins left="0.7" right="0.7" top="0.75" bottom="0.75" header="0.3" footer="0.3"/>
  <pageSetup paperSize="9" orientation="portrait" horizontalDpi="4294967293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F588-D9E6-4952-AE10-A5104F67D952}">
  <sheetPr>
    <tabColor theme="3"/>
  </sheetPr>
  <dimension ref="A1:D60"/>
  <sheetViews>
    <sheetView topLeftCell="A3" workbookViewId="0">
      <selection activeCell="I19" sqref="I19"/>
    </sheetView>
  </sheetViews>
  <sheetFormatPr defaultRowHeight="15"/>
  <cols>
    <col min="1" max="1" width="21.140625" bestFit="1" customWidth="1"/>
    <col min="2" max="2" width="8.140625" bestFit="1" customWidth="1"/>
    <col min="3" max="3" width="14.5703125" customWidth="1"/>
    <col min="4" max="4" width="11.28515625" customWidth="1"/>
  </cols>
  <sheetData>
    <row r="1" spans="1:4">
      <c r="A1" t="s">
        <v>1057</v>
      </c>
      <c r="B1" t="s">
        <v>1058</v>
      </c>
      <c r="C1" t="s">
        <v>1059</v>
      </c>
      <c r="D1" t="s">
        <v>1060</v>
      </c>
    </row>
    <row r="2" spans="1:4">
      <c r="A2" t="s">
        <v>1061</v>
      </c>
      <c r="B2" t="s">
        <v>14</v>
      </c>
      <c r="C2" t="s">
        <v>1062</v>
      </c>
      <c r="D2" t="s">
        <v>1063</v>
      </c>
    </row>
    <row r="3" spans="1:4">
      <c r="A3" t="s">
        <v>1064</v>
      </c>
      <c r="B3" t="s">
        <v>14</v>
      </c>
      <c r="C3" t="s">
        <v>1065</v>
      </c>
      <c r="D3" t="s">
        <v>1063</v>
      </c>
    </row>
    <row r="4" spans="1:4">
      <c r="A4" t="s">
        <v>1064</v>
      </c>
      <c r="B4" t="s">
        <v>15</v>
      </c>
      <c r="C4" t="s">
        <v>1066</v>
      </c>
      <c r="D4" t="s">
        <v>1063</v>
      </c>
    </row>
    <row r="5" spans="1:4">
      <c r="A5" t="s">
        <v>1067</v>
      </c>
      <c r="B5" t="s">
        <v>16</v>
      </c>
      <c r="C5" t="s">
        <v>1068</v>
      </c>
      <c r="D5" t="s">
        <v>1063</v>
      </c>
    </row>
    <row r="6" spans="1:4">
      <c r="A6" t="s">
        <v>1069</v>
      </c>
      <c r="B6" t="s">
        <v>16</v>
      </c>
      <c r="C6" t="s">
        <v>1068</v>
      </c>
      <c r="D6" t="s">
        <v>6</v>
      </c>
    </row>
    <row r="7" spans="1:4">
      <c r="A7" t="s">
        <v>1070</v>
      </c>
      <c r="B7" t="s">
        <v>17</v>
      </c>
      <c r="C7" t="s">
        <v>1068</v>
      </c>
      <c r="D7" t="s">
        <v>1063</v>
      </c>
    </row>
    <row r="8" spans="1:4">
      <c r="A8" t="s">
        <v>1071</v>
      </c>
      <c r="B8" t="s">
        <v>17</v>
      </c>
      <c r="C8" t="s">
        <v>1068</v>
      </c>
      <c r="D8" t="s">
        <v>1063</v>
      </c>
    </row>
    <row r="9" spans="1:4">
      <c r="A9" t="s">
        <v>1072</v>
      </c>
      <c r="B9" t="s">
        <v>20</v>
      </c>
      <c r="C9" t="s">
        <v>1068</v>
      </c>
      <c r="D9" t="s">
        <v>1073</v>
      </c>
    </row>
    <row r="10" spans="1:4">
      <c r="A10" t="s">
        <v>1074</v>
      </c>
      <c r="B10" t="s">
        <v>20</v>
      </c>
      <c r="C10" t="s">
        <v>1068</v>
      </c>
      <c r="D10" t="s">
        <v>1073</v>
      </c>
    </row>
    <row r="11" spans="1:4">
      <c r="A11" t="s">
        <v>1075</v>
      </c>
      <c r="B11" t="s">
        <v>21</v>
      </c>
      <c r="C11" t="s">
        <v>1068</v>
      </c>
      <c r="D11" t="s">
        <v>1063</v>
      </c>
    </row>
    <row r="12" spans="1:4">
      <c r="A12" t="s">
        <v>1076</v>
      </c>
      <c r="B12" t="s">
        <v>21</v>
      </c>
      <c r="C12" t="s">
        <v>1068</v>
      </c>
      <c r="D12" t="s">
        <v>9</v>
      </c>
    </row>
    <row r="13" spans="1:4">
      <c r="A13" t="s">
        <v>1077</v>
      </c>
      <c r="B13" t="s">
        <v>22</v>
      </c>
      <c r="C13" t="s">
        <v>1068</v>
      </c>
      <c r="D13" t="s">
        <v>1078</v>
      </c>
    </row>
    <row r="14" spans="1:4">
      <c r="A14" t="s">
        <v>1079</v>
      </c>
      <c r="B14" t="s">
        <v>22</v>
      </c>
      <c r="C14" t="s">
        <v>1068</v>
      </c>
      <c r="D14" t="s">
        <v>11</v>
      </c>
    </row>
    <row r="15" spans="1:4">
      <c r="A15" t="s">
        <v>1080</v>
      </c>
      <c r="B15" t="s">
        <v>26</v>
      </c>
      <c r="C15" t="s">
        <v>1081</v>
      </c>
      <c r="D15" t="s">
        <v>1063</v>
      </c>
    </row>
    <row r="16" spans="1:4">
      <c r="A16" t="s">
        <v>1082</v>
      </c>
      <c r="B16" t="s">
        <v>26</v>
      </c>
      <c r="C16" t="s">
        <v>1068</v>
      </c>
      <c r="D16" t="s">
        <v>8</v>
      </c>
    </row>
    <row r="17" spans="1:4">
      <c r="A17" t="s">
        <v>1083</v>
      </c>
      <c r="B17" t="s">
        <v>26</v>
      </c>
      <c r="C17" t="s">
        <v>1068</v>
      </c>
      <c r="D17" t="s">
        <v>1063</v>
      </c>
    </row>
    <row r="18" spans="1:4">
      <c r="A18" t="s">
        <v>1084</v>
      </c>
      <c r="B18" t="s">
        <v>27</v>
      </c>
      <c r="C18" t="s">
        <v>1068</v>
      </c>
      <c r="D18" t="s">
        <v>5</v>
      </c>
    </row>
    <row r="19" spans="1:4">
      <c r="A19" t="s">
        <v>1085</v>
      </c>
      <c r="B19" t="s">
        <v>27</v>
      </c>
      <c r="C19" t="s">
        <v>1068</v>
      </c>
      <c r="D19" t="s">
        <v>6</v>
      </c>
    </row>
    <row r="20" spans="1:4">
      <c r="A20" t="s">
        <v>1086</v>
      </c>
      <c r="B20" t="s">
        <v>28</v>
      </c>
      <c r="C20" t="s">
        <v>1068</v>
      </c>
      <c r="D20" t="s">
        <v>11</v>
      </c>
    </row>
    <row r="21" spans="1:4">
      <c r="A21" t="s">
        <v>1087</v>
      </c>
      <c r="B21" t="s">
        <v>28</v>
      </c>
      <c r="C21" t="s">
        <v>1068</v>
      </c>
      <c r="D21" t="s">
        <v>11</v>
      </c>
    </row>
    <row r="22" spans="1:4">
      <c r="A22" t="s">
        <v>1088</v>
      </c>
      <c r="B22" t="s">
        <v>32</v>
      </c>
      <c r="C22" t="s">
        <v>1068</v>
      </c>
      <c r="D22" t="s">
        <v>1063</v>
      </c>
    </row>
    <row r="23" spans="1:4">
      <c r="A23" t="s">
        <v>1089</v>
      </c>
      <c r="B23" t="s">
        <v>32</v>
      </c>
      <c r="C23" t="s">
        <v>1068</v>
      </c>
      <c r="D23" t="s">
        <v>1063</v>
      </c>
    </row>
    <row r="24" spans="1:4">
      <c r="A24" t="s">
        <v>1090</v>
      </c>
      <c r="B24" t="s">
        <v>33</v>
      </c>
      <c r="C24" t="s">
        <v>1068</v>
      </c>
      <c r="D24" t="s">
        <v>1063</v>
      </c>
    </row>
    <row r="25" spans="1:4">
      <c r="A25" t="s">
        <v>1091</v>
      </c>
      <c r="B25" t="s">
        <v>33</v>
      </c>
      <c r="C25" t="s">
        <v>1068</v>
      </c>
      <c r="D25" t="s">
        <v>1063</v>
      </c>
    </row>
    <row r="26" spans="1:4">
      <c r="A26" t="s">
        <v>1092</v>
      </c>
      <c r="B26" t="s">
        <v>34</v>
      </c>
      <c r="C26" t="s">
        <v>1068</v>
      </c>
      <c r="D26" t="s">
        <v>9</v>
      </c>
    </row>
    <row r="27" spans="1:4">
      <c r="A27" t="s">
        <v>1093</v>
      </c>
      <c r="B27" t="s">
        <v>34</v>
      </c>
      <c r="C27" t="s">
        <v>1068</v>
      </c>
      <c r="D27" t="s">
        <v>10</v>
      </c>
    </row>
    <row r="28" spans="1:4">
      <c r="A28" t="s">
        <v>1094</v>
      </c>
      <c r="B28" t="s">
        <v>35</v>
      </c>
      <c r="C28" t="s">
        <v>1068</v>
      </c>
      <c r="D28" t="s">
        <v>1063</v>
      </c>
    </row>
    <row r="29" spans="1:4">
      <c r="A29" t="s">
        <v>1095</v>
      </c>
      <c r="B29" t="s">
        <v>35</v>
      </c>
      <c r="C29" t="s">
        <v>1068</v>
      </c>
      <c r="D29" t="s">
        <v>1063</v>
      </c>
    </row>
    <row r="30" spans="1:4">
      <c r="A30" t="s">
        <v>1096</v>
      </c>
      <c r="B30" t="s">
        <v>38</v>
      </c>
      <c r="C30" t="s">
        <v>1097</v>
      </c>
      <c r="D30" t="s">
        <v>16</v>
      </c>
    </row>
    <row r="31" spans="1:4">
      <c r="A31" t="s">
        <v>1098</v>
      </c>
      <c r="B31" t="s">
        <v>38</v>
      </c>
      <c r="C31" t="s">
        <v>1097</v>
      </c>
      <c r="D31" t="s">
        <v>1063</v>
      </c>
    </row>
    <row r="32" spans="1:4">
      <c r="A32" t="s">
        <v>1099</v>
      </c>
      <c r="B32" t="s">
        <v>39</v>
      </c>
      <c r="C32" t="s">
        <v>1097</v>
      </c>
      <c r="D32" t="s">
        <v>1063</v>
      </c>
    </row>
    <row r="33" spans="1:4">
      <c r="A33" t="s">
        <v>1100</v>
      </c>
      <c r="B33" t="s">
        <v>39</v>
      </c>
      <c r="C33" t="s">
        <v>1101</v>
      </c>
      <c r="D33" t="s">
        <v>1063</v>
      </c>
    </row>
    <row r="34" spans="1:4">
      <c r="A34" t="s">
        <v>1102</v>
      </c>
      <c r="B34" t="s">
        <v>40</v>
      </c>
      <c r="C34" t="s">
        <v>1097</v>
      </c>
      <c r="D34" t="s">
        <v>11</v>
      </c>
    </row>
    <row r="35" spans="1:4">
      <c r="A35" t="s">
        <v>1103</v>
      </c>
      <c r="B35" t="s">
        <v>40</v>
      </c>
      <c r="C35" t="s">
        <v>1097</v>
      </c>
      <c r="D35" t="s">
        <v>10</v>
      </c>
    </row>
    <row r="36" spans="1:4">
      <c r="A36" t="s">
        <v>1104</v>
      </c>
      <c r="B36" t="s">
        <v>41</v>
      </c>
      <c r="C36" t="s">
        <v>1097</v>
      </c>
      <c r="D36" t="s">
        <v>17</v>
      </c>
    </row>
    <row r="37" spans="1:4">
      <c r="A37" t="s">
        <v>1105</v>
      </c>
      <c r="B37" t="s">
        <v>41</v>
      </c>
      <c r="C37" t="s">
        <v>1097</v>
      </c>
      <c r="D37" t="s">
        <v>16</v>
      </c>
    </row>
    <row r="38" spans="1:4">
      <c r="A38" t="s">
        <v>1106</v>
      </c>
      <c r="B38" t="s">
        <v>41</v>
      </c>
      <c r="C38" t="s">
        <v>1101</v>
      </c>
      <c r="D38" t="s">
        <v>9</v>
      </c>
    </row>
    <row r="39" spans="1:4">
      <c r="A39" t="s">
        <v>1107</v>
      </c>
      <c r="B39" t="s">
        <v>42</v>
      </c>
      <c r="C39" t="s">
        <v>1068</v>
      </c>
      <c r="D39" t="s">
        <v>1063</v>
      </c>
    </row>
    <row r="40" spans="1:4">
      <c r="A40" t="s">
        <v>1108</v>
      </c>
      <c r="B40" t="s">
        <v>42</v>
      </c>
      <c r="C40" t="s">
        <v>1097</v>
      </c>
      <c r="D40" t="s">
        <v>1063</v>
      </c>
    </row>
    <row r="41" spans="1:4">
      <c r="A41" t="s">
        <v>1109</v>
      </c>
      <c r="B41" t="s">
        <v>43</v>
      </c>
      <c r="C41" t="s">
        <v>1097</v>
      </c>
      <c r="D41" t="s">
        <v>1063</v>
      </c>
    </row>
    <row r="42" spans="1:4">
      <c r="A42" t="s">
        <v>1110</v>
      </c>
      <c r="B42" t="s">
        <v>45</v>
      </c>
      <c r="C42" t="s">
        <v>1097</v>
      </c>
      <c r="D42" t="s">
        <v>20</v>
      </c>
    </row>
    <row r="43" spans="1:4">
      <c r="A43" t="s">
        <v>1111</v>
      </c>
      <c r="B43" t="s">
        <v>45</v>
      </c>
      <c r="C43" t="s">
        <v>1097</v>
      </c>
      <c r="D43" t="s">
        <v>21</v>
      </c>
    </row>
    <row r="44" spans="1:4">
      <c r="A44" t="s">
        <v>1112</v>
      </c>
      <c r="B44" t="s">
        <v>46</v>
      </c>
      <c r="C44" t="s">
        <v>1097</v>
      </c>
      <c r="D44" t="s">
        <v>16</v>
      </c>
    </row>
    <row r="45" spans="1:4">
      <c r="A45" t="s">
        <v>1113</v>
      </c>
      <c r="B45" t="s">
        <v>46</v>
      </c>
      <c r="C45" t="s">
        <v>1097</v>
      </c>
      <c r="D45" t="s">
        <v>16</v>
      </c>
    </row>
    <row r="46" spans="1:4">
      <c r="A46" t="s">
        <v>1114</v>
      </c>
      <c r="B46" t="s">
        <v>47</v>
      </c>
      <c r="C46" t="s">
        <v>1068</v>
      </c>
      <c r="D46" t="s">
        <v>1063</v>
      </c>
    </row>
    <row r="47" spans="1:4">
      <c r="A47" t="s">
        <v>1115</v>
      </c>
      <c r="B47" t="s">
        <v>47</v>
      </c>
      <c r="C47" t="s">
        <v>1068</v>
      </c>
      <c r="D47" t="s">
        <v>1063</v>
      </c>
    </row>
    <row r="48" spans="1:4">
      <c r="A48" t="s">
        <v>1116</v>
      </c>
      <c r="B48" t="s">
        <v>51</v>
      </c>
      <c r="C48" t="s">
        <v>1097</v>
      </c>
      <c r="D48" t="s">
        <v>16</v>
      </c>
    </row>
    <row r="49" spans="1:4">
      <c r="A49" t="s">
        <v>1117</v>
      </c>
      <c r="B49" t="s">
        <v>51</v>
      </c>
      <c r="C49" t="s">
        <v>1097</v>
      </c>
      <c r="D49" t="s">
        <v>1063</v>
      </c>
    </row>
    <row r="50" spans="1:4">
      <c r="A50" t="s">
        <v>1118</v>
      </c>
      <c r="B50" t="s">
        <v>51</v>
      </c>
      <c r="C50" t="s">
        <v>1097</v>
      </c>
      <c r="D50" s="28" t="s">
        <v>1119</v>
      </c>
    </row>
    <row r="51" spans="1:4">
      <c r="A51" t="s">
        <v>1120</v>
      </c>
      <c r="B51" t="s">
        <v>5</v>
      </c>
      <c r="C51" t="s">
        <v>1121</v>
      </c>
      <c r="D51" t="s">
        <v>1063</v>
      </c>
    </row>
    <row r="52" spans="1:4">
      <c r="A52" t="s">
        <v>1122</v>
      </c>
      <c r="B52" t="s">
        <v>5</v>
      </c>
      <c r="C52" t="s">
        <v>1123</v>
      </c>
      <c r="D52" t="s">
        <v>1063</v>
      </c>
    </row>
    <row r="53" spans="1:4">
      <c r="A53" t="s">
        <v>1124</v>
      </c>
      <c r="B53" t="s">
        <v>5</v>
      </c>
      <c r="C53" t="s">
        <v>1125</v>
      </c>
      <c r="D53" t="s">
        <v>1063</v>
      </c>
    </row>
    <row r="54" spans="1:4">
      <c r="A54" t="s">
        <v>1126</v>
      </c>
      <c r="B54" t="s">
        <v>5</v>
      </c>
      <c r="C54" t="s">
        <v>1127</v>
      </c>
      <c r="D54" t="s">
        <v>1063</v>
      </c>
    </row>
    <row r="55" spans="1:4">
      <c r="A55" t="s">
        <v>1088</v>
      </c>
      <c r="B55" t="s">
        <v>6</v>
      </c>
      <c r="C55" t="s">
        <v>1128</v>
      </c>
      <c r="D55" t="s">
        <v>1063</v>
      </c>
    </row>
    <row r="56" spans="1:4">
      <c r="A56" t="s">
        <v>1129</v>
      </c>
      <c r="B56" t="s">
        <v>7</v>
      </c>
      <c r="C56" t="s">
        <v>1130</v>
      </c>
      <c r="D56" t="s">
        <v>1063</v>
      </c>
    </row>
    <row r="57" spans="1:4">
      <c r="A57" t="s">
        <v>1131</v>
      </c>
      <c r="B57" t="s">
        <v>8</v>
      </c>
      <c r="C57" t="s">
        <v>1132</v>
      </c>
      <c r="D57" t="s">
        <v>1063</v>
      </c>
    </row>
    <row r="58" spans="1:4">
      <c r="A58" s="57" t="s">
        <v>1133</v>
      </c>
      <c r="C58" t="s">
        <v>1134</v>
      </c>
      <c r="D58" t="s">
        <v>1063</v>
      </c>
    </row>
    <row r="59" spans="1:4">
      <c r="A59" s="29" t="s">
        <v>1135</v>
      </c>
      <c r="C59" t="s">
        <v>1134</v>
      </c>
      <c r="D59" t="s">
        <v>1063</v>
      </c>
    </row>
    <row r="60" spans="1:4">
      <c r="A60" s="29" t="s">
        <v>1136</v>
      </c>
      <c r="C60" t="s">
        <v>1134</v>
      </c>
      <c r="D60" t="s">
        <v>1063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6F42-7DCB-44F4-B848-35E3940B68E0}">
  <sheetPr>
    <tabColor theme="5"/>
  </sheetPr>
  <dimension ref="A1:O34"/>
  <sheetViews>
    <sheetView topLeftCell="A3" zoomScale="115" zoomScaleNormal="115" workbookViewId="0">
      <selection activeCell="A3" sqref="A3"/>
    </sheetView>
  </sheetViews>
  <sheetFormatPr defaultRowHeight="15"/>
  <cols>
    <col min="1" max="1" width="9.7109375" bestFit="1" customWidth="1"/>
    <col min="2" max="2" width="21" bestFit="1" customWidth="1"/>
    <col min="3" max="3" width="10.28515625" bestFit="1" customWidth="1"/>
    <col min="4" max="4" width="15.42578125" customWidth="1"/>
    <col min="5" max="5" width="11.28515625" style="1" bestFit="1" customWidth="1"/>
    <col min="6" max="6" width="18.42578125" bestFit="1" customWidth="1"/>
    <col min="7" max="7" width="13.7109375" bestFit="1" customWidth="1"/>
    <col min="9" max="9" width="10" bestFit="1" customWidth="1"/>
    <col min="10" max="10" width="16.7109375" bestFit="1" customWidth="1"/>
    <col min="11" max="11" width="10.28515625" bestFit="1" customWidth="1"/>
    <col min="12" max="12" width="17.7109375" bestFit="1" customWidth="1"/>
    <col min="13" max="13" width="11.28515625" style="1" bestFit="1" customWidth="1"/>
    <col min="14" max="14" width="18.42578125" bestFit="1" customWidth="1"/>
    <col min="15" max="15" width="13.7109375" bestFit="1" customWidth="1"/>
  </cols>
  <sheetData>
    <row r="1" spans="1:15">
      <c r="A1" s="23" t="s">
        <v>52</v>
      </c>
      <c r="B1" s="23" t="s">
        <v>53</v>
      </c>
      <c r="C1" s="23" t="s">
        <v>54</v>
      </c>
      <c r="D1" s="23" t="s">
        <v>55</v>
      </c>
      <c r="E1" s="25" t="s">
        <v>56</v>
      </c>
      <c r="F1" s="23" t="s">
        <v>57</v>
      </c>
      <c r="G1" s="23" t="s">
        <v>58</v>
      </c>
      <c r="I1" s="11" t="s">
        <v>52</v>
      </c>
      <c r="J1" s="11" t="s">
        <v>53</v>
      </c>
      <c r="K1" s="11" t="s">
        <v>54</v>
      </c>
      <c r="L1" s="11" t="s">
        <v>55</v>
      </c>
      <c r="M1" s="27" t="s">
        <v>56</v>
      </c>
      <c r="N1" s="11" t="s">
        <v>57</v>
      </c>
      <c r="O1" s="11" t="s">
        <v>58</v>
      </c>
    </row>
    <row r="2" spans="1:15">
      <c r="A2" s="24" t="str" cm="1">
        <f t="array" ref="A2:A34">_xlfn._xlws.FILTER(Spelerslijst!A:A,Spelerslijst!$G:$G="Stopt","")</f>
        <v>NJK08X9</v>
      </c>
      <c r="B2" s="24" t="str" cm="1">
        <f t="array" ref="B2:B34">_xlfn._xlws.FILTER(Spelerslijst!B:B,Spelerslijst!$G:$G="Stopt","")</f>
        <v>Veld, in 't P.M.</v>
      </c>
      <c r="C2" s="24" t="str" cm="1">
        <f t="array" ref="C2:C34">_xlfn._xlws.FILTER(Spelerslijst!C:C,Spelerslijst!$G:$G="Stopt","")</f>
        <v>Puck</v>
      </c>
      <c r="D2" s="24" cm="1">
        <f t="array" ref="D2:D34">_xlfn._xlws.FILTER(Spelerslijst!D:D,Spelerslijst!$G:$G="Stopt","")</f>
        <v>11</v>
      </c>
      <c r="E2" s="26" cm="1">
        <f t="array" ref="E2:E34">_xlfn._xlws.FILTER(Spelerslijst!E:E,Spelerslijst!$G:$G="Stopt","")</f>
        <v>40409</v>
      </c>
      <c r="F2" s="24" t="str" cm="1">
        <f t="array" ref="F2:F34">_xlfn._xlws.FILTER(Spelerslijst!F:F,Spelerslijst!$G:$G="Stopt","")</f>
        <v>D</v>
      </c>
      <c r="G2" s="24" t="str" cm="1">
        <f t="array" ref="G2:G34">_xlfn._xlws.FILTER(Spelerslijst!G:G,Spelerslijst!$G:$G="Stopt","")</f>
        <v>Stopt</v>
      </c>
      <c r="I2" s="24" t="str" cm="1">
        <f t="array" ref="I2:I18">_xlfn._xlws.FILTER(Spelerslijst!J:J,Spelerslijst!$P:$P="Stopt","")</f>
        <v>NMD90G5</v>
      </c>
      <c r="J2" s="24" t="str" cm="1">
        <f t="array" ref="J2:J18">_xlfn._xlws.FILTER(Spelerslijst!K:K,Spelerslijst!$P:$P="Stopt","")</f>
        <v>Hemert, van S.</v>
      </c>
      <c r="K2" s="24" t="str" cm="1">
        <f t="array" ref="K2:K18">_xlfn._xlws.FILTER(Spelerslijst!L:L,Spelerslijst!$P:$P="Stopt","")</f>
        <v>Stijn</v>
      </c>
      <c r="L2" s="24" cm="1">
        <f t="array" ref="L2:L18">_xlfn._xlws.FILTER(Spelerslijst!M:M,Spelerslijst!$P:$P="Stopt","")</f>
        <v>9</v>
      </c>
      <c r="M2" s="26" cm="1">
        <f t="array" ref="M2:M18">_xlfn._xlws.FILTER(Spelerslijst!N:N,Spelerslijst!$P:$P="Stopt","")</f>
        <v>41179</v>
      </c>
      <c r="N2" s="24" t="str" cm="1">
        <f t="array" ref="N2:N18">_xlfn._xlws.FILTER(Spelerslijst!O:O,Spelerslijst!$P:$P="Stopt","")</f>
        <v>E</v>
      </c>
      <c r="O2" s="24" t="str" cm="1">
        <f t="array" ref="O2:O18">_xlfn._xlws.FILTER(Spelerslijst!P:P,Spelerslijst!$P:$P="Stopt","")</f>
        <v>Stopt</v>
      </c>
    </row>
    <row r="3" spans="1:15">
      <c r="A3" s="24" t="str">
        <v>NJF85B1</v>
      </c>
      <c r="B3" s="24" t="str">
        <v>Breekveldt, T.</v>
      </c>
      <c r="C3" s="24" t="str">
        <v>Tessa</v>
      </c>
      <c r="D3" s="24">
        <v>9</v>
      </c>
      <c r="E3" s="26">
        <v>41123</v>
      </c>
      <c r="F3" s="24" t="str">
        <v>E</v>
      </c>
      <c r="G3" s="24" t="str">
        <v>Stopt</v>
      </c>
      <c r="I3" s="24" t="str">
        <v>NJH76N5</v>
      </c>
      <c r="J3" s="24" t="str">
        <v>Klink, O.C.</v>
      </c>
      <c r="K3" s="24" t="str">
        <v>Olivier</v>
      </c>
      <c r="L3" s="24">
        <v>23</v>
      </c>
      <c r="M3" s="26">
        <v>36143</v>
      </c>
      <c r="N3" s="24" t="str">
        <v>Sen</v>
      </c>
      <c r="O3" s="24" t="str">
        <v>Stopt</v>
      </c>
    </row>
    <row r="4" spans="1:15">
      <c r="A4" s="24" t="str">
        <v>NFX00K9</v>
      </c>
      <c r="B4" s="24" t="str">
        <v>Muller, L.</v>
      </c>
      <c r="C4" s="24" t="str">
        <v>Lieve</v>
      </c>
      <c r="D4" s="24">
        <v>6</v>
      </c>
      <c r="E4" s="26">
        <v>42021</v>
      </c>
      <c r="F4" s="24" t="str">
        <v>F</v>
      </c>
      <c r="G4" s="24" t="str">
        <v>Stopt</v>
      </c>
      <c r="I4" s="24" t="str">
        <v>NLL19Y9</v>
      </c>
      <c r="J4" s="24" t="str">
        <v>Altena, J.D.</v>
      </c>
      <c r="K4" s="24" t="str">
        <v>Jaron</v>
      </c>
      <c r="L4" s="24">
        <v>20</v>
      </c>
      <c r="M4" s="26">
        <v>37170</v>
      </c>
      <c r="N4" s="24" t="str">
        <v>Sen</v>
      </c>
      <c r="O4" s="24" t="str">
        <v>Stopt</v>
      </c>
    </row>
    <row r="5" spans="1:15">
      <c r="A5" s="24" t="str">
        <v>NLG58Z8</v>
      </c>
      <c r="B5" s="24" t="str">
        <v>Canli, D.</v>
      </c>
      <c r="C5" s="24" t="str">
        <v>Dilan</v>
      </c>
      <c r="D5" s="24">
        <v>19</v>
      </c>
      <c r="E5" s="26">
        <v>37333</v>
      </c>
      <c r="F5" s="24" t="str">
        <v>Sen</v>
      </c>
      <c r="G5" s="24" t="str">
        <v>Stopt</v>
      </c>
      <c r="I5" s="24" t="str">
        <v>NKN65J2</v>
      </c>
      <c r="J5" s="24" t="str">
        <v>Dalen, van F.G.</v>
      </c>
      <c r="K5" s="24" t="str">
        <v>Freek</v>
      </c>
      <c r="L5" s="24">
        <v>18</v>
      </c>
      <c r="M5" s="26">
        <v>37823</v>
      </c>
      <c r="N5" s="24" t="str">
        <v>A</v>
      </c>
      <c r="O5" s="24" t="str">
        <v>Stopt</v>
      </c>
    </row>
    <row r="6" spans="1:15">
      <c r="A6" s="24" t="str">
        <v>NJC15T9</v>
      </c>
      <c r="B6" s="24" t="str">
        <v>Borsboom, L.</v>
      </c>
      <c r="C6" s="24" t="str">
        <v>Lis</v>
      </c>
      <c r="D6" s="24">
        <v>13</v>
      </c>
      <c r="E6" s="26">
        <v>39637</v>
      </c>
      <c r="F6" s="24" t="str">
        <v>C</v>
      </c>
      <c r="G6" s="24" t="str">
        <v>Stopt</v>
      </c>
      <c r="I6" s="24" t="str">
        <v>NMK07Q8</v>
      </c>
      <c r="J6" s="24" t="str">
        <v>Geneugelijk, L.</v>
      </c>
      <c r="K6" s="24" t="str">
        <v>Luca</v>
      </c>
      <c r="L6" s="24">
        <v>8</v>
      </c>
      <c r="M6" s="26">
        <v>41412</v>
      </c>
      <c r="N6" s="24" t="str">
        <v>E</v>
      </c>
      <c r="O6" s="24" t="str">
        <v>Stopt</v>
      </c>
    </row>
    <row r="7" spans="1:15">
      <c r="A7" s="24" t="str">
        <v>NMM29Q6</v>
      </c>
      <c r="B7" s="24" t="str">
        <v>Brouwer, N.</v>
      </c>
      <c r="C7" s="24" t="str">
        <v>Nynke</v>
      </c>
      <c r="D7" s="24">
        <v>18</v>
      </c>
      <c r="E7" s="26">
        <v>37624</v>
      </c>
      <c r="F7" s="24" t="str">
        <v>A</v>
      </c>
      <c r="G7" s="24" t="str">
        <v>Stopt</v>
      </c>
      <c r="I7" s="24" t="str">
        <v>NLX08F0</v>
      </c>
      <c r="J7" s="24" t="str">
        <v>Hart, 't O.N.L.R</v>
      </c>
      <c r="K7" s="24" t="str">
        <v>Olav</v>
      </c>
      <c r="L7" s="24">
        <v>11</v>
      </c>
      <c r="M7" s="26">
        <v>40291</v>
      </c>
      <c r="N7" s="24" t="str">
        <v>D</v>
      </c>
      <c r="O7" s="24" t="str">
        <v>Stopt</v>
      </c>
    </row>
    <row r="8" spans="1:15">
      <c r="A8" s="24" t="str">
        <v>NKW49Y8</v>
      </c>
      <c r="B8" s="24" t="str">
        <v>Driesprong, A.</v>
      </c>
      <c r="C8" s="24" t="str">
        <v>Anne</v>
      </c>
      <c r="D8" s="24">
        <v>21</v>
      </c>
      <c r="E8" s="26">
        <v>36727</v>
      </c>
      <c r="F8" s="24" t="str">
        <v>Sen</v>
      </c>
      <c r="G8" s="24" t="str">
        <v>Stopt</v>
      </c>
      <c r="I8" s="24" t="str">
        <v>NGT42Z3</v>
      </c>
      <c r="J8" s="24" t="str">
        <v>Hoed, den W</v>
      </c>
      <c r="K8" s="24" t="str">
        <v>Wilbert</v>
      </c>
      <c r="L8" s="24">
        <v>31</v>
      </c>
      <c r="M8" s="26">
        <v>33052</v>
      </c>
      <c r="N8" s="24" t="str">
        <v>Sen</v>
      </c>
      <c r="O8" s="24" t="str">
        <v>Stopt</v>
      </c>
    </row>
    <row r="9" spans="1:15">
      <c r="A9" s="24" t="str">
        <v>NLP89W4</v>
      </c>
      <c r="B9" s="24" t="str">
        <v>Est, van S.K.E.</v>
      </c>
      <c r="C9" s="24" t="str">
        <v>Sarah</v>
      </c>
      <c r="D9" s="24">
        <v>11</v>
      </c>
      <c r="E9" s="26">
        <v>40213</v>
      </c>
      <c r="F9" s="24" t="str">
        <v>D</v>
      </c>
      <c r="G9" s="24" t="str">
        <v>Stopt</v>
      </c>
      <c r="I9" s="24" t="str">
        <v>NJZ00Y7</v>
      </c>
      <c r="J9" s="24" t="str">
        <v>Jager, de S.</v>
      </c>
      <c r="K9" s="24" t="str">
        <v>Sam</v>
      </c>
      <c r="L9" s="24">
        <v>21</v>
      </c>
      <c r="M9" s="26">
        <v>36588</v>
      </c>
      <c r="N9" s="24" t="str">
        <v>Sen</v>
      </c>
      <c r="O9" s="24" t="str">
        <v>Stopt</v>
      </c>
    </row>
    <row r="10" spans="1:15">
      <c r="A10" s="24" t="str">
        <v>NLT96R9</v>
      </c>
      <c r="B10" s="24" t="str">
        <v>Fernhout, T.</v>
      </c>
      <c r="C10" s="24" t="str">
        <v>Tirsa</v>
      </c>
      <c r="D10" s="24">
        <v>23</v>
      </c>
      <c r="E10" s="26">
        <v>35817</v>
      </c>
      <c r="F10" s="24" t="str">
        <v>Sen</v>
      </c>
      <c r="G10" s="24" t="str">
        <v>Stopt</v>
      </c>
      <c r="I10" s="24" t="str">
        <v>NKM14K0</v>
      </c>
      <c r="J10" s="24" t="str">
        <v>Jong, Erik de</v>
      </c>
      <c r="K10" s="24" t="str">
        <v>Erik</v>
      </c>
      <c r="L10" s="24">
        <v>21</v>
      </c>
      <c r="M10" s="26">
        <v>36843</v>
      </c>
      <c r="N10" s="24" t="str">
        <v>Sen</v>
      </c>
      <c r="O10" s="24" t="str">
        <v>Stopt</v>
      </c>
    </row>
    <row r="11" spans="1:15">
      <c r="A11" s="24" t="str">
        <v>NLV84M5</v>
      </c>
      <c r="B11" s="24" t="str">
        <v>Geneugelijk, T.</v>
      </c>
      <c r="C11" s="24" t="str">
        <v>Tess</v>
      </c>
      <c r="D11" s="24">
        <v>8</v>
      </c>
      <c r="E11" s="26">
        <v>41412</v>
      </c>
      <c r="F11" s="24" t="str">
        <v>E</v>
      </c>
      <c r="G11" s="24" t="str">
        <v>Stopt</v>
      </c>
      <c r="I11" s="24" t="str">
        <v>NMK14M6</v>
      </c>
      <c r="J11" s="24" t="str">
        <v>Klis, van der R.</v>
      </c>
      <c r="K11" s="24" t="str">
        <v>Roman</v>
      </c>
      <c r="L11" s="24">
        <v>6</v>
      </c>
      <c r="M11" s="26">
        <v>42091</v>
      </c>
      <c r="N11" s="24" t="str">
        <v>F</v>
      </c>
      <c r="O11" s="24" t="str">
        <v>Stopt</v>
      </c>
    </row>
    <row r="12" spans="1:15">
      <c r="A12" s="24" t="str">
        <v>NMH07D4</v>
      </c>
      <c r="B12" s="24" t="str">
        <v>Jong, de C.C.</v>
      </c>
      <c r="C12" s="24" t="str">
        <v>Céline</v>
      </c>
      <c r="D12" s="24">
        <v>21</v>
      </c>
      <c r="E12" s="26">
        <v>36849</v>
      </c>
      <c r="F12" s="24" t="str">
        <v>Sen</v>
      </c>
      <c r="G12" s="24" t="str">
        <v>Stopt</v>
      </c>
      <c r="I12" s="24" t="str">
        <v>NLW81C7</v>
      </c>
      <c r="J12" s="24" t="str">
        <v>Maas, J.G.T.</v>
      </c>
      <c r="K12" s="24" t="str">
        <v>Gijsbert</v>
      </c>
      <c r="L12" s="24">
        <v>15</v>
      </c>
      <c r="M12" s="26">
        <v>38835</v>
      </c>
      <c r="N12" s="24" t="str">
        <v>B</v>
      </c>
      <c r="O12" s="24" t="str">
        <v>Stopt</v>
      </c>
    </row>
    <row r="13" spans="1:15">
      <c r="A13" s="24" t="str">
        <v>NMH36F0</v>
      </c>
      <c r="B13" s="24" t="str">
        <v>Klerk, Ayda de</v>
      </c>
      <c r="C13" s="24" t="str">
        <v>Ayda</v>
      </c>
      <c r="D13" s="24">
        <v>18</v>
      </c>
      <c r="E13" s="26">
        <v>37720</v>
      </c>
      <c r="F13" s="24" t="str">
        <v>A</v>
      </c>
      <c r="G13" s="24" t="str">
        <v>Stopt</v>
      </c>
      <c r="I13" s="24" t="str">
        <v>NKW21L3</v>
      </c>
      <c r="J13" s="24" t="str">
        <v>Minkelis, van de J.W.</v>
      </c>
      <c r="K13" s="24" t="str">
        <v>Jonathan</v>
      </c>
      <c r="L13" s="24">
        <v>17</v>
      </c>
      <c r="M13" s="26">
        <v>38317</v>
      </c>
      <c r="N13" s="24" t="str">
        <v>A</v>
      </c>
      <c r="O13" s="24" t="str">
        <v>Stopt</v>
      </c>
    </row>
    <row r="14" spans="1:15">
      <c r="A14" s="24" t="str">
        <v>NML06D5</v>
      </c>
      <c r="B14" s="24" t="str">
        <v>Manduapessy, V.P.</v>
      </c>
      <c r="C14" s="24" t="str">
        <v>Vera</v>
      </c>
      <c r="D14" s="24">
        <v>17</v>
      </c>
      <c r="E14" s="26">
        <v>38303</v>
      </c>
      <c r="F14" s="24" t="str">
        <v>A</v>
      </c>
      <c r="G14" s="24" t="str">
        <v>Stopt</v>
      </c>
      <c r="I14" s="24" t="str">
        <v>NLZ36K6</v>
      </c>
      <c r="J14" s="24" t="str">
        <v>Muller, A.J.</v>
      </c>
      <c r="K14" s="24" t="str">
        <v>Joaz</v>
      </c>
      <c r="L14" s="24">
        <v>11</v>
      </c>
      <c r="M14" s="26">
        <v>40405</v>
      </c>
      <c r="N14" s="24" t="str">
        <v>D</v>
      </c>
      <c r="O14" s="24" t="str">
        <v>Stopt</v>
      </c>
    </row>
    <row r="15" spans="1:15">
      <c r="A15" s="24" t="str">
        <v>NMK14K2</v>
      </c>
      <c r="B15" s="24" t="str">
        <v>Morée, de J.</v>
      </c>
      <c r="C15" s="24" t="str">
        <v>Jessica</v>
      </c>
      <c r="D15" s="24">
        <v>21</v>
      </c>
      <c r="E15" s="26">
        <v>36706</v>
      </c>
      <c r="F15" s="24" t="str">
        <v>Sen</v>
      </c>
      <c r="G15" s="24" t="str">
        <v>Stopt</v>
      </c>
      <c r="I15" s="24" t="str">
        <v>NMC50D3</v>
      </c>
      <c r="J15" s="24" t="str">
        <v>Rest, van de M.</v>
      </c>
      <c r="K15" s="24" t="str">
        <v>Mitchel</v>
      </c>
      <c r="L15" s="24">
        <v>14</v>
      </c>
      <c r="M15" s="26">
        <v>39414</v>
      </c>
      <c r="N15" s="24" t="str">
        <v>B</v>
      </c>
      <c r="O15" s="24" t="str">
        <v>Stopt</v>
      </c>
    </row>
    <row r="16" spans="1:15">
      <c r="A16" s="24" t="str">
        <v>NLL20B6</v>
      </c>
      <c r="B16" s="24" t="str">
        <v>Nelemans, I.</v>
      </c>
      <c r="C16" s="24" t="str">
        <v>Ingrid</v>
      </c>
      <c r="D16" s="24">
        <v>54</v>
      </c>
      <c r="E16" s="26">
        <v>24525</v>
      </c>
      <c r="F16" s="24" t="str">
        <v>Sen</v>
      </c>
      <c r="G16" s="24" t="str">
        <v>Stopt</v>
      </c>
      <c r="I16" s="24" t="str">
        <v>NLW14T0</v>
      </c>
      <c r="J16" s="24" t="str">
        <v>Stomp, J.</v>
      </c>
      <c r="K16" s="24" t="str">
        <v>Joshua</v>
      </c>
      <c r="L16" s="24">
        <v>10</v>
      </c>
      <c r="M16" s="26">
        <v>40869</v>
      </c>
      <c r="N16" s="24" t="str">
        <v>E</v>
      </c>
      <c r="O16" s="24" t="str">
        <v>Stopt</v>
      </c>
    </row>
    <row r="17" spans="1:15">
      <c r="A17" s="24" t="str">
        <v>NJC46R3</v>
      </c>
      <c r="B17" s="24" t="str">
        <v>Nijhoff, L.</v>
      </c>
      <c r="C17" s="24" t="str">
        <v>Liv</v>
      </c>
      <c r="D17" s="24">
        <v>10</v>
      </c>
      <c r="E17" s="26">
        <v>40565</v>
      </c>
      <c r="F17" s="24" t="str">
        <v>D</v>
      </c>
      <c r="G17" s="24" t="str">
        <v>Stopt</v>
      </c>
      <c r="I17" s="24" t="str">
        <v>NMK58C8</v>
      </c>
      <c r="J17" s="24" t="str">
        <v>Vroegindeweij, J.</v>
      </c>
      <c r="K17" s="24" t="str">
        <v>Jim</v>
      </c>
      <c r="L17" s="24">
        <v>10</v>
      </c>
      <c r="M17" s="26">
        <v>40603</v>
      </c>
      <c r="N17" s="24" t="str">
        <v>D</v>
      </c>
      <c r="O17" s="24" t="str">
        <v>stopt</v>
      </c>
    </row>
    <row r="18" spans="1:15">
      <c r="A18" s="24" t="str">
        <v>NLP78L9</v>
      </c>
      <c r="B18" s="24" t="str">
        <v>Nobel, M.H.M.</v>
      </c>
      <c r="C18" s="24" t="str">
        <v>Merle</v>
      </c>
      <c r="D18" s="24">
        <v>15</v>
      </c>
      <c r="E18" s="26">
        <v>38847</v>
      </c>
      <c r="F18" s="24" t="str">
        <v>B</v>
      </c>
      <c r="G18" s="24" t="str">
        <v>Stopt</v>
      </c>
      <c r="I18" s="24" t="str">
        <v>NKC46P6</v>
      </c>
      <c r="J18" s="24" t="str">
        <v>Wall, van der J.</v>
      </c>
      <c r="K18" s="24" t="str">
        <v>Jeffrey</v>
      </c>
      <c r="L18" s="24">
        <v>21</v>
      </c>
      <c r="M18" s="26">
        <v>36664</v>
      </c>
      <c r="N18" s="24" t="str">
        <v>Sen</v>
      </c>
      <c r="O18" s="24" t="str">
        <v>Stopt</v>
      </c>
    </row>
    <row r="19" spans="1:15">
      <c r="A19" s="24" t="str">
        <v>NMC85Q4</v>
      </c>
      <c r="B19" s="24" t="str">
        <v>Oostlander, E.P.</v>
      </c>
      <c r="C19" s="24" t="str">
        <v>Elise</v>
      </c>
      <c r="D19" s="24">
        <v>19</v>
      </c>
      <c r="E19" s="26">
        <v>37494</v>
      </c>
      <c r="F19" s="24" t="str">
        <v>Sen</v>
      </c>
      <c r="G19" s="24" t="str">
        <v>Stopt</v>
      </c>
      <c r="I19" s="24"/>
      <c r="J19" s="24"/>
      <c r="K19" s="24"/>
      <c r="L19" s="24"/>
      <c r="M19" s="26"/>
      <c r="N19" s="24"/>
      <c r="O19" s="24"/>
    </row>
    <row r="20" spans="1:15">
      <c r="A20" s="24" t="str">
        <v>NKS24S7</v>
      </c>
      <c r="B20" s="24" t="str">
        <v>Rasul, B.</v>
      </c>
      <c r="C20" s="24" t="str">
        <v>Bahar</v>
      </c>
      <c r="D20" s="24">
        <v>9</v>
      </c>
      <c r="E20" s="26">
        <v>41152</v>
      </c>
      <c r="F20" s="24" t="str">
        <v>E</v>
      </c>
      <c r="G20" s="24" t="str">
        <v>Stopt</v>
      </c>
      <c r="I20" s="24"/>
      <c r="J20" s="24"/>
      <c r="K20" s="24"/>
      <c r="L20" s="24"/>
      <c r="M20" s="26"/>
      <c r="N20" s="24"/>
      <c r="O20" s="24"/>
    </row>
    <row r="21" spans="1:15">
      <c r="A21" s="24" t="str">
        <v>NKR24N1</v>
      </c>
      <c r="B21" s="24" t="str">
        <v>Rijkers, I.B.</v>
      </c>
      <c r="C21" s="24" t="str">
        <v>Ilse</v>
      </c>
      <c r="D21" s="24">
        <v>15</v>
      </c>
      <c r="E21" s="26">
        <v>38820</v>
      </c>
      <c r="F21" s="24" t="str">
        <v>B</v>
      </c>
      <c r="G21" s="24" t="str">
        <v>Stopt</v>
      </c>
      <c r="I21" s="24"/>
      <c r="J21" s="24"/>
      <c r="K21" s="24"/>
      <c r="L21" s="24"/>
      <c r="M21" s="26"/>
      <c r="N21" s="24"/>
      <c r="O21" s="24"/>
    </row>
    <row r="22" spans="1:15">
      <c r="A22" s="24" t="str">
        <v>NLZ81W0</v>
      </c>
      <c r="B22" s="24" t="str">
        <v>Robbemond, J.</v>
      </c>
      <c r="C22" s="24" t="str">
        <v>Jente</v>
      </c>
      <c r="D22" s="24">
        <v>13</v>
      </c>
      <c r="E22" s="26">
        <v>39709</v>
      </c>
      <c r="F22" s="24" t="str">
        <v>C</v>
      </c>
      <c r="G22" s="24" t="str">
        <v>Stopt</v>
      </c>
      <c r="I22" s="24"/>
      <c r="J22" s="24"/>
      <c r="K22" s="24"/>
      <c r="L22" s="24"/>
      <c r="M22" s="26"/>
      <c r="N22" s="24"/>
      <c r="O22" s="24"/>
    </row>
    <row r="23" spans="1:15">
      <c r="A23" s="24" t="str">
        <v>NLL19T4</v>
      </c>
      <c r="B23" s="24" t="str">
        <v>Seijner, F.C.</v>
      </c>
      <c r="C23" s="24" t="str">
        <v>Fabiënne</v>
      </c>
      <c r="D23" s="24">
        <v>18</v>
      </c>
      <c r="E23" s="26">
        <v>37673</v>
      </c>
      <c r="F23" s="24" t="str">
        <v>A</v>
      </c>
      <c r="G23" s="24" t="str">
        <v>Stopt</v>
      </c>
      <c r="I23" s="24"/>
      <c r="J23" s="24"/>
      <c r="K23" s="24"/>
      <c r="L23" s="24"/>
      <c r="M23" s="26"/>
      <c r="N23" s="24"/>
      <c r="O23" s="24"/>
    </row>
    <row r="24" spans="1:15">
      <c r="A24" s="24" t="str">
        <v>NKQ14R3</v>
      </c>
      <c r="B24" s="24" t="str">
        <v>Spijk, van J.M.</v>
      </c>
      <c r="C24" s="24" t="str">
        <v>Jikke</v>
      </c>
      <c r="D24" s="24">
        <v>18</v>
      </c>
      <c r="E24" s="26">
        <v>37868</v>
      </c>
      <c r="F24" s="24" t="str">
        <v>A</v>
      </c>
      <c r="G24" s="24" t="str">
        <v>Stopt</v>
      </c>
      <c r="I24" s="24"/>
      <c r="J24" s="24"/>
      <c r="K24" s="24"/>
      <c r="L24" s="24"/>
      <c r="M24" s="26"/>
      <c r="N24" s="24"/>
      <c r="O24" s="24"/>
    </row>
    <row r="25" spans="1:15">
      <c r="A25" s="24" t="str">
        <v>NKQ13Q3</v>
      </c>
      <c r="B25" s="24" t="str">
        <v>Temme, J.</v>
      </c>
      <c r="C25" s="24" t="str">
        <v>Judith</v>
      </c>
      <c r="D25" s="24">
        <v>19</v>
      </c>
      <c r="E25" s="26">
        <v>37448</v>
      </c>
      <c r="F25" s="24" t="str">
        <v>Sen</v>
      </c>
      <c r="G25" s="24" t="str">
        <v>Stopt</v>
      </c>
      <c r="I25" s="24"/>
      <c r="J25" s="24"/>
      <c r="K25" s="24"/>
      <c r="L25" s="24"/>
      <c r="M25" s="26"/>
      <c r="N25" s="24"/>
      <c r="O25" s="24"/>
    </row>
    <row r="26" spans="1:15">
      <c r="A26" s="24" t="str">
        <v>NKX36X8</v>
      </c>
      <c r="B26" s="24" t="str">
        <v>Tijssen, N.</v>
      </c>
      <c r="C26" s="24" t="str">
        <v>Naomi</v>
      </c>
      <c r="D26" s="24">
        <v>10</v>
      </c>
      <c r="E26" s="26">
        <v>40660</v>
      </c>
      <c r="F26" s="24" t="str">
        <v>D</v>
      </c>
      <c r="G26" s="24" t="str">
        <v>Stopt</v>
      </c>
      <c r="I26" s="24"/>
      <c r="J26" s="24"/>
      <c r="K26" s="24"/>
      <c r="L26" s="24"/>
      <c r="M26" s="26"/>
      <c r="N26" s="24"/>
      <c r="O26" s="24"/>
    </row>
    <row r="27" spans="1:15">
      <c r="A27" s="24" t="str">
        <v>NLP78N3</v>
      </c>
      <c r="B27" s="24" t="str">
        <v>Timmer, E.</v>
      </c>
      <c r="C27" s="24" t="str">
        <v>Edith</v>
      </c>
      <c r="D27" s="24">
        <v>15</v>
      </c>
      <c r="E27" s="26">
        <v>38929</v>
      </c>
      <c r="F27" s="24" t="str">
        <v>B</v>
      </c>
      <c r="G27" s="24" t="str">
        <v>Stopt</v>
      </c>
      <c r="I27" s="24"/>
      <c r="J27" s="24"/>
      <c r="K27" s="24"/>
      <c r="L27" s="24"/>
      <c r="M27" s="26"/>
      <c r="N27" s="24"/>
      <c r="O27" s="24"/>
    </row>
    <row r="28" spans="1:15">
      <c r="A28" s="24" t="str">
        <v>NKD20B1</v>
      </c>
      <c r="B28" s="24" t="str">
        <v>Verkerke, J.D.</v>
      </c>
      <c r="C28" s="24" t="str">
        <v>Julia</v>
      </c>
      <c r="D28" s="24">
        <v>15</v>
      </c>
      <c r="E28" s="26">
        <v>39044</v>
      </c>
      <c r="F28" s="24" t="str">
        <v>B</v>
      </c>
      <c r="G28" s="24" t="str">
        <v>Stopt</v>
      </c>
      <c r="I28" s="24"/>
      <c r="J28" s="24"/>
      <c r="K28" s="24"/>
      <c r="L28" s="24"/>
      <c r="M28" s="26"/>
      <c r="N28" s="24"/>
      <c r="O28" s="24"/>
    </row>
    <row r="29" spans="1:15">
      <c r="A29" s="24" t="str">
        <v>NLS76C3</v>
      </c>
      <c r="B29" s="24" t="str">
        <v>Visser-Michelsen, D.</v>
      </c>
      <c r="C29" s="24" t="str">
        <v>Diana</v>
      </c>
      <c r="D29" s="24">
        <v>29</v>
      </c>
      <c r="E29" s="26">
        <v>33777</v>
      </c>
      <c r="F29" s="24" t="str">
        <v>Sen</v>
      </c>
      <c r="G29" s="24" t="str">
        <v>Stopt</v>
      </c>
      <c r="I29" s="24"/>
      <c r="J29" s="24"/>
      <c r="K29" s="24"/>
      <c r="L29" s="24"/>
      <c r="M29" s="26"/>
      <c r="N29" s="24"/>
      <c r="O29" s="24"/>
    </row>
    <row r="30" spans="1:15">
      <c r="A30" t="str">
        <v>NFW15S4</v>
      </c>
      <c r="B30" t="str">
        <v>Volker, K.N.N.</v>
      </c>
      <c r="C30" t="str">
        <v>Karlijn</v>
      </c>
      <c r="D30">
        <v>16</v>
      </c>
      <c r="E30" s="1">
        <v>38417</v>
      </c>
      <c r="F30" t="str">
        <v>A</v>
      </c>
      <c r="G30" t="str">
        <v>Stopt</v>
      </c>
    </row>
    <row r="31" spans="1:15">
      <c r="A31" t="str">
        <v>NJQ72J4</v>
      </c>
      <c r="B31" t="str">
        <v>Voorbij, L.L.</v>
      </c>
      <c r="C31" t="str">
        <v>Lova</v>
      </c>
      <c r="D31">
        <v>9</v>
      </c>
      <c r="E31" s="1">
        <v>41174</v>
      </c>
      <c r="F31" t="str">
        <v>E</v>
      </c>
      <c r="G31" t="str">
        <v>Stopt</v>
      </c>
    </row>
    <row r="32" spans="1:15">
      <c r="A32" t="str">
        <v>NMN23N8</v>
      </c>
      <c r="B32" t="str">
        <v>Wijngaarden, van D.N.</v>
      </c>
      <c r="C32" t="str">
        <v>Dagmar</v>
      </c>
      <c r="D32">
        <v>20</v>
      </c>
      <c r="E32" s="1">
        <v>37177</v>
      </c>
      <c r="F32" t="str">
        <v>Sen</v>
      </c>
      <c r="G32" t="str">
        <v>Stopt</v>
      </c>
    </row>
    <row r="33" spans="1:7">
      <c r="A33" t="str">
        <v>NMN23K7</v>
      </c>
      <c r="B33" t="str">
        <v>Wijnstekers, I.</v>
      </c>
      <c r="C33" t="str">
        <v>Isis</v>
      </c>
      <c r="D33">
        <v>18</v>
      </c>
      <c r="E33" s="1">
        <v>37960</v>
      </c>
      <c r="F33" t="str">
        <v>A</v>
      </c>
      <c r="G33" t="str">
        <v>Stopt</v>
      </c>
    </row>
    <row r="34" spans="1:7">
      <c r="A34" t="str">
        <v>NMN14R4</v>
      </c>
      <c r="B34" t="str">
        <v>Zwoll, van S.</v>
      </c>
      <c r="C34" t="str">
        <v>Simone</v>
      </c>
      <c r="D34">
        <v>27</v>
      </c>
      <c r="E34" s="1">
        <v>34635</v>
      </c>
      <c r="F34" t="str">
        <v>Sen</v>
      </c>
      <c r="G34" t="str">
        <v>Stopt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24C7-B070-4E24-AC8F-FE4A64B46F3D}">
  <sheetPr>
    <tabColor theme="5"/>
  </sheetPr>
  <dimension ref="A1:O29"/>
  <sheetViews>
    <sheetView workbookViewId="0">
      <selection activeCell="O2" sqref="O2"/>
    </sheetView>
  </sheetViews>
  <sheetFormatPr defaultRowHeight="15"/>
  <cols>
    <col min="1" max="1" width="9.7109375" bestFit="1" customWidth="1"/>
    <col min="2" max="2" width="21" bestFit="1" customWidth="1"/>
    <col min="3" max="3" width="10.28515625" bestFit="1" customWidth="1"/>
    <col min="4" max="4" width="15.42578125" customWidth="1"/>
    <col min="5" max="5" width="10.7109375" style="1" bestFit="1" customWidth="1"/>
    <col min="6" max="6" width="18.42578125" bestFit="1" customWidth="1"/>
    <col min="7" max="7" width="13.7109375" bestFit="1" customWidth="1"/>
    <col min="9" max="9" width="10" bestFit="1" customWidth="1"/>
    <col min="10" max="10" width="16.7109375" bestFit="1" customWidth="1"/>
    <col min="11" max="11" width="10.28515625" bestFit="1" customWidth="1"/>
    <col min="12" max="12" width="17.7109375" bestFit="1" customWidth="1"/>
    <col min="13" max="13" width="10.7109375" style="1" bestFit="1" customWidth="1"/>
    <col min="14" max="14" width="18.42578125" bestFit="1" customWidth="1"/>
    <col min="15" max="15" width="13.7109375" bestFit="1" customWidth="1"/>
  </cols>
  <sheetData>
    <row r="1" spans="1:15">
      <c r="A1" s="23" t="s">
        <v>52</v>
      </c>
      <c r="B1" s="23" t="s">
        <v>53</v>
      </c>
      <c r="C1" s="23" t="s">
        <v>54</v>
      </c>
      <c r="D1" s="23" t="s">
        <v>55</v>
      </c>
      <c r="E1" s="25" t="s">
        <v>56</v>
      </c>
      <c r="F1" s="23" t="s">
        <v>57</v>
      </c>
      <c r="G1" s="23" t="s">
        <v>58</v>
      </c>
      <c r="I1" s="11" t="s">
        <v>52</v>
      </c>
      <c r="J1" s="11" t="s">
        <v>53</v>
      </c>
      <c r="K1" s="11" t="s">
        <v>54</v>
      </c>
      <c r="L1" s="11" t="s">
        <v>55</v>
      </c>
      <c r="M1" s="27" t="s">
        <v>56</v>
      </c>
      <c r="N1" s="11" t="s">
        <v>57</v>
      </c>
      <c r="O1" s="11" t="s">
        <v>58</v>
      </c>
    </row>
    <row r="2" spans="1:15">
      <c r="A2" s="24" t="str" cm="1">
        <f t="array" ref="A2">_xlfn._xlws.FILTER(Spelerslijst!A:A,Spelerslijst!$G:$G="?","")</f>
        <v/>
      </c>
      <c r="B2" s="24" t="str" cm="1">
        <f t="array" ref="B2">_xlfn._xlws.FILTER(Spelerslijst!B:B,Spelerslijst!$G:$G="?","")</f>
        <v/>
      </c>
      <c r="C2" s="24" t="str" cm="1">
        <f t="array" ref="C2">_xlfn._xlws.FILTER(Spelerslijst!C:C,Spelerslijst!$G:$G="?","")</f>
        <v/>
      </c>
      <c r="D2" s="24" t="str" cm="1">
        <f t="array" ref="D2">_xlfn._xlws.FILTER(Spelerslijst!D:D,Spelerslijst!$G:$G="?","")</f>
        <v/>
      </c>
      <c r="E2" s="24" t="str" cm="1">
        <f t="array" ref="E2">_xlfn._xlws.FILTER(Spelerslijst!E:E,Spelerslijst!$G:$G="?","")</f>
        <v/>
      </c>
      <c r="F2" s="24" t="str" cm="1">
        <f t="array" ref="F2">_xlfn._xlws.FILTER(Spelerslijst!F:F,Spelerslijst!$G:$G="?","")</f>
        <v/>
      </c>
      <c r="G2" s="24" t="str" cm="1">
        <f t="array" ref="G2">_xlfn._xlws.FILTER(Spelerslijst!G:G,Spelerslijst!$G:$G="?","")</f>
        <v/>
      </c>
      <c r="I2" s="24" t="str" cm="1">
        <f t="array" ref="I2">_xlfn._xlws.FILTER(Spelerslijst!J:J,Spelerslijst!$P:$P="?","")</f>
        <v/>
      </c>
      <c r="J2" s="24" t="str" cm="1">
        <f t="array" ref="J2">_xlfn._xlws.FILTER(Spelerslijst!K:K,Spelerslijst!$P:$P="?","")</f>
        <v/>
      </c>
      <c r="K2" s="24" t="str" cm="1">
        <f t="array" ref="K2">_xlfn._xlws.FILTER(Spelerslijst!L:L,Spelerslijst!$P:$P="?","")</f>
        <v/>
      </c>
      <c r="L2" s="24" t="str" cm="1">
        <f t="array" ref="L2">_xlfn._xlws.FILTER(Spelerslijst!M:M,Spelerslijst!$P:$P="?","")</f>
        <v/>
      </c>
      <c r="M2" s="24" t="str" cm="1">
        <f t="array" ref="M2">_xlfn._xlws.FILTER(Spelerslijst!N:N,Spelerslijst!$P:$P="?","")</f>
        <v/>
      </c>
      <c r="N2" s="24" t="str" cm="1">
        <f t="array" ref="N2">_xlfn._xlws.FILTER(Spelerslijst!O:O,Spelerslijst!$P:$P="?","")</f>
        <v/>
      </c>
      <c r="O2" s="24" t="str" cm="1">
        <f t="array" ref="O2">_xlfn._xlws.FILTER(Spelerslijst!P:P,Spelerslijst!$P:$P="?","")</f>
        <v/>
      </c>
    </row>
    <row r="3" spans="1:15">
      <c r="A3" s="24"/>
      <c r="B3" s="24"/>
      <c r="C3" s="24"/>
      <c r="D3" s="24"/>
      <c r="E3" s="26"/>
      <c r="F3" s="24"/>
      <c r="G3" s="24"/>
      <c r="I3" s="24"/>
      <c r="J3" s="24"/>
      <c r="K3" s="24"/>
      <c r="L3" s="24"/>
      <c r="M3" s="26"/>
      <c r="N3" s="24"/>
      <c r="O3" s="24"/>
    </row>
    <row r="4" spans="1:15">
      <c r="A4" s="24"/>
      <c r="B4" s="24"/>
      <c r="C4" s="24"/>
      <c r="D4" s="24"/>
      <c r="E4" s="26"/>
      <c r="F4" s="24"/>
      <c r="G4" s="24"/>
      <c r="I4" s="24"/>
      <c r="J4" s="24"/>
      <c r="K4" s="24"/>
      <c r="L4" s="24"/>
      <c r="M4" s="26"/>
      <c r="N4" s="24"/>
      <c r="O4" s="24"/>
    </row>
    <row r="5" spans="1:15">
      <c r="A5" s="24"/>
      <c r="B5" s="24"/>
      <c r="C5" s="24"/>
      <c r="D5" s="24"/>
      <c r="E5" s="26"/>
      <c r="F5" s="24"/>
      <c r="G5" s="24"/>
      <c r="I5" s="24"/>
      <c r="J5" s="24"/>
      <c r="K5" s="24"/>
      <c r="L5" s="24"/>
      <c r="M5" s="26"/>
      <c r="N5" s="24"/>
      <c r="O5" s="24"/>
    </row>
    <row r="6" spans="1:15">
      <c r="A6" s="24"/>
      <c r="B6" s="24"/>
      <c r="C6" s="24"/>
      <c r="D6" s="24"/>
      <c r="E6" s="26"/>
      <c r="F6" s="24"/>
      <c r="G6" s="24"/>
      <c r="I6" s="24"/>
      <c r="J6" s="24"/>
      <c r="K6" s="24"/>
      <c r="L6" s="24"/>
      <c r="M6" s="26"/>
      <c r="N6" s="24"/>
      <c r="O6" s="24"/>
    </row>
    <row r="7" spans="1:15">
      <c r="A7" s="24"/>
      <c r="B7" s="24"/>
      <c r="C7" s="24"/>
      <c r="D7" s="24"/>
      <c r="E7" s="26"/>
      <c r="F7" s="24"/>
      <c r="G7" s="24"/>
      <c r="I7" s="24"/>
      <c r="J7" s="24"/>
      <c r="K7" s="24"/>
      <c r="L7" s="24"/>
      <c r="M7" s="26"/>
      <c r="N7" s="24"/>
      <c r="O7" s="24"/>
    </row>
    <row r="8" spans="1:15">
      <c r="A8" s="24"/>
      <c r="B8" s="24"/>
      <c r="C8" s="24"/>
      <c r="D8" s="24"/>
      <c r="E8" s="26"/>
      <c r="F8" s="24"/>
      <c r="G8" s="24"/>
      <c r="I8" s="24"/>
      <c r="J8" s="24"/>
      <c r="K8" s="24"/>
      <c r="L8" s="24"/>
      <c r="M8" s="26"/>
      <c r="N8" s="24"/>
      <c r="O8" s="24"/>
    </row>
    <row r="9" spans="1:15">
      <c r="A9" s="24"/>
      <c r="B9" s="24"/>
      <c r="C9" s="24"/>
      <c r="D9" s="24"/>
      <c r="E9" s="26"/>
      <c r="F9" s="24"/>
      <c r="G9" s="24"/>
      <c r="I9" s="24"/>
      <c r="J9" s="24"/>
      <c r="K9" s="24"/>
      <c r="L9" s="24"/>
      <c r="M9" s="26"/>
      <c r="N9" s="24"/>
      <c r="O9" s="24"/>
    </row>
    <row r="10" spans="1:15">
      <c r="A10" s="24"/>
      <c r="B10" s="24"/>
      <c r="C10" s="24"/>
      <c r="D10" s="24"/>
      <c r="E10" s="26"/>
      <c r="F10" s="24"/>
      <c r="G10" s="24"/>
      <c r="I10" s="24"/>
      <c r="J10" s="24"/>
      <c r="K10" s="24"/>
      <c r="L10" s="24"/>
      <c r="M10" s="26"/>
      <c r="N10" s="24"/>
      <c r="O10" s="24"/>
    </row>
    <row r="11" spans="1:15">
      <c r="A11" s="24"/>
      <c r="B11" s="24"/>
      <c r="C11" s="24"/>
      <c r="D11" s="24"/>
      <c r="E11" s="26"/>
      <c r="F11" s="24"/>
      <c r="G11" s="24"/>
      <c r="I11" s="24"/>
      <c r="J11" s="24"/>
      <c r="K11" s="24"/>
      <c r="L11" s="24"/>
      <c r="M11" s="26"/>
      <c r="N11" s="24"/>
      <c r="O11" s="24"/>
    </row>
    <row r="12" spans="1:15">
      <c r="A12" s="24"/>
      <c r="B12" s="24"/>
      <c r="C12" s="24"/>
      <c r="D12" s="24"/>
      <c r="E12" s="26"/>
      <c r="F12" s="24"/>
      <c r="G12" s="24"/>
      <c r="I12" s="24"/>
      <c r="J12" s="24"/>
      <c r="K12" s="24"/>
      <c r="L12" s="24"/>
      <c r="M12" s="26"/>
      <c r="N12" s="24"/>
      <c r="O12" s="24"/>
    </row>
    <row r="13" spans="1:15">
      <c r="A13" s="24"/>
      <c r="B13" s="24"/>
      <c r="C13" s="24"/>
      <c r="D13" s="24"/>
      <c r="E13" s="26"/>
      <c r="F13" s="24"/>
      <c r="G13" s="24"/>
      <c r="I13" s="24"/>
      <c r="J13" s="24"/>
      <c r="K13" s="24"/>
      <c r="L13" s="24"/>
      <c r="M13" s="26"/>
      <c r="N13" s="24"/>
      <c r="O13" s="24"/>
    </row>
    <row r="14" spans="1:15">
      <c r="A14" s="24"/>
      <c r="B14" s="24"/>
      <c r="C14" s="24"/>
      <c r="D14" s="24"/>
      <c r="E14" s="26"/>
      <c r="F14" s="24"/>
      <c r="G14" s="24"/>
      <c r="I14" s="24"/>
      <c r="J14" s="24"/>
      <c r="K14" s="24"/>
      <c r="L14" s="24"/>
      <c r="M14" s="26"/>
      <c r="N14" s="24"/>
      <c r="O14" s="24"/>
    </row>
    <row r="15" spans="1:15">
      <c r="A15" s="24"/>
      <c r="B15" s="24"/>
      <c r="C15" s="24"/>
      <c r="D15" s="24"/>
      <c r="E15" s="26"/>
      <c r="F15" s="24"/>
      <c r="G15" s="24"/>
      <c r="I15" s="24"/>
      <c r="J15" s="24"/>
      <c r="K15" s="24"/>
      <c r="L15" s="24"/>
      <c r="M15" s="26"/>
      <c r="N15" s="24"/>
      <c r="O15" s="24"/>
    </row>
    <row r="16" spans="1:15">
      <c r="A16" s="24"/>
      <c r="B16" s="24"/>
      <c r="C16" s="24"/>
      <c r="D16" s="24"/>
      <c r="E16" s="26"/>
      <c r="F16" s="24"/>
      <c r="G16" s="24"/>
      <c r="I16" s="24"/>
      <c r="J16" s="24"/>
      <c r="K16" s="24"/>
      <c r="L16" s="24"/>
      <c r="M16" s="26"/>
      <c r="N16" s="24"/>
      <c r="O16" s="24"/>
    </row>
    <row r="17" spans="1:15">
      <c r="A17" s="24"/>
      <c r="B17" s="24"/>
      <c r="C17" s="24"/>
      <c r="D17" s="24"/>
      <c r="E17" s="26"/>
      <c r="F17" s="24"/>
      <c r="G17" s="24"/>
      <c r="I17" s="24"/>
      <c r="J17" s="24"/>
      <c r="K17" s="24"/>
      <c r="L17" s="24"/>
      <c r="M17" s="26"/>
      <c r="N17" s="24"/>
      <c r="O17" s="24"/>
    </row>
    <row r="18" spans="1:15">
      <c r="A18" s="24"/>
      <c r="B18" s="24"/>
      <c r="C18" s="24"/>
      <c r="D18" s="24"/>
      <c r="E18" s="26"/>
      <c r="F18" s="24"/>
      <c r="G18" s="24"/>
      <c r="I18" s="24"/>
      <c r="J18" s="24"/>
      <c r="K18" s="24"/>
      <c r="L18" s="24"/>
      <c r="M18" s="26"/>
      <c r="N18" s="24"/>
      <c r="O18" s="24"/>
    </row>
    <row r="19" spans="1:15">
      <c r="A19" s="24"/>
      <c r="B19" s="24"/>
      <c r="C19" s="24"/>
      <c r="D19" s="24"/>
      <c r="E19" s="26"/>
      <c r="F19" s="24"/>
      <c r="G19" s="24"/>
      <c r="I19" s="24"/>
      <c r="J19" s="24"/>
      <c r="K19" s="24"/>
      <c r="L19" s="24"/>
      <c r="M19" s="26"/>
      <c r="N19" s="24"/>
      <c r="O19" s="24"/>
    </row>
    <row r="20" spans="1:15">
      <c r="A20" s="24"/>
      <c r="B20" s="24"/>
      <c r="C20" s="24"/>
      <c r="D20" s="24"/>
      <c r="E20" s="26"/>
      <c r="F20" s="24"/>
      <c r="G20" s="24"/>
      <c r="I20" s="24"/>
      <c r="J20" s="24"/>
      <c r="K20" s="24"/>
      <c r="L20" s="24"/>
      <c r="M20" s="26"/>
      <c r="N20" s="24"/>
      <c r="O20" s="24"/>
    </row>
    <row r="21" spans="1:15">
      <c r="A21" s="24"/>
      <c r="B21" s="24"/>
      <c r="C21" s="24"/>
      <c r="D21" s="24"/>
      <c r="E21" s="26"/>
      <c r="F21" s="24"/>
      <c r="G21" s="24"/>
      <c r="I21" s="24"/>
      <c r="J21" s="24"/>
      <c r="K21" s="24"/>
      <c r="L21" s="24"/>
      <c r="M21" s="26"/>
      <c r="N21" s="24"/>
      <c r="O21" s="24"/>
    </row>
    <row r="22" spans="1:15">
      <c r="A22" s="24"/>
      <c r="B22" s="24"/>
      <c r="C22" s="24"/>
      <c r="D22" s="24"/>
      <c r="E22" s="26"/>
      <c r="F22" s="24"/>
      <c r="G22" s="24"/>
      <c r="I22" s="24"/>
      <c r="J22" s="24"/>
      <c r="K22" s="24"/>
      <c r="L22" s="24"/>
      <c r="M22" s="26"/>
      <c r="N22" s="24"/>
      <c r="O22" s="24"/>
    </row>
    <row r="23" spans="1:15">
      <c r="A23" s="24"/>
      <c r="B23" s="24"/>
      <c r="C23" s="24"/>
      <c r="D23" s="24"/>
      <c r="E23" s="26"/>
      <c r="F23" s="24"/>
      <c r="G23" s="24"/>
      <c r="I23" s="24"/>
      <c r="J23" s="24"/>
      <c r="K23" s="24"/>
      <c r="L23" s="24"/>
      <c r="M23" s="26"/>
      <c r="N23" s="24"/>
      <c r="O23" s="24"/>
    </row>
    <row r="24" spans="1:15">
      <c r="A24" s="24"/>
      <c r="B24" s="24"/>
      <c r="C24" s="24"/>
      <c r="D24" s="24"/>
      <c r="E24" s="26"/>
      <c r="F24" s="24"/>
      <c r="G24" s="24"/>
      <c r="I24" s="24"/>
      <c r="J24" s="24"/>
      <c r="K24" s="24"/>
      <c r="L24" s="24"/>
      <c r="M24" s="26"/>
      <c r="N24" s="24"/>
      <c r="O24" s="24"/>
    </row>
    <row r="25" spans="1:15">
      <c r="A25" s="24"/>
      <c r="B25" s="24"/>
      <c r="C25" s="24"/>
      <c r="D25" s="24"/>
      <c r="E25" s="26"/>
      <c r="F25" s="24"/>
      <c r="G25" s="24"/>
      <c r="I25" s="24"/>
      <c r="J25" s="24"/>
      <c r="K25" s="24"/>
      <c r="L25" s="24"/>
      <c r="M25" s="26"/>
      <c r="N25" s="24"/>
      <c r="O25" s="24"/>
    </row>
    <row r="26" spans="1:15">
      <c r="A26" s="24"/>
      <c r="B26" s="24"/>
      <c r="C26" s="24"/>
      <c r="D26" s="24"/>
      <c r="E26" s="26"/>
      <c r="F26" s="24"/>
      <c r="G26" s="24"/>
      <c r="I26" s="24"/>
      <c r="J26" s="24"/>
      <c r="K26" s="24"/>
      <c r="L26" s="24"/>
      <c r="M26" s="26"/>
      <c r="N26" s="24"/>
      <c r="O26" s="24"/>
    </row>
    <row r="27" spans="1:15">
      <c r="A27" s="24"/>
      <c r="B27" s="24"/>
      <c r="C27" s="24"/>
      <c r="D27" s="24"/>
      <c r="E27" s="26"/>
      <c r="F27" s="24"/>
      <c r="G27" s="24"/>
      <c r="I27" s="24"/>
      <c r="J27" s="24"/>
      <c r="K27" s="24"/>
      <c r="L27" s="24"/>
      <c r="M27" s="26"/>
      <c r="N27" s="24"/>
      <c r="O27" s="24"/>
    </row>
    <row r="28" spans="1:15">
      <c r="A28" s="24"/>
      <c r="B28" s="24"/>
      <c r="C28" s="24"/>
      <c r="D28" s="24"/>
      <c r="E28" s="26"/>
      <c r="F28" s="24"/>
      <c r="G28" s="24"/>
      <c r="I28" s="24"/>
      <c r="J28" s="24"/>
      <c r="K28" s="24"/>
      <c r="L28" s="24"/>
      <c r="M28" s="26"/>
      <c r="N28" s="24"/>
      <c r="O28" s="24"/>
    </row>
    <row r="29" spans="1:15">
      <c r="A29" s="24"/>
      <c r="B29" s="24"/>
      <c r="C29" s="24"/>
      <c r="D29" s="24"/>
      <c r="E29" s="26"/>
      <c r="F29" s="24"/>
      <c r="G29" s="24"/>
      <c r="I29" s="24"/>
      <c r="J29" s="24"/>
      <c r="K29" s="24"/>
      <c r="L29" s="24"/>
      <c r="M29" s="26"/>
      <c r="N29" s="24"/>
      <c r="O29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0BC8-9225-4A1C-80FA-9AA6FB13414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0561-E2A0-425E-A50F-AE1EBB83F46A}">
  <sheetPr>
    <tabColor theme="3"/>
  </sheetPr>
  <dimension ref="A1:X282"/>
  <sheetViews>
    <sheetView workbookViewId="0">
      <selection activeCell="D2" sqref="D2"/>
    </sheetView>
  </sheetViews>
  <sheetFormatPr defaultRowHeight="15"/>
  <cols>
    <col min="1" max="3" width="11.5703125" customWidth="1"/>
    <col min="4" max="4" width="11.5703125" bestFit="1" customWidth="1"/>
    <col min="5" max="5" width="24.28515625" bestFit="1" customWidth="1"/>
    <col min="6" max="6" width="15.28515625" bestFit="1" customWidth="1"/>
    <col min="7" max="7" width="8.5703125" bestFit="1" customWidth="1"/>
    <col min="8" max="8" width="23.85546875" bestFit="1" customWidth="1"/>
    <col min="9" max="9" width="12.42578125" bestFit="1" customWidth="1"/>
    <col min="10" max="10" width="11.28515625" bestFit="1" customWidth="1"/>
    <col min="12" max="12" width="16.28515625" bestFit="1" customWidth="1"/>
    <col min="13" max="13" width="10.28515625" bestFit="1" customWidth="1"/>
    <col min="14" max="14" width="13.140625" bestFit="1" customWidth="1"/>
    <col min="15" max="15" width="11.7109375" bestFit="1" customWidth="1"/>
    <col min="16" max="16" width="40.5703125" bestFit="1" customWidth="1"/>
    <col min="17" max="17" width="26" bestFit="1" customWidth="1"/>
    <col min="18" max="18" width="24.42578125" bestFit="1" customWidth="1"/>
    <col min="19" max="19" width="17.5703125" bestFit="1" customWidth="1"/>
    <col min="20" max="20" width="55.85546875" bestFit="1" customWidth="1"/>
    <col min="21" max="21" width="8.7109375" bestFit="1" customWidth="1"/>
    <col min="22" max="22" width="19.7109375" bestFit="1" customWidth="1"/>
    <col min="23" max="23" width="10.28515625" bestFit="1" customWidth="1"/>
    <col min="24" max="24" width="13.42578125" bestFit="1" customWidth="1"/>
  </cols>
  <sheetData>
    <row r="1" spans="1:24">
      <c r="A1" t="s">
        <v>1137</v>
      </c>
      <c r="B1" t="s">
        <v>1138</v>
      </c>
      <c r="C1" t="s">
        <v>1139</v>
      </c>
      <c r="D1" t="s">
        <v>1140</v>
      </c>
      <c r="E1" t="s">
        <v>1141</v>
      </c>
      <c r="F1" t="s">
        <v>1142</v>
      </c>
      <c r="G1" t="s">
        <v>1143</v>
      </c>
      <c r="H1" t="s">
        <v>1144</v>
      </c>
      <c r="I1" t="s">
        <v>1145</v>
      </c>
      <c r="J1" t="s">
        <v>1146</v>
      </c>
      <c r="K1" t="s">
        <v>1147</v>
      </c>
      <c r="L1" t="s">
        <v>1148</v>
      </c>
      <c r="M1" t="s">
        <v>1149</v>
      </c>
      <c r="N1" t="s">
        <v>1150</v>
      </c>
      <c r="O1" t="s">
        <v>1151</v>
      </c>
      <c r="P1" t="s">
        <v>1152</v>
      </c>
      <c r="Q1" t="s">
        <v>1153</v>
      </c>
      <c r="R1" t="s">
        <v>1154</v>
      </c>
      <c r="S1" t="s">
        <v>1155</v>
      </c>
      <c r="T1" t="s">
        <v>1156</v>
      </c>
      <c r="U1" t="s">
        <v>1157</v>
      </c>
      <c r="V1" t="s">
        <v>1158</v>
      </c>
      <c r="W1" t="s">
        <v>1159</v>
      </c>
      <c r="X1" t="s">
        <v>1160</v>
      </c>
    </row>
    <row r="2" spans="1:24">
      <c r="A2" t="b">
        <f>_xlfn.IFNA(VLOOKUP(D2,Spelerslijst!A:B,1,FALSE),FALSE)</f>
        <v>0</v>
      </c>
      <c r="B2" t="str">
        <f>_xlfn.IFNA(VLOOKUP(D2,Spelerslijst!J:K,1,FALSE),FALSE)</f>
        <v>NGT42Z3</v>
      </c>
      <c r="C2" t="str">
        <f>IF(AND(A2=FALSE,B2=FALSE),"Onbekend","")</f>
        <v/>
      </c>
      <c r="D2" t="s">
        <v>869</v>
      </c>
      <c r="E2" t="s">
        <v>1161</v>
      </c>
      <c r="F2" s="1">
        <v>33052</v>
      </c>
      <c r="G2" t="s">
        <v>1162</v>
      </c>
      <c r="H2" t="s">
        <v>1163</v>
      </c>
      <c r="I2">
        <v>73</v>
      </c>
      <c r="J2" t="s">
        <v>16</v>
      </c>
      <c r="K2" t="s">
        <v>1164</v>
      </c>
      <c r="L2" t="s">
        <v>1165</v>
      </c>
      <c r="M2" t="s">
        <v>1166</v>
      </c>
      <c r="N2" t="s">
        <v>1167</v>
      </c>
      <c r="O2" t="s">
        <v>1167</v>
      </c>
      <c r="P2" t="s">
        <v>1168</v>
      </c>
      <c r="Q2" t="s">
        <v>1169</v>
      </c>
      <c r="R2" t="s">
        <v>1170</v>
      </c>
      <c r="S2">
        <v>202</v>
      </c>
      <c r="T2" t="s">
        <v>1171</v>
      </c>
      <c r="U2" t="s">
        <v>1172</v>
      </c>
      <c r="V2" t="s">
        <v>1173</v>
      </c>
      <c r="W2" s="1">
        <v>35506</v>
      </c>
      <c r="X2" s="1">
        <v>44377</v>
      </c>
    </row>
    <row r="3" spans="1:24">
      <c r="A3" t="str">
        <f>_xlfn.IFNA(VLOOKUP(D3,Spelerslijst!A:B,1,FALSE),FALSE)</f>
        <v>NMM29Q6</v>
      </c>
      <c r="B3" t="b">
        <f>_xlfn.IFNA(VLOOKUP(D3,Spelerslijst!J:K,1,FALSE),FALSE)</f>
        <v>0</v>
      </c>
      <c r="C3" t="str">
        <f t="shared" ref="C3:C66" si="0">IF(AND(A3=FALSE,B3=FALSE),"Onbekend","")</f>
        <v/>
      </c>
      <c r="D3" t="s">
        <v>958</v>
      </c>
      <c r="E3" t="s">
        <v>803</v>
      </c>
      <c r="F3" s="1">
        <v>43083</v>
      </c>
      <c r="G3" t="s">
        <v>1174</v>
      </c>
      <c r="H3" t="s">
        <v>1175</v>
      </c>
      <c r="I3">
        <v>152</v>
      </c>
      <c r="K3" t="s">
        <v>1176</v>
      </c>
      <c r="L3" t="s">
        <v>1177</v>
      </c>
      <c r="M3" t="s">
        <v>1166</v>
      </c>
      <c r="N3" t="s">
        <v>1178</v>
      </c>
      <c r="P3" t="s">
        <v>1179</v>
      </c>
      <c r="Q3" t="s">
        <v>1180</v>
      </c>
      <c r="R3" t="s">
        <v>1181</v>
      </c>
      <c r="S3">
        <v>240</v>
      </c>
      <c r="T3" t="s">
        <v>1182</v>
      </c>
      <c r="U3" t="s">
        <v>1172</v>
      </c>
      <c r="V3" t="s">
        <v>1183</v>
      </c>
      <c r="W3" s="1">
        <v>44326</v>
      </c>
    </row>
    <row r="4" spans="1:24">
      <c r="A4" t="b">
        <f>_xlfn.IFNA(VLOOKUP(D4,Spelerslijst!A:B,1,FALSE),FALSE)</f>
        <v>0</v>
      </c>
      <c r="B4" t="str">
        <f>_xlfn.IFNA(VLOOKUP(D4,Spelerslijst!J:K,1,FALSE),FALSE)</f>
        <v>NLB70W8</v>
      </c>
      <c r="C4" t="str">
        <f t="shared" si="0"/>
        <v/>
      </c>
      <c r="D4" t="s">
        <v>656</v>
      </c>
      <c r="E4" t="s">
        <v>1184</v>
      </c>
      <c r="F4" s="1">
        <v>36683</v>
      </c>
      <c r="G4" t="s">
        <v>1162</v>
      </c>
      <c r="H4" t="s">
        <v>1185</v>
      </c>
      <c r="I4">
        <v>1</v>
      </c>
      <c r="K4" t="s">
        <v>1186</v>
      </c>
      <c r="L4" t="s">
        <v>1187</v>
      </c>
      <c r="M4" t="s">
        <v>1166</v>
      </c>
      <c r="N4" t="s">
        <v>1188</v>
      </c>
      <c r="P4" t="s">
        <v>1189</v>
      </c>
      <c r="Q4" t="s">
        <v>1190</v>
      </c>
      <c r="R4" t="s">
        <v>1170</v>
      </c>
      <c r="S4">
        <v>200</v>
      </c>
      <c r="T4" t="s">
        <v>1182</v>
      </c>
      <c r="U4" t="s">
        <v>1172</v>
      </c>
      <c r="V4" t="s">
        <v>1173</v>
      </c>
      <c r="W4" s="1">
        <v>41153</v>
      </c>
    </row>
    <row r="5" spans="1:24">
      <c r="A5" t="str">
        <f>_xlfn.IFNA(VLOOKUP(D5,Spelerslijst!A:B,1,FALSE),FALSE)</f>
        <v>NLB70X5</v>
      </c>
      <c r="B5" t="b">
        <f>_xlfn.IFNA(VLOOKUP(D5,Spelerslijst!J:K,1,FALSE),FALSE)</f>
        <v>0</v>
      </c>
      <c r="C5" t="str">
        <f t="shared" si="0"/>
        <v/>
      </c>
      <c r="D5" t="s">
        <v>429</v>
      </c>
      <c r="E5" t="s">
        <v>1191</v>
      </c>
      <c r="F5" s="1">
        <v>37541</v>
      </c>
      <c r="G5" t="s">
        <v>1174</v>
      </c>
      <c r="H5" t="s">
        <v>1185</v>
      </c>
      <c r="I5">
        <v>1</v>
      </c>
      <c r="K5" t="s">
        <v>1186</v>
      </c>
      <c r="L5" t="s">
        <v>1187</v>
      </c>
      <c r="M5" t="s">
        <v>1166</v>
      </c>
      <c r="N5" t="s">
        <v>1192</v>
      </c>
      <c r="P5" t="s">
        <v>1193</v>
      </c>
      <c r="Q5" t="s">
        <v>1190</v>
      </c>
      <c r="R5" t="s">
        <v>1170</v>
      </c>
      <c r="S5">
        <v>210</v>
      </c>
      <c r="T5" t="s">
        <v>1182</v>
      </c>
      <c r="U5" t="s">
        <v>1172</v>
      </c>
      <c r="V5" t="s">
        <v>1194</v>
      </c>
      <c r="W5" s="1">
        <v>41153</v>
      </c>
    </row>
    <row r="6" spans="1:24">
      <c r="A6" t="str">
        <f>_xlfn.IFNA(VLOOKUP(D6,Spelerslijst!A:B,1,FALSE),FALSE)</f>
        <v>NKB62K8</v>
      </c>
      <c r="B6" t="b">
        <f>_xlfn.IFNA(VLOOKUP(D6,Spelerslijst!J:K,1,FALSE),FALSE)</f>
        <v>0</v>
      </c>
      <c r="C6" t="str">
        <f t="shared" si="0"/>
        <v/>
      </c>
      <c r="D6" t="s">
        <v>491</v>
      </c>
      <c r="E6" t="s">
        <v>1195</v>
      </c>
      <c r="F6" s="1">
        <v>36385</v>
      </c>
      <c r="G6" t="s">
        <v>1174</v>
      </c>
      <c r="H6" t="s">
        <v>1196</v>
      </c>
      <c r="I6">
        <v>22</v>
      </c>
      <c r="K6" t="s">
        <v>1197</v>
      </c>
      <c r="L6" t="s">
        <v>1187</v>
      </c>
      <c r="M6" t="s">
        <v>1166</v>
      </c>
      <c r="N6" t="s">
        <v>1198</v>
      </c>
      <c r="O6" t="s">
        <v>1199</v>
      </c>
      <c r="P6" t="s">
        <v>1200</v>
      </c>
      <c r="Q6" t="s">
        <v>1190</v>
      </c>
      <c r="R6" t="s">
        <v>1170</v>
      </c>
      <c r="S6">
        <v>200</v>
      </c>
      <c r="T6" t="s">
        <v>1182</v>
      </c>
      <c r="U6" t="s">
        <v>1172</v>
      </c>
      <c r="V6" t="s">
        <v>1173</v>
      </c>
      <c r="W6" s="1">
        <v>39296</v>
      </c>
    </row>
    <row r="7" spans="1:24">
      <c r="A7" t="b">
        <f>_xlfn.IFNA(VLOOKUP(D7,Spelerslijst!A:B,1,FALSE),FALSE)</f>
        <v>0</v>
      </c>
      <c r="B7" t="str">
        <f>_xlfn.IFNA(VLOOKUP(D7,Spelerslijst!J:K,1,FALSE),FALSE)</f>
        <v>NLP77Y7</v>
      </c>
      <c r="C7" t="str">
        <f t="shared" si="0"/>
        <v/>
      </c>
      <c r="D7" t="s">
        <v>264</v>
      </c>
      <c r="E7" t="s">
        <v>1201</v>
      </c>
      <c r="F7" s="1">
        <v>38667</v>
      </c>
      <c r="G7" t="s">
        <v>1162</v>
      </c>
      <c r="H7" t="s">
        <v>1202</v>
      </c>
      <c r="I7">
        <v>11</v>
      </c>
      <c r="K7" t="s">
        <v>1203</v>
      </c>
      <c r="L7" t="s">
        <v>1187</v>
      </c>
      <c r="M7" t="s">
        <v>1166</v>
      </c>
      <c r="N7" t="s">
        <v>1204</v>
      </c>
      <c r="O7" t="s">
        <v>1205</v>
      </c>
      <c r="P7" t="s">
        <v>1206</v>
      </c>
      <c r="Q7" t="s">
        <v>1190</v>
      </c>
      <c r="R7" t="s">
        <v>1170</v>
      </c>
      <c r="S7">
        <v>220</v>
      </c>
      <c r="T7" t="s">
        <v>1182</v>
      </c>
      <c r="U7" t="s">
        <v>1172</v>
      </c>
      <c r="V7" t="s">
        <v>1207</v>
      </c>
      <c r="W7" s="1">
        <v>42248</v>
      </c>
    </row>
    <row r="8" spans="1:24">
      <c r="A8" t="str">
        <f>_xlfn.IFNA(VLOOKUP(D8,Spelerslijst!A:B,1,FALSE),FALSE)</f>
        <v>NML00R5</v>
      </c>
      <c r="B8" t="b">
        <f>_xlfn.IFNA(VLOOKUP(D8,Spelerslijst!J:K,1,FALSE),FALSE)</f>
        <v>0</v>
      </c>
      <c r="C8" t="str">
        <f t="shared" si="0"/>
        <v/>
      </c>
      <c r="D8" t="s">
        <v>178</v>
      </c>
      <c r="E8" t="s">
        <v>1208</v>
      </c>
      <c r="F8" s="1">
        <v>40373</v>
      </c>
      <c r="G8" t="s">
        <v>1174</v>
      </c>
      <c r="H8" t="s">
        <v>1209</v>
      </c>
      <c r="I8">
        <v>4</v>
      </c>
      <c r="K8" t="s">
        <v>1210</v>
      </c>
      <c r="L8" t="s">
        <v>1187</v>
      </c>
      <c r="M8" t="s">
        <v>1166</v>
      </c>
      <c r="N8" t="s">
        <v>1211</v>
      </c>
      <c r="P8" t="s">
        <v>1212</v>
      </c>
      <c r="Q8" t="s">
        <v>1190</v>
      </c>
      <c r="R8" t="s">
        <v>1170</v>
      </c>
      <c r="S8">
        <v>230</v>
      </c>
      <c r="T8" t="s">
        <v>1182</v>
      </c>
      <c r="U8" t="s">
        <v>1172</v>
      </c>
      <c r="V8" t="s">
        <v>1213</v>
      </c>
      <c r="W8" s="1">
        <v>44099</v>
      </c>
    </row>
    <row r="9" spans="1:24">
      <c r="A9" t="str">
        <f>_xlfn.IFNA(VLOOKUP(D9,Spelerslijst!A:B,1,FALSE),FALSE)</f>
        <v>NMH36F0</v>
      </c>
      <c r="B9" t="b">
        <f>_xlfn.IFNA(VLOOKUP(D9,Spelerslijst!J:K,1,FALSE),FALSE)</f>
        <v>0</v>
      </c>
      <c r="C9" t="str">
        <f t="shared" si="0"/>
        <v/>
      </c>
      <c r="D9" t="s">
        <v>976</v>
      </c>
      <c r="E9" t="s">
        <v>1214</v>
      </c>
      <c r="F9" s="1">
        <v>39427</v>
      </c>
      <c r="G9" t="s">
        <v>1174</v>
      </c>
      <c r="H9" t="s">
        <v>1215</v>
      </c>
      <c r="I9">
        <v>11</v>
      </c>
      <c r="K9" t="s">
        <v>1216</v>
      </c>
      <c r="L9" t="s">
        <v>1187</v>
      </c>
      <c r="M9" t="s">
        <v>1166</v>
      </c>
      <c r="N9" t="s">
        <v>1217</v>
      </c>
      <c r="P9" t="s">
        <v>1218</v>
      </c>
      <c r="Q9" t="s">
        <v>1190</v>
      </c>
      <c r="R9" t="s">
        <v>1170</v>
      </c>
      <c r="S9">
        <v>220</v>
      </c>
      <c r="T9" t="s">
        <v>1182</v>
      </c>
      <c r="U9" t="s">
        <v>1172</v>
      </c>
      <c r="V9" t="s">
        <v>1207</v>
      </c>
      <c r="W9" s="1">
        <v>43748</v>
      </c>
    </row>
    <row r="10" spans="1:24">
      <c r="A10" t="str">
        <f>_xlfn.IFNA(VLOOKUP(D10,Spelerslijst!A:B,1,FALSE),FALSE)</f>
        <v>NKT05Q7</v>
      </c>
      <c r="B10" t="b">
        <f>_xlfn.IFNA(VLOOKUP(D10,Spelerslijst!J:K,1,FALSE),FALSE)</f>
        <v>0</v>
      </c>
      <c r="C10" t="str">
        <f t="shared" si="0"/>
        <v/>
      </c>
      <c r="D10" t="s">
        <v>735</v>
      </c>
      <c r="E10" t="s">
        <v>1219</v>
      </c>
      <c r="F10" s="1">
        <v>37494</v>
      </c>
      <c r="G10" t="s">
        <v>1174</v>
      </c>
      <c r="H10" t="s">
        <v>1220</v>
      </c>
      <c r="I10">
        <v>14</v>
      </c>
      <c r="K10" t="s">
        <v>1221</v>
      </c>
      <c r="L10" t="s">
        <v>1187</v>
      </c>
      <c r="M10" t="s">
        <v>1166</v>
      </c>
      <c r="N10" t="s">
        <v>1222</v>
      </c>
      <c r="O10" t="s">
        <v>1223</v>
      </c>
      <c r="P10" t="s">
        <v>1224</v>
      </c>
      <c r="Q10" t="s">
        <v>1169</v>
      </c>
      <c r="R10" t="s">
        <v>1170</v>
      </c>
      <c r="S10">
        <v>210</v>
      </c>
      <c r="T10" t="s">
        <v>1182</v>
      </c>
      <c r="U10" t="s">
        <v>1172</v>
      </c>
      <c r="V10" t="s">
        <v>1194</v>
      </c>
      <c r="W10" s="1">
        <v>40452</v>
      </c>
      <c r="X10" s="1">
        <v>44377</v>
      </c>
    </row>
    <row r="11" spans="1:24">
      <c r="A11" t="str">
        <f>_xlfn.IFNA(VLOOKUP(D11,Spelerslijst!A:B,1,FALSE),FALSE)</f>
        <v>NKJ95M4</v>
      </c>
      <c r="B11" t="b">
        <f>_xlfn.IFNA(VLOOKUP(D11,Spelerslijst!J:K,1,FALSE),FALSE)</f>
        <v>0</v>
      </c>
      <c r="C11" t="str">
        <f t="shared" si="0"/>
        <v/>
      </c>
      <c r="D11" t="s">
        <v>232</v>
      </c>
      <c r="E11" t="s">
        <v>1225</v>
      </c>
      <c r="F11" s="1">
        <v>37624</v>
      </c>
      <c r="G11" t="s">
        <v>1174</v>
      </c>
      <c r="H11" t="s">
        <v>1226</v>
      </c>
      <c r="I11">
        <v>38</v>
      </c>
      <c r="K11" t="s">
        <v>1227</v>
      </c>
      <c r="L11" t="s">
        <v>1187</v>
      </c>
      <c r="M11" t="s">
        <v>1166</v>
      </c>
      <c r="N11" t="s">
        <v>1228</v>
      </c>
      <c r="O11" t="s">
        <v>1229</v>
      </c>
      <c r="P11" t="s">
        <v>1230</v>
      </c>
      <c r="Q11" t="s">
        <v>1190</v>
      </c>
      <c r="R11" t="s">
        <v>1170</v>
      </c>
      <c r="S11">
        <v>210</v>
      </c>
      <c r="T11" t="s">
        <v>1182</v>
      </c>
      <c r="U11" t="s">
        <v>1172</v>
      </c>
      <c r="V11" t="s">
        <v>1194</v>
      </c>
      <c r="W11" s="1">
        <v>39753</v>
      </c>
    </row>
    <row r="12" spans="1:24">
      <c r="A12" t="str">
        <f>_xlfn.IFNA(VLOOKUP(D12,Spelerslijst!A:B,1,FALSE),FALSE)</f>
        <v>NJK34W5</v>
      </c>
      <c r="B12" t="b">
        <f>_xlfn.IFNA(VLOOKUP(D12,Spelerslijst!J:K,1,FALSE),FALSE)</f>
        <v>0</v>
      </c>
      <c r="C12" t="str">
        <f t="shared" si="0"/>
        <v/>
      </c>
      <c r="D12" t="s">
        <v>759</v>
      </c>
      <c r="E12" t="s">
        <v>1231</v>
      </c>
      <c r="F12" s="1">
        <v>31732</v>
      </c>
      <c r="G12" t="s">
        <v>1174</v>
      </c>
      <c r="H12" t="s">
        <v>1232</v>
      </c>
      <c r="I12">
        <v>14</v>
      </c>
      <c r="K12" t="s">
        <v>1233</v>
      </c>
      <c r="L12" t="s">
        <v>1187</v>
      </c>
      <c r="M12" t="s">
        <v>1166</v>
      </c>
      <c r="N12" t="s">
        <v>1234</v>
      </c>
      <c r="P12" t="s">
        <v>1235</v>
      </c>
      <c r="Q12" t="s">
        <v>1190</v>
      </c>
      <c r="R12" t="s">
        <v>1170</v>
      </c>
      <c r="S12">
        <v>200</v>
      </c>
      <c r="T12" t="s">
        <v>1182</v>
      </c>
      <c r="U12" t="s">
        <v>1172</v>
      </c>
      <c r="V12" t="s">
        <v>1173</v>
      </c>
      <c r="W12" s="1">
        <v>42461</v>
      </c>
    </row>
    <row r="13" spans="1:24">
      <c r="A13" t="b">
        <f>_xlfn.IFNA(VLOOKUP(D13,Spelerslijst!A:B,1,FALSE),FALSE)</f>
        <v>0</v>
      </c>
      <c r="B13" t="str">
        <f>_xlfn.IFNA(VLOOKUP(D13,Spelerslijst!J:K,1,FALSE),FALSE)</f>
        <v>NKW21L3</v>
      </c>
      <c r="C13" t="str">
        <f t="shared" si="0"/>
        <v/>
      </c>
      <c r="D13" t="s">
        <v>897</v>
      </c>
      <c r="E13" t="s">
        <v>1236</v>
      </c>
      <c r="F13" s="1">
        <v>38317</v>
      </c>
      <c r="G13" t="s">
        <v>1162</v>
      </c>
      <c r="H13" t="s">
        <v>1237</v>
      </c>
      <c r="I13">
        <v>22</v>
      </c>
      <c r="K13" t="s">
        <v>1238</v>
      </c>
      <c r="L13" t="s">
        <v>1187</v>
      </c>
      <c r="M13" t="s">
        <v>1166</v>
      </c>
      <c r="N13" t="s">
        <v>1239</v>
      </c>
      <c r="O13" t="s">
        <v>1240</v>
      </c>
      <c r="P13" t="s">
        <v>1241</v>
      </c>
      <c r="Q13" t="s">
        <v>1169</v>
      </c>
      <c r="R13" t="s">
        <v>1170</v>
      </c>
      <c r="S13">
        <v>210</v>
      </c>
      <c r="T13" t="s">
        <v>1182</v>
      </c>
      <c r="U13" t="s">
        <v>1172</v>
      </c>
      <c r="V13" t="s">
        <v>1194</v>
      </c>
      <c r="W13" s="1">
        <v>40787</v>
      </c>
      <c r="X13" s="1">
        <v>44377</v>
      </c>
    </row>
    <row r="14" spans="1:24">
      <c r="A14" t="str">
        <f>_xlfn.IFNA(VLOOKUP(D14,Spelerslijst!A:B,1,FALSE),FALSE)</f>
        <v>NLX64V0</v>
      </c>
      <c r="B14" t="b">
        <f>_xlfn.IFNA(VLOOKUP(D14,Spelerslijst!J:K,1,FALSE),FALSE)</f>
        <v>0</v>
      </c>
      <c r="C14" t="str">
        <f t="shared" si="0"/>
        <v/>
      </c>
      <c r="D14" t="s">
        <v>148</v>
      </c>
      <c r="E14" t="s">
        <v>1242</v>
      </c>
      <c r="F14" s="1">
        <v>40328</v>
      </c>
      <c r="G14" t="s">
        <v>1174</v>
      </c>
      <c r="H14" t="s">
        <v>1243</v>
      </c>
      <c r="I14">
        <v>10</v>
      </c>
      <c r="K14" t="s">
        <v>1244</v>
      </c>
      <c r="L14" t="s">
        <v>1187</v>
      </c>
      <c r="M14" t="s">
        <v>1166</v>
      </c>
      <c r="N14" t="s">
        <v>1245</v>
      </c>
      <c r="O14" t="s">
        <v>1246</v>
      </c>
      <c r="P14" t="s">
        <v>1247</v>
      </c>
      <c r="Q14" t="s">
        <v>1190</v>
      </c>
      <c r="R14" t="s">
        <v>1170</v>
      </c>
      <c r="S14">
        <v>230</v>
      </c>
      <c r="T14" t="s">
        <v>1182</v>
      </c>
      <c r="U14" t="s">
        <v>1172</v>
      </c>
      <c r="V14" t="s">
        <v>1213</v>
      </c>
      <c r="W14" s="1">
        <v>42912</v>
      </c>
    </row>
    <row r="15" spans="1:24">
      <c r="A15" t="str">
        <f>_xlfn.IFNA(VLOOKUP(D15,Spelerslijst!A:B,1,FALSE),FALSE)</f>
        <v>NMG13P0</v>
      </c>
      <c r="B15" t="b">
        <f>_xlfn.IFNA(VLOOKUP(D15,Spelerslijst!J:K,1,FALSE),FALSE)</f>
        <v>0</v>
      </c>
      <c r="C15" t="str">
        <f t="shared" si="0"/>
        <v/>
      </c>
      <c r="D15" t="s">
        <v>154</v>
      </c>
      <c r="E15" t="s">
        <v>1248</v>
      </c>
      <c r="F15" s="1">
        <v>41474</v>
      </c>
      <c r="G15" t="s">
        <v>1174</v>
      </c>
      <c r="H15" t="s">
        <v>1243</v>
      </c>
      <c r="I15">
        <v>10</v>
      </c>
      <c r="K15" t="s">
        <v>1244</v>
      </c>
      <c r="L15" t="s">
        <v>1187</v>
      </c>
      <c r="M15" t="s">
        <v>1166</v>
      </c>
      <c r="N15" t="s">
        <v>1245</v>
      </c>
      <c r="P15" t="s">
        <v>1247</v>
      </c>
      <c r="Q15" t="s">
        <v>1190</v>
      </c>
      <c r="R15" t="s">
        <v>1170</v>
      </c>
      <c r="S15">
        <v>230</v>
      </c>
      <c r="T15" t="s">
        <v>1182</v>
      </c>
      <c r="U15" t="s">
        <v>1172</v>
      </c>
      <c r="V15" t="s">
        <v>1213</v>
      </c>
      <c r="W15" s="1">
        <v>43641</v>
      </c>
    </row>
    <row r="16" spans="1:24">
      <c r="A16" t="str">
        <f>_xlfn.IFNA(VLOOKUP(D16,Spelerslijst!A:B,1,FALSE),FALSE)</f>
        <v>NFW26V3</v>
      </c>
      <c r="B16" t="b">
        <f>_xlfn.IFNA(VLOOKUP(D16,Spelerslijst!J:K,1,FALSE),FALSE)</f>
        <v>0</v>
      </c>
      <c r="C16" t="str">
        <f t="shared" si="0"/>
        <v/>
      </c>
      <c r="D16" t="s">
        <v>75</v>
      </c>
      <c r="E16" t="s">
        <v>1249</v>
      </c>
      <c r="F16" s="1">
        <v>30573</v>
      </c>
      <c r="G16" t="s">
        <v>1174</v>
      </c>
      <c r="H16" t="s">
        <v>1250</v>
      </c>
      <c r="I16">
        <v>1</v>
      </c>
      <c r="K16" t="s">
        <v>1251</v>
      </c>
      <c r="L16" t="s">
        <v>1187</v>
      </c>
      <c r="M16" t="s">
        <v>1166</v>
      </c>
      <c r="N16" t="s">
        <v>1252</v>
      </c>
      <c r="O16" t="s">
        <v>1252</v>
      </c>
      <c r="P16" t="s">
        <v>1253</v>
      </c>
      <c r="Q16" t="s">
        <v>1190</v>
      </c>
      <c r="R16" t="s">
        <v>1170</v>
      </c>
      <c r="S16">
        <v>200</v>
      </c>
      <c r="T16" t="s">
        <v>1182</v>
      </c>
      <c r="U16" t="s">
        <v>1172</v>
      </c>
      <c r="V16" t="s">
        <v>1173</v>
      </c>
      <c r="W16" s="1">
        <v>32752</v>
      </c>
    </row>
    <row r="17" spans="1:23">
      <c r="A17" t="b">
        <f>_xlfn.IFNA(VLOOKUP(D17,Spelerslijst!A:B,1,FALSE),FALSE)</f>
        <v>0</v>
      </c>
      <c r="B17" t="str">
        <f>_xlfn.IFNA(VLOOKUP(D17,Spelerslijst!J:K,1,FALSE),FALSE)</f>
        <v>NGW10M4</v>
      </c>
      <c r="C17" t="str">
        <f t="shared" si="0"/>
        <v/>
      </c>
      <c r="D17" t="s">
        <v>822</v>
      </c>
      <c r="E17" t="s">
        <v>1254</v>
      </c>
      <c r="F17" s="1">
        <v>33019</v>
      </c>
      <c r="G17" t="s">
        <v>1162</v>
      </c>
      <c r="H17" t="s">
        <v>1255</v>
      </c>
      <c r="I17">
        <v>42</v>
      </c>
      <c r="K17" t="s">
        <v>1256</v>
      </c>
      <c r="L17" t="s">
        <v>1187</v>
      </c>
      <c r="M17" t="s">
        <v>1166</v>
      </c>
      <c r="N17" t="s">
        <v>1257</v>
      </c>
      <c r="P17" t="s">
        <v>1258</v>
      </c>
      <c r="Q17" t="s">
        <v>1190</v>
      </c>
      <c r="R17" t="s">
        <v>1170</v>
      </c>
      <c r="S17">
        <v>200</v>
      </c>
      <c r="T17" t="s">
        <v>1182</v>
      </c>
      <c r="U17" t="s">
        <v>1172</v>
      </c>
      <c r="V17" t="s">
        <v>1173</v>
      </c>
      <c r="W17" s="1">
        <v>35746</v>
      </c>
    </row>
    <row r="18" spans="1:23">
      <c r="A18" t="str">
        <f>_xlfn.IFNA(VLOOKUP(D18,Spelerslijst!A:B,1,FALSE),FALSE)</f>
        <v>NLX00J4</v>
      </c>
      <c r="B18" t="b">
        <f>_xlfn.IFNA(VLOOKUP(D18,Spelerslijst!J:K,1,FALSE),FALSE)</f>
        <v>0</v>
      </c>
      <c r="C18" t="str">
        <f t="shared" si="0"/>
        <v/>
      </c>
      <c r="D18" t="s">
        <v>900</v>
      </c>
      <c r="E18" t="s">
        <v>1259</v>
      </c>
      <c r="F18" s="1">
        <v>40409</v>
      </c>
      <c r="G18" t="s">
        <v>1174</v>
      </c>
      <c r="H18" t="s">
        <v>1260</v>
      </c>
      <c r="I18">
        <v>36</v>
      </c>
      <c r="K18" t="s">
        <v>1261</v>
      </c>
      <c r="L18" t="s">
        <v>1187</v>
      </c>
      <c r="M18" t="s">
        <v>1166</v>
      </c>
      <c r="N18" t="s">
        <v>1262</v>
      </c>
      <c r="P18" t="s">
        <v>1263</v>
      </c>
      <c r="Q18" t="s">
        <v>1190</v>
      </c>
      <c r="R18" t="s">
        <v>1170</v>
      </c>
      <c r="S18">
        <v>230</v>
      </c>
      <c r="T18" t="s">
        <v>1182</v>
      </c>
      <c r="U18" t="s">
        <v>1172</v>
      </c>
      <c r="V18" t="s">
        <v>1213</v>
      </c>
      <c r="W18" s="1">
        <v>42877</v>
      </c>
    </row>
    <row r="19" spans="1:23">
      <c r="A19" t="str">
        <f>_xlfn.IFNA(VLOOKUP(D19,Spelerslijst!A:B,1,FALSE),FALSE)</f>
        <v>NMF09H6</v>
      </c>
      <c r="B19" t="b">
        <f>_xlfn.IFNA(VLOOKUP(D19,Spelerslijst!J:K,1,FALSE),FALSE)</f>
        <v>0</v>
      </c>
      <c r="C19" t="str">
        <f t="shared" si="0"/>
        <v/>
      </c>
      <c r="D19" t="s">
        <v>904</v>
      </c>
      <c r="E19" t="s">
        <v>1264</v>
      </c>
      <c r="F19" s="1">
        <v>40995</v>
      </c>
      <c r="G19" t="s">
        <v>1174</v>
      </c>
      <c r="H19" t="s">
        <v>1260</v>
      </c>
      <c r="I19">
        <v>36</v>
      </c>
      <c r="K19" t="s">
        <v>1261</v>
      </c>
      <c r="L19" t="s">
        <v>1187</v>
      </c>
      <c r="M19" t="s">
        <v>1166</v>
      </c>
      <c r="N19" t="s">
        <v>1265</v>
      </c>
      <c r="O19" t="s">
        <v>1265</v>
      </c>
      <c r="P19" t="s">
        <v>1266</v>
      </c>
      <c r="Q19" t="s">
        <v>1190</v>
      </c>
      <c r="R19" t="s">
        <v>1170</v>
      </c>
      <c r="S19">
        <v>230</v>
      </c>
      <c r="T19" t="s">
        <v>1182</v>
      </c>
      <c r="U19" t="s">
        <v>1172</v>
      </c>
      <c r="V19" t="s">
        <v>1213</v>
      </c>
      <c r="W19" s="1">
        <v>43498</v>
      </c>
    </row>
    <row r="20" spans="1:23">
      <c r="A20" t="b">
        <f>_xlfn.IFNA(VLOOKUP(D20,Spelerslijst!A:B,1,FALSE),FALSE)</f>
        <v>0</v>
      </c>
      <c r="B20" t="str">
        <f>_xlfn.IFNA(VLOOKUP(D20,Spelerslijst!J:K,1,FALSE),FALSE)</f>
        <v>NGP49B2</v>
      </c>
      <c r="C20" t="str">
        <f t="shared" si="0"/>
        <v/>
      </c>
      <c r="D20" t="s">
        <v>66</v>
      </c>
      <c r="E20" t="s">
        <v>1267</v>
      </c>
      <c r="F20" s="1">
        <v>32911</v>
      </c>
      <c r="G20" t="s">
        <v>1162</v>
      </c>
      <c r="H20" t="s">
        <v>1268</v>
      </c>
      <c r="I20">
        <v>33</v>
      </c>
      <c r="K20" t="s">
        <v>1269</v>
      </c>
      <c r="L20" t="s">
        <v>1187</v>
      </c>
      <c r="M20" t="s">
        <v>1166</v>
      </c>
      <c r="N20" t="s">
        <v>1270</v>
      </c>
      <c r="P20" t="s">
        <v>1271</v>
      </c>
      <c r="Q20" t="s">
        <v>1190</v>
      </c>
      <c r="R20" t="s">
        <v>1170</v>
      </c>
      <c r="S20">
        <v>202</v>
      </c>
      <c r="T20" t="s">
        <v>1171</v>
      </c>
      <c r="U20" t="s">
        <v>1172</v>
      </c>
      <c r="V20" t="s">
        <v>1173</v>
      </c>
      <c r="W20" s="1">
        <v>35447</v>
      </c>
    </row>
    <row r="21" spans="1:23">
      <c r="A21" t="str">
        <f>_xlfn.IFNA(VLOOKUP(D21,Spelerslijst!A:B,1,FALSE),FALSE)</f>
        <v>NLN68P0</v>
      </c>
      <c r="B21" t="b">
        <f>_xlfn.IFNA(VLOOKUP(D21,Spelerslijst!J:K,1,FALSE),FALSE)</f>
        <v>0</v>
      </c>
      <c r="C21" t="str">
        <f t="shared" si="0"/>
        <v/>
      </c>
      <c r="D21" t="s">
        <v>267</v>
      </c>
      <c r="E21" t="s">
        <v>1272</v>
      </c>
      <c r="F21" s="1">
        <v>37333</v>
      </c>
      <c r="G21" t="s">
        <v>1174</v>
      </c>
      <c r="H21" t="s">
        <v>1273</v>
      </c>
      <c r="I21">
        <v>19</v>
      </c>
      <c r="K21" t="s">
        <v>1274</v>
      </c>
      <c r="L21" t="s">
        <v>1187</v>
      </c>
      <c r="M21" t="s">
        <v>1166</v>
      </c>
      <c r="N21" t="s">
        <v>1275</v>
      </c>
      <c r="P21" t="s">
        <v>1276</v>
      </c>
      <c r="Q21" t="s">
        <v>1190</v>
      </c>
      <c r="R21" t="s">
        <v>1170</v>
      </c>
      <c r="S21">
        <v>210</v>
      </c>
      <c r="T21" t="s">
        <v>1182</v>
      </c>
      <c r="U21" t="s">
        <v>1172</v>
      </c>
      <c r="V21" t="s">
        <v>1194</v>
      </c>
      <c r="W21" s="1">
        <v>42095</v>
      </c>
    </row>
    <row r="22" spans="1:23">
      <c r="A22" t="b">
        <f>_xlfn.IFNA(VLOOKUP(D22,Spelerslijst!A:B,1,FALSE),FALSE)</f>
        <v>0</v>
      </c>
      <c r="B22" t="str">
        <f>_xlfn.IFNA(VLOOKUP(D22,Spelerslijst!J:K,1,FALSE),FALSE)</f>
        <v>NLB70Y2</v>
      </c>
      <c r="C22" t="str">
        <f t="shared" si="0"/>
        <v/>
      </c>
      <c r="D22" t="s">
        <v>252</v>
      </c>
      <c r="E22" t="s">
        <v>1277</v>
      </c>
      <c r="F22" s="1">
        <v>38617</v>
      </c>
      <c r="G22" t="s">
        <v>1162</v>
      </c>
      <c r="H22" t="s">
        <v>1278</v>
      </c>
      <c r="I22">
        <v>107</v>
      </c>
      <c r="K22" t="s">
        <v>1279</v>
      </c>
      <c r="L22" t="s">
        <v>1187</v>
      </c>
      <c r="M22" t="s">
        <v>1166</v>
      </c>
      <c r="N22" t="s">
        <v>1280</v>
      </c>
      <c r="O22" t="s">
        <v>1281</v>
      </c>
      <c r="P22" t="s">
        <v>1282</v>
      </c>
      <c r="Q22" t="s">
        <v>1190</v>
      </c>
      <c r="R22" t="s">
        <v>1170</v>
      </c>
      <c r="S22">
        <v>220</v>
      </c>
      <c r="T22" t="s">
        <v>1182</v>
      </c>
      <c r="U22" t="s">
        <v>1172</v>
      </c>
      <c r="V22" t="s">
        <v>1207</v>
      </c>
      <c r="W22" s="1">
        <v>41153</v>
      </c>
    </row>
    <row r="23" spans="1:23">
      <c r="A23" t="str">
        <f>_xlfn.IFNA(VLOOKUP(D23,Spelerslijst!A:B,1,FALSE),FALSE)</f>
        <v>NKS24M5</v>
      </c>
      <c r="B23" t="b">
        <f>_xlfn.IFNA(VLOOKUP(D23,Spelerslijst!J:K,1,FALSE),FALSE)</f>
        <v>0</v>
      </c>
      <c r="C23" t="str">
        <f t="shared" si="0"/>
        <v/>
      </c>
      <c r="D23" t="s">
        <v>910</v>
      </c>
      <c r="E23" t="s">
        <v>1283</v>
      </c>
      <c r="F23" s="1">
        <v>38012</v>
      </c>
      <c r="G23" t="s">
        <v>1174</v>
      </c>
      <c r="H23" t="s">
        <v>1278</v>
      </c>
      <c r="I23">
        <v>138</v>
      </c>
      <c r="K23" t="s">
        <v>1284</v>
      </c>
      <c r="L23" t="s">
        <v>1187</v>
      </c>
      <c r="M23" t="s">
        <v>1166</v>
      </c>
      <c r="N23" t="s">
        <v>1285</v>
      </c>
      <c r="O23" t="s">
        <v>1286</v>
      </c>
      <c r="P23" t="s">
        <v>1287</v>
      </c>
      <c r="Q23" t="s">
        <v>1190</v>
      </c>
      <c r="R23" t="s">
        <v>1170</v>
      </c>
      <c r="S23">
        <v>210</v>
      </c>
      <c r="T23" t="s">
        <v>1182</v>
      </c>
      <c r="U23" t="s">
        <v>1172</v>
      </c>
      <c r="V23" t="s">
        <v>1194</v>
      </c>
      <c r="W23" s="1">
        <v>40422</v>
      </c>
    </row>
    <row r="24" spans="1:23">
      <c r="A24" t="b">
        <f>_xlfn.IFNA(VLOOKUP(D24,Spelerslijst!A:B,1,FALSE),FALSE)</f>
        <v>0</v>
      </c>
      <c r="B24" t="str">
        <f>_xlfn.IFNA(VLOOKUP(D24,Spelerslijst!J:K,1,FALSE),FALSE)</f>
        <v>NFW26G8</v>
      </c>
      <c r="C24" t="str">
        <f t="shared" si="0"/>
        <v/>
      </c>
      <c r="D24" t="s">
        <v>839</v>
      </c>
      <c r="E24" t="s">
        <v>1288</v>
      </c>
      <c r="F24" s="1">
        <v>29523</v>
      </c>
      <c r="G24" t="s">
        <v>1162</v>
      </c>
      <c r="H24" t="s">
        <v>1289</v>
      </c>
      <c r="I24">
        <v>322</v>
      </c>
      <c r="K24" t="s">
        <v>1290</v>
      </c>
      <c r="L24" t="s">
        <v>1187</v>
      </c>
      <c r="M24" t="s">
        <v>1166</v>
      </c>
      <c r="N24" t="s">
        <v>1291</v>
      </c>
      <c r="O24" t="s">
        <v>1291</v>
      </c>
      <c r="P24" t="s">
        <v>1292</v>
      </c>
      <c r="Q24" t="s">
        <v>1190</v>
      </c>
      <c r="R24" t="s">
        <v>1170</v>
      </c>
      <c r="S24">
        <v>200</v>
      </c>
      <c r="T24" t="s">
        <v>1182</v>
      </c>
      <c r="U24" t="s">
        <v>1172</v>
      </c>
      <c r="V24" t="s">
        <v>1173</v>
      </c>
      <c r="W24" s="1">
        <v>32051</v>
      </c>
    </row>
    <row r="25" spans="1:23">
      <c r="A25" t="str">
        <f>_xlfn.IFNA(VLOOKUP(D25,Spelerslijst!A:B,1,FALSE),FALSE)</f>
        <v>NMJ53F3</v>
      </c>
      <c r="B25" t="b">
        <f>_xlfn.IFNA(VLOOKUP(D25,Spelerslijst!J:K,1,FALSE),FALSE)</f>
        <v>0</v>
      </c>
      <c r="C25" t="str">
        <f t="shared" si="0"/>
        <v/>
      </c>
      <c r="D25" t="s">
        <v>807</v>
      </c>
      <c r="E25" t="s">
        <v>1293</v>
      </c>
      <c r="F25" s="1">
        <v>41167</v>
      </c>
      <c r="G25" t="s">
        <v>1174</v>
      </c>
      <c r="H25" t="s">
        <v>1294</v>
      </c>
      <c r="I25">
        <v>4</v>
      </c>
      <c r="K25" t="s">
        <v>1295</v>
      </c>
      <c r="L25" t="s">
        <v>1187</v>
      </c>
      <c r="M25" t="s">
        <v>1166</v>
      </c>
      <c r="N25" t="s">
        <v>1296</v>
      </c>
      <c r="P25" t="s">
        <v>1297</v>
      </c>
      <c r="Q25" t="s">
        <v>1190</v>
      </c>
      <c r="R25" t="s">
        <v>1170</v>
      </c>
      <c r="S25">
        <v>230</v>
      </c>
      <c r="T25" t="s">
        <v>1182</v>
      </c>
      <c r="U25" t="s">
        <v>1172</v>
      </c>
      <c r="V25" t="s">
        <v>1213</v>
      </c>
      <c r="W25" s="1">
        <v>43890</v>
      </c>
    </row>
    <row r="26" spans="1:23">
      <c r="A26" t="str">
        <f>_xlfn.IFNA(VLOOKUP(D26,Spelerslijst!A:B,1,FALSE),FALSE)</f>
        <v>NKL60P7</v>
      </c>
      <c r="B26" t="b">
        <f>_xlfn.IFNA(VLOOKUP(D26,Spelerslijst!J:K,1,FALSE),FALSE)</f>
        <v>0</v>
      </c>
      <c r="C26" t="str">
        <f t="shared" si="0"/>
        <v/>
      </c>
      <c r="D26" t="s">
        <v>785</v>
      </c>
      <c r="E26" t="s">
        <v>1298</v>
      </c>
      <c r="F26" s="1">
        <v>38159</v>
      </c>
      <c r="G26" t="s">
        <v>1174</v>
      </c>
      <c r="H26" t="s">
        <v>1299</v>
      </c>
      <c r="I26">
        <v>7</v>
      </c>
      <c r="K26" t="s">
        <v>1300</v>
      </c>
      <c r="L26" t="s">
        <v>1187</v>
      </c>
      <c r="M26" t="s">
        <v>1166</v>
      </c>
      <c r="N26" t="s">
        <v>1301</v>
      </c>
      <c r="O26" t="s">
        <v>1301</v>
      </c>
      <c r="P26" t="s">
        <v>1302</v>
      </c>
      <c r="Q26" t="s">
        <v>1190</v>
      </c>
      <c r="R26" t="s">
        <v>1170</v>
      </c>
      <c r="S26">
        <v>210</v>
      </c>
      <c r="T26" t="s">
        <v>1182</v>
      </c>
      <c r="U26" t="s">
        <v>1172</v>
      </c>
      <c r="V26" t="s">
        <v>1194</v>
      </c>
      <c r="W26" s="1">
        <v>39934</v>
      </c>
    </row>
    <row r="27" spans="1:23">
      <c r="A27" t="b">
        <f>_xlfn.IFNA(VLOOKUP(D27,Spelerslijst!A:B,1,FALSE),FALSE)</f>
        <v>0</v>
      </c>
      <c r="B27" t="str">
        <f>_xlfn.IFNA(VLOOKUP(D27,Spelerslijst!J:K,1,FALSE),FALSE)</f>
        <v>NJF24X2</v>
      </c>
      <c r="C27" t="str">
        <f t="shared" si="0"/>
        <v/>
      </c>
      <c r="D27" t="s">
        <v>748</v>
      </c>
      <c r="E27" t="s">
        <v>1303</v>
      </c>
      <c r="F27" s="1">
        <v>35246</v>
      </c>
      <c r="G27" t="s">
        <v>1162</v>
      </c>
      <c r="H27" t="s">
        <v>1304</v>
      </c>
      <c r="I27">
        <v>17</v>
      </c>
      <c r="K27" t="s">
        <v>1305</v>
      </c>
      <c r="L27" t="s">
        <v>1187</v>
      </c>
      <c r="M27" t="s">
        <v>1166</v>
      </c>
      <c r="N27" t="s">
        <v>1306</v>
      </c>
      <c r="O27" t="s">
        <v>1306</v>
      </c>
      <c r="P27" t="s">
        <v>1307</v>
      </c>
      <c r="Q27" t="s">
        <v>1190</v>
      </c>
      <c r="R27" t="s">
        <v>1170</v>
      </c>
      <c r="S27">
        <v>200</v>
      </c>
      <c r="T27" t="s">
        <v>1182</v>
      </c>
      <c r="U27" t="s">
        <v>1172</v>
      </c>
      <c r="V27" t="s">
        <v>1173</v>
      </c>
      <c r="W27" s="1">
        <v>37650</v>
      </c>
    </row>
    <row r="28" spans="1:23">
      <c r="A28" t="str">
        <f>_xlfn.IFNA(VLOOKUP(D28,Spelerslijst!A:B,1,FALSE),FALSE)</f>
        <v>NJH51Q1</v>
      </c>
      <c r="B28" t="b">
        <f>_xlfn.IFNA(VLOOKUP(D28,Spelerslijst!J:K,1,FALSE),FALSE)</f>
        <v>0</v>
      </c>
      <c r="C28" t="str">
        <f t="shared" si="0"/>
        <v/>
      </c>
      <c r="D28" t="s">
        <v>938</v>
      </c>
      <c r="E28" t="s">
        <v>1308</v>
      </c>
      <c r="F28" s="1">
        <v>34650</v>
      </c>
      <c r="G28" t="s">
        <v>1174</v>
      </c>
      <c r="H28" t="s">
        <v>1304</v>
      </c>
      <c r="I28">
        <v>17</v>
      </c>
      <c r="K28" t="s">
        <v>1305</v>
      </c>
      <c r="L28" t="s">
        <v>1187</v>
      </c>
      <c r="M28" t="s">
        <v>1166</v>
      </c>
      <c r="N28" t="s">
        <v>1309</v>
      </c>
      <c r="P28" t="s">
        <v>1310</v>
      </c>
      <c r="Q28" t="s">
        <v>1190</v>
      </c>
      <c r="R28" t="s">
        <v>1170</v>
      </c>
      <c r="S28">
        <v>200</v>
      </c>
      <c r="T28" t="s">
        <v>1182</v>
      </c>
      <c r="U28" t="s">
        <v>1172</v>
      </c>
      <c r="V28" t="s">
        <v>1173</v>
      </c>
      <c r="W28" s="1">
        <v>38200</v>
      </c>
    </row>
    <row r="29" spans="1:23">
      <c r="A29" t="b">
        <f>_xlfn.IFNA(VLOOKUP(D29,Spelerslijst!A:B,1,FALSE),FALSE)</f>
        <v>0</v>
      </c>
      <c r="B29" t="str">
        <f>_xlfn.IFNA(VLOOKUP(D29,Spelerslijst!J:K,1,FALSE),FALSE)</f>
        <v>NKJ95G2</v>
      </c>
      <c r="C29" t="str">
        <f t="shared" si="0"/>
        <v/>
      </c>
      <c r="D29" t="s">
        <v>772</v>
      </c>
      <c r="E29" t="s">
        <v>1311</v>
      </c>
      <c r="F29" s="1">
        <v>37683</v>
      </c>
      <c r="G29" t="s">
        <v>1162</v>
      </c>
      <c r="H29" t="s">
        <v>1304</v>
      </c>
      <c r="I29">
        <v>89</v>
      </c>
      <c r="K29" t="s">
        <v>1312</v>
      </c>
      <c r="L29" t="s">
        <v>1187</v>
      </c>
      <c r="M29" t="s">
        <v>1166</v>
      </c>
      <c r="N29" t="s">
        <v>1313</v>
      </c>
      <c r="O29" t="s">
        <v>1314</v>
      </c>
      <c r="P29" t="s">
        <v>1315</v>
      </c>
      <c r="Q29" t="s">
        <v>1190</v>
      </c>
      <c r="R29" t="s">
        <v>1170</v>
      </c>
      <c r="S29">
        <v>210</v>
      </c>
      <c r="T29" t="s">
        <v>1182</v>
      </c>
      <c r="U29" t="s">
        <v>1172</v>
      </c>
      <c r="V29" t="s">
        <v>1194</v>
      </c>
      <c r="W29" s="1">
        <v>39753</v>
      </c>
    </row>
    <row r="30" spans="1:23">
      <c r="A30" t="str">
        <f>_xlfn.IFNA(VLOOKUP(D30,Spelerslijst!A:B,1,FALSE),FALSE)</f>
        <v>NKJ95L7</v>
      </c>
      <c r="B30" t="b">
        <f>_xlfn.IFNA(VLOOKUP(D30,Spelerslijst!J:K,1,FALSE),FALSE)</f>
        <v>0</v>
      </c>
      <c r="C30" t="str">
        <f t="shared" si="0"/>
        <v/>
      </c>
      <c r="D30" t="s">
        <v>740</v>
      </c>
      <c r="E30" t="s">
        <v>1316</v>
      </c>
      <c r="F30" s="1">
        <v>37307</v>
      </c>
      <c r="G30" t="s">
        <v>1174</v>
      </c>
      <c r="H30" t="s">
        <v>1304</v>
      </c>
      <c r="I30">
        <v>89</v>
      </c>
      <c r="K30" t="s">
        <v>1312</v>
      </c>
      <c r="L30" t="s">
        <v>1187</v>
      </c>
      <c r="M30" t="s">
        <v>1166</v>
      </c>
      <c r="N30" t="s">
        <v>1317</v>
      </c>
      <c r="O30" t="s">
        <v>1314</v>
      </c>
      <c r="P30" t="s">
        <v>1318</v>
      </c>
      <c r="Q30" t="s">
        <v>1190</v>
      </c>
      <c r="R30" t="s">
        <v>1170</v>
      </c>
      <c r="S30">
        <v>210</v>
      </c>
      <c r="T30" t="s">
        <v>1182</v>
      </c>
      <c r="U30" t="s">
        <v>1172</v>
      </c>
      <c r="V30" t="s">
        <v>1194</v>
      </c>
      <c r="W30" s="1">
        <v>39753</v>
      </c>
    </row>
    <row r="31" spans="1:23">
      <c r="A31" t="b">
        <f>_xlfn.IFNA(VLOOKUP(D31,Spelerslijst!A:B,1,FALSE),FALSE)</f>
        <v>0</v>
      </c>
      <c r="B31" t="str">
        <f>_xlfn.IFNA(VLOOKUP(D31,Spelerslijst!J:K,1,FALSE),FALSE)</f>
        <v>NJC17J5</v>
      </c>
      <c r="C31" t="str">
        <f t="shared" si="0"/>
        <v/>
      </c>
      <c r="D31" t="s">
        <v>733</v>
      </c>
      <c r="E31" t="s">
        <v>1319</v>
      </c>
      <c r="F31" s="1">
        <v>34711</v>
      </c>
      <c r="G31" t="s">
        <v>1162</v>
      </c>
      <c r="H31" t="s">
        <v>1304</v>
      </c>
      <c r="I31">
        <v>42</v>
      </c>
      <c r="K31" t="s">
        <v>1320</v>
      </c>
      <c r="L31" t="s">
        <v>1187</v>
      </c>
      <c r="M31" t="s">
        <v>1166</v>
      </c>
      <c r="N31" t="s">
        <v>1321</v>
      </c>
      <c r="O31" t="s">
        <v>1322</v>
      </c>
      <c r="P31" t="s">
        <v>1323</v>
      </c>
      <c r="Q31" t="s">
        <v>1190</v>
      </c>
      <c r="R31" t="s">
        <v>1170</v>
      </c>
      <c r="S31">
        <v>200</v>
      </c>
      <c r="T31" t="s">
        <v>1182</v>
      </c>
      <c r="U31" t="s">
        <v>1172</v>
      </c>
      <c r="V31" t="s">
        <v>1173</v>
      </c>
      <c r="W31" s="1">
        <v>37153</v>
      </c>
    </row>
    <row r="32" spans="1:23">
      <c r="A32" t="str">
        <f>_xlfn.IFNA(VLOOKUP(D32,Spelerslijst!A:B,1,FALSE),FALSE)</f>
        <v>NJF17P0</v>
      </c>
      <c r="B32" t="b">
        <f>_xlfn.IFNA(VLOOKUP(D32,Spelerslijst!J:K,1,FALSE),FALSE)</f>
        <v>0</v>
      </c>
      <c r="C32" t="str">
        <f t="shared" si="0"/>
        <v/>
      </c>
      <c r="D32" t="s">
        <v>613</v>
      </c>
      <c r="E32" t="s">
        <v>1324</v>
      </c>
      <c r="F32" s="1">
        <v>35195</v>
      </c>
      <c r="G32" t="s">
        <v>1174</v>
      </c>
      <c r="H32" t="s">
        <v>1304</v>
      </c>
      <c r="I32">
        <v>42</v>
      </c>
      <c r="K32" t="s">
        <v>1320</v>
      </c>
      <c r="L32" t="s">
        <v>1187</v>
      </c>
      <c r="M32" t="s">
        <v>1166</v>
      </c>
      <c r="N32" t="s">
        <v>1325</v>
      </c>
      <c r="O32" t="s">
        <v>1325</v>
      </c>
      <c r="P32" t="s">
        <v>1326</v>
      </c>
      <c r="Q32" t="s">
        <v>1190</v>
      </c>
      <c r="R32" t="s">
        <v>1170</v>
      </c>
      <c r="S32">
        <v>200</v>
      </c>
      <c r="T32" t="s">
        <v>1182</v>
      </c>
      <c r="U32" t="s">
        <v>1172</v>
      </c>
      <c r="V32" t="s">
        <v>1173</v>
      </c>
      <c r="W32" s="1">
        <v>37502</v>
      </c>
    </row>
    <row r="33" spans="1:24">
      <c r="A33" t="b">
        <f>_xlfn.IFNA(VLOOKUP(D33,Spelerslijst!A:B,1,FALSE),FALSE)</f>
        <v>0</v>
      </c>
      <c r="B33" t="str">
        <f>_xlfn.IFNA(VLOOKUP(D33,Spelerslijst!J:K,1,FALSE),FALSE)</f>
        <v>NKR24P5</v>
      </c>
      <c r="C33" t="str">
        <f t="shared" si="0"/>
        <v/>
      </c>
      <c r="D33" t="s">
        <v>193</v>
      </c>
      <c r="E33" t="s">
        <v>1327</v>
      </c>
      <c r="F33" s="1">
        <v>37897</v>
      </c>
      <c r="G33" t="s">
        <v>1162</v>
      </c>
      <c r="H33" t="s">
        <v>1328</v>
      </c>
      <c r="I33">
        <v>81</v>
      </c>
      <c r="K33" t="s">
        <v>1329</v>
      </c>
      <c r="L33" t="s">
        <v>1187</v>
      </c>
      <c r="M33" t="s">
        <v>1166</v>
      </c>
      <c r="N33" t="s">
        <v>1330</v>
      </c>
      <c r="O33" t="s">
        <v>1331</v>
      </c>
      <c r="P33" t="s">
        <v>1332</v>
      </c>
      <c r="Q33" t="s">
        <v>1190</v>
      </c>
      <c r="R33" t="s">
        <v>1170</v>
      </c>
      <c r="S33">
        <v>210</v>
      </c>
      <c r="T33" t="s">
        <v>1182</v>
      </c>
      <c r="U33" t="s">
        <v>1172</v>
      </c>
      <c r="V33" t="s">
        <v>1194</v>
      </c>
      <c r="W33" s="1">
        <v>40422</v>
      </c>
    </row>
    <row r="34" spans="1:24">
      <c r="A34" t="str">
        <f>_xlfn.IFNA(VLOOKUP(D34,Spelerslijst!A:B,1,FALSE),FALSE)</f>
        <v>NLG57M4</v>
      </c>
      <c r="B34" t="b">
        <f>_xlfn.IFNA(VLOOKUP(D34,Spelerslijst!J:K,1,FALSE),FALSE)</f>
        <v>0</v>
      </c>
      <c r="C34" t="str">
        <f t="shared" si="0"/>
        <v/>
      </c>
      <c r="D34" t="s">
        <v>474</v>
      </c>
      <c r="E34" t="s">
        <v>1333</v>
      </c>
      <c r="F34" s="1">
        <v>39006</v>
      </c>
      <c r="G34" t="s">
        <v>1174</v>
      </c>
      <c r="H34" t="s">
        <v>1328</v>
      </c>
      <c r="I34">
        <v>81</v>
      </c>
      <c r="K34" t="s">
        <v>1329</v>
      </c>
      <c r="L34" t="s">
        <v>1187</v>
      </c>
      <c r="M34" t="s">
        <v>1166</v>
      </c>
      <c r="N34" t="s">
        <v>1334</v>
      </c>
      <c r="P34" t="s">
        <v>1335</v>
      </c>
      <c r="Q34" t="s">
        <v>1190</v>
      </c>
      <c r="R34" t="s">
        <v>1170</v>
      </c>
      <c r="S34">
        <v>220</v>
      </c>
      <c r="T34" t="s">
        <v>1182</v>
      </c>
      <c r="U34" t="s">
        <v>1172</v>
      </c>
      <c r="V34" t="s">
        <v>1207</v>
      </c>
      <c r="W34" s="1">
        <v>41518</v>
      </c>
    </row>
    <row r="35" spans="1:24">
      <c r="A35" t="str">
        <f>_xlfn.IFNA(VLOOKUP(D35,Spelerslijst!A:B,1,FALSE),FALSE)</f>
        <v>NLP78D3</v>
      </c>
      <c r="B35" t="b">
        <f>_xlfn.IFNA(VLOOKUP(D35,Spelerslijst!J:K,1,FALSE),FALSE)</f>
        <v>0</v>
      </c>
      <c r="C35" t="str">
        <f t="shared" si="0"/>
        <v/>
      </c>
      <c r="D35" t="s">
        <v>625</v>
      </c>
      <c r="E35" t="s">
        <v>1336</v>
      </c>
      <c r="F35" s="1">
        <v>39629</v>
      </c>
      <c r="G35" t="s">
        <v>1174</v>
      </c>
      <c r="H35" t="s">
        <v>1328</v>
      </c>
      <c r="I35">
        <v>26</v>
      </c>
      <c r="K35" t="s">
        <v>1337</v>
      </c>
      <c r="L35" t="s">
        <v>1187</v>
      </c>
      <c r="M35" t="s">
        <v>1166</v>
      </c>
      <c r="N35" t="s">
        <v>1338</v>
      </c>
      <c r="O35" t="s">
        <v>1339</v>
      </c>
      <c r="P35" t="s">
        <v>1340</v>
      </c>
      <c r="Q35" t="s">
        <v>1190</v>
      </c>
      <c r="R35" t="s">
        <v>1170</v>
      </c>
      <c r="S35">
        <v>220</v>
      </c>
      <c r="T35" t="s">
        <v>1182</v>
      </c>
      <c r="U35" t="s">
        <v>1172</v>
      </c>
      <c r="V35" t="s">
        <v>1207</v>
      </c>
      <c r="W35" s="1">
        <v>42248</v>
      </c>
    </row>
    <row r="36" spans="1:24">
      <c r="A36" t="str">
        <f>_xlfn.IFNA(VLOOKUP(D36,Spelerslijst!A:B,1,FALSE),FALSE)</f>
        <v>NMH37W2</v>
      </c>
      <c r="B36" t="b">
        <f>_xlfn.IFNA(VLOOKUP(D36,Spelerslijst!J:K,1,FALSE),FALSE)</f>
        <v>0</v>
      </c>
      <c r="C36" t="str">
        <f t="shared" si="0"/>
        <v/>
      </c>
      <c r="D36" t="s">
        <v>630</v>
      </c>
      <c r="E36" t="s">
        <v>1341</v>
      </c>
      <c r="F36" s="1">
        <v>41662</v>
      </c>
      <c r="G36" t="s">
        <v>1174</v>
      </c>
      <c r="H36" t="s">
        <v>1328</v>
      </c>
      <c r="I36">
        <v>26</v>
      </c>
      <c r="K36" t="s">
        <v>1337</v>
      </c>
      <c r="L36" t="s">
        <v>1187</v>
      </c>
      <c r="M36" t="s">
        <v>1166</v>
      </c>
      <c r="N36" t="s">
        <v>1338</v>
      </c>
      <c r="P36" t="s">
        <v>1340</v>
      </c>
      <c r="Q36" t="s">
        <v>1190</v>
      </c>
      <c r="R36" t="s">
        <v>1170</v>
      </c>
      <c r="S36">
        <v>230</v>
      </c>
      <c r="T36" t="s">
        <v>1182</v>
      </c>
      <c r="U36" t="s">
        <v>1172</v>
      </c>
      <c r="V36" t="s">
        <v>1213</v>
      </c>
      <c r="W36" s="1">
        <v>43749</v>
      </c>
    </row>
    <row r="37" spans="1:24">
      <c r="A37" t="str">
        <f>_xlfn.IFNA(VLOOKUP(D37,Spelerslijst!A:B,1,FALSE),FALSE)</f>
        <v>NKK48D6</v>
      </c>
      <c r="B37" t="b">
        <f>_xlfn.IFNA(VLOOKUP(D37,Spelerslijst!J:K,1,FALSE),FALSE)</f>
        <v>0</v>
      </c>
      <c r="C37" t="str">
        <f t="shared" si="0"/>
        <v/>
      </c>
      <c r="D37" t="s">
        <v>681</v>
      </c>
      <c r="E37" t="s">
        <v>1342</v>
      </c>
      <c r="F37" s="1">
        <v>38079</v>
      </c>
      <c r="G37" t="s">
        <v>1174</v>
      </c>
      <c r="H37" t="s">
        <v>1343</v>
      </c>
      <c r="I37">
        <v>80</v>
      </c>
      <c r="K37" t="s">
        <v>1344</v>
      </c>
      <c r="L37" t="s">
        <v>1187</v>
      </c>
      <c r="M37" t="s">
        <v>1166</v>
      </c>
      <c r="N37" t="s">
        <v>1345</v>
      </c>
      <c r="O37" t="s">
        <v>1346</v>
      </c>
      <c r="P37" t="s">
        <v>1347</v>
      </c>
      <c r="Q37" t="s">
        <v>1190</v>
      </c>
      <c r="R37" t="s">
        <v>1170</v>
      </c>
      <c r="S37">
        <v>210</v>
      </c>
      <c r="T37" t="s">
        <v>1182</v>
      </c>
      <c r="U37" t="s">
        <v>1172</v>
      </c>
      <c r="V37" t="s">
        <v>1194</v>
      </c>
      <c r="W37" s="1">
        <v>39814</v>
      </c>
    </row>
    <row r="38" spans="1:24">
      <c r="A38" t="str">
        <f>_xlfn.IFNA(VLOOKUP(D38,Spelerslijst!A:B,1,FALSE),FALSE)</f>
        <v>NLP78G4</v>
      </c>
      <c r="B38" t="b">
        <f>_xlfn.IFNA(VLOOKUP(D38,Spelerslijst!J:K,1,FALSE),FALSE)</f>
        <v>0</v>
      </c>
      <c r="C38" t="str">
        <f t="shared" si="0"/>
        <v/>
      </c>
      <c r="D38" t="s">
        <v>208</v>
      </c>
      <c r="E38" t="s">
        <v>1348</v>
      </c>
      <c r="F38" s="1">
        <v>39274</v>
      </c>
      <c r="G38" t="s">
        <v>1174</v>
      </c>
      <c r="H38" t="s">
        <v>1349</v>
      </c>
      <c r="I38">
        <v>77</v>
      </c>
      <c r="K38" t="s">
        <v>1350</v>
      </c>
      <c r="L38" t="s">
        <v>1187</v>
      </c>
      <c r="M38" t="s">
        <v>1166</v>
      </c>
      <c r="N38" t="s">
        <v>1351</v>
      </c>
      <c r="P38" t="s">
        <v>1352</v>
      </c>
      <c r="Q38" t="s">
        <v>1190</v>
      </c>
      <c r="R38" t="s">
        <v>1170</v>
      </c>
      <c r="S38">
        <v>220</v>
      </c>
      <c r="T38" t="s">
        <v>1182</v>
      </c>
      <c r="U38" t="s">
        <v>1172</v>
      </c>
      <c r="V38" t="s">
        <v>1207</v>
      </c>
      <c r="W38" s="1">
        <v>42248</v>
      </c>
    </row>
    <row r="39" spans="1:24">
      <c r="A39" t="str">
        <f>_xlfn.IFNA(VLOOKUP(D39,Spelerslijst!A:B,1,FALSE),FALSE)</f>
        <v>NLG58Z8</v>
      </c>
      <c r="B39" t="b">
        <f>_xlfn.IFNA(VLOOKUP(D39,Spelerslijst!J:K,1,FALSE),FALSE)</f>
        <v>0</v>
      </c>
      <c r="C39" t="str">
        <f t="shared" si="0"/>
        <v/>
      </c>
      <c r="D39" t="s">
        <v>719</v>
      </c>
      <c r="E39" t="s">
        <v>1353</v>
      </c>
      <c r="F39" s="1">
        <v>38847</v>
      </c>
      <c r="G39" t="s">
        <v>1174</v>
      </c>
      <c r="H39" t="s">
        <v>1354</v>
      </c>
      <c r="I39">
        <v>8</v>
      </c>
      <c r="K39" t="s">
        <v>1355</v>
      </c>
      <c r="L39" t="s">
        <v>1187</v>
      </c>
      <c r="M39" t="s">
        <v>1166</v>
      </c>
      <c r="N39" t="s">
        <v>1356</v>
      </c>
      <c r="O39" t="s">
        <v>1357</v>
      </c>
      <c r="P39" t="s">
        <v>1358</v>
      </c>
      <c r="Q39" t="s">
        <v>1169</v>
      </c>
      <c r="R39" t="s">
        <v>1170</v>
      </c>
      <c r="S39">
        <v>220</v>
      </c>
      <c r="T39" t="s">
        <v>1182</v>
      </c>
      <c r="U39" t="s">
        <v>1172</v>
      </c>
      <c r="V39" t="s">
        <v>1207</v>
      </c>
      <c r="W39" s="1">
        <v>41518</v>
      </c>
      <c r="X39" s="1">
        <v>44377</v>
      </c>
    </row>
    <row r="40" spans="1:24">
      <c r="A40" t="b">
        <f>_xlfn.IFNA(VLOOKUP(D40,Spelerslijst!A:B,1,FALSE),FALSE)</f>
        <v>0</v>
      </c>
      <c r="B40" t="str">
        <f>_xlfn.IFNA(VLOOKUP(D40,Spelerslijst!J:K,1,FALSE),FALSE)</f>
        <v>NMK85P5</v>
      </c>
      <c r="C40" t="str">
        <f t="shared" si="0"/>
        <v/>
      </c>
      <c r="D40" t="s">
        <v>449</v>
      </c>
      <c r="E40" t="s">
        <v>1359</v>
      </c>
      <c r="F40" s="1">
        <v>39996</v>
      </c>
      <c r="G40" t="s">
        <v>1162</v>
      </c>
      <c r="H40" t="s">
        <v>1360</v>
      </c>
      <c r="I40">
        <v>15</v>
      </c>
      <c r="K40" t="s">
        <v>1361</v>
      </c>
      <c r="L40" t="s">
        <v>1187</v>
      </c>
      <c r="M40" t="s">
        <v>1166</v>
      </c>
      <c r="N40" t="s">
        <v>1362</v>
      </c>
      <c r="P40" t="s">
        <v>1363</v>
      </c>
      <c r="Q40" t="s">
        <v>1190</v>
      </c>
      <c r="R40" t="s">
        <v>1170</v>
      </c>
      <c r="S40">
        <v>230</v>
      </c>
      <c r="T40" t="s">
        <v>1182</v>
      </c>
      <c r="U40" t="s">
        <v>1172</v>
      </c>
      <c r="V40" t="s">
        <v>1213</v>
      </c>
      <c r="W40" s="1">
        <v>44089</v>
      </c>
    </row>
    <row r="41" spans="1:24">
      <c r="A41" t="b">
        <f>_xlfn.IFNA(VLOOKUP(D41,Spelerslijst!A:B,1,FALSE),FALSE)</f>
        <v>0</v>
      </c>
      <c r="B41" t="str">
        <f>_xlfn.IFNA(VLOOKUP(D41,Spelerslijst!J:K,1,FALSE),FALSE)</f>
        <v>NKQ40P2</v>
      </c>
      <c r="C41" t="str">
        <f t="shared" si="0"/>
        <v/>
      </c>
      <c r="D41" t="s">
        <v>810</v>
      </c>
      <c r="E41" t="s">
        <v>1364</v>
      </c>
      <c r="F41" s="1">
        <v>30994</v>
      </c>
      <c r="G41" t="s">
        <v>1162</v>
      </c>
      <c r="H41" t="s">
        <v>1360</v>
      </c>
      <c r="I41">
        <v>7</v>
      </c>
      <c r="K41" t="s">
        <v>1361</v>
      </c>
      <c r="L41" t="s">
        <v>1187</v>
      </c>
      <c r="M41" t="s">
        <v>1166</v>
      </c>
      <c r="N41" t="s">
        <v>1365</v>
      </c>
      <c r="P41" t="s">
        <v>1366</v>
      </c>
      <c r="Q41" t="s">
        <v>1190</v>
      </c>
      <c r="R41" t="s">
        <v>1170</v>
      </c>
      <c r="S41">
        <v>200</v>
      </c>
      <c r="T41" t="s">
        <v>1182</v>
      </c>
      <c r="U41" t="s">
        <v>1172</v>
      </c>
      <c r="V41" t="s">
        <v>1173</v>
      </c>
      <c r="W41" s="1">
        <v>40057</v>
      </c>
    </row>
    <row r="42" spans="1:24">
      <c r="A42" t="b">
        <f>_xlfn.IFNA(VLOOKUP(D42,Spelerslijst!A:B,1,FALSE),FALSE)</f>
        <v>0</v>
      </c>
      <c r="B42" t="str">
        <f>_xlfn.IFNA(VLOOKUP(D42,Spelerslijst!J:K,1,FALSE),FALSE)</f>
        <v>NMG18G2</v>
      </c>
      <c r="C42" t="str">
        <f t="shared" si="0"/>
        <v/>
      </c>
      <c r="D42" t="s">
        <v>467</v>
      </c>
      <c r="E42" t="s">
        <v>1367</v>
      </c>
      <c r="F42" s="1">
        <v>40557</v>
      </c>
      <c r="G42" t="s">
        <v>1162</v>
      </c>
      <c r="H42" t="s">
        <v>1368</v>
      </c>
      <c r="I42">
        <v>300</v>
      </c>
      <c r="K42" t="s">
        <v>1369</v>
      </c>
      <c r="L42" t="s">
        <v>1187</v>
      </c>
      <c r="M42" t="s">
        <v>1166</v>
      </c>
      <c r="N42" t="s">
        <v>1370</v>
      </c>
      <c r="P42" t="s">
        <v>1371</v>
      </c>
      <c r="Q42" t="s">
        <v>1190</v>
      </c>
      <c r="R42" t="s">
        <v>1170</v>
      </c>
      <c r="S42">
        <v>230</v>
      </c>
      <c r="T42" t="s">
        <v>1182</v>
      </c>
      <c r="U42" t="s">
        <v>1172</v>
      </c>
      <c r="V42" t="s">
        <v>1213</v>
      </c>
      <c r="W42" s="1">
        <v>43646</v>
      </c>
    </row>
    <row r="43" spans="1:24">
      <c r="A43" t="str">
        <f>_xlfn.IFNA(VLOOKUP(D43,Spelerslijst!A:B,1,FALSE),FALSE)</f>
        <v>NKD19X7</v>
      </c>
      <c r="B43" t="b">
        <f>_xlfn.IFNA(VLOOKUP(D43,Spelerslijst!J:K,1,FALSE),FALSE)</f>
        <v>0</v>
      </c>
      <c r="C43" t="str">
        <f t="shared" si="0"/>
        <v/>
      </c>
      <c r="D43" t="s">
        <v>319</v>
      </c>
      <c r="E43" t="s">
        <v>1372</v>
      </c>
      <c r="F43" s="1">
        <v>36727</v>
      </c>
      <c r="G43" t="s">
        <v>1174</v>
      </c>
      <c r="H43" t="s">
        <v>1373</v>
      </c>
      <c r="I43">
        <v>177</v>
      </c>
      <c r="K43" t="s">
        <v>1374</v>
      </c>
      <c r="L43" t="s">
        <v>1187</v>
      </c>
      <c r="M43" t="s">
        <v>1166</v>
      </c>
      <c r="N43" t="s">
        <v>1375</v>
      </c>
      <c r="O43" t="s">
        <v>1376</v>
      </c>
      <c r="P43" t="s">
        <v>1377</v>
      </c>
      <c r="Q43" t="s">
        <v>1169</v>
      </c>
      <c r="R43" t="s">
        <v>1170</v>
      </c>
      <c r="S43">
        <v>200</v>
      </c>
      <c r="T43" t="s">
        <v>1182</v>
      </c>
      <c r="U43" t="s">
        <v>1172</v>
      </c>
      <c r="V43" t="s">
        <v>1173</v>
      </c>
      <c r="W43" s="1">
        <v>39390</v>
      </c>
      <c r="X43" s="1">
        <v>44377</v>
      </c>
    </row>
    <row r="44" spans="1:24">
      <c r="A44" t="str">
        <f>_xlfn.IFNA(VLOOKUP(D44,Spelerslijst!A:B,1,FALSE),FALSE)</f>
        <v>NKQ40Q9</v>
      </c>
      <c r="B44" t="b">
        <f>_xlfn.IFNA(VLOOKUP(D44,Spelerslijst!J:K,1,FALSE),FALSE)</f>
        <v>0</v>
      </c>
      <c r="C44" t="str">
        <f t="shared" si="0"/>
        <v/>
      </c>
      <c r="D44" t="s">
        <v>331</v>
      </c>
      <c r="E44" t="s">
        <v>1378</v>
      </c>
      <c r="F44" s="1">
        <v>38011</v>
      </c>
      <c r="G44" t="s">
        <v>1174</v>
      </c>
      <c r="H44" t="s">
        <v>1373</v>
      </c>
      <c r="I44">
        <v>177</v>
      </c>
      <c r="K44" t="s">
        <v>1374</v>
      </c>
      <c r="L44" t="s">
        <v>1187</v>
      </c>
      <c r="M44" t="s">
        <v>1166</v>
      </c>
      <c r="N44" t="s">
        <v>1379</v>
      </c>
      <c r="O44" t="s">
        <v>1376</v>
      </c>
      <c r="P44" t="s">
        <v>1380</v>
      </c>
      <c r="Q44" t="s">
        <v>1190</v>
      </c>
      <c r="R44" t="s">
        <v>1170</v>
      </c>
      <c r="S44">
        <v>210</v>
      </c>
      <c r="T44" t="s">
        <v>1182</v>
      </c>
      <c r="U44" t="s">
        <v>1172</v>
      </c>
      <c r="V44" t="s">
        <v>1194</v>
      </c>
      <c r="W44" s="1">
        <v>40238</v>
      </c>
    </row>
    <row r="45" spans="1:24">
      <c r="A45" t="str">
        <f>_xlfn.IFNA(VLOOKUP(D45,Spelerslijst!A:B,1,FALSE),FALSE)</f>
        <v>NKW52X5</v>
      </c>
      <c r="B45" t="b">
        <f>_xlfn.IFNA(VLOOKUP(D45,Spelerslijst!J:K,1,FALSE),FALSE)</f>
        <v>0</v>
      </c>
      <c r="C45" t="str">
        <f t="shared" si="0"/>
        <v/>
      </c>
      <c r="D45" t="s">
        <v>325</v>
      </c>
      <c r="E45" t="s">
        <v>1381</v>
      </c>
      <c r="F45" s="1">
        <v>39205</v>
      </c>
      <c r="G45" t="s">
        <v>1174</v>
      </c>
      <c r="H45" t="s">
        <v>1373</v>
      </c>
      <c r="I45">
        <v>177</v>
      </c>
      <c r="K45" t="s">
        <v>1374</v>
      </c>
      <c r="L45" t="s">
        <v>1187</v>
      </c>
      <c r="M45" t="s">
        <v>1166</v>
      </c>
      <c r="N45" t="s">
        <v>1382</v>
      </c>
      <c r="O45" t="s">
        <v>1376</v>
      </c>
      <c r="P45" t="s">
        <v>1383</v>
      </c>
      <c r="Q45" t="s">
        <v>1190</v>
      </c>
      <c r="R45" t="s">
        <v>1170</v>
      </c>
      <c r="S45">
        <v>220</v>
      </c>
      <c r="T45" t="s">
        <v>1182</v>
      </c>
      <c r="U45" t="s">
        <v>1172</v>
      </c>
      <c r="V45" t="s">
        <v>1207</v>
      </c>
      <c r="W45" s="1">
        <v>40787</v>
      </c>
    </row>
    <row r="46" spans="1:24">
      <c r="A46" t="b">
        <f>_xlfn.IFNA(VLOOKUP(D46,Spelerslijst!A:B,1,FALSE),FALSE)</f>
        <v>0</v>
      </c>
      <c r="B46" t="str">
        <f>_xlfn.IFNA(VLOOKUP(D46,Spelerslijst!J:K,1,FALSE),FALSE)</f>
        <v>NLD36P9</v>
      </c>
      <c r="C46" t="str">
        <f t="shared" si="0"/>
        <v/>
      </c>
      <c r="D46" t="s">
        <v>392</v>
      </c>
      <c r="E46" t="s">
        <v>1384</v>
      </c>
      <c r="F46" s="1">
        <v>39655</v>
      </c>
      <c r="G46" t="s">
        <v>1162</v>
      </c>
      <c r="H46" t="s">
        <v>1373</v>
      </c>
      <c r="I46">
        <v>177</v>
      </c>
      <c r="K46" t="s">
        <v>1374</v>
      </c>
      <c r="L46" t="s">
        <v>1187</v>
      </c>
      <c r="M46" t="s">
        <v>1166</v>
      </c>
      <c r="N46" t="s">
        <v>1382</v>
      </c>
      <c r="O46" t="s">
        <v>1376</v>
      </c>
      <c r="P46" t="s">
        <v>1383</v>
      </c>
      <c r="Q46" t="s">
        <v>1190</v>
      </c>
      <c r="R46" t="s">
        <v>1170</v>
      </c>
      <c r="S46">
        <v>220</v>
      </c>
      <c r="T46" t="s">
        <v>1182</v>
      </c>
      <c r="U46" t="s">
        <v>1172</v>
      </c>
      <c r="V46" t="s">
        <v>1207</v>
      </c>
      <c r="W46" s="1">
        <v>41214</v>
      </c>
    </row>
    <row r="47" spans="1:24">
      <c r="A47" t="b">
        <f>_xlfn.IFNA(VLOOKUP(D47,Spelerslijst!A:B,1,FALSE),FALSE)</f>
        <v>0</v>
      </c>
      <c r="B47" t="str">
        <f>_xlfn.IFNA(VLOOKUP(D47,Spelerslijst!J:K,1,FALSE),FALSE)</f>
        <v>NMM75S3</v>
      </c>
      <c r="C47" t="str">
        <f t="shared" si="0"/>
        <v/>
      </c>
      <c r="D47" t="s">
        <v>339</v>
      </c>
      <c r="E47" t="s">
        <v>1385</v>
      </c>
      <c r="F47" s="1">
        <v>39677</v>
      </c>
      <c r="G47" t="s">
        <v>1162</v>
      </c>
      <c r="H47" t="s">
        <v>1386</v>
      </c>
      <c r="I47">
        <v>75</v>
      </c>
      <c r="K47" t="s">
        <v>1387</v>
      </c>
      <c r="L47" t="s">
        <v>1187</v>
      </c>
      <c r="M47" t="s">
        <v>1166</v>
      </c>
      <c r="P47" t="s">
        <v>1388</v>
      </c>
      <c r="Q47" t="s">
        <v>1190</v>
      </c>
      <c r="R47" t="s">
        <v>1170</v>
      </c>
      <c r="S47">
        <v>220</v>
      </c>
      <c r="T47" t="s">
        <v>1182</v>
      </c>
      <c r="U47" t="s">
        <v>1172</v>
      </c>
      <c r="V47" t="s">
        <v>1207</v>
      </c>
      <c r="W47" s="1">
        <v>44355</v>
      </c>
    </row>
    <row r="48" spans="1:24">
      <c r="A48" t="str">
        <f>_xlfn.IFNA(VLOOKUP(D48,Spelerslijst!A:B,1,FALSE),FALSE)</f>
        <v>NJK08X9</v>
      </c>
      <c r="B48" t="b">
        <f>_xlfn.IFNA(VLOOKUP(D48,Spelerslijst!J:K,1,FALSE),FALSE)</f>
        <v>0</v>
      </c>
      <c r="C48" t="str">
        <f t="shared" si="0"/>
        <v/>
      </c>
      <c r="D48" t="s">
        <v>463</v>
      </c>
      <c r="E48" t="s">
        <v>1389</v>
      </c>
      <c r="F48" s="1">
        <v>33828</v>
      </c>
      <c r="G48" t="s">
        <v>1174</v>
      </c>
      <c r="H48" t="s">
        <v>1390</v>
      </c>
      <c r="I48">
        <v>28</v>
      </c>
      <c r="K48" t="s">
        <v>1391</v>
      </c>
      <c r="L48" t="s">
        <v>1187</v>
      </c>
      <c r="M48" t="s">
        <v>1166</v>
      </c>
      <c r="N48" t="s">
        <v>1392</v>
      </c>
      <c r="P48" t="s">
        <v>1393</v>
      </c>
      <c r="Q48" t="s">
        <v>1190</v>
      </c>
      <c r="R48" t="s">
        <v>1170</v>
      </c>
      <c r="S48">
        <v>200</v>
      </c>
      <c r="T48" t="s">
        <v>1182</v>
      </c>
      <c r="U48" t="s">
        <v>1172</v>
      </c>
      <c r="V48" t="s">
        <v>1173</v>
      </c>
      <c r="W48" s="1">
        <v>36279</v>
      </c>
    </row>
    <row r="49" spans="1:24">
      <c r="A49" t="b">
        <f>_xlfn.IFNA(VLOOKUP(D49,Spelerslijst!A:B,1,FALSE),FALSE)</f>
        <v>0</v>
      </c>
      <c r="B49" t="str">
        <f>_xlfn.IFNA(VLOOKUP(D49,Spelerslijst!J:K,1,FALSE),FALSE)</f>
        <v>NGW00S1</v>
      </c>
      <c r="C49" t="str">
        <f t="shared" si="0"/>
        <v/>
      </c>
      <c r="D49" t="s">
        <v>788</v>
      </c>
      <c r="E49" t="s">
        <v>1394</v>
      </c>
      <c r="F49" s="1">
        <v>33100</v>
      </c>
      <c r="G49" t="s">
        <v>1162</v>
      </c>
      <c r="H49" t="s">
        <v>1390</v>
      </c>
      <c r="I49">
        <v>28</v>
      </c>
      <c r="K49" t="s">
        <v>1391</v>
      </c>
      <c r="L49" t="s">
        <v>1187</v>
      </c>
      <c r="M49" t="s">
        <v>1166</v>
      </c>
      <c r="N49" t="s">
        <v>1395</v>
      </c>
      <c r="P49" t="s">
        <v>1396</v>
      </c>
      <c r="Q49" t="s">
        <v>1190</v>
      </c>
      <c r="R49" t="s">
        <v>1170</v>
      </c>
      <c r="S49">
        <v>200</v>
      </c>
      <c r="T49" t="s">
        <v>1182</v>
      </c>
      <c r="U49" t="s">
        <v>1172</v>
      </c>
      <c r="V49" t="s">
        <v>1173</v>
      </c>
      <c r="W49" s="1">
        <v>43399</v>
      </c>
    </row>
    <row r="50" spans="1:24">
      <c r="A50" t="b">
        <f>_xlfn.IFNA(VLOOKUP(D50,Spelerslijst!A:B,1,FALSE),FALSE)</f>
        <v>0</v>
      </c>
      <c r="B50" t="str">
        <f>_xlfn.IFNA(VLOOKUP(D50,Spelerslijst!J:K,1,FALSE),FALSE)</f>
        <v>NKT15G2</v>
      </c>
      <c r="C50" t="str">
        <f t="shared" si="0"/>
        <v/>
      </c>
      <c r="D50" t="s">
        <v>181</v>
      </c>
      <c r="E50" t="s">
        <v>1397</v>
      </c>
      <c r="F50" s="1">
        <v>38150</v>
      </c>
      <c r="G50" t="s">
        <v>1162</v>
      </c>
      <c r="H50" t="s">
        <v>1398</v>
      </c>
      <c r="I50">
        <v>59</v>
      </c>
      <c r="K50" t="s">
        <v>1399</v>
      </c>
      <c r="L50" t="s">
        <v>1187</v>
      </c>
      <c r="M50" t="s">
        <v>1166</v>
      </c>
      <c r="N50" t="s">
        <v>1400</v>
      </c>
      <c r="O50" t="s">
        <v>1401</v>
      </c>
      <c r="P50" t="s">
        <v>1402</v>
      </c>
      <c r="Q50" t="s">
        <v>1190</v>
      </c>
      <c r="R50" t="s">
        <v>1170</v>
      </c>
      <c r="S50">
        <v>210</v>
      </c>
      <c r="T50" t="s">
        <v>1182</v>
      </c>
      <c r="U50" t="s">
        <v>1172</v>
      </c>
      <c r="V50" t="s">
        <v>1194</v>
      </c>
      <c r="W50" s="1">
        <v>40452</v>
      </c>
    </row>
    <row r="51" spans="1:24">
      <c r="A51" t="str">
        <f>_xlfn.IFNA(VLOOKUP(D51,Spelerslijst!A:B,1,FALSE),FALSE)</f>
        <v>NLZ65N9</v>
      </c>
      <c r="B51" t="b">
        <f>_xlfn.IFNA(VLOOKUP(D51,Spelerslijst!J:K,1,FALSE),FALSE)</f>
        <v>0</v>
      </c>
      <c r="C51" t="str">
        <f t="shared" si="0"/>
        <v/>
      </c>
      <c r="D51" t="s">
        <v>862</v>
      </c>
      <c r="E51" t="s">
        <v>1403</v>
      </c>
      <c r="F51" s="1">
        <v>40660</v>
      </c>
      <c r="G51" t="s">
        <v>1174</v>
      </c>
      <c r="H51" t="s">
        <v>1404</v>
      </c>
      <c r="I51">
        <v>38</v>
      </c>
      <c r="K51" t="s">
        <v>1405</v>
      </c>
      <c r="L51" t="s">
        <v>1187</v>
      </c>
      <c r="M51" t="s">
        <v>1166</v>
      </c>
      <c r="N51" t="s">
        <v>1406</v>
      </c>
      <c r="O51">
        <v>610222243</v>
      </c>
      <c r="P51" t="s">
        <v>1407</v>
      </c>
      <c r="Q51" t="s">
        <v>1169</v>
      </c>
      <c r="R51" t="s">
        <v>1170</v>
      </c>
      <c r="S51">
        <v>230</v>
      </c>
      <c r="T51" t="s">
        <v>1182</v>
      </c>
      <c r="U51" t="s">
        <v>1172</v>
      </c>
      <c r="V51" t="s">
        <v>1213</v>
      </c>
      <c r="W51" s="1">
        <v>43122</v>
      </c>
      <c r="X51" s="1">
        <v>44377</v>
      </c>
    </row>
    <row r="52" spans="1:24">
      <c r="A52" t="b">
        <f>_xlfn.IFNA(VLOOKUP(D52,Spelerslijst!A:B,1,FALSE),FALSE)</f>
        <v>0</v>
      </c>
      <c r="B52" t="str">
        <f>_xlfn.IFNA(VLOOKUP(D52,Spelerslijst!J:K,1,FALSE),FALSE)</f>
        <v>NMD90G5</v>
      </c>
      <c r="C52" t="str">
        <f t="shared" si="0"/>
        <v/>
      </c>
      <c r="D52" t="s">
        <v>561</v>
      </c>
      <c r="E52" t="s">
        <v>1408</v>
      </c>
      <c r="F52" s="1">
        <v>41179</v>
      </c>
      <c r="G52" t="s">
        <v>1162</v>
      </c>
      <c r="H52" t="s">
        <v>1409</v>
      </c>
      <c r="I52">
        <v>53</v>
      </c>
      <c r="K52" t="s">
        <v>1410</v>
      </c>
      <c r="L52" t="s">
        <v>1187</v>
      </c>
      <c r="M52" t="s">
        <v>1166</v>
      </c>
      <c r="N52" t="s">
        <v>1411</v>
      </c>
      <c r="P52" t="s">
        <v>1412</v>
      </c>
      <c r="Q52" t="s">
        <v>1190</v>
      </c>
      <c r="R52" t="s">
        <v>1170</v>
      </c>
      <c r="S52">
        <v>230</v>
      </c>
      <c r="T52" t="s">
        <v>1182</v>
      </c>
      <c r="U52" t="s">
        <v>1172</v>
      </c>
      <c r="V52" t="s">
        <v>1213</v>
      </c>
      <c r="W52" s="1">
        <v>43474</v>
      </c>
    </row>
    <row r="53" spans="1:24">
      <c r="A53" t="b">
        <f>_xlfn.IFNA(VLOOKUP(D53,Spelerslijst!A:B,1,FALSE),FALSE)</f>
        <v>0</v>
      </c>
      <c r="B53" t="b">
        <f>_xlfn.IFNA(VLOOKUP(D53,Spelerslijst!J:K,1,FALSE),FALSE)</f>
        <v>0</v>
      </c>
      <c r="C53" t="str">
        <f t="shared" si="0"/>
        <v>Onbekend</v>
      </c>
      <c r="D53" t="s">
        <v>1413</v>
      </c>
      <c r="E53" t="s">
        <v>1414</v>
      </c>
      <c r="F53" s="1">
        <v>35488</v>
      </c>
      <c r="G53" t="s">
        <v>1162</v>
      </c>
      <c r="H53" t="s">
        <v>1415</v>
      </c>
      <c r="I53">
        <v>55</v>
      </c>
      <c r="K53" t="s">
        <v>1416</v>
      </c>
      <c r="L53" t="s">
        <v>1187</v>
      </c>
      <c r="M53" t="s">
        <v>1166</v>
      </c>
      <c r="N53" t="s">
        <v>1417</v>
      </c>
      <c r="O53" t="s">
        <v>1417</v>
      </c>
      <c r="P53" t="s">
        <v>1418</v>
      </c>
      <c r="Q53" t="s">
        <v>1190</v>
      </c>
      <c r="S53">
        <v>202</v>
      </c>
      <c r="T53" t="s">
        <v>1171</v>
      </c>
      <c r="U53" t="s">
        <v>1172</v>
      </c>
      <c r="V53" t="s">
        <v>1173</v>
      </c>
      <c r="W53" s="1">
        <v>38200</v>
      </c>
    </row>
    <row r="54" spans="1:24">
      <c r="A54" t="b">
        <f>_xlfn.IFNA(VLOOKUP(D54,Spelerslijst!A:B,1,FALSE),FALSE)</f>
        <v>0</v>
      </c>
      <c r="B54" t="str">
        <f>_xlfn.IFNA(VLOOKUP(D54,Spelerslijst!J:K,1,FALSE),FALSE)</f>
        <v>NMC41W4</v>
      </c>
      <c r="C54" t="str">
        <f t="shared" si="0"/>
        <v/>
      </c>
      <c r="D54" t="s">
        <v>539</v>
      </c>
      <c r="E54" t="s">
        <v>1419</v>
      </c>
      <c r="F54" s="1">
        <v>40929</v>
      </c>
      <c r="G54" t="s">
        <v>1162</v>
      </c>
      <c r="H54" t="s">
        <v>1415</v>
      </c>
      <c r="I54">
        <v>112</v>
      </c>
      <c r="K54" t="s">
        <v>1420</v>
      </c>
      <c r="L54" t="s">
        <v>1187</v>
      </c>
      <c r="M54" t="s">
        <v>1166</v>
      </c>
      <c r="N54" t="s">
        <v>1421</v>
      </c>
      <c r="O54" t="s">
        <v>1421</v>
      </c>
      <c r="P54" t="s">
        <v>1422</v>
      </c>
      <c r="Q54" t="s">
        <v>1190</v>
      </c>
      <c r="R54" t="s">
        <v>1170</v>
      </c>
      <c r="S54">
        <v>230</v>
      </c>
      <c r="T54" t="s">
        <v>1182</v>
      </c>
      <c r="U54" t="s">
        <v>1172</v>
      </c>
      <c r="V54" t="s">
        <v>1213</v>
      </c>
      <c r="W54" s="1">
        <v>43345</v>
      </c>
    </row>
    <row r="55" spans="1:24">
      <c r="A55" t="b">
        <f>_xlfn.IFNA(VLOOKUP(D55,Spelerslijst!A:B,1,FALSE),FALSE)</f>
        <v>0</v>
      </c>
      <c r="B55" t="str">
        <f>_xlfn.IFNA(VLOOKUP(D55,Spelerslijst!J:K,1,FALSE),FALSE)</f>
        <v>NMK59H6</v>
      </c>
      <c r="C55" t="str">
        <f t="shared" si="0"/>
        <v/>
      </c>
      <c r="D55" t="s">
        <v>595</v>
      </c>
      <c r="E55" t="s">
        <v>1423</v>
      </c>
      <c r="F55" s="1">
        <v>41780</v>
      </c>
      <c r="G55" t="s">
        <v>1162</v>
      </c>
      <c r="H55" t="s">
        <v>1415</v>
      </c>
      <c r="I55">
        <v>112</v>
      </c>
      <c r="K55" t="s">
        <v>1420</v>
      </c>
      <c r="L55" t="s">
        <v>1187</v>
      </c>
      <c r="M55" t="s">
        <v>1166</v>
      </c>
      <c r="N55" t="s">
        <v>1421</v>
      </c>
      <c r="P55" t="s">
        <v>1424</v>
      </c>
      <c r="Q55" t="s">
        <v>1190</v>
      </c>
      <c r="R55" t="s">
        <v>1170</v>
      </c>
      <c r="S55">
        <v>230</v>
      </c>
      <c r="T55" t="s">
        <v>1182</v>
      </c>
      <c r="U55" t="s">
        <v>1172</v>
      </c>
      <c r="V55" t="s">
        <v>1213</v>
      </c>
      <c r="W55" s="1">
        <v>44075</v>
      </c>
    </row>
    <row r="56" spans="1:24">
      <c r="A56" t="str">
        <f>_xlfn.IFNA(VLOOKUP(D56,Spelerslijst!A:B,1,FALSE),FALSE)</f>
        <v>NLP77W3</v>
      </c>
      <c r="B56" t="b">
        <f>_xlfn.IFNA(VLOOKUP(D56,Spelerslijst!J:K,1,FALSE),FALSE)</f>
        <v>0</v>
      </c>
      <c r="C56" t="str">
        <f t="shared" si="0"/>
        <v/>
      </c>
      <c r="D56" t="s">
        <v>675</v>
      </c>
      <c r="E56" t="s">
        <v>1425</v>
      </c>
      <c r="F56" s="1">
        <v>38848</v>
      </c>
      <c r="G56" t="s">
        <v>1174</v>
      </c>
      <c r="H56" t="s">
        <v>1426</v>
      </c>
      <c r="I56">
        <v>15</v>
      </c>
      <c r="K56" t="s">
        <v>1427</v>
      </c>
      <c r="L56" t="s">
        <v>1187</v>
      </c>
      <c r="M56" t="s">
        <v>1166</v>
      </c>
      <c r="N56" t="s">
        <v>1428</v>
      </c>
      <c r="O56" t="s">
        <v>1429</v>
      </c>
      <c r="P56" t="s">
        <v>1430</v>
      </c>
      <c r="Q56" t="s">
        <v>1190</v>
      </c>
      <c r="R56" t="s">
        <v>1170</v>
      </c>
      <c r="S56">
        <v>220</v>
      </c>
      <c r="T56" t="s">
        <v>1182</v>
      </c>
      <c r="U56" t="s">
        <v>1172</v>
      </c>
      <c r="V56" t="s">
        <v>1207</v>
      </c>
      <c r="W56" s="1">
        <v>42248</v>
      </c>
    </row>
    <row r="57" spans="1:24">
      <c r="A57" t="b">
        <f>_xlfn.IFNA(VLOOKUP(D57,Spelerslijst!A:B,1,FALSE),FALSE)</f>
        <v>0</v>
      </c>
      <c r="B57" t="str">
        <f>_xlfn.IFNA(VLOOKUP(D57,Spelerslijst!J:K,1,FALSE),FALSE)</f>
        <v>NJZ00W3</v>
      </c>
      <c r="C57" t="str">
        <f t="shared" si="0"/>
        <v/>
      </c>
      <c r="D57" t="s">
        <v>738</v>
      </c>
      <c r="E57" t="s">
        <v>1431</v>
      </c>
      <c r="F57" s="1">
        <v>36567</v>
      </c>
      <c r="G57" t="s">
        <v>1162</v>
      </c>
      <c r="H57" t="s">
        <v>1432</v>
      </c>
      <c r="I57">
        <v>32</v>
      </c>
      <c r="K57" t="s">
        <v>1433</v>
      </c>
      <c r="L57" t="s">
        <v>1187</v>
      </c>
      <c r="M57" t="s">
        <v>1166</v>
      </c>
      <c r="N57" t="s">
        <v>1434</v>
      </c>
      <c r="O57" t="s">
        <v>1322</v>
      </c>
      <c r="P57" t="s">
        <v>1435</v>
      </c>
      <c r="Q57" t="s">
        <v>1190</v>
      </c>
      <c r="R57" t="s">
        <v>1170</v>
      </c>
      <c r="S57">
        <v>200</v>
      </c>
      <c r="T57" t="s">
        <v>1182</v>
      </c>
      <c r="U57" t="s">
        <v>1172</v>
      </c>
      <c r="V57" t="s">
        <v>1173</v>
      </c>
      <c r="W57" s="1">
        <v>39142</v>
      </c>
    </row>
    <row r="58" spans="1:24">
      <c r="A58" t="b">
        <f>_xlfn.IFNA(VLOOKUP(D58,Spelerslijst!A:B,1,FALSE),FALSE)</f>
        <v>0</v>
      </c>
      <c r="B58" t="str">
        <f>_xlfn.IFNA(VLOOKUP(D58,Spelerslijst!J:K,1,FALSE),FALSE)</f>
        <v>NKG59J2</v>
      </c>
      <c r="C58" t="str">
        <f t="shared" si="0"/>
        <v/>
      </c>
      <c r="D58" t="s">
        <v>743</v>
      </c>
      <c r="E58" t="s">
        <v>1436</v>
      </c>
      <c r="F58" s="1">
        <v>37246</v>
      </c>
      <c r="G58" t="s">
        <v>1162</v>
      </c>
      <c r="H58" t="s">
        <v>1437</v>
      </c>
      <c r="I58">
        <v>31</v>
      </c>
      <c r="K58" t="s">
        <v>1438</v>
      </c>
      <c r="L58" t="s">
        <v>1187</v>
      </c>
      <c r="M58" t="s">
        <v>1166</v>
      </c>
      <c r="N58" t="s">
        <v>1439</v>
      </c>
      <c r="O58" t="s">
        <v>1440</v>
      </c>
      <c r="P58" t="s">
        <v>1441</v>
      </c>
      <c r="Q58" t="s">
        <v>1190</v>
      </c>
      <c r="R58" t="s">
        <v>1170</v>
      </c>
      <c r="S58">
        <v>200</v>
      </c>
      <c r="T58" t="s">
        <v>1182</v>
      </c>
      <c r="U58" t="s">
        <v>1172</v>
      </c>
      <c r="V58" t="s">
        <v>1173</v>
      </c>
      <c r="W58" s="1">
        <v>39624</v>
      </c>
    </row>
    <row r="59" spans="1:24">
      <c r="A59" t="str">
        <f>_xlfn.IFNA(VLOOKUP(D59,Spelerslijst!A:B,1,FALSE),FALSE)</f>
        <v>NKY17P6</v>
      </c>
      <c r="B59" t="b">
        <f>_xlfn.IFNA(VLOOKUP(D59,Spelerslijst!J:K,1,FALSE),FALSE)</f>
        <v>0</v>
      </c>
      <c r="C59" t="str">
        <f t="shared" si="0"/>
        <v/>
      </c>
      <c r="D59" t="s">
        <v>452</v>
      </c>
      <c r="E59" t="s">
        <v>1442</v>
      </c>
      <c r="F59" s="1">
        <v>38432</v>
      </c>
      <c r="G59" t="s">
        <v>1174</v>
      </c>
      <c r="H59" t="s">
        <v>1437</v>
      </c>
      <c r="I59">
        <v>31</v>
      </c>
      <c r="K59" t="s">
        <v>1438</v>
      </c>
      <c r="L59" t="s">
        <v>1187</v>
      </c>
      <c r="M59" t="s">
        <v>1166</v>
      </c>
      <c r="N59" t="s">
        <v>1443</v>
      </c>
      <c r="O59" t="s">
        <v>1440</v>
      </c>
      <c r="P59" t="s">
        <v>1444</v>
      </c>
      <c r="Q59" t="s">
        <v>1190</v>
      </c>
      <c r="R59" t="s">
        <v>1170</v>
      </c>
      <c r="S59">
        <v>220</v>
      </c>
      <c r="T59" t="s">
        <v>1182</v>
      </c>
      <c r="U59" t="s">
        <v>1172</v>
      </c>
      <c r="V59" t="s">
        <v>1207</v>
      </c>
      <c r="W59" s="1">
        <v>40817</v>
      </c>
    </row>
    <row r="60" spans="1:24">
      <c r="A60" t="str">
        <f>_xlfn.IFNA(VLOOKUP(D60,Spelerslijst!A:B,1,FALSE),FALSE)</f>
        <v>NKR20L5</v>
      </c>
      <c r="B60" t="b">
        <f>_xlfn.IFNA(VLOOKUP(D60,Spelerslijst!J:K,1,FALSE),FALSE)</f>
        <v>0</v>
      </c>
      <c r="C60" t="str">
        <f t="shared" si="0"/>
        <v/>
      </c>
      <c r="D60" t="s">
        <v>825</v>
      </c>
      <c r="E60" t="s">
        <v>1445</v>
      </c>
      <c r="F60" s="1">
        <v>37246</v>
      </c>
      <c r="G60" t="s">
        <v>1174</v>
      </c>
      <c r="H60" t="s">
        <v>1446</v>
      </c>
      <c r="I60">
        <v>14</v>
      </c>
      <c r="K60" t="s">
        <v>1447</v>
      </c>
      <c r="L60" t="s">
        <v>1187</v>
      </c>
      <c r="M60" t="s">
        <v>1166</v>
      </c>
      <c r="N60" t="s">
        <v>1448</v>
      </c>
      <c r="O60" t="s">
        <v>1449</v>
      </c>
      <c r="P60" t="s">
        <v>1450</v>
      </c>
      <c r="Q60" t="s">
        <v>1190</v>
      </c>
      <c r="R60" t="s">
        <v>1170</v>
      </c>
      <c r="S60">
        <v>200</v>
      </c>
      <c r="T60" t="s">
        <v>1182</v>
      </c>
      <c r="U60" t="s">
        <v>1172</v>
      </c>
      <c r="V60" t="s">
        <v>1173</v>
      </c>
      <c r="W60" s="1">
        <v>40422</v>
      </c>
    </row>
    <row r="61" spans="1:24">
      <c r="A61" t="b">
        <f>_xlfn.IFNA(VLOOKUP(D61,Spelerslijst!A:B,1,FALSE),FALSE)</f>
        <v>0</v>
      </c>
      <c r="B61" t="str">
        <f>_xlfn.IFNA(VLOOKUP(D61,Spelerslijst!J:K,1,FALSE),FALSE)</f>
        <v>NKR20M2</v>
      </c>
      <c r="C61" t="str">
        <f t="shared" si="0"/>
        <v/>
      </c>
      <c r="D61" t="s">
        <v>218</v>
      </c>
      <c r="E61" t="s">
        <v>1451</v>
      </c>
      <c r="F61" s="1">
        <v>37932</v>
      </c>
      <c r="G61" t="s">
        <v>1162</v>
      </c>
      <c r="H61" t="s">
        <v>1446</v>
      </c>
      <c r="I61">
        <v>14</v>
      </c>
      <c r="K61" t="s">
        <v>1447</v>
      </c>
      <c r="L61" t="s">
        <v>1187</v>
      </c>
      <c r="M61" t="s">
        <v>1166</v>
      </c>
      <c r="N61" t="s">
        <v>1452</v>
      </c>
      <c r="O61" t="s">
        <v>1449</v>
      </c>
      <c r="P61" t="s">
        <v>1453</v>
      </c>
      <c r="Q61" t="s">
        <v>1190</v>
      </c>
      <c r="R61" t="s">
        <v>1170</v>
      </c>
      <c r="S61">
        <v>210</v>
      </c>
      <c r="T61" t="s">
        <v>1182</v>
      </c>
      <c r="U61" t="s">
        <v>1172</v>
      </c>
      <c r="V61" t="s">
        <v>1194</v>
      </c>
      <c r="W61" s="1">
        <v>40422</v>
      </c>
    </row>
    <row r="62" spans="1:24">
      <c r="A62" t="b">
        <f>_xlfn.IFNA(VLOOKUP(D62,Spelerslijst!A:B,1,FALSE),FALSE)</f>
        <v>0</v>
      </c>
      <c r="B62" t="str">
        <f>_xlfn.IFNA(VLOOKUP(D62,Spelerslijst!J:K,1,FALSE),FALSE)</f>
        <v>NKX66V9</v>
      </c>
      <c r="C62" t="str">
        <f t="shared" si="0"/>
        <v/>
      </c>
      <c r="D62" t="s">
        <v>145</v>
      </c>
      <c r="E62" t="s">
        <v>1454</v>
      </c>
      <c r="F62" s="1">
        <v>22358</v>
      </c>
      <c r="G62" t="s">
        <v>1162</v>
      </c>
      <c r="H62" t="s">
        <v>1446</v>
      </c>
      <c r="I62">
        <v>14</v>
      </c>
      <c r="K62" t="s">
        <v>1447</v>
      </c>
      <c r="L62" t="s">
        <v>1187</v>
      </c>
      <c r="M62" t="s">
        <v>1166</v>
      </c>
      <c r="N62" t="s">
        <v>1455</v>
      </c>
      <c r="O62" t="s">
        <v>1449</v>
      </c>
      <c r="P62" t="s">
        <v>1456</v>
      </c>
      <c r="Q62" t="s">
        <v>1190</v>
      </c>
      <c r="R62" t="s">
        <v>1170</v>
      </c>
      <c r="S62">
        <v>202</v>
      </c>
      <c r="T62" t="s">
        <v>1171</v>
      </c>
      <c r="U62" t="s">
        <v>1172</v>
      </c>
      <c r="V62" t="s">
        <v>1173</v>
      </c>
      <c r="W62" s="1">
        <v>40787</v>
      </c>
    </row>
    <row r="63" spans="1:24">
      <c r="A63" t="b">
        <f>_xlfn.IFNA(VLOOKUP(D63,Spelerslijst!A:B,1,FALSE),FALSE)</f>
        <v>0</v>
      </c>
      <c r="B63" t="str">
        <f>_xlfn.IFNA(VLOOKUP(D63,Spelerslijst!J:K,1,FALSE),FALSE)</f>
        <v>NLG57P5</v>
      </c>
      <c r="C63" t="str">
        <f t="shared" si="0"/>
        <v/>
      </c>
      <c r="D63" t="s">
        <v>282</v>
      </c>
      <c r="E63" t="s">
        <v>1457</v>
      </c>
      <c r="F63" s="1">
        <v>39239</v>
      </c>
      <c r="G63" t="s">
        <v>1162</v>
      </c>
      <c r="H63" t="s">
        <v>1458</v>
      </c>
      <c r="I63">
        <v>10</v>
      </c>
      <c r="K63" t="s">
        <v>1459</v>
      </c>
      <c r="L63" t="s">
        <v>1187</v>
      </c>
      <c r="M63" t="s">
        <v>1166</v>
      </c>
      <c r="N63" t="s">
        <v>1460</v>
      </c>
      <c r="O63" t="s">
        <v>1461</v>
      </c>
      <c r="P63" t="s">
        <v>1462</v>
      </c>
      <c r="Q63" t="s">
        <v>1190</v>
      </c>
      <c r="R63" t="s">
        <v>1170</v>
      </c>
      <c r="S63">
        <v>220</v>
      </c>
      <c r="T63" t="s">
        <v>1182</v>
      </c>
      <c r="U63" t="s">
        <v>1172</v>
      </c>
      <c r="V63" t="s">
        <v>1207</v>
      </c>
      <c r="W63" s="1">
        <v>41518</v>
      </c>
    </row>
    <row r="64" spans="1:24">
      <c r="A64" t="str">
        <f>_xlfn.IFNA(VLOOKUP(D64,Spelerslijst!A:B,1,FALSE),FALSE)</f>
        <v>NLT96R9</v>
      </c>
      <c r="B64" t="b">
        <f>_xlfn.IFNA(VLOOKUP(D64,Spelerslijst!J:K,1,FALSE),FALSE)</f>
        <v>0</v>
      </c>
      <c r="C64" t="str">
        <f t="shared" si="0"/>
        <v/>
      </c>
      <c r="D64" t="s">
        <v>968</v>
      </c>
      <c r="E64" t="s">
        <v>1463</v>
      </c>
      <c r="F64" s="1">
        <v>39751</v>
      </c>
      <c r="G64" t="s">
        <v>1174</v>
      </c>
      <c r="H64" t="s">
        <v>1464</v>
      </c>
      <c r="I64">
        <v>50</v>
      </c>
      <c r="K64" t="s">
        <v>1465</v>
      </c>
      <c r="L64" t="s">
        <v>1187</v>
      </c>
      <c r="M64" t="s">
        <v>1166</v>
      </c>
      <c r="N64" t="s">
        <v>1466</v>
      </c>
      <c r="O64" t="s">
        <v>1467</v>
      </c>
      <c r="P64" t="s">
        <v>1468</v>
      </c>
      <c r="Q64" t="s">
        <v>1190</v>
      </c>
      <c r="R64" t="s">
        <v>1170</v>
      </c>
      <c r="S64">
        <v>220</v>
      </c>
      <c r="T64" t="s">
        <v>1182</v>
      </c>
      <c r="U64" t="s">
        <v>1172</v>
      </c>
      <c r="V64" t="s">
        <v>1207</v>
      </c>
      <c r="W64" s="1">
        <v>42641</v>
      </c>
    </row>
    <row r="65" spans="1:24">
      <c r="A65" t="str">
        <f>_xlfn.IFNA(VLOOKUP(D65,Spelerslijst!A:B,1,FALSE),FALSE)</f>
        <v>NLV84M5</v>
      </c>
      <c r="B65" t="b">
        <f>_xlfn.IFNA(VLOOKUP(D65,Spelerslijst!J:K,1,FALSE),FALSE)</f>
        <v>0</v>
      </c>
      <c r="C65" t="str">
        <f t="shared" si="0"/>
        <v/>
      </c>
      <c r="D65" t="s">
        <v>971</v>
      </c>
      <c r="E65" t="s">
        <v>1469</v>
      </c>
      <c r="F65" s="1">
        <v>41174</v>
      </c>
      <c r="G65" t="s">
        <v>1174</v>
      </c>
      <c r="H65" t="s">
        <v>1464</v>
      </c>
      <c r="I65">
        <v>50</v>
      </c>
      <c r="K65" t="s">
        <v>1465</v>
      </c>
      <c r="L65" t="s">
        <v>1187</v>
      </c>
      <c r="M65" t="s">
        <v>1166</v>
      </c>
      <c r="N65" t="s">
        <v>1466</v>
      </c>
      <c r="O65" t="s">
        <v>1467</v>
      </c>
      <c r="P65" t="s">
        <v>1470</v>
      </c>
      <c r="Q65" t="s">
        <v>1169</v>
      </c>
      <c r="R65" t="s">
        <v>1170</v>
      </c>
      <c r="S65">
        <v>230</v>
      </c>
      <c r="T65" t="s">
        <v>1182</v>
      </c>
      <c r="U65" t="s">
        <v>1172</v>
      </c>
      <c r="V65" t="s">
        <v>1213</v>
      </c>
      <c r="W65" s="1">
        <v>42699</v>
      </c>
      <c r="X65" s="1">
        <v>44377</v>
      </c>
    </row>
    <row r="66" spans="1:24">
      <c r="A66" t="str">
        <f>_xlfn.IFNA(VLOOKUP(D66,Spelerslijst!A:B,1,FALSE),FALSE)</f>
        <v>NJX40G9</v>
      </c>
      <c r="B66" t="b">
        <f>_xlfn.IFNA(VLOOKUP(D66,Spelerslijst!J:K,1,FALSE),FALSE)</f>
        <v>0</v>
      </c>
      <c r="C66" t="str">
        <f t="shared" si="0"/>
        <v/>
      </c>
      <c r="D66" t="s">
        <v>118</v>
      </c>
      <c r="E66" t="s">
        <v>1471</v>
      </c>
      <c r="F66" s="1">
        <v>36032</v>
      </c>
      <c r="G66" t="s">
        <v>1174</v>
      </c>
      <c r="H66" t="s">
        <v>1472</v>
      </c>
      <c r="I66">
        <v>19</v>
      </c>
      <c r="K66" t="s">
        <v>1473</v>
      </c>
      <c r="L66" t="s">
        <v>1187</v>
      </c>
      <c r="M66" t="s">
        <v>1166</v>
      </c>
      <c r="N66" t="s">
        <v>1474</v>
      </c>
      <c r="P66" t="s">
        <v>1475</v>
      </c>
      <c r="Q66" t="s">
        <v>1190</v>
      </c>
      <c r="R66" t="s">
        <v>1170</v>
      </c>
      <c r="S66">
        <v>200</v>
      </c>
      <c r="T66" t="s">
        <v>1476</v>
      </c>
      <c r="U66" t="s">
        <v>1172</v>
      </c>
      <c r="V66" t="s">
        <v>1173</v>
      </c>
      <c r="W66" s="1">
        <v>41153</v>
      </c>
    </row>
    <row r="67" spans="1:24">
      <c r="A67" t="b">
        <f>_xlfn.IFNA(VLOOKUP(D67,Spelerslijst!A:B,1,FALSE),FALSE)</f>
        <v>0</v>
      </c>
      <c r="B67" t="str">
        <f>_xlfn.IFNA(VLOOKUP(D67,Spelerslijst!J:K,1,FALSE),FALSE)</f>
        <v>NKT73W8</v>
      </c>
      <c r="C67" t="str">
        <f t="shared" ref="C67:C130" si="1">IF(AND(A67=FALSE,B67=FALSE),"Onbekend","")</f>
        <v/>
      </c>
      <c r="D67" t="s">
        <v>638</v>
      </c>
      <c r="E67" t="s">
        <v>1477</v>
      </c>
      <c r="F67" s="1">
        <v>36666</v>
      </c>
      <c r="G67" t="s">
        <v>1162</v>
      </c>
      <c r="H67" t="s">
        <v>1478</v>
      </c>
      <c r="I67">
        <v>14</v>
      </c>
      <c r="K67" t="s">
        <v>1479</v>
      </c>
      <c r="L67" t="s">
        <v>1187</v>
      </c>
      <c r="M67" t="s">
        <v>1166</v>
      </c>
      <c r="N67" t="s">
        <v>1480</v>
      </c>
      <c r="O67" t="s">
        <v>1481</v>
      </c>
      <c r="P67" t="s">
        <v>1482</v>
      </c>
      <c r="Q67" t="s">
        <v>1190</v>
      </c>
      <c r="R67" t="s">
        <v>1170</v>
      </c>
      <c r="S67">
        <v>200</v>
      </c>
      <c r="T67" t="s">
        <v>1182</v>
      </c>
      <c r="U67" t="s">
        <v>1172</v>
      </c>
      <c r="V67" t="s">
        <v>1173</v>
      </c>
      <c r="W67" s="1">
        <v>40483</v>
      </c>
    </row>
    <row r="68" spans="1:24">
      <c r="A68" t="str">
        <f>_xlfn.IFNA(VLOOKUP(D68,Spelerslijst!A:B,1,FALSE),FALSE)</f>
        <v>NKP41W3</v>
      </c>
      <c r="B68" t="b">
        <f>_xlfn.IFNA(VLOOKUP(D68,Spelerslijst!J:K,1,FALSE),FALSE)</f>
        <v>0</v>
      </c>
      <c r="C68" t="str">
        <f t="shared" si="1"/>
        <v/>
      </c>
      <c r="D68" t="s">
        <v>441</v>
      </c>
      <c r="E68" t="s">
        <v>1483</v>
      </c>
      <c r="F68" s="1">
        <v>38113</v>
      </c>
      <c r="G68" t="s">
        <v>1174</v>
      </c>
      <c r="H68" t="s">
        <v>1484</v>
      </c>
      <c r="I68">
        <v>42</v>
      </c>
      <c r="K68" t="s">
        <v>1485</v>
      </c>
      <c r="L68" t="s">
        <v>1187</v>
      </c>
      <c r="M68" t="s">
        <v>1166</v>
      </c>
      <c r="N68" t="s">
        <v>1486</v>
      </c>
      <c r="O68" t="s">
        <v>1487</v>
      </c>
      <c r="P68" t="s">
        <v>1488</v>
      </c>
      <c r="Q68" t="s">
        <v>1190</v>
      </c>
      <c r="R68" t="s">
        <v>1170</v>
      </c>
      <c r="S68">
        <v>210</v>
      </c>
      <c r="T68" t="s">
        <v>1182</v>
      </c>
      <c r="U68" t="s">
        <v>1172</v>
      </c>
      <c r="V68" t="s">
        <v>1194</v>
      </c>
      <c r="W68" s="1">
        <v>40118</v>
      </c>
    </row>
    <row r="69" spans="1:24">
      <c r="A69" t="b">
        <f>_xlfn.IFNA(VLOOKUP(D69,Spelerslijst!A:B,1,FALSE),FALSE)</f>
        <v>0</v>
      </c>
      <c r="B69" t="str">
        <f>_xlfn.IFNA(VLOOKUP(D69,Spelerslijst!J:K,1,FALSE),FALSE)</f>
        <v>NGT16K5</v>
      </c>
      <c r="C69" t="str">
        <f t="shared" si="1"/>
        <v/>
      </c>
      <c r="D69" t="s">
        <v>768</v>
      </c>
      <c r="E69" t="s">
        <v>1489</v>
      </c>
      <c r="F69" s="1">
        <v>33241</v>
      </c>
      <c r="G69" t="s">
        <v>1162</v>
      </c>
      <c r="H69" t="s">
        <v>1490</v>
      </c>
      <c r="I69">
        <v>54</v>
      </c>
      <c r="K69" t="s">
        <v>1491</v>
      </c>
      <c r="L69" t="s">
        <v>1187</v>
      </c>
      <c r="M69" t="s">
        <v>1166</v>
      </c>
      <c r="N69" t="s">
        <v>1492</v>
      </c>
      <c r="P69" t="s">
        <v>1493</v>
      </c>
      <c r="Q69" t="s">
        <v>1190</v>
      </c>
      <c r="R69" t="s">
        <v>1170</v>
      </c>
      <c r="S69">
        <v>200</v>
      </c>
      <c r="T69" t="s">
        <v>1182</v>
      </c>
      <c r="U69" t="s">
        <v>1172</v>
      </c>
      <c r="V69" t="s">
        <v>1173</v>
      </c>
      <c r="W69" s="1">
        <v>41518</v>
      </c>
    </row>
    <row r="70" spans="1:24">
      <c r="A70" t="str">
        <f>_xlfn.IFNA(VLOOKUP(D70,Spelerslijst!A:B,1,FALSE),FALSE)</f>
        <v>NKY54N3</v>
      </c>
      <c r="B70" t="b">
        <f>_xlfn.IFNA(VLOOKUP(D70,Spelerslijst!J:K,1,FALSE),FALSE)</f>
        <v>0</v>
      </c>
      <c r="C70" t="str">
        <f t="shared" si="1"/>
        <v/>
      </c>
      <c r="D70" t="s">
        <v>202</v>
      </c>
      <c r="E70" t="s">
        <v>1494</v>
      </c>
      <c r="F70" s="1">
        <v>39199</v>
      </c>
      <c r="G70" t="s">
        <v>1174</v>
      </c>
      <c r="H70" t="s">
        <v>1495</v>
      </c>
      <c r="I70">
        <v>77</v>
      </c>
      <c r="K70" t="s">
        <v>1496</v>
      </c>
      <c r="L70" t="s">
        <v>1187</v>
      </c>
      <c r="M70" t="s">
        <v>1166</v>
      </c>
      <c r="N70" t="s">
        <v>1497</v>
      </c>
      <c r="O70" t="s">
        <v>1498</v>
      </c>
      <c r="P70" t="s">
        <v>1499</v>
      </c>
      <c r="Q70" t="s">
        <v>1190</v>
      </c>
      <c r="R70" t="s">
        <v>1170</v>
      </c>
      <c r="S70">
        <v>220</v>
      </c>
      <c r="T70" t="s">
        <v>1182</v>
      </c>
      <c r="U70" t="s">
        <v>1172</v>
      </c>
      <c r="V70" t="s">
        <v>1207</v>
      </c>
      <c r="W70" s="1">
        <v>41944</v>
      </c>
    </row>
    <row r="71" spans="1:24">
      <c r="A71" t="str">
        <f>_xlfn.IFNA(VLOOKUP(D71,Spelerslijst!A:B,1,FALSE),FALSE)</f>
        <v>NLM40K0</v>
      </c>
      <c r="B71" t="b">
        <f>_xlfn.IFNA(VLOOKUP(D71,Spelerslijst!J:K,1,FALSE),FALSE)</f>
        <v>0</v>
      </c>
      <c r="C71" t="str">
        <f t="shared" si="1"/>
        <v/>
      </c>
      <c r="D71" t="s">
        <v>196</v>
      </c>
      <c r="E71" t="s">
        <v>1500</v>
      </c>
      <c r="F71" s="1">
        <v>40512</v>
      </c>
      <c r="G71" t="s">
        <v>1174</v>
      </c>
      <c r="H71" t="s">
        <v>1495</v>
      </c>
      <c r="I71">
        <v>77</v>
      </c>
      <c r="K71" t="s">
        <v>1496</v>
      </c>
      <c r="L71" t="s">
        <v>1187</v>
      </c>
      <c r="M71" t="s">
        <v>1166</v>
      </c>
      <c r="N71" t="s">
        <v>1497</v>
      </c>
      <c r="O71" t="s">
        <v>1498</v>
      </c>
      <c r="P71" t="s">
        <v>1501</v>
      </c>
      <c r="Q71" t="s">
        <v>1190</v>
      </c>
      <c r="R71" t="s">
        <v>1170</v>
      </c>
      <c r="S71">
        <v>230</v>
      </c>
      <c r="T71" t="s">
        <v>1182</v>
      </c>
      <c r="U71" t="s">
        <v>1172</v>
      </c>
      <c r="V71" t="s">
        <v>1213</v>
      </c>
      <c r="W71" s="1">
        <v>41944</v>
      </c>
    </row>
    <row r="72" spans="1:24">
      <c r="A72" t="str">
        <f>_xlfn.IFNA(VLOOKUP(D72,Spelerslijst!A:B,1,FALSE),FALSE)</f>
        <v>NKW49Y8</v>
      </c>
      <c r="B72" t="b">
        <f>_xlfn.IFNA(VLOOKUP(D72,Spelerslijst!J:K,1,FALSE),FALSE)</f>
        <v>0</v>
      </c>
      <c r="C72" t="str">
        <f t="shared" si="1"/>
        <v/>
      </c>
      <c r="D72" t="s">
        <v>963</v>
      </c>
      <c r="E72" t="s">
        <v>1502</v>
      </c>
      <c r="F72" s="1">
        <v>37712</v>
      </c>
      <c r="G72" t="s">
        <v>1174</v>
      </c>
      <c r="H72" t="s">
        <v>1503</v>
      </c>
      <c r="I72">
        <v>9</v>
      </c>
      <c r="K72" t="s">
        <v>1504</v>
      </c>
      <c r="L72" t="s">
        <v>1187</v>
      </c>
      <c r="M72" t="s">
        <v>1166</v>
      </c>
      <c r="N72" t="s">
        <v>1505</v>
      </c>
      <c r="O72" t="s">
        <v>1506</v>
      </c>
      <c r="P72" t="s">
        <v>1507</v>
      </c>
      <c r="Q72" t="s">
        <v>1190</v>
      </c>
      <c r="R72" t="s">
        <v>1170</v>
      </c>
      <c r="S72">
        <v>210</v>
      </c>
      <c r="T72" t="s">
        <v>1182</v>
      </c>
      <c r="U72" t="s">
        <v>1172</v>
      </c>
      <c r="V72" t="s">
        <v>1194</v>
      </c>
      <c r="W72" s="1">
        <v>40787</v>
      </c>
    </row>
    <row r="73" spans="1:24">
      <c r="A73" t="str">
        <f>_xlfn.IFNA(VLOOKUP(D73,Spelerslijst!A:B,1,FALSE),FALSE)</f>
        <v>NLB70G6</v>
      </c>
      <c r="B73" t="b">
        <f>_xlfn.IFNA(VLOOKUP(D73,Spelerslijst!J:K,1,FALSE),FALSE)</f>
        <v>0</v>
      </c>
      <c r="C73" t="str">
        <f t="shared" si="1"/>
        <v/>
      </c>
      <c r="D73" t="s">
        <v>961</v>
      </c>
      <c r="E73" t="s">
        <v>1508</v>
      </c>
      <c r="F73" s="1">
        <v>38417</v>
      </c>
      <c r="G73" t="s">
        <v>1174</v>
      </c>
      <c r="H73" t="s">
        <v>1503</v>
      </c>
      <c r="I73">
        <v>9</v>
      </c>
      <c r="K73" t="s">
        <v>1504</v>
      </c>
      <c r="L73" t="s">
        <v>1187</v>
      </c>
      <c r="M73" t="s">
        <v>1166</v>
      </c>
      <c r="N73" t="s">
        <v>1509</v>
      </c>
      <c r="O73" t="s">
        <v>1506</v>
      </c>
      <c r="P73" t="s">
        <v>1510</v>
      </c>
      <c r="Q73" t="s">
        <v>1169</v>
      </c>
      <c r="R73" t="s">
        <v>1170</v>
      </c>
      <c r="S73">
        <v>220</v>
      </c>
      <c r="T73" t="s">
        <v>1182</v>
      </c>
      <c r="U73" t="s">
        <v>1172</v>
      </c>
      <c r="V73" t="s">
        <v>1207</v>
      </c>
      <c r="W73" s="1">
        <v>41153</v>
      </c>
      <c r="X73" s="1">
        <v>44377</v>
      </c>
    </row>
    <row r="74" spans="1:24">
      <c r="A74" t="str">
        <f>_xlfn.IFNA(VLOOKUP(D74,Spelerslijst!A:B,1,FALSE),FALSE)</f>
        <v>NLP89W4</v>
      </c>
      <c r="B74" t="b">
        <f>_xlfn.IFNA(VLOOKUP(D74,Spelerslijst!J:K,1,FALSE),FALSE)</f>
        <v>0</v>
      </c>
      <c r="C74" t="str">
        <f t="shared" si="1"/>
        <v/>
      </c>
      <c r="D74" t="s">
        <v>965</v>
      </c>
      <c r="E74" t="s">
        <v>1511</v>
      </c>
      <c r="F74" s="1">
        <v>40227</v>
      </c>
      <c r="G74" t="s">
        <v>1174</v>
      </c>
      <c r="H74" t="s">
        <v>1503</v>
      </c>
      <c r="I74">
        <v>9</v>
      </c>
      <c r="K74" t="s">
        <v>1504</v>
      </c>
      <c r="L74" t="s">
        <v>1187</v>
      </c>
      <c r="M74" t="s">
        <v>1166</v>
      </c>
      <c r="N74" t="s">
        <v>1509</v>
      </c>
      <c r="O74" t="s">
        <v>1506</v>
      </c>
      <c r="P74" t="s">
        <v>1512</v>
      </c>
      <c r="Q74" t="s">
        <v>1190</v>
      </c>
      <c r="R74" t="s">
        <v>1170</v>
      </c>
      <c r="S74">
        <v>230</v>
      </c>
      <c r="T74" t="s">
        <v>1182</v>
      </c>
      <c r="U74" t="s">
        <v>1172</v>
      </c>
      <c r="V74" t="s">
        <v>1213</v>
      </c>
      <c r="W74" s="1">
        <v>42248</v>
      </c>
    </row>
    <row r="75" spans="1:24">
      <c r="A75" t="str">
        <f>_xlfn.IFNA(VLOOKUP(D75,Spelerslijst!A:B,1,FALSE),FALSE)</f>
        <v>NMK12F1</v>
      </c>
      <c r="B75" t="b">
        <f>_xlfn.IFNA(VLOOKUP(D75,Spelerslijst!J:K,1,FALSE),FALSE)</f>
        <v>0</v>
      </c>
      <c r="C75" t="str">
        <f t="shared" si="1"/>
        <v/>
      </c>
      <c r="D75" t="s">
        <v>447</v>
      </c>
      <c r="E75" t="s">
        <v>1513</v>
      </c>
      <c r="F75" s="1">
        <v>40329</v>
      </c>
      <c r="G75" t="s">
        <v>1174</v>
      </c>
      <c r="H75" t="s">
        <v>1514</v>
      </c>
      <c r="I75">
        <v>29</v>
      </c>
      <c r="K75" t="s">
        <v>1515</v>
      </c>
      <c r="L75" t="s">
        <v>1187</v>
      </c>
      <c r="M75" t="s">
        <v>1166</v>
      </c>
      <c r="N75" t="s">
        <v>1516</v>
      </c>
      <c r="P75" t="s">
        <v>1517</v>
      </c>
      <c r="Q75" t="s">
        <v>1190</v>
      </c>
      <c r="R75" t="s">
        <v>1170</v>
      </c>
      <c r="S75">
        <v>230</v>
      </c>
      <c r="T75" t="s">
        <v>1182</v>
      </c>
      <c r="U75" t="s">
        <v>1172</v>
      </c>
      <c r="V75" t="s">
        <v>1213</v>
      </c>
      <c r="W75" s="1">
        <v>44020</v>
      </c>
    </row>
    <row r="76" spans="1:24">
      <c r="A76" t="str">
        <f>_xlfn.IFNA(VLOOKUP(D76,Spelerslijst!A:B,1,FALSE),FALSE)</f>
        <v>NMK01M2</v>
      </c>
      <c r="B76" t="b">
        <f>_xlfn.IFNA(VLOOKUP(D76,Spelerslijst!J:K,1,FALSE),FALSE)</f>
        <v>0</v>
      </c>
      <c r="C76" t="str">
        <f t="shared" si="1"/>
        <v/>
      </c>
      <c r="D76" t="s">
        <v>354</v>
      </c>
      <c r="E76" t="s">
        <v>1518</v>
      </c>
      <c r="F76" s="1">
        <v>41108</v>
      </c>
      <c r="G76" t="s">
        <v>1174</v>
      </c>
      <c r="H76" t="s">
        <v>1519</v>
      </c>
      <c r="I76">
        <v>63</v>
      </c>
      <c r="K76" t="s">
        <v>1520</v>
      </c>
      <c r="L76" t="s">
        <v>1187</v>
      </c>
      <c r="M76" t="s">
        <v>1166</v>
      </c>
      <c r="N76" t="s">
        <v>1521</v>
      </c>
      <c r="P76" t="s">
        <v>1522</v>
      </c>
      <c r="Q76" t="s">
        <v>1190</v>
      </c>
      <c r="R76" t="s">
        <v>1170</v>
      </c>
      <c r="S76">
        <v>230</v>
      </c>
      <c r="T76" t="s">
        <v>1182</v>
      </c>
      <c r="U76" t="s">
        <v>1172</v>
      </c>
      <c r="V76" t="s">
        <v>1213</v>
      </c>
      <c r="W76" s="1">
        <v>44013</v>
      </c>
    </row>
    <row r="77" spans="1:24">
      <c r="A77" t="str">
        <f>_xlfn.IFNA(VLOOKUP(D77,Spelerslijst!A:B,1,FALSE),FALSE)</f>
        <v>NLR34F7</v>
      </c>
      <c r="B77" t="b">
        <f>_xlfn.IFNA(VLOOKUP(D77,Spelerslijst!J:K,1,FALSE),FALSE)</f>
        <v>0</v>
      </c>
      <c r="C77" t="str">
        <f t="shared" si="1"/>
        <v/>
      </c>
      <c r="D77" t="s">
        <v>520</v>
      </c>
      <c r="E77" t="s">
        <v>1523</v>
      </c>
      <c r="F77" s="1">
        <v>40243</v>
      </c>
      <c r="G77" t="s">
        <v>1174</v>
      </c>
      <c r="H77" t="s">
        <v>1524</v>
      </c>
      <c r="I77">
        <v>3</v>
      </c>
      <c r="K77" t="s">
        <v>1525</v>
      </c>
      <c r="L77" t="s">
        <v>1187</v>
      </c>
      <c r="M77" t="s">
        <v>1166</v>
      </c>
      <c r="N77" t="s">
        <v>1526</v>
      </c>
      <c r="O77" t="s">
        <v>1527</v>
      </c>
      <c r="P77" t="s">
        <v>1528</v>
      </c>
      <c r="Q77" t="s">
        <v>1190</v>
      </c>
      <c r="R77" t="s">
        <v>1170</v>
      </c>
      <c r="S77">
        <v>230</v>
      </c>
      <c r="T77" t="s">
        <v>1182</v>
      </c>
      <c r="U77" t="s">
        <v>1172</v>
      </c>
      <c r="V77" t="s">
        <v>1213</v>
      </c>
      <c r="W77" s="1">
        <v>42339</v>
      </c>
    </row>
    <row r="78" spans="1:24">
      <c r="A78" t="b">
        <f>_xlfn.IFNA(VLOOKUP(D78,Spelerslijst!A:B,1,FALSE),FALSE)</f>
        <v>0</v>
      </c>
      <c r="B78" t="str">
        <f>_xlfn.IFNA(VLOOKUP(D78,Spelerslijst!J:K,1,FALSE),FALSE)</f>
        <v>NMK58C8</v>
      </c>
      <c r="C78" t="str">
        <f t="shared" si="1"/>
        <v/>
      </c>
      <c r="D78" t="s">
        <v>918</v>
      </c>
      <c r="E78" t="s">
        <v>1529</v>
      </c>
      <c r="F78" s="1">
        <v>40603</v>
      </c>
      <c r="G78" t="s">
        <v>1162</v>
      </c>
      <c r="H78" t="s">
        <v>1530</v>
      </c>
      <c r="I78">
        <v>34</v>
      </c>
      <c r="K78" t="s">
        <v>1531</v>
      </c>
      <c r="L78" t="s">
        <v>1187</v>
      </c>
      <c r="M78" t="s">
        <v>1166</v>
      </c>
      <c r="N78" t="s">
        <v>1532</v>
      </c>
      <c r="O78" t="s">
        <v>1532</v>
      </c>
      <c r="P78" t="s">
        <v>1533</v>
      </c>
      <c r="Q78" t="s">
        <v>1190</v>
      </c>
      <c r="R78" t="s">
        <v>1170</v>
      </c>
      <c r="S78">
        <v>230</v>
      </c>
      <c r="T78" t="s">
        <v>1182</v>
      </c>
      <c r="U78" t="s">
        <v>1172</v>
      </c>
      <c r="V78" t="s">
        <v>1213</v>
      </c>
      <c r="W78" s="1">
        <v>44074</v>
      </c>
    </row>
    <row r="79" spans="1:24">
      <c r="A79" t="b">
        <f>_xlfn.IFNA(VLOOKUP(D79,Spelerslijst!A:B,1,FALSE),FALSE)</f>
        <v>0</v>
      </c>
      <c r="B79" t="str">
        <f>_xlfn.IFNA(VLOOKUP(D79,Spelerslijst!J:K,1,FALSE),FALSE)</f>
        <v>NKD19Y4</v>
      </c>
      <c r="C79" t="str">
        <f t="shared" si="1"/>
        <v/>
      </c>
      <c r="D79" t="s">
        <v>728</v>
      </c>
      <c r="E79" t="s">
        <v>1534</v>
      </c>
      <c r="F79" s="1">
        <v>36077</v>
      </c>
      <c r="G79" t="s">
        <v>1162</v>
      </c>
      <c r="H79" t="s">
        <v>1535</v>
      </c>
      <c r="I79">
        <v>40</v>
      </c>
      <c r="K79" t="s">
        <v>1536</v>
      </c>
      <c r="L79" t="s">
        <v>1187</v>
      </c>
      <c r="M79" t="s">
        <v>1166</v>
      </c>
      <c r="N79" t="s">
        <v>1537</v>
      </c>
      <c r="O79" t="s">
        <v>1376</v>
      </c>
      <c r="P79" t="s">
        <v>1538</v>
      </c>
      <c r="Q79" t="s">
        <v>1190</v>
      </c>
      <c r="R79" t="s">
        <v>1170</v>
      </c>
      <c r="S79">
        <v>200</v>
      </c>
      <c r="T79" t="s">
        <v>1182</v>
      </c>
      <c r="U79" t="s">
        <v>1172</v>
      </c>
      <c r="V79" t="s">
        <v>1173</v>
      </c>
      <c r="W79" s="1">
        <v>39390</v>
      </c>
    </row>
    <row r="80" spans="1:24">
      <c r="A80" t="str">
        <f>_xlfn.IFNA(VLOOKUP(D80,Spelerslijst!A:B,1,FALSE),FALSE)</f>
        <v>NLS08G2</v>
      </c>
      <c r="B80" t="b">
        <f>_xlfn.IFNA(VLOOKUP(D80,Spelerslijst!J:K,1,FALSE),FALSE)</f>
        <v>0</v>
      </c>
      <c r="C80" t="str">
        <f t="shared" si="1"/>
        <v/>
      </c>
      <c r="D80" t="s">
        <v>337</v>
      </c>
      <c r="E80" t="s">
        <v>1539</v>
      </c>
      <c r="F80" s="1">
        <v>37295</v>
      </c>
      <c r="G80" t="s">
        <v>1174</v>
      </c>
      <c r="H80" t="s">
        <v>1540</v>
      </c>
      <c r="I80">
        <v>48</v>
      </c>
      <c r="K80" t="s">
        <v>1541</v>
      </c>
      <c r="L80" t="s">
        <v>1187</v>
      </c>
      <c r="M80" t="s">
        <v>1166</v>
      </c>
      <c r="N80" t="s">
        <v>1542</v>
      </c>
      <c r="O80" t="s">
        <v>1543</v>
      </c>
      <c r="P80" t="s">
        <v>1544</v>
      </c>
      <c r="Q80" t="s">
        <v>1190</v>
      </c>
      <c r="R80" t="s">
        <v>1170</v>
      </c>
      <c r="S80">
        <v>210</v>
      </c>
      <c r="T80" t="s">
        <v>1182</v>
      </c>
      <c r="U80" t="s">
        <v>1172</v>
      </c>
      <c r="V80" t="s">
        <v>1194</v>
      </c>
      <c r="W80" s="1">
        <v>42430</v>
      </c>
    </row>
    <row r="81" spans="1:24">
      <c r="A81" t="str">
        <f>_xlfn.IFNA(VLOOKUP(D81,Spelerslijst!A:B,1,FALSE),FALSE)</f>
        <v>NLF29C4</v>
      </c>
      <c r="B81" t="b">
        <f>_xlfn.IFNA(VLOOKUP(D81,Spelerslijst!J:K,1,FALSE),FALSE)</f>
        <v>0</v>
      </c>
      <c r="C81" t="str">
        <f t="shared" si="1"/>
        <v/>
      </c>
      <c r="D81" t="s">
        <v>470</v>
      </c>
      <c r="E81" t="s">
        <v>1545</v>
      </c>
      <c r="F81" s="1">
        <v>37807</v>
      </c>
      <c r="G81" t="s">
        <v>1174</v>
      </c>
      <c r="H81" t="s">
        <v>1546</v>
      </c>
      <c r="I81">
        <v>68</v>
      </c>
      <c r="K81" t="s">
        <v>1547</v>
      </c>
      <c r="L81" t="s">
        <v>1187</v>
      </c>
      <c r="M81" t="s">
        <v>1166</v>
      </c>
      <c r="N81" t="s">
        <v>1548</v>
      </c>
      <c r="P81" t="s">
        <v>1549</v>
      </c>
      <c r="Q81" t="s">
        <v>1190</v>
      </c>
      <c r="R81" t="s">
        <v>1170</v>
      </c>
      <c r="S81">
        <v>210</v>
      </c>
      <c r="T81" t="s">
        <v>1182</v>
      </c>
      <c r="U81" t="s">
        <v>1172</v>
      </c>
      <c r="V81" t="s">
        <v>1194</v>
      </c>
      <c r="W81" s="1">
        <v>44100</v>
      </c>
    </row>
    <row r="82" spans="1:24">
      <c r="A82" t="b">
        <f>_xlfn.IFNA(VLOOKUP(D82,Spelerslijst!A:B,1,FALSE),FALSE)</f>
        <v>0</v>
      </c>
      <c r="B82" t="b">
        <f>_xlfn.IFNA(VLOOKUP(D82,Spelerslijst!J:K,1,FALSE),FALSE)</f>
        <v>0</v>
      </c>
      <c r="C82" t="str">
        <f t="shared" si="1"/>
        <v>Onbekend</v>
      </c>
      <c r="D82" t="s">
        <v>1550</v>
      </c>
      <c r="E82" t="s">
        <v>1551</v>
      </c>
      <c r="F82" s="1">
        <v>24821</v>
      </c>
      <c r="G82" t="s">
        <v>1174</v>
      </c>
      <c r="H82" t="s">
        <v>1552</v>
      </c>
      <c r="I82">
        <v>67</v>
      </c>
      <c r="K82" t="s">
        <v>1553</v>
      </c>
      <c r="L82" t="s">
        <v>1187</v>
      </c>
      <c r="M82" t="s">
        <v>1166</v>
      </c>
      <c r="N82">
        <v>649997388</v>
      </c>
      <c r="P82" t="s">
        <v>1554</v>
      </c>
      <c r="Q82" t="s">
        <v>1190</v>
      </c>
      <c r="S82">
        <v>300</v>
      </c>
      <c r="T82" t="s">
        <v>1555</v>
      </c>
      <c r="U82" t="s">
        <v>1172</v>
      </c>
      <c r="V82" t="s">
        <v>1173</v>
      </c>
      <c r="W82" s="1">
        <v>40909</v>
      </c>
    </row>
    <row r="83" spans="1:24">
      <c r="A83" t="b">
        <f>_xlfn.IFNA(VLOOKUP(D83,Spelerslijst!A:B,1,FALSE),FALSE)</f>
        <v>0</v>
      </c>
      <c r="B83" t="str">
        <f>_xlfn.IFNA(VLOOKUP(D83,Spelerslijst!J:K,1,FALSE),FALSE)</f>
        <v>NMC50D3</v>
      </c>
      <c r="C83" t="str">
        <f t="shared" si="1"/>
        <v/>
      </c>
      <c r="D83" t="s">
        <v>907</v>
      </c>
      <c r="E83" t="s">
        <v>1556</v>
      </c>
      <c r="F83" s="1">
        <v>39414</v>
      </c>
      <c r="G83" t="s">
        <v>1162</v>
      </c>
      <c r="H83" t="s">
        <v>1557</v>
      </c>
      <c r="I83">
        <v>44</v>
      </c>
      <c r="K83" t="s">
        <v>1558</v>
      </c>
      <c r="L83" t="s">
        <v>1187</v>
      </c>
      <c r="M83" t="s">
        <v>1166</v>
      </c>
      <c r="N83" t="s">
        <v>1559</v>
      </c>
      <c r="P83" t="s">
        <v>1560</v>
      </c>
      <c r="Q83" t="s">
        <v>1169</v>
      </c>
      <c r="R83" t="s">
        <v>1170</v>
      </c>
      <c r="S83">
        <v>220</v>
      </c>
      <c r="T83" t="s">
        <v>1182</v>
      </c>
      <c r="U83" t="s">
        <v>1172</v>
      </c>
      <c r="V83" t="s">
        <v>1207</v>
      </c>
      <c r="W83" s="1">
        <v>43348</v>
      </c>
      <c r="X83" s="1">
        <v>44377</v>
      </c>
    </row>
    <row r="84" spans="1:24">
      <c r="A84" t="str">
        <f>_xlfn.IFNA(VLOOKUP(D84,Spelerslijst!A:B,1,FALSE),FALSE)</f>
        <v>NJQ72J4</v>
      </c>
      <c r="B84" t="b">
        <f>_xlfn.IFNA(VLOOKUP(D84,Spelerslijst!J:K,1,FALSE),FALSE)</f>
        <v>0</v>
      </c>
      <c r="C84" t="str">
        <f t="shared" si="1"/>
        <v/>
      </c>
      <c r="D84" t="s">
        <v>1026</v>
      </c>
      <c r="E84" t="s">
        <v>1561</v>
      </c>
      <c r="F84" s="1">
        <v>34635</v>
      </c>
      <c r="G84" t="s">
        <v>1174</v>
      </c>
      <c r="H84" t="s">
        <v>1557</v>
      </c>
      <c r="I84">
        <v>161</v>
      </c>
      <c r="K84" t="s">
        <v>1562</v>
      </c>
      <c r="L84" t="s">
        <v>1187</v>
      </c>
      <c r="M84" t="s">
        <v>1166</v>
      </c>
      <c r="N84" t="s">
        <v>1563</v>
      </c>
      <c r="O84" t="s">
        <v>1564</v>
      </c>
      <c r="P84" t="s">
        <v>1565</v>
      </c>
      <c r="Q84" t="s">
        <v>1169</v>
      </c>
      <c r="R84" t="s">
        <v>1170</v>
      </c>
      <c r="S84">
        <v>202</v>
      </c>
      <c r="T84" t="s">
        <v>1171</v>
      </c>
      <c r="U84" t="s">
        <v>1172</v>
      </c>
      <c r="V84" t="s">
        <v>1173</v>
      </c>
      <c r="W84" s="1">
        <v>38625</v>
      </c>
      <c r="X84" s="1">
        <v>44377</v>
      </c>
    </row>
    <row r="85" spans="1:24">
      <c r="A85" t="b">
        <f>_xlfn.IFNA(VLOOKUP(D85,Spelerslijst!A:B,1,FALSE),FALSE)</f>
        <v>0</v>
      </c>
      <c r="B85" t="str">
        <f>_xlfn.IFNA(VLOOKUP(D85,Spelerslijst!J:K,1,FALSE),FALSE)</f>
        <v>NLW47J4</v>
      </c>
      <c r="C85" t="str">
        <f t="shared" si="1"/>
        <v/>
      </c>
      <c r="D85" t="s">
        <v>345</v>
      </c>
      <c r="E85" t="s">
        <v>1566</v>
      </c>
      <c r="F85" s="1">
        <v>39402</v>
      </c>
      <c r="G85" t="s">
        <v>1162</v>
      </c>
      <c r="H85" t="s">
        <v>1557</v>
      </c>
      <c r="I85">
        <v>186</v>
      </c>
      <c r="K85" t="s">
        <v>1567</v>
      </c>
      <c r="L85" t="s">
        <v>1187</v>
      </c>
      <c r="M85" t="s">
        <v>1166</v>
      </c>
      <c r="N85" t="s">
        <v>1568</v>
      </c>
      <c r="P85" t="s">
        <v>1569</v>
      </c>
      <c r="Q85" t="s">
        <v>1190</v>
      </c>
      <c r="R85" t="s">
        <v>1170</v>
      </c>
      <c r="S85">
        <v>220</v>
      </c>
      <c r="T85" t="s">
        <v>1182</v>
      </c>
      <c r="U85" t="s">
        <v>1172</v>
      </c>
      <c r="V85" t="s">
        <v>1207</v>
      </c>
      <c r="W85" s="1">
        <v>42809</v>
      </c>
    </row>
    <row r="86" spans="1:24">
      <c r="A86" t="b">
        <f>_xlfn.IFNA(VLOOKUP(D86,Spelerslijst!A:B,1,FALSE),FALSE)</f>
        <v>0</v>
      </c>
      <c r="B86" t="str">
        <f>_xlfn.IFNA(VLOOKUP(D86,Spelerslijst!J:K,1,FALSE),FALSE)</f>
        <v>NMJ09L8</v>
      </c>
      <c r="C86" t="str">
        <f t="shared" si="1"/>
        <v/>
      </c>
      <c r="D86" t="s">
        <v>351</v>
      </c>
      <c r="E86" t="s">
        <v>1570</v>
      </c>
      <c r="F86" s="1">
        <v>39402</v>
      </c>
      <c r="G86" t="s">
        <v>1162</v>
      </c>
      <c r="H86" t="s">
        <v>1557</v>
      </c>
      <c r="I86">
        <v>295</v>
      </c>
      <c r="K86" t="s">
        <v>1571</v>
      </c>
      <c r="L86" t="s">
        <v>1187</v>
      </c>
      <c r="M86" t="s">
        <v>1166</v>
      </c>
      <c r="N86" t="s">
        <v>1572</v>
      </c>
      <c r="O86" t="s">
        <v>1572</v>
      </c>
      <c r="P86" t="s">
        <v>1573</v>
      </c>
      <c r="Q86" t="s">
        <v>1190</v>
      </c>
      <c r="R86" t="s">
        <v>1170</v>
      </c>
      <c r="S86">
        <v>220</v>
      </c>
      <c r="T86" t="s">
        <v>1182</v>
      </c>
      <c r="U86" t="s">
        <v>1172</v>
      </c>
      <c r="V86" t="s">
        <v>1207</v>
      </c>
      <c r="W86" s="1">
        <v>43821</v>
      </c>
    </row>
    <row r="87" spans="1:24">
      <c r="A87" t="str">
        <f>_xlfn.IFNA(VLOOKUP(D87,Spelerslijst!A:B,1,FALSE),FALSE)</f>
        <v>NKK27G4</v>
      </c>
      <c r="B87" t="b">
        <f>_xlfn.IFNA(VLOOKUP(D87,Spelerslijst!J:K,1,FALSE),FALSE)</f>
        <v>0</v>
      </c>
      <c r="C87" t="str">
        <f t="shared" si="1"/>
        <v/>
      </c>
      <c r="D87" t="s">
        <v>883</v>
      </c>
      <c r="E87" t="s">
        <v>1574</v>
      </c>
      <c r="F87" s="1">
        <v>37702</v>
      </c>
      <c r="G87" t="s">
        <v>1174</v>
      </c>
      <c r="H87" t="s">
        <v>1575</v>
      </c>
      <c r="I87">
        <v>197</v>
      </c>
      <c r="K87" t="s">
        <v>1576</v>
      </c>
      <c r="L87" t="s">
        <v>1187</v>
      </c>
      <c r="M87" t="s">
        <v>1166</v>
      </c>
      <c r="N87" t="s">
        <v>1577</v>
      </c>
      <c r="O87" t="s">
        <v>1578</v>
      </c>
      <c r="P87" t="s">
        <v>1579</v>
      </c>
      <c r="Q87" t="s">
        <v>1190</v>
      </c>
      <c r="R87" t="s">
        <v>1170</v>
      </c>
      <c r="S87">
        <v>210</v>
      </c>
      <c r="T87" t="s">
        <v>1182</v>
      </c>
      <c r="U87" t="s">
        <v>1172</v>
      </c>
      <c r="V87" t="s">
        <v>1194</v>
      </c>
      <c r="W87" s="1">
        <v>39783</v>
      </c>
    </row>
    <row r="88" spans="1:24">
      <c r="A88" t="b">
        <f>_xlfn.IFNA(VLOOKUP(D88,Spelerslijst!A:B,1,FALSE),FALSE)</f>
        <v>0</v>
      </c>
      <c r="B88" t="str">
        <f>_xlfn.IFNA(VLOOKUP(D88,Spelerslijst!J:K,1,FALSE),FALSE)</f>
        <v>NLG57L7</v>
      </c>
      <c r="C88" t="str">
        <f t="shared" si="1"/>
        <v/>
      </c>
      <c r="D88" t="s">
        <v>300</v>
      </c>
      <c r="E88" t="s">
        <v>1580</v>
      </c>
      <c r="F88" s="1">
        <v>39367</v>
      </c>
      <c r="G88" t="s">
        <v>1162</v>
      </c>
      <c r="H88" t="s">
        <v>1575</v>
      </c>
      <c r="I88">
        <v>197</v>
      </c>
      <c r="K88" t="s">
        <v>1576</v>
      </c>
      <c r="L88" t="s">
        <v>1187</v>
      </c>
      <c r="M88" t="s">
        <v>1166</v>
      </c>
      <c r="N88" t="s">
        <v>1581</v>
      </c>
      <c r="P88" t="s">
        <v>1582</v>
      </c>
      <c r="Q88" t="s">
        <v>1190</v>
      </c>
      <c r="R88" t="s">
        <v>1170</v>
      </c>
      <c r="S88">
        <v>220</v>
      </c>
      <c r="T88" t="s">
        <v>1182</v>
      </c>
      <c r="U88" t="s">
        <v>1172</v>
      </c>
      <c r="V88" t="s">
        <v>1207</v>
      </c>
      <c r="W88" s="1">
        <v>41518</v>
      </c>
    </row>
    <row r="89" spans="1:24">
      <c r="A89" t="str">
        <f>_xlfn.IFNA(VLOOKUP(D89,Spelerslijst!A:B,1,FALSE),FALSE)</f>
        <v>NJC46R3</v>
      </c>
      <c r="B89" t="b">
        <f>_xlfn.IFNA(VLOOKUP(D89,Spelerslijst!J:K,1,FALSE),FALSE)</f>
        <v>0</v>
      </c>
      <c r="C89" t="str">
        <f t="shared" si="1"/>
        <v/>
      </c>
      <c r="D89" t="s">
        <v>986</v>
      </c>
      <c r="E89" t="s">
        <v>1583</v>
      </c>
      <c r="F89" s="1">
        <v>33690</v>
      </c>
      <c r="G89" t="s">
        <v>1174</v>
      </c>
      <c r="H89" t="s">
        <v>1584</v>
      </c>
      <c r="I89">
        <v>93</v>
      </c>
      <c r="K89" t="s">
        <v>1585</v>
      </c>
      <c r="L89" t="s">
        <v>1187</v>
      </c>
      <c r="M89" t="s">
        <v>1166</v>
      </c>
      <c r="N89" t="s">
        <v>1586</v>
      </c>
      <c r="O89" t="s">
        <v>1587</v>
      </c>
      <c r="P89" t="s">
        <v>1588</v>
      </c>
      <c r="Q89" t="s">
        <v>1190</v>
      </c>
      <c r="R89" t="s">
        <v>1170</v>
      </c>
      <c r="S89">
        <v>200</v>
      </c>
      <c r="T89" t="s">
        <v>1182</v>
      </c>
      <c r="U89" t="s">
        <v>1172</v>
      </c>
      <c r="V89" t="s">
        <v>1173</v>
      </c>
      <c r="W89" s="1">
        <v>36448</v>
      </c>
    </row>
    <row r="90" spans="1:24">
      <c r="A90" t="str">
        <f>_xlfn.IFNA(VLOOKUP(D90,Spelerslijst!A:B,1,FALSE),FALSE)</f>
        <v>NLS08H9</v>
      </c>
      <c r="B90" t="b">
        <f>_xlfn.IFNA(VLOOKUP(D90,Spelerslijst!J:K,1,FALSE),FALSE)</f>
        <v>0</v>
      </c>
      <c r="C90" t="str">
        <f t="shared" si="1"/>
        <v/>
      </c>
      <c r="D90" t="s">
        <v>791</v>
      </c>
      <c r="E90" t="s">
        <v>1589</v>
      </c>
      <c r="F90" s="1">
        <v>39993</v>
      </c>
      <c r="G90" t="s">
        <v>1174</v>
      </c>
      <c r="H90" t="s">
        <v>1584</v>
      </c>
      <c r="I90">
        <v>145</v>
      </c>
      <c r="K90" t="s">
        <v>1590</v>
      </c>
      <c r="L90" t="s">
        <v>1187</v>
      </c>
      <c r="M90" t="s">
        <v>1166</v>
      </c>
      <c r="N90" t="s">
        <v>1591</v>
      </c>
      <c r="P90" t="s">
        <v>1592</v>
      </c>
      <c r="Q90" t="s">
        <v>1190</v>
      </c>
      <c r="R90" t="s">
        <v>1170</v>
      </c>
      <c r="S90">
        <v>230</v>
      </c>
      <c r="T90" t="s">
        <v>1182</v>
      </c>
      <c r="U90" t="s">
        <v>1172</v>
      </c>
      <c r="V90" t="s">
        <v>1213</v>
      </c>
      <c r="W90" s="1">
        <v>42430</v>
      </c>
    </row>
    <row r="91" spans="1:24">
      <c r="A91" t="b">
        <f>_xlfn.IFNA(VLOOKUP(D91,Spelerslijst!A:B,1,FALSE),FALSE)</f>
        <v>0</v>
      </c>
      <c r="B91" t="str">
        <f>_xlfn.IFNA(VLOOKUP(D91,Spelerslijst!J:K,1,FALSE),FALSE)</f>
        <v>NFX11D8</v>
      </c>
      <c r="C91" t="str">
        <f t="shared" si="1"/>
        <v/>
      </c>
      <c r="D91" t="s">
        <v>84</v>
      </c>
      <c r="E91" t="s">
        <v>1593</v>
      </c>
      <c r="F91" s="1">
        <v>24583</v>
      </c>
      <c r="G91" t="s">
        <v>1162</v>
      </c>
      <c r="H91" t="s">
        <v>1584</v>
      </c>
      <c r="I91">
        <v>200</v>
      </c>
      <c r="K91" t="s">
        <v>1594</v>
      </c>
      <c r="L91" t="s">
        <v>1187</v>
      </c>
      <c r="M91" t="s">
        <v>1166</v>
      </c>
      <c r="N91" t="s">
        <v>1595</v>
      </c>
      <c r="O91" t="s">
        <v>1596</v>
      </c>
      <c r="P91" t="s">
        <v>1597</v>
      </c>
      <c r="Q91" t="s">
        <v>1190</v>
      </c>
      <c r="R91" t="s">
        <v>1170</v>
      </c>
      <c r="S91">
        <v>202</v>
      </c>
      <c r="T91" t="s">
        <v>1171</v>
      </c>
      <c r="U91" t="s">
        <v>1172</v>
      </c>
      <c r="V91" t="s">
        <v>1173</v>
      </c>
      <c r="W91" s="1">
        <v>40835</v>
      </c>
    </row>
    <row r="92" spans="1:24">
      <c r="A92" t="b">
        <f>_xlfn.IFNA(VLOOKUP(D92,Spelerslijst!A:B,1,FALSE),FALSE)</f>
        <v>0</v>
      </c>
      <c r="B92" t="str">
        <f>_xlfn.IFNA(VLOOKUP(D92,Spelerslijst!J:K,1,FALSE),FALSE)</f>
        <v>NMC41D1</v>
      </c>
      <c r="C92" t="str">
        <f t="shared" si="1"/>
        <v/>
      </c>
      <c r="D92" t="s">
        <v>505</v>
      </c>
      <c r="E92" t="s">
        <v>1598</v>
      </c>
      <c r="F92" s="1">
        <v>40093</v>
      </c>
      <c r="G92" t="s">
        <v>1162</v>
      </c>
      <c r="H92" t="s">
        <v>1584</v>
      </c>
      <c r="I92">
        <v>258</v>
      </c>
      <c r="K92" t="s">
        <v>1599</v>
      </c>
      <c r="L92" t="s">
        <v>1187</v>
      </c>
      <c r="M92" t="s">
        <v>1166</v>
      </c>
      <c r="N92" t="s">
        <v>1600</v>
      </c>
      <c r="O92" t="s">
        <v>1600</v>
      </c>
      <c r="P92" t="s">
        <v>1601</v>
      </c>
      <c r="Q92" t="s">
        <v>1190</v>
      </c>
      <c r="R92" t="s">
        <v>1170</v>
      </c>
      <c r="S92">
        <v>230</v>
      </c>
      <c r="T92" t="s">
        <v>1182</v>
      </c>
      <c r="U92" t="s">
        <v>1172</v>
      </c>
      <c r="V92" t="s">
        <v>1213</v>
      </c>
      <c r="W92" s="1">
        <v>43345</v>
      </c>
    </row>
    <row r="93" spans="1:24">
      <c r="A93" t="b">
        <f>_xlfn.IFNA(VLOOKUP(D93,Spelerslijst!A:B,1,FALSE),FALSE)</f>
        <v>0</v>
      </c>
      <c r="B93" t="str">
        <f>_xlfn.IFNA(VLOOKUP(D93,Spelerslijst!J:K,1,FALSE),FALSE)</f>
        <v>NMB42C6</v>
      </c>
      <c r="C93" t="str">
        <f t="shared" si="1"/>
        <v/>
      </c>
      <c r="D93" t="s">
        <v>511</v>
      </c>
      <c r="E93" t="s">
        <v>1602</v>
      </c>
      <c r="F93" s="1">
        <v>40253</v>
      </c>
      <c r="G93" t="s">
        <v>1162</v>
      </c>
      <c r="H93" t="s">
        <v>1584</v>
      </c>
      <c r="I93">
        <v>265</v>
      </c>
      <c r="K93" t="s">
        <v>1599</v>
      </c>
      <c r="L93" t="s">
        <v>1187</v>
      </c>
      <c r="M93" t="s">
        <v>1166</v>
      </c>
      <c r="N93" t="s">
        <v>1603</v>
      </c>
      <c r="P93" t="s">
        <v>1604</v>
      </c>
      <c r="Q93" t="s">
        <v>1190</v>
      </c>
      <c r="R93" t="s">
        <v>1170</v>
      </c>
      <c r="S93">
        <v>230</v>
      </c>
      <c r="T93" t="s">
        <v>1182</v>
      </c>
      <c r="U93" t="s">
        <v>1172</v>
      </c>
      <c r="V93" t="s">
        <v>1213</v>
      </c>
      <c r="W93" s="1">
        <v>43242</v>
      </c>
    </row>
    <row r="94" spans="1:24">
      <c r="A94" t="b">
        <f>_xlfn.IFNA(VLOOKUP(D94,Spelerslijst!A:B,1,FALSE),FALSE)</f>
        <v>0</v>
      </c>
      <c r="B94" t="b">
        <f>_xlfn.IFNA(VLOOKUP(D94,Spelerslijst!J:K,1,FALSE),FALSE)</f>
        <v>0</v>
      </c>
      <c r="C94" t="str">
        <f t="shared" si="1"/>
        <v>Onbekend</v>
      </c>
      <c r="D94" t="s">
        <v>1605</v>
      </c>
      <c r="E94" t="s">
        <v>1606</v>
      </c>
      <c r="F94" s="1">
        <v>21926</v>
      </c>
      <c r="G94" t="s">
        <v>1162</v>
      </c>
      <c r="H94" t="s">
        <v>1607</v>
      </c>
      <c r="I94">
        <v>221</v>
      </c>
      <c r="K94" t="s">
        <v>1608</v>
      </c>
      <c r="L94" t="s">
        <v>1187</v>
      </c>
      <c r="M94" t="s">
        <v>1166</v>
      </c>
      <c r="N94" t="s">
        <v>1609</v>
      </c>
      <c r="P94" t="s">
        <v>1610</v>
      </c>
      <c r="Q94" t="s">
        <v>1190</v>
      </c>
      <c r="S94" t="s">
        <v>1611</v>
      </c>
      <c r="T94" t="s">
        <v>1555</v>
      </c>
      <c r="U94" t="s">
        <v>1172</v>
      </c>
      <c r="V94" t="s">
        <v>1173</v>
      </c>
      <c r="W94" s="1">
        <v>38450</v>
      </c>
    </row>
    <row r="95" spans="1:24">
      <c r="A95" t="str">
        <f>_xlfn.IFNA(VLOOKUP(D95,Spelerslijst!A:B,1,FALSE),FALSE)</f>
        <v>NJY82Z9</v>
      </c>
      <c r="B95" t="b">
        <f>_xlfn.IFNA(VLOOKUP(D95,Spelerslijst!J:K,1,FALSE),FALSE)</f>
        <v>0</v>
      </c>
      <c r="C95" t="str">
        <f t="shared" si="1"/>
        <v/>
      </c>
      <c r="D95" t="s">
        <v>342</v>
      </c>
      <c r="E95" t="s">
        <v>1612</v>
      </c>
      <c r="F95" s="1">
        <v>36865</v>
      </c>
      <c r="G95" t="s">
        <v>1174</v>
      </c>
      <c r="H95" t="s">
        <v>1613</v>
      </c>
      <c r="I95">
        <v>42</v>
      </c>
      <c r="K95" t="s">
        <v>1614</v>
      </c>
      <c r="L95" t="s">
        <v>1187</v>
      </c>
      <c r="M95" t="s">
        <v>1166</v>
      </c>
      <c r="N95" t="s">
        <v>1615</v>
      </c>
      <c r="O95" t="s">
        <v>1616</v>
      </c>
      <c r="P95" t="s">
        <v>1617</v>
      </c>
      <c r="Q95" t="s">
        <v>1190</v>
      </c>
      <c r="R95" t="s">
        <v>1170</v>
      </c>
      <c r="S95">
        <v>200</v>
      </c>
      <c r="T95" t="s">
        <v>1182</v>
      </c>
      <c r="U95" t="s">
        <v>1172</v>
      </c>
      <c r="V95" t="s">
        <v>1173</v>
      </c>
      <c r="W95" s="1">
        <v>39114</v>
      </c>
    </row>
    <row r="96" spans="1:24">
      <c r="A96" t="b">
        <f>_xlfn.IFNA(VLOOKUP(D96,Spelerslijst!A:B,1,FALSE),FALSE)</f>
        <v>0</v>
      </c>
      <c r="B96" t="str">
        <f>_xlfn.IFNA(VLOOKUP(D96,Spelerslijst!J:K,1,FALSE),FALSE)</f>
        <v>NJY83B4</v>
      </c>
      <c r="C96" t="str">
        <f t="shared" si="1"/>
        <v/>
      </c>
      <c r="D96" t="s">
        <v>644</v>
      </c>
      <c r="E96" t="s">
        <v>1618</v>
      </c>
      <c r="F96" s="1">
        <v>36865</v>
      </c>
      <c r="G96" t="s">
        <v>1162</v>
      </c>
      <c r="H96" t="s">
        <v>1613</v>
      </c>
      <c r="I96">
        <v>42</v>
      </c>
      <c r="K96" t="s">
        <v>1614</v>
      </c>
      <c r="L96" t="s">
        <v>1187</v>
      </c>
      <c r="M96" t="s">
        <v>1166</v>
      </c>
      <c r="N96" t="s">
        <v>1619</v>
      </c>
      <c r="P96" t="s">
        <v>1620</v>
      </c>
      <c r="Q96" t="s">
        <v>1190</v>
      </c>
      <c r="R96" t="s">
        <v>1170</v>
      </c>
      <c r="S96">
        <v>200</v>
      </c>
      <c r="T96" t="s">
        <v>1182</v>
      </c>
      <c r="U96" t="s">
        <v>1172</v>
      </c>
      <c r="V96" t="s">
        <v>1173</v>
      </c>
      <c r="W96" s="1">
        <v>39114</v>
      </c>
    </row>
    <row r="97" spans="1:24">
      <c r="A97" t="str">
        <f>_xlfn.IFNA(VLOOKUP(D97,Spelerslijst!A:B,1,FALSE),FALSE)</f>
        <v>NFX00K9</v>
      </c>
      <c r="B97" t="b">
        <f>_xlfn.IFNA(VLOOKUP(D97,Spelerslijst!J:K,1,FALSE),FALSE)</f>
        <v>0</v>
      </c>
      <c r="C97" t="str">
        <f t="shared" si="1"/>
        <v/>
      </c>
      <c r="D97" t="s">
        <v>702</v>
      </c>
      <c r="E97" t="s">
        <v>1621</v>
      </c>
      <c r="F97" s="1">
        <v>24525</v>
      </c>
      <c r="G97" t="s">
        <v>1174</v>
      </c>
      <c r="H97" t="s">
        <v>1613</v>
      </c>
      <c r="I97">
        <v>50</v>
      </c>
      <c r="K97" t="s">
        <v>1614</v>
      </c>
      <c r="L97" t="s">
        <v>1187</v>
      </c>
      <c r="M97" t="s">
        <v>1166</v>
      </c>
      <c r="N97" t="s">
        <v>1622</v>
      </c>
      <c r="O97" t="s">
        <v>1622</v>
      </c>
      <c r="P97" t="s">
        <v>1623</v>
      </c>
      <c r="Q97" t="s">
        <v>1169</v>
      </c>
      <c r="R97" t="s">
        <v>1170</v>
      </c>
      <c r="S97">
        <v>200</v>
      </c>
      <c r="T97" t="s">
        <v>1182</v>
      </c>
      <c r="U97" t="s">
        <v>1172</v>
      </c>
      <c r="V97" t="s">
        <v>1173</v>
      </c>
      <c r="W97" s="1">
        <v>39753</v>
      </c>
      <c r="X97" s="1">
        <v>44377</v>
      </c>
    </row>
    <row r="98" spans="1:24">
      <c r="A98" t="b">
        <f>_xlfn.IFNA(VLOOKUP(D98,Spelerslijst!A:B,1,FALSE),FALSE)</f>
        <v>0</v>
      </c>
      <c r="B98" t="str">
        <f>_xlfn.IFNA(VLOOKUP(D98,Spelerslijst!J:K,1,FALSE),FALSE)</f>
        <v>NLL19X2</v>
      </c>
      <c r="C98" t="str">
        <f t="shared" si="1"/>
        <v/>
      </c>
      <c r="D98" t="s">
        <v>311</v>
      </c>
      <c r="E98" t="s">
        <v>1624</v>
      </c>
      <c r="F98" s="1">
        <v>39100</v>
      </c>
      <c r="G98" t="s">
        <v>1162</v>
      </c>
      <c r="H98" t="s">
        <v>1613</v>
      </c>
      <c r="I98">
        <v>163</v>
      </c>
      <c r="K98" t="s">
        <v>1625</v>
      </c>
      <c r="L98" t="s">
        <v>1187</v>
      </c>
      <c r="M98" t="s">
        <v>1166</v>
      </c>
      <c r="N98" t="s">
        <v>1626</v>
      </c>
      <c r="O98" t="s">
        <v>1627</v>
      </c>
      <c r="P98" t="s">
        <v>1628</v>
      </c>
      <c r="Q98" t="s">
        <v>1190</v>
      </c>
      <c r="R98" t="s">
        <v>1170</v>
      </c>
      <c r="S98">
        <v>220</v>
      </c>
      <c r="T98" t="s">
        <v>1182</v>
      </c>
      <c r="U98" t="s">
        <v>1172</v>
      </c>
      <c r="V98" t="s">
        <v>1207</v>
      </c>
      <c r="W98" s="1">
        <v>41883</v>
      </c>
    </row>
    <row r="99" spans="1:24">
      <c r="A99" t="b">
        <f>_xlfn.IFNA(VLOOKUP(D99,Spelerslijst!A:B,1,FALSE),FALSE)</f>
        <v>0</v>
      </c>
      <c r="B99" t="str">
        <f>_xlfn.IFNA(VLOOKUP(D99,Spelerslijst!J:K,1,FALSE),FALSE)</f>
        <v>NLL19Y9</v>
      </c>
      <c r="C99" t="str">
        <f t="shared" si="1"/>
        <v/>
      </c>
      <c r="D99" t="s">
        <v>849</v>
      </c>
      <c r="E99" t="s">
        <v>1629</v>
      </c>
      <c r="F99" s="1">
        <v>37170</v>
      </c>
      <c r="G99" t="s">
        <v>1162</v>
      </c>
      <c r="H99" t="s">
        <v>1613</v>
      </c>
      <c r="I99">
        <v>163</v>
      </c>
      <c r="K99" t="s">
        <v>1625</v>
      </c>
      <c r="L99" t="s">
        <v>1187</v>
      </c>
      <c r="M99" t="s">
        <v>1166</v>
      </c>
      <c r="N99" t="s">
        <v>1630</v>
      </c>
      <c r="O99" t="s">
        <v>1627</v>
      </c>
      <c r="P99" t="s">
        <v>1631</v>
      </c>
      <c r="Q99" t="s">
        <v>1169</v>
      </c>
      <c r="R99" t="s">
        <v>1170</v>
      </c>
      <c r="S99">
        <v>200</v>
      </c>
      <c r="T99" t="s">
        <v>1182</v>
      </c>
      <c r="U99" t="s">
        <v>1172</v>
      </c>
      <c r="V99" t="s">
        <v>1173</v>
      </c>
      <c r="W99" s="1">
        <v>41883</v>
      </c>
      <c r="X99" s="1">
        <v>44377</v>
      </c>
    </row>
    <row r="100" spans="1:24">
      <c r="A100" t="str">
        <f>_xlfn.IFNA(VLOOKUP(D100,Spelerslijst!A:B,1,FALSE),FALSE)</f>
        <v>NLN05N7</v>
      </c>
      <c r="B100" t="b">
        <f>_xlfn.IFNA(VLOOKUP(D100,Spelerslijst!J:K,1,FALSE),FALSE)</f>
        <v>0</v>
      </c>
      <c r="C100" t="str">
        <f t="shared" si="1"/>
        <v/>
      </c>
      <c r="D100" t="s">
        <v>580</v>
      </c>
      <c r="E100" t="s">
        <v>1632</v>
      </c>
      <c r="F100" s="1">
        <v>39760</v>
      </c>
      <c r="G100" t="s">
        <v>1174</v>
      </c>
      <c r="H100" t="s">
        <v>1633</v>
      </c>
      <c r="I100">
        <v>113</v>
      </c>
      <c r="K100" t="s">
        <v>1634</v>
      </c>
      <c r="L100" t="s">
        <v>1187</v>
      </c>
      <c r="M100" t="s">
        <v>1166</v>
      </c>
      <c r="N100" t="s">
        <v>1635</v>
      </c>
      <c r="O100" t="s">
        <v>1636</v>
      </c>
      <c r="P100" t="s">
        <v>1637</v>
      </c>
      <c r="Q100" t="s">
        <v>1190</v>
      </c>
      <c r="R100" t="s">
        <v>1170</v>
      </c>
      <c r="S100">
        <v>220</v>
      </c>
      <c r="T100" t="s">
        <v>1182</v>
      </c>
      <c r="U100" t="s">
        <v>1172</v>
      </c>
      <c r="V100" t="s">
        <v>1207</v>
      </c>
      <c r="W100" s="1">
        <v>42005</v>
      </c>
    </row>
    <row r="101" spans="1:24">
      <c r="A101" t="str">
        <f>_xlfn.IFNA(VLOOKUP(D101,Spelerslijst!A:B,1,FALSE),FALSE)</f>
        <v>NLP77Z4</v>
      </c>
      <c r="B101" t="b">
        <f>_xlfn.IFNA(VLOOKUP(D101,Spelerslijst!J:K,1,FALSE),FALSE)</f>
        <v>0</v>
      </c>
      <c r="C101" t="str">
        <f t="shared" si="1"/>
        <v/>
      </c>
      <c r="D101" t="s">
        <v>586</v>
      </c>
      <c r="E101" t="s">
        <v>1638</v>
      </c>
      <c r="F101" s="1">
        <v>40239</v>
      </c>
      <c r="G101" t="s">
        <v>1174</v>
      </c>
      <c r="H101" t="s">
        <v>1633</v>
      </c>
      <c r="I101">
        <v>113</v>
      </c>
      <c r="K101" t="s">
        <v>1634</v>
      </c>
      <c r="L101" t="s">
        <v>1187</v>
      </c>
      <c r="M101" t="s">
        <v>1166</v>
      </c>
      <c r="N101" t="s">
        <v>1635</v>
      </c>
      <c r="O101" t="s">
        <v>1636</v>
      </c>
      <c r="P101" t="s">
        <v>1637</v>
      </c>
      <c r="Q101" t="s">
        <v>1190</v>
      </c>
      <c r="R101" t="s">
        <v>1170</v>
      </c>
      <c r="S101">
        <v>230</v>
      </c>
      <c r="T101" t="s">
        <v>1182</v>
      </c>
      <c r="U101" t="s">
        <v>1172</v>
      </c>
      <c r="V101" t="s">
        <v>1213</v>
      </c>
      <c r="W101" s="1">
        <v>42248</v>
      </c>
    </row>
    <row r="102" spans="1:24">
      <c r="A102" t="b">
        <f>_xlfn.IFNA(VLOOKUP(D102,Spelerslijst!A:B,1,FALSE),FALSE)</f>
        <v>0</v>
      </c>
      <c r="B102" t="str">
        <f>_xlfn.IFNA(VLOOKUP(D102,Spelerslijst!J:K,1,FALSE),FALSE)</f>
        <v>NLR06X4</v>
      </c>
      <c r="C102" t="str">
        <f t="shared" si="1"/>
        <v/>
      </c>
      <c r="D102" t="s">
        <v>369</v>
      </c>
      <c r="E102" t="s">
        <v>1639</v>
      </c>
      <c r="F102" s="1">
        <v>39187</v>
      </c>
      <c r="G102" t="s">
        <v>1162</v>
      </c>
      <c r="H102" t="s">
        <v>1633</v>
      </c>
      <c r="I102">
        <v>200</v>
      </c>
      <c r="K102" t="s">
        <v>1640</v>
      </c>
      <c r="L102" t="s">
        <v>1187</v>
      </c>
      <c r="M102" t="s">
        <v>1166</v>
      </c>
      <c r="N102" t="s">
        <v>1641</v>
      </c>
      <c r="O102" t="s">
        <v>1642</v>
      </c>
      <c r="P102" t="s">
        <v>1643</v>
      </c>
      <c r="Q102" t="s">
        <v>1190</v>
      </c>
      <c r="R102" t="s">
        <v>1170</v>
      </c>
      <c r="S102">
        <v>220</v>
      </c>
      <c r="T102" t="s">
        <v>1182</v>
      </c>
      <c r="U102" t="s">
        <v>1172</v>
      </c>
      <c r="V102" t="s">
        <v>1207</v>
      </c>
      <c r="W102" s="1">
        <v>42339</v>
      </c>
    </row>
    <row r="103" spans="1:24">
      <c r="A103" t="b">
        <f>_xlfn.IFNA(VLOOKUP(D103,Spelerslijst!A:B,1,FALSE),FALSE)</f>
        <v>0</v>
      </c>
      <c r="B103" t="str">
        <f>_xlfn.IFNA(VLOOKUP(D103,Spelerslijst!J:K,1,FALSE),FALSE)</f>
        <v>NGT92Q5</v>
      </c>
      <c r="C103" t="str">
        <f t="shared" si="1"/>
        <v/>
      </c>
      <c r="D103" t="s">
        <v>828</v>
      </c>
      <c r="E103" t="s">
        <v>1644</v>
      </c>
      <c r="F103" s="1">
        <v>33058</v>
      </c>
      <c r="G103" t="s">
        <v>1162</v>
      </c>
      <c r="H103" t="s">
        <v>1633</v>
      </c>
      <c r="I103">
        <v>325</v>
      </c>
      <c r="K103" t="s">
        <v>1645</v>
      </c>
      <c r="L103" t="s">
        <v>1187</v>
      </c>
      <c r="M103" t="s">
        <v>1166</v>
      </c>
      <c r="N103" t="s">
        <v>1646</v>
      </c>
      <c r="O103" t="s">
        <v>1646</v>
      </c>
      <c r="P103" t="s">
        <v>1647</v>
      </c>
      <c r="Q103" t="s">
        <v>1190</v>
      </c>
      <c r="R103" t="s">
        <v>1170</v>
      </c>
      <c r="S103">
        <v>200</v>
      </c>
      <c r="T103" t="s">
        <v>1182</v>
      </c>
      <c r="U103" t="s">
        <v>1172</v>
      </c>
      <c r="V103" t="s">
        <v>1173</v>
      </c>
      <c r="W103" s="1">
        <v>35719</v>
      </c>
    </row>
    <row r="104" spans="1:24">
      <c r="A104" t="str">
        <f>_xlfn.IFNA(VLOOKUP(D104,Spelerslijst!A:B,1,FALSE),FALSE)</f>
        <v>NLS08K0</v>
      </c>
      <c r="B104" t="b">
        <f>_xlfn.IFNA(VLOOKUP(D104,Spelerslijst!J:K,1,FALSE),FALSE)</f>
        <v>0</v>
      </c>
      <c r="C104" t="str">
        <f t="shared" si="1"/>
        <v/>
      </c>
      <c r="D104" t="s">
        <v>731</v>
      </c>
      <c r="E104" t="s">
        <v>1648</v>
      </c>
      <c r="F104" s="1">
        <v>39635</v>
      </c>
      <c r="G104" t="s">
        <v>1174</v>
      </c>
      <c r="H104" t="s">
        <v>1649</v>
      </c>
      <c r="I104">
        <v>69</v>
      </c>
      <c r="K104" t="s">
        <v>1650</v>
      </c>
      <c r="L104" t="s">
        <v>1187</v>
      </c>
      <c r="M104" t="s">
        <v>1166</v>
      </c>
      <c r="N104" t="s">
        <v>1651</v>
      </c>
      <c r="O104" t="s">
        <v>1652</v>
      </c>
      <c r="P104" t="s">
        <v>1653</v>
      </c>
      <c r="Q104" t="s">
        <v>1190</v>
      </c>
      <c r="R104" t="s">
        <v>1170</v>
      </c>
      <c r="S104">
        <v>220</v>
      </c>
      <c r="T104" t="s">
        <v>1182</v>
      </c>
      <c r="U104" t="s">
        <v>1172</v>
      </c>
      <c r="V104" t="s">
        <v>1207</v>
      </c>
      <c r="W104" s="1">
        <v>42430</v>
      </c>
    </row>
    <row r="105" spans="1:24">
      <c r="A105" t="str">
        <f>_xlfn.IFNA(VLOOKUP(D105,Spelerslijst!A:B,1,FALSE),FALSE)</f>
        <v>NMD22V1</v>
      </c>
      <c r="B105" t="b">
        <f>_xlfn.IFNA(VLOOKUP(D105,Spelerslijst!J:K,1,FALSE),FALSE)</f>
        <v>0</v>
      </c>
      <c r="C105" t="str">
        <f t="shared" si="1"/>
        <v/>
      </c>
      <c r="D105" t="s">
        <v>130</v>
      </c>
      <c r="E105" t="s">
        <v>1654</v>
      </c>
      <c r="F105" s="1">
        <v>41014</v>
      </c>
      <c r="G105" t="s">
        <v>1174</v>
      </c>
      <c r="H105" t="s">
        <v>1649</v>
      </c>
      <c r="I105">
        <v>172</v>
      </c>
      <c r="K105" t="s">
        <v>1655</v>
      </c>
      <c r="L105" t="s">
        <v>1187</v>
      </c>
      <c r="M105" t="s">
        <v>1166</v>
      </c>
      <c r="N105" t="s">
        <v>1656</v>
      </c>
      <c r="P105" t="s">
        <v>1657</v>
      </c>
      <c r="Q105" t="s">
        <v>1190</v>
      </c>
      <c r="R105" t="s">
        <v>1170</v>
      </c>
      <c r="S105">
        <v>230</v>
      </c>
      <c r="T105" t="s">
        <v>1182</v>
      </c>
      <c r="U105" t="s">
        <v>1172</v>
      </c>
      <c r="V105" t="s">
        <v>1213</v>
      </c>
      <c r="W105" s="1">
        <v>43395</v>
      </c>
    </row>
    <row r="106" spans="1:24">
      <c r="A106" t="str">
        <f>_xlfn.IFNA(VLOOKUP(D106,Spelerslijst!A:B,1,FALSE),FALSE)</f>
        <v>NLB70S0</v>
      </c>
      <c r="B106" t="b">
        <f>_xlfn.IFNA(VLOOKUP(D106,Spelerslijst!J:K,1,FALSE),FALSE)</f>
        <v>0</v>
      </c>
      <c r="C106" t="str">
        <f t="shared" si="1"/>
        <v/>
      </c>
      <c r="D106" t="s">
        <v>765</v>
      </c>
      <c r="E106" t="s">
        <v>1658</v>
      </c>
      <c r="F106" s="1">
        <v>38509</v>
      </c>
      <c r="G106" t="s">
        <v>1174</v>
      </c>
      <c r="H106" t="s">
        <v>1649</v>
      </c>
      <c r="I106">
        <v>214</v>
      </c>
      <c r="K106" t="s">
        <v>1659</v>
      </c>
      <c r="L106" t="s">
        <v>1187</v>
      </c>
      <c r="M106" t="s">
        <v>1166</v>
      </c>
      <c r="N106" t="s">
        <v>1660</v>
      </c>
      <c r="O106" t="s">
        <v>1661</v>
      </c>
      <c r="P106" t="s">
        <v>1662</v>
      </c>
      <c r="Q106" t="s">
        <v>1190</v>
      </c>
      <c r="R106" t="s">
        <v>1170</v>
      </c>
      <c r="S106">
        <v>220</v>
      </c>
      <c r="T106" t="s">
        <v>1182</v>
      </c>
      <c r="U106" t="s">
        <v>1172</v>
      </c>
      <c r="V106" t="s">
        <v>1207</v>
      </c>
      <c r="W106" s="1">
        <v>41153</v>
      </c>
    </row>
    <row r="107" spans="1:24">
      <c r="A107" t="b">
        <f>_xlfn.IFNA(VLOOKUP(D107,Spelerslijst!A:B,1,FALSE),FALSE)</f>
        <v>0</v>
      </c>
      <c r="B107" t="str">
        <f>_xlfn.IFNA(VLOOKUP(D107,Spelerslijst!J:K,1,FALSE),FALSE)</f>
        <v>NLV35B6</v>
      </c>
      <c r="C107" t="str">
        <f t="shared" si="1"/>
        <v/>
      </c>
      <c r="D107" t="s">
        <v>454</v>
      </c>
      <c r="E107" t="s">
        <v>1663</v>
      </c>
      <c r="F107" s="1">
        <v>39878</v>
      </c>
      <c r="G107" t="s">
        <v>1162</v>
      </c>
      <c r="H107" t="s">
        <v>1649</v>
      </c>
      <c r="I107">
        <v>214</v>
      </c>
      <c r="K107" t="s">
        <v>1659</v>
      </c>
      <c r="L107" t="s">
        <v>1187</v>
      </c>
      <c r="M107" t="s">
        <v>1166</v>
      </c>
      <c r="N107" t="s">
        <v>1660</v>
      </c>
      <c r="O107" t="s">
        <v>1661</v>
      </c>
      <c r="P107" t="s">
        <v>1662</v>
      </c>
      <c r="Q107" t="s">
        <v>1190</v>
      </c>
      <c r="R107" t="s">
        <v>1170</v>
      </c>
      <c r="S107">
        <v>230</v>
      </c>
      <c r="T107" t="s">
        <v>1182</v>
      </c>
      <c r="U107" t="s">
        <v>1172</v>
      </c>
      <c r="V107" t="s">
        <v>1213</v>
      </c>
      <c r="W107" s="1">
        <v>42670</v>
      </c>
    </row>
    <row r="108" spans="1:24">
      <c r="A108" t="b">
        <f>_xlfn.IFNA(VLOOKUP(D108,Spelerslijst!A:B,1,FALSE),FALSE)</f>
        <v>0</v>
      </c>
      <c r="B108" t="str">
        <f>_xlfn.IFNA(VLOOKUP(D108,Spelerslijst!J:K,1,FALSE),FALSE)</f>
        <v>NJD65S8</v>
      </c>
      <c r="C108" t="str">
        <f t="shared" si="1"/>
        <v/>
      </c>
      <c r="D108" t="s">
        <v>722</v>
      </c>
      <c r="E108" t="s">
        <v>1664</v>
      </c>
      <c r="F108" s="1">
        <v>35873</v>
      </c>
      <c r="G108" t="s">
        <v>1162</v>
      </c>
      <c r="H108" t="s">
        <v>1665</v>
      </c>
      <c r="I108">
        <v>354</v>
      </c>
      <c r="K108" t="s">
        <v>1666</v>
      </c>
      <c r="L108" t="s">
        <v>1187</v>
      </c>
      <c r="M108" t="s">
        <v>1166</v>
      </c>
      <c r="N108" t="s">
        <v>1667</v>
      </c>
      <c r="O108" t="s">
        <v>1668</v>
      </c>
      <c r="P108" t="s">
        <v>1669</v>
      </c>
      <c r="Q108" t="s">
        <v>1190</v>
      </c>
      <c r="R108" t="s">
        <v>1170</v>
      </c>
      <c r="S108">
        <v>200</v>
      </c>
      <c r="T108" t="s">
        <v>1182</v>
      </c>
      <c r="U108" t="s">
        <v>1172</v>
      </c>
      <c r="V108" t="s">
        <v>1173</v>
      </c>
      <c r="W108" s="1">
        <v>38049</v>
      </c>
    </row>
    <row r="109" spans="1:24">
      <c r="A109" t="str">
        <f>_xlfn.IFNA(VLOOKUP(D109,Spelerslijst!A:B,1,FALSE),FALSE)</f>
        <v>NLP78B9</v>
      </c>
      <c r="B109" t="b">
        <f>_xlfn.IFNA(VLOOKUP(D109,Spelerslijst!J:K,1,FALSE),FALSE)</f>
        <v>0</v>
      </c>
      <c r="C109" t="str">
        <f t="shared" si="1"/>
        <v/>
      </c>
      <c r="D109" t="s">
        <v>932</v>
      </c>
      <c r="E109" t="s">
        <v>1670</v>
      </c>
      <c r="F109" s="1">
        <v>39044</v>
      </c>
      <c r="G109" t="s">
        <v>1174</v>
      </c>
      <c r="H109" t="s">
        <v>1649</v>
      </c>
      <c r="I109">
        <v>362</v>
      </c>
      <c r="K109" t="s">
        <v>1666</v>
      </c>
      <c r="L109" t="s">
        <v>1187</v>
      </c>
      <c r="M109" t="s">
        <v>1166</v>
      </c>
      <c r="N109" t="s">
        <v>1671</v>
      </c>
      <c r="P109" t="s">
        <v>1672</v>
      </c>
      <c r="Q109" t="s">
        <v>1169</v>
      </c>
      <c r="R109" t="s">
        <v>1170</v>
      </c>
      <c r="S109">
        <v>220</v>
      </c>
      <c r="T109" t="s">
        <v>1182</v>
      </c>
      <c r="U109" t="s">
        <v>1172</v>
      </c>
      <c r="V109" t="s">
        <v>1207</v>
      </c>
      <c r="W109" s="1">
        <v>42248</v>
      </c>
      <c r="X109" s="1">
        <v>44377</v>
      </c>
    </row>
    <row r="110" spans="1:24">
      <c r="A110" t="b">
        <f>_xlfn.IFNA(VLOOKUP(D110,Spelerslijst!A:B,1,FALSE),FALSE)</f>
        <v>0</v>
      </c>
      <c r="B110" t="str">
        <f>_xlfn.IFNA(VLOOKUP(D110,Spelerslijst!J:K,1,FALSE),FALSE)</f>
        <v>NJF95S5</v>
      </c>
      <c r="C110" t="str">
        <f t="shared" si="1"/>
        <v/>
      </c>
      <c r="D110" t="s">
        <v>762</v>
      </c>
      <c r="E110" t="s">
        <v>1673</v>
      </c>
      <c r="F110" s="1">
        <v>35372</v>
      </c>
      <c r="G110" t="s">
        <v>1162</v>
      </c>
      <c r="H110" t="s">
        <v>1674</v>
      </c>
      <c r="I110">
        <v>94</v>
      </c>
      <c r="K110" t="s">
        <v>1675</v>
      </c>
      <c r="L110" t="s">
        <v>1187</v>
      </c>
      <c r="M110" t="s">
        <v>1166</v>
      </c>
      <c r="N110" t="s">
        <v>1676</v>
      </c>
      <c r="O110" t="s">
        <v>1676</v>
      </c>
      <c r="P110" t="s">
        <v>1677</v>
      </c>
      <c r="Q110" t="s">
        <v>1190</v>
      </c>
      <c r="R110" t="s">
        <v>1170</v>
      </c>
      <c r="S110">
        <v>200</v>
      </c>
      <c r="T110" t="s">
        <v>1182</v>
      </c>
      <c r="U110" t="s">
        <v>1172</v>
      </c>
      <c r="V110" t="s">
        <v>1173</v>
      </c>
      <c r="W110" s="1">
        <v>37362</v>
      </c>
    </row>
    <row r="111" spans="1:24">
      <c r="A111" t="str">
        <f>_xlfn.IFNA(VLOOKUP(D111,Spelerslijst!A:B,1,FALSE),FALSE)</f>
        <v>NKF94H2</v>
      </c>
      <c r="B111" t="b">
        <f>_xlfn.IFNA(VLOOKUP(D111,Spelerslijst!J:K,1,FALSE),FALSE)</f>
        <v>0</v>
      </c>
      <c r="C111" t="str">
        <f t="shared" si="1"/>
        <v/>
      </c>
      <c r="D111" t="s">
        <v>423</v>
      </c>
      <c r="E111" t="s">
        <v>1678</v>
      </c>
      <c r="F111" s="1">
        <v>35817</v>
      </c>
      <c r="G111" t="s">
        <v>1174</v>
      </c>
      <c r="H111" t="s">
        <v>1674</v>
      </c>
      <c r="I111">
        <v>94</v>
      </c>
      <c r="K111" t="s">
        <v>1675</v>
      </c>
      <c r="L111" t="s">
        <v>1187</v>
      </c>
      <c r="M111" t="s">
        <v>1166</v>
      </c>
      <c r="N111" t="s">
        <v>1679</v>
      </c>
      <c r="O111" t="s">
        <v>1680</v>
      </c>
      <c r="P111" t="s">
        <v>1681</v>
      </c>
      <c r="Q111" t="s">
        <v>1190</v>
      </c>
      <c r="R111" t="s">
        <v>1170</v>
      </c>
      <c r="S111">
        <v>202</v>
      </c>
      <c r="T111" t="s">
        <v>1171</v>
      </c>
      <c r="U111" t="s">
        <v>1172</v>
      </c>
      <c r="V111" t="s">
        <v>1173</v>
      </c>
      <c r="W111" s="1">
        <v>39559</v>
      </c>
    </row>
    <row r="112" spans="1:24">
      <c r="A112" t="str">
        <f>_xlfn.IFNA(VLOOKUP(D112,Spelerslijst!A:B,1,FALSE),FALSE)</f>
        <v>NLX25R5</v>
      </c>
      <c r="B112" t="b">
        <f>_xlfn.IFNA(VLOOKUP(D112,Spelerslijst!J:K,1,FALSE),FALSE)</f>
        <v>0</v>
      </c>
      <c r="C112" t="str">
        <f t="shared" si="1"/>
        <v/>
      </c>
      <c r="D112" t="s">
        <v>360</v>
      </c>
      <c r="E112" t="s">
        <v>1682</v>
      </c>
      <c r="F112" s="1">
        <v>40327</v>
      </c>
      <c r="G112" t="s">
        <v>1174</v>
      </c>
      <c r="H112" t="s">
        <v>1683</v>
      </c>
      <c r="I112">
        <v>139</v>
      </c>
      <c r="K112" t="s">
        <v>1684</v>
      </c>
      <c r="L112" t="s">
        <v>1187</v>
      </c>
      <c r="M112" t="s">
        <v>1166</v>
      </c>
      <c r="N112" t="s">
        <v>1685</v>
      </c>
      <c r="O112" t="s">
        <v>1685</v>
      </c>
      <c r="P112" t="s">
        <v>1686</v>
      </c>
      <c r="Q112" t="s">
        <v>1190</v>
      </c>
      <c r="R112" t="s">
        <v>1170</v>
      </c>
      <c r="S112">
        <v>230</v>
      </c>
      <c r="T112" t="s">
        <v>1182</v>
      </c>
      <c r="U112" t="s">
        <v>1172</v>
      </c>
      <c r="V112" t="s">
        <v>1213</v>
      </c>
      <c r="W112" s="1">
        <v>42891</v>
      </c>
    </row>
    <row r="113" spans="1:24">
      <c r="A113" t="b">
        <f>_xlfn.IFNA(VLOOKUP(D113,Spelerslijst!A:B,1,FALSE),FALSE)</f>
        <v>0</v>
      </c>
      <c r="B113" t="str">
        <f>_xlfn.IFNA(VLOOKUP(D113,Spelerslijst!J:K,1,FALSE),FALSE)</f>
        <v>NJZ00Y7</v>
      </c>
      <c r="C113" t="str">
        <f t="shared" si="1"/>
        <v/>
      </c>
      <c r="D113" t="s">
        <v>875</v>
      </c>
      <c r="E113" t="s">
        <v>1687</v>
      </c>
      <c r="F113" s="1">
        <v>36588</v>
      </c>
      <c r="G113" t="s">
        <v>1162</v>
      </c>
      <c r="H113" t="s">
        <v>1683</v>
      </c>
      <c r="I113">
        <v>406</v>
      </c>
      <c r="K113" t="s">
        <v>1688</v>
      </c>
      <c r="L113" t="s">
        <v>1187</v>
      </c>
      <c r="M113" t="s">
        <v>1166</v>
      </c>
      <c r="N113" t="s">
        <v>1689</v>
      </c>
      <c r="P113" t="s">
        <v>1690</v>
      </c>
      <c r="Q113" t="s">
        <v>1190</v>
      </c>
      <c r="R113" t="s">
        <v>1170</v>
      </c>
      <c r="S113">
        <v>200</v>
      </c>
      <c r="T113" t="s">
        <v>1182</v>
      </c>
      <c r="U113" t="s">
        <v>1172</v>
      </c>
      <c r="V113" t="s">
        <v>1173</v>
      </c>
      <c r="W113" s="1">
        <v>39142</v>
      </c>
    </row>
    <row r="114" spans="1:24">
      <c r="A114" t="str">
        <f>_xlfn.IFNA(VLOOKUP(D114,Spelerslijst!A:B,1,FALSE),FALSE)</f>
        <v>NLS45N2</v>
      </c>
      <c r="B114" t="b">
        <f>_xlfn.IFNA(VLOOKUP(D114,Spelerslijst!J:K,1,FALSE),FALSE)</f>
        <v>0</v>
      </c>
      <c r="C114" t="str">
        <f t="shared" si="1"/>
        <v/>
      </c>
      <c r="D114" t="s">
        <v>542</v>
      </c>
      <c r="E114" t="s">
        <v>1691</v>
      </c>
      <c r="F114" s="1">
        <v>39538</v>
      </c>
      <c r="G114" t="s">
        <v>1174</v>
      </c>
      <c r="H114" t="s">
        <v>1692</v>
      </c>
      <c r="I114">
        <v>111</v>
      </c>
      <c r="K114" t="s">
        <v>1693</v>
      </c>
      <c r="L114" t="s">
        <v>1187</v>
      </c>
      <c r="M114" t="s">
        <v>1166</v>
      </c>
      <c r="N114" t="s">
        <v>1694</v>
      </c>
      <c r="P114" t="s">
        <v>1695</v>
      </c>
      <c r="Q114" t="s">
        <v>1190</v>
      </c>
      <c r="R114" t="s">
        <v>1170</v>
      </c>
      <c r="S114">
        <v>220</v>
      </c>
      <c r="T114" t="s">
        <v>1182</v>
      </c>
      <c r="U114" t="s">
        <v>1172</v>
      </c>
      <c r="V114" t="s">
        <v>1207</v>
      </c>
      <c r="W114" s="1">
        <v>42614</v>
      </c>
    </row>
    <row r="115" spans="1:24">
      <c r="A115" t="str">
        <f>_xlfn.IFNA(VLOOKUP(D115,Spelerslijst!A:B,1,FALSE),FALSE)</f>
        <v>NKK27B9</v>
      </c>
      <c r="B115" t="b">
        <f>_xlfn.IFNA(VLOOKUP(D115,Spelerslijst!J:K,1,FALSE),FALSE)</f>
        <v>0</v>
      </c>
      <c r="C115" t="str">
        <f t="shared" si="1"/>
        <v/>
      </c>
      <c r="D115" t="s">
        <v>418</v>
      </c>
      <c r="E115" t="s">
        <v>1696</v>
      </c>
      <c r="F115" s="1">
        <v>37684</v>
      </c>
      <c r="G115" t="s">
        <v>1174</v>
      </c>
      <c r="H115" t="s">
        <v>1697</v>
      </c>
      <c r="I115">
        <v>21</v>
      </c>
      <c r="K115" t="s">
        <v>1698</v>
      </c>
      <c r="L115" t="s">
        <v>1187</v>
      </c>
      <c r="M115" t="s">
        <v>1166</v>
      </c>
      <c r="N115" t="s">
        <v>1699</v>
      </c>
      <c r="O115" t="s">
        <v>1680</v>
      </c>
      <c r="P115" t="s">
        <v>1700</v>
      </c>
      <c r="Q115" t="s">
        <v>1190</v>
      </c>
      <c r="R115" t="s">
        <v>1170</v>
      </c>
      <c r="S115">
        <v>210</v>
      </c>
      <c r="T115" t="s">
        <v>1182</v>
      </c>
      <c r="U115" t="s">
        <v>1172</v>
      </c>
      <c r="V115" t="s">
        <v>1194</v>
      </c>
      <c r="W115" s="1">
        <v>39783</v>
      </c>
    </row>
    <row r="116" spans="1:24">
      <c r="A116" t="str">
        <f>_xlfn.IFNA(VLOOKUP(D116,Spelerslijst!A:B,1,FALSE),FALSE)</f>
        <v>NMB60Y4</v>
      </c>
      <c r="B116" t="b">
        <f>_xlfn.IFNA(VLOOKUP(D116,Spelerslijst!J:K,1,FALSE),FALSE)</f>
        <v>0</v>
      </c>
      <c r="C116" t="str">
        <f t="shared" si="1"/>
        <v/>
      </c>
      <c r="D116" t="s">
        <v>635</v>
      </c>
      <c r="E116" t="s">
        <v>1701</v>
      </c>
      <c r="F116" s="1">
        <v>40189</v>
      </c>
      <c r="G116" t="s">
        <v>1174</v>
      </c>
      <c r="H116" t="s">
        <v>1697</v>
      </c>
      <c r="I116">
        <v>132</v>
      </c>
      <c r="K116" t="s">
        <v>1702</v>
      </c>
      <c r="L116" t="s">
        <v>1187</v>
      </c>
      <c r="M116" t="s">
        <v>1166</v>
      </c>
      <c r="N116">
        <v>648253953</v>
      </c>
      <c r="P116" t="s">
        <v>1703</v>
      </c>
      <c r="Q116" t="s">
        <v>1190</v>
      </c>
      <c r="R116" t="s">
        <v>1170</v>
      </c>
      <c r="S116">
        <v>230</v>
      </c>
      <c r="T116" t="s">
        <v>1182</v>
      </c>
      <c r="U116" t="s">
        <v>1172</v>
      </c>
      <c r="V116" t="s">
        <v>1213</v>
      </c>
      <c r="W116" s="1">
        <v>43258</v>
      </c>
    </row>
    <row r="117" spans="1:24">
      <c r="A117" t="b">
        <f>_xlfn.IFNA(VLOOKUP(D117,Spelerslijst!A:B,1,FALSE),FALSE)</f>
        <v>0</v>
      </c>
      <c r="B117" t="str">
        <f>_xlfn.IFNA(VLOOKUP(D117,Spelerslijst!J:K,1,FALSE),FALSE)</f>
        <v>NLX04H2</v>
      </c>
      <c r="C117" t="str">
        <f t="shared" si="1"/>
        <v/>
      </c>
      <c r="D117" t="s">
        <v>517</v>
      </c>
      <c r="E117" t="s">
        <v>1704</v>
      </c>
      <c r="F117" s="1">
        <v>40309</v>
      </c>
      <c r="G117" t="s">
        <v>1162</v>
      </c>
      <c r="H117" t="s">
        <v>1705</v>
      </c>
      <c r="I117">
        <v>21</v>
      </c>
      <c r="K117" t="s">
        <v>1706</v>
      </c>
      <c r="L117" t="s">
        <v>1187</v>
      </c>
      <c r="M117" t="s">
        <v>1166</v>
      </c>
      <c r="N117" t="s">
        <v>1707</v>
      </c>
      <c r="O117" t="s">
        <v>1708</v>
      </c>
      <c r="P117" t="s">
        <v>1709</v>
      </c>
      <c r="Q117" t="s">
        <v>1190</v>
      </c>
      <c r="R117" t="s">
        <v>1170</v>
      </c>
      <c r="S117">
        <v>230</v>
      </c>
      <c r="T117" t="s">
        <v>1182</v>
      </c>
      <c r="U117" t="s">
        <v>1172</v>
      </c>
      <c r="V117" t="s">
        <v>1213</v>
      </c>
      <c r="W117" s="1">
        <v>42884</v>
      </c>
    </row>
    <row r="118" spans="1:24">
      <c r="A118" t="str">
        <f>_xlfn.IFNA(VLOOKUP(D118,Spelerslijst!A:B,1,FALSE),FALSE)</f>
        <v>NLS54M7</v>
      </c>
      <c r="B118" t="b">
        <f>_xlfn.IFNA(VLOOKUP(D118,Spelerslijst!J:K,1,FALSE),FALSE)</f>
        <v>0</v>
      </c>
      <c r="C118" t="str">
        <f t="shared" si="1"/>
        <v/>
      </c>
      <c r="D118" t="s">
        <v>81</v>
      </c>
      <c r="E118" t="s">
        <v>1710</v>
      </c>
      <c r="F118" s="1">
        <v>40498</v>
      </c>
      <c r="G118" t="s">
        <v>1174</v>
      </c>
      <c r="H118" t="s">
        <v>1705</v>
      </c>
      <c r="I118">
        <v>25</v>
      </c>
      <c r="K118" t="s">
        <v>1706</v>
      </c>
      <c r="L118" t="s">
        <v>1187</v>
      </c>
      <c r="M118" t="s">
        <v>1166</v>
      </c>
      <c r="N118" t="s">
        <v>1711</v>
      </c>
      <c r="O118" t="s">
        <v>1712</v>
      </c>
      <c r="P118" t="s">
        <v>1713</v>
      </c>
      <c r="Q118" t="s">
        <v>1190</v>
      </c>
      <c r="R118" t="s">
        <v>1170</v>
      </c>
      <c r="S118">
        <v>230</v>
      </c>
      <c r="T118" t="s">
        <v>1182</v>
      </c>
      <c r="U118" t="s">
        <v>1172</v>
      </c>
      <c r="V118" t="s">
        <v>1213</v>
      </c>
      <c r="W118" s="1">
        <v>42613</v>
      </c>
    </row>
    <row r="119" spans="1:24">
      <c r="A119" t="str">
        <f>_xlfn.IFNA(VLOOKUP(D119,Spelerslijst!A:B,1,FALSE),FALSE)</f>
        <v>NJQ72K1</v>
      </c>
      <c r="B119" t="b">
        <f>_xlfn.IFNA(VLOOKUP(D119,Spelerslijst!J:K,1,FALSE),FALSE)</f>
        <v>0</v>
      </c>
      <c r="C119" t="str">
        <f t="shared" si="1"/>
        <v/>
      </c>
      <c r="D119" t="s">
        <v>303</v>
      </c>
      <c r="E119" t="s">
        <v>1714</v>
      </c>
      <c r="F119" s="1">
        <v>36111</v>
      </c>
      <c r="G119" t="s">
        <v>1174</v>
      </c>
      <c r="H119" t="s">
        <v>1705</v>
      </c>
      <c r="I119">
        <v>52</v>
      </c>
      <c r="K119" t="s">
        <v>1715</v>
      </c>
      <c r="L119" t="s">
        <v>1187</v>
      </c>
      <c r="M119" t="s">
        <v>1166</v>
      </c>
      <c r="N119" t="s">
        <v>1716</v>
      </c>
      <c r="O119" t="s">
        <v>1717</v>
      </c>
      <c r="P119" t="s">
        <v>1718</v>
      </c>
      <c r="Q119" t="s">
        <v>1190</v>
      </c>
      <c r="R119" t="s">
        <v>1170</v>
      </c>
      <c r="S119">
        <v>200</v>
      </c>
      <c r="T119" t="s">
        <v>1182</v>
      </c>
      <c r="U119" t="s">
        <v>1172</v>
      </c>
      <c r="V119" t="s">
        <v>1173</v>
      </c>
      <c r="W119" s="1">
        <v>38623</v>
      </c>
    </row>
    <row r="120" spans="1:24">
      <c r="A120" t="str">
        <f>_xlfn.IFNA(VLOOKUP(D120,Spelerslijst!A:B,1,FALSE),FALSE)</f>
        <v>NKG59H8</v>
      </c>
      <c r="B120" t="b">
        <f>_xlfn.IFNA(VLOOKUP(D120,Spelerslijst!J:K,1,FALSE),FALSE)</f>
        <v>0</v>
      </c>
      <c r="C120" t="str">
        <f t="shared" si="1"/>
        <v/>
      </c>
      <c r="D120" t="s">
        <v>297</v>
      </c>
      <c r="E120" t="s">
        <v>1719</v>
      </c>
      <c r="F120" s="1">
        <v>36993</v>
      </c>
      <c r="G120" t="s">
        <v>1174</v>
      </c>
      <c r="H120" t="s">
        <v>1705</v>
      </c>
      <c r="I120">
        <v>52</v>
      </c>
      <c r="K120" t="s">
        <v>1715</v>
      </c>
      <c r="L120" t="s">
        <v>1187</v>
      </c>
      <c r="M120" t="s">
        <v>1166</v>
      </c>
      <c r="N120" t="s">
        <v>1720</v>
      </c>
      <c r="O120" t="s">
        <v>1717</v>
      </c>
      <c r="P120" t="s">
        <v>1721</v>
      </c>
      <c r="Q120" t="s">
        <v>1169</v>
      </c>
      <c r="R120" t="s">
        <v>1170</v>
      </c>
      <c r="S120">
        <v>200</v>
      </c>
      <c r="T120" t="s">
        <v>1182</v>
      </c>
      <c r="U120" t="s">
        <v>1172</v>
      </c>
      <c r="V120" t="s">
        <v>1173</v>
      </c>
      <c r="W120" s="1">
        <v>39624</v>
      </c>
      <c r="X120" s="1">
        <v>44377</v>
      </c>
    </row>
    <row r="121" spans="1:24">
      <c r="A121" t="b">
        <f>_xlfn.IFNA(VLOOKUP(D121,Spelerslijst!A:B,1,FALSE),FALSE)</f>
        <v>0</v>
      </c>
      <c r="B121" t="str">
        <f>_xlfn.IFNA(VLOOKUP(D121,Spelerslijst!J:K,1,FALSE),FALSE)</f>
        <v>NLS85H0</v>
      </c>
      <c r="C121" t="str">
        <f t="shared" si="1"/>
        <v/>
      </c>
      <c r="D121" t="s">
        <v>380</v>
      </c>
      <c r="E121" t="s">
        <v>1722</v>
      </c>
      <c r="F121" s="1">
        <v>39623</v>
      </c>
      <c r="G121" t="s">
        <v>1162</v>
      </c>
      <c r="H121" t="s">
        <v>1705</v>
      </c>
      <c r="I121">
        <v>126</v>
      </c>
      <c r="K121" t="s">
        <v>1723</v>
      </c>
      <c r="L121" t="s">
        <v>1187</v>
      </c>
      <c r="M121" t="s">
        <v>1166</v>
      </c>
      <c r="N121" t="s">
        <v>1724</v>
      </c>
      <c r="O121" t="s">
        <v>1725</v>
      </c>
      <c r="P121" t="s">
        <v>1726</v>
      </c>
      <c r="Q121" t="s">
        <v>1190</v>
      </c>
      <c r="R121" t="s">
        <v>1170</v>
      </c>
      <c r="S121">
        <v>220</v>
      </c>
      <c r="T121" t="s">
        <v>1182</v>
      </c>
      <c r="U121" t="s">
        <v>1172</v>
      </c>
      <c r="V121" t="s">
        <v>1207</v>
      </c>
      <c r="W121" s="1">
        <v>42536</v>
      </c>
    </row>
    <row r="122" spans="1:24">
      <c r="A122" t="b">
        <f>_xlfn.IFNA(VLOOKUP(D122,Spelerslijst!A:B,1,FALSE),FALSE)</f>
        <v>0</v>
      </c>
      <c r="B122" t="str">
        <f>_xlfn.IFNA(VLOOKUP(D122,Spelerslijst!J:K,1,FALSE),FALSE)</f>
        <v>NMC61P5</v>
      </c>
      <c r="C122" t="str">
        <f t="shared" si="1"/>
        <v/>
      </c>
      <c r="D122" t="s">
        <v>472</v>
      </c>
      <c r="E122" t="s">
        <v>1727</v>
      </c>
      <c r="F122" s="1">
        <v>40626</v>
      </c>
      <c r="G122" t="s">
        <v>1162</v>
      </c>
      <c r="H122" t="s">
        <v>1705</v>
      </c>
      <c r="I122">
        <v>126</v>
      </c>
      <c r="K122" t="s">
        <v>1723</v>
      </c>
      <c r="L122" t="s">
        <v>1187</v>
      </c>
      <c r="M122" t="s">
        <v>1166</v>
      </c>
      <c r="N122" t="s">
        <v>1728</v>
      </c>
      <c r="P122" t="s">
        <v>1726</v>
      </c>
      <c r="Q122" t="s">
        <v>1190</v>
      </c>
      <c r="R122" t="s">
        <v>1170</v>
      </c>
      <c r="S122">
        <v>230</v>
      </c>
      <c r="T122" t="s">
        <v>1182</v>
      </c>
      <c r="U122" t="s">
        <v>1172</v>
      </c>
      <c r="V122" t="s">
        <v>1213</v>
      </c>
      <c r="W122" s="1">
        <v>43352</v>
      </c>
    </row>
    <row r="123" spans="1:24">
      <c r="A123" t="b">
        <f>_xlfn.IFNA(VLOOKUP(D123,Spelerslijst!A:B,1,FALSE),FALSE)</f>
        <v>0</v>
      </c>
      <c r="B123" t="str">
        <f>_xlfn.IFNA(VLOOKUP(D123,Spelerslijst!J:K,1,FALSE),FALSE)</f>
        <v>NMK07M0</v>
      </c>
      <c r="C123" t="str">
        <f t="shared" si="1"/>
        <v/>
      </c>
      <c r="D123" t="s">
        <v>605</v>
      </c>
      <c r="E123" t="s">
        <v>1729</v>
      </c>
      <c r="F123" s="1">
        <v>41737</v>
      </c>
      <c r="G123" t="s">
        <v>1162</v>
      </c>
      <c r="H123" t="s">
        <v>1730</v>
      </c>
      <c r="I123">
        <v>150</v>
      </c>
      <c r="K123" t="s">
        <v>1731</v>
      </c>
      <c r="L123" t="s">
        <v>1187</v>
      </c>
      <c r="M123" t="s">
        <v>1166</v>
      </c>
      <c r="O123" t="s">
        <v>1732</v>
      </c>
      <c r="P123" t="s">
        <v>1733</v>
      </c>
      <c r="Q123" t="s">
        <v>1190</v>
      </c>
      <c r="R123" t="s">
        <v>1170</v>
      </c>
      <c r="S123">
        <v>230</v>
      </c>
      <c r="T123" t="s">
        <v>1182</v>
      </c>
      <c r="U123" t="s">
        <v>1172</v>
      </c>
      <c r="V123" t="s">
        <v>1213</v>
      </c>
      <c r="W123" s="1">
        <v>44075</v>
      </c>
    </row>
    <row r="124" spans="1:24">
      <c r="A124" t="str">
        <f>_xlfn.IFNA(VLOOKUP(D124,Spelerslijst!A:B,1,FALSE),FALSE)</f>
        <v>NJH13R4</v>
      </c>
      <c r="B124" t="b">
        <f>_xlfn.IFNA(VLOOKUP(D124,Spelerslijst!J:K,1,FALSE),FALSE)</f>
        <v>0</v>
      </c>
      <c r="C124" t="str">
        <f t="shared" si="1"/>
        <v/>
      </c>
      <c r="D124" t="s">
        <v>608</v>
      </c>
      <c r="E124" t="s">
        <v>1734</v>
      </c>
      <c r="F124" s="1">
        <v>36013</v>
      </c>
      <c r="G124" t="s">
        <v>1174</v>
      </c>
      <c r="H124" t="s">
        <v>1735</v>
      </c>
      <c r="I124">
        <v>206</v>
      </c>
      <c r="K124" t="s">
        <v>1736</v>
      </c>
      <c r="L124" t="s">
        <v>1187</v>
      </c>
      <c r="M124" t="s">
        <v>1166</v>
      </c>
      <c r="N124" t="s">
        <v>1737</v>
      </c>
      <c r="O124" t="s">
        <v>1738</v>
      </c>
      <c r="P124" t="s">
        <v>1739</v>
      </c>
      <c r="Q124" t="s">
        <v>1190</v>
      </c>
      <c r="R124" t="s">
        <v>1170</v>
      </c>
      <c r="S124">
        <v>200</v>
      </c>
      <c r="T124" t="s">
        <v>1182</v>
      </c>
      <c r="U124" t="s">
        <v>1172</v>
      </c>
      <c r="V124" t="s">
        <v>1173</v>
      </c>
      <c r="W124" s="1">
        <v>40764</v>
      </c>
    </row>
    <row r="125" spans="1:24">
      <c r="A125" t="b">
        <f>_xlfn.IFNA(VLOOKUP(D125,Spelerslijst!A:B,1,FALSE),FALSE)</f>
        <v>0</v>
      </c>
      <c r="B125" t="str">
        <f>_xlfn.IFNA(VLOOKUP(D125,Spelerslijst!J:K,1,FALSE),FALSE)</f>
        <v>NKQ70H1</v>
      </c>
      <c r="C125" t="str">
        <f t="shared" si="1"/>
        <v/>
      </c>
      <c r="D125" t="s">
        <v>667</v>
      </c>
      <c r="E125" t="s">
        <v>1740</v>
      </c>
      <c r="F125" s="1">
        <v>36605</v>
      </c>
      <c r="G125" t="s">
        <v>1162</v>
      </c>
      <c r="H125" t="s">
        <v>1735</v>
      </c>
      <c r="I125">
        <v>221</v>
      </c>
      <c r="K125" t="s">
        <v>1736</v>
      </c>
      <c r="L125" t="s">
        <v>1187</v>
      </c>
      <c r="M125" t="s">
        <v>1166</v>
      </c>
      <c r="N125" t="s">
        <v>1741</v>
      </c>
      <c r="O125" t="s">
        <v>1742</v>
      </c>
      <c r="P125" t="s">
        <v>1743</v>
      </c>
      <c r="Q125" t="s">
        <v>1190</v>
      </c>
      <c r="R125" t="s">
        <v>1170</v>
      </c>
      <c r="S125">
        <v>200</v>
      </c>
      <c r="T125" t="s">
        <v>1182</v>
      </c>
      <c r="U125" t="s">
        <v>1172</v>
      </c>
      <c r="V125" t="s">
        <v>1173</v>
      </c>
      <c r="W125" s="1">
        <v>40269</v>
      </c>
    </row>
    <row r="126" spans="1:24">
      <c r="A126" t="str">
        <f>_xlfn.IFNA(VLOOKUP(D126,Spelerslijst!A:B,1,FALSE),FALSE)</f>
        <v>NKD20B1</v>
      </c>
      <c r="B126" t="b">
        <f>_xlfn.IFNA(VLOOKUP(D126,Spelerslijst!J:K,1,FALSE),FALSE)</f>
        <v>0</v>
      </c>
      <c r="C126" t="str">
        <f t="shared" si="1"/>
        <v/>
      </c>
      <c r="D126" t="s">
        <v>1018</v>
      </c>
      <c r="E126" t="s">
        <v>1744</v>
      </c>
      <c r="F126" s="1">
        <v>37091</v>
      </c>
      <c r="G126" t="s">
        <v>1174</v>
      </c>
      <c r="H126" t="s">
        <v>1735</v>
      </c>
      <c r="I126">
        <v>262</v>
      </c>
      <c r="K126" t="s">
        <v>1736</v>
      </c>
      <c r="L126" t="s">
        <v>1187</v>
      </c>
      <c r="M126" t="s">
        <v>1166</v>
      </c>
      <c r="N126" t="s">
        <v>1745</v>
      </c>
      <c r="O126" t="s">
        <v>1745</v>
      </c>
      <c r="P126" t="s">
        <v>1746</v>
      </c>
      <c r="Q126" t="s">
        <v>1190</v>
      </c>
      <c r="R126" t="s">
        <v>1170</v>
      </c>
      <c r="S126">
        <v>200</v>
      </c>
      <c r="T126" t="s">
        <v>1182</v>
      </c>
      <c r="U126" t="s">
        <v>1172</v>
      </c>
      <c r="V126" t="s">
        <v>1173</v>
      </c>
      <c r="W126" s="1">
        <v>39390</v>
      </c>
    </row>
    <row r="127" spans="1:24">
      <c r="A127" t="str">
        <f>_xlfn.IFNA(VLOOKUP(D127,Spelerslijst!A:B,1,FALSE),FALSE)</f>
        <v>NKT92K1</v>
      </c>
      <c r="B127" t="b">
        <f>_xlfn.IFNA(VLOOKUP(D127,Spelerslijst!J:K,1,FALSE),FALSE)</f>
        <v>0</v>
      </c>
      <c r="C127" t="str">
        <f t="shared" si="1"/>
        <v/>
      </c>
      <c r="D127" t="s">
        <v>514</v>
      </c>
      <c r="E127" t="s">
        <v>1747</v>
      </c>
      <c r="F127" s="1">
        <v>38597</v>
      </c>
      <c r="G127" t="s">
        <v>1174</v>
      </c>
      <c r="H127" t="s">
        <v>1748</v>
      </c>
      <c r="I127">
        <v>156</v>
      </c>
      <c r="K127" t="s">
        <v>1749</v>
      </c>
      <c r="L127" t="s">
        <v>1187</v>
      </c>
      <c r="M127" t="s">
        <v>1166</v>
      </c>
      <c r="N127" t="s">
        <v>1750</v>
      </c>
      <c r="O127" t="s">
        <v>1751</v>
      </c>
      <c r="P127" t="s">
        <v>1752</v>
      </c>
      <c r="Q127" t="s">
        <v>1190</v>
      </c>
      <c r="R127" t="s">
        <v>1170</v>
      </c>
      <c r="S127">
        <v>220</v>
      </c>
      <c r="T127" t="s">
        <v>1182</v>
      </c>
      <c r="U127" t="s">
        <v>1172</v>
      </c>
      <c r="V127" t="s">
        <v>1207</v>
      </c>
      <c r="W127" s="1">
        <v>40513</v>
      </c>
    </row>
    <row r="128" spans="1:24">
      <c r="A128" t="b">
        <f>_xlfn.IFNA(VLOOKUP(D128,Spelerslijst!A:B,1,FALSE),FALSE)</f>
        <v>0</v>
      </c>
      <c r="B128" t="str">
        <f>_xlfn.IFNA(VLOOKUP(D128,Spelerslijst!J:K,1,FALSE),FALSE)</f>
        <v>NKZ28R9</v>
      </c>
      <c r="C128" t="str">
        <f t="shared" si="1"/>
        <v/>
      </c>
      <c r="D128" t="s">
        <v>357</v>
      </c>
      <c r="E128" t="s">
        <v>1753</v>
      </c>
      <c r="F128" s="1">
        <v>39363</v>
      </c>
      <c r="G128" t="s">
        <v>1162</v>
      </c>
      <c r="H128" t="s">
        <v>1748</v>
      </c>
      <c r="I128">
        <v>156</v>
      </c>
      <c r="K128" t="s">
        <v>1749</v>
      </c>
      <c r="L128" t="s">
        <v>1187</v>
      </c>
      <c r="M128" t="s">
        <v>1166</v>
      </c>
      <c r="N128" t="s">
        <v>1750</v>
      </c>
      <c r="O128" t="s">
        <v>1751</v>
      </c>
      <c r="P128" t="s">
        <v>1752</v>
      </c>
      <c r="Q128" t="s">
        <v>1190</v>
      </c>
      <c r="R128" t="s">
        <v>1170</v>
      </c>
      <c r="S128">
        <v>220</v>
      </c>
      <c r="T128" t="s">
        <v>1182</v>
      </c>
      <c r="U128" t="s">
        <v>1172</v>
      </c>
      <c r="V128" t="s">
        <v>1207</v>
      </c>
      <c r="W128" s="1">
        <v>43255</v>
      </c>
    </row>
    <row r="129" spans="1:24">
      <c r="A129" t="b">
        <f>_xlfn.IFNA(VLOOKUP(D129,Spelerslijst!A:B,1,FALSE),FALSE)</f>
        <v>0</v>
      </c>
      <c r="B129" t="str">
        <f>_xlfn.IFNA(VLOOKUP(D129,Spelerslijst!J:K,1,FALSE),FALSE)</f>
        <v>NKY88T2</v>
      </c>
      <c r="C129" t="str">
        <f t="shared" si="1"/>
        <v/>
      </c>
      <c r="D129" t="s">
        <v>229</v>
      </c>
      <c r="E129" t="s">
        <v>1754</v>
      </c>
      <c r="F129" s="1">
        <v>37832</v>
      </c>
      <c r="G129" t="s">
        <v>1162</v>
      </c>
      <c r="H129" t="s">
        <v>1748</v>
      </c>
      <c r="I129">
        <v>161</v>
      </c>
      <c r="K129" t="s">
        <v>1749</v>
      </c>
      <c r="L129" t="s">
        <v>1187</v>
      </c>
      <c r="M129" t="s">
        <v>1166</v>
      </c>
      <c r="N129" t="s">
        <v>1755</v>
      </c>
      <c r="O129" t="s">
        <v>1756</v>
      </c>
      <c r="P129" t="s">
        <v>1757</v>
      </c>
      <c r="Q129" t="s">
        <v>1190</v>
      </c>
      <c r="R129" t="s">
        <v>1170</v>
      </c>
      <c r="S129">
        <v>210</v>
      </c>
      <c r="T129" t="s">
        <v>1182</v>
      </c>
      <c r="U129" t="s">
        <v>1172</v>
      </c>
      <c r="V129" t="s">
        <v>1194</v>
      </c>
      <c r="W129" s="1">
        <v>40909</v>
      </c>
    </row>
    <row r="130" spans="1:24">
      <c r="A130" t="str">
        <f>_xlfn.IFNA(VLOOKUP(D130,Spelerslijst!A:B,1,FALSE),FALSE)</f>
        <v>NJG35B7</v>
      </c>
      <c r="B130" t="b">
        <f>_xlfn.IFNA(VLOOKUP(D130,Spelerslijst!J:K,1,FALSE),FALSE)</f>
        <v>0</v>
      </c>
      <c r="C130" t="str">
        <f t="shared" si="1"/>
        <v/>
      </c>
      <c r="D130" t="s">
        <v>948</v>
      </c>
      <c r="E130" t="s">
        <v>1758</v>
      </c>
      <c r="F130" s="1">
        <v>36011</v>
      </c>
      <c r="G130" t="s">
        <v>1174</v>
      </c>
      <c r="H130" t="s">
        <v>1759</v>
      </c>
      <c r="I130">
        <v>200</v>
      </c>
      <c r="K130" t="s">
        <v>1760</v>
      </c>
      <c r="L130" t="s">
        <v>1187</v>
      </c>
      <c r="M130" t="s">
        <v>1166</v>
      </c>
      <c r="N130" t="s">
        <v>1761</v>
      </c>
      <c r="O130" t="s">
        <v>1762</v>
      </c>
      <c r="P130" t="s">
        <v>1763</v>
      </c>
      <c r="Q130" t="s">
        <v>1190</v>
      </c>
      <c r="R130" t="s">
        <v>1170</v>
      </c>
      <c r="S130">
        <v>200</v>
      </c>
      <c r="T130" t="s">
        <v>1182</v>
      </c>
      <c r="U130" t="s">
        <v>1172</v>
      </c>
      <c r="V130" t="s">
        <v>1173</v>
      </c>
      <c r="W130" s="1">
        <v>38017</v>
      </c>
    </row>
    <row r="131" spans="1:24">
      <c r="A131" t="b">
        <f>_xlfn.IFNA(VLOOKUP(D131,Spelerslijst!A:B,1,FALSE),FALSE)</f>
        <v>0</v>
      </c>
      <c r="B131" t="str">
        <f>_xlfn.IFNA(VLOOKUP(D131,Spelerslijst!J:K,1,FALSE),FALSE)</f>
        <v>NLL19V8</v>
      </c>
      <c r="C131" t="str">
        <f t="shared" ref="C131:C194" si="2">IF(AND(A131=FALSE,B131=FALSE),"Onbekend","")</f>
        <v/>
      </c>
      <c r="D131" t="s">
        <v>305</v>
      </c>
      <c r="E131" t="s">
        <v>1764</v>
      </c>
      <c r="F131" s="1">
        <v>39356</v>
      </c>
      <c r="G131" t="s">
        <v>1162</v>
      </c>
      <c r="H131" t="s">
        <v>1759</v>
      </c>
      <c r="I131">
        <v>209</v>
      </c>
      <c r="K131" t="s">
        <v>1765</v>
      </c>
      <c r="L131" t="s">
        <v>1187</v>
      </c>
      <c r="M131" t="s">
        <v>1166</v>
      </c>
      <c r="N131" t="s">
        <v>1766</v>
      </c>
      <c r="O131" t="s">
        <v>1767</v>
      </c>
      <c r="P131" t="s">
        <v>1768</v>
      </c>
      <c r="Q131" t="s">
        <v>1190</v>
      </c>
      <c r="R131" t="s">
        <v>1170</v>
      </c>
      <c r="S131">
        <v>220</v>
      </c>
      <c r="T131" t="s">
        <v>1182</v>
      </c>
      <c r="U131" t="s">
        <v>1172</v>
      </c>
      <c r="V131" t="s">
        <v>1207</v>
      </c>
      <c r="W131" s="1">
        <v>41883</v>
      </c>
    </row>
    <row r="132" spans="1:24">
      <c r="A132" t="str">
        <f>_xlfn.IFNA(VLOOKUP(D132,Spelerslijst!A:B,1,FALSE),FALSE)</f>
        <v>NLS76C3</v>
      </c>
      <c r="B132" t="b">
        <f>_xlfn.IFNA(VLOOKUP(D132,Spelerslijst!J:K,1,FALSE),FALSE)</f>
        <v>0</v>
      </c>
      <c r="C132" t="str">
        <f t="shared" si="2"/>
        <v/>
      </c>
      <c r="D132" t="s">
        <v>1020</v>
      </c>
      <c r="E132" t="s">
        <v>1769</v>
      </c>
      <c r="F132" s="1">
        <v>40097</v>
      </c>
      <c r="G132" t="s">
        <v>1174</v>
      </c>
      <c r="H132" t="s">
        <v>1759</v>
      </c>
      <c r="I132">
        <v>209</v>
      </c>
      <c r="K132" t="s">
        <v>1765</v>
      </c>
      <c r="L132" t="s">
        <v>1187</v>
      </c>
      <c r="M132" t="s">
        <v>1166</v>
      </c>
      <c r="N132" t="s">
        <v>1766</v>
      </c>
      <c r="O132" t="s">
        <v>1767</v>
      </c>
      <c r="P132" t="s">
        <v>1768</v>
      </c>
      <c r="Q132" t="s">
        <v>1190</v>
      </c>
      <c r="R132" t="s">
        <v>1170</v>
      </c>
      <c r="S132">
        <v>230</v>
      </c>
      <c r="T132" t="s">
        <v>1182</v>
      </c>
      <c r="U132" t="s">
        <v>1172</v>
      </c>
      <c r="V132" t="s">
        <v>1213</v>
      </c>
      <c r="W132" s="1">
        <v>42532</v>
      </c>
    </row>
    <row r="133" spans="1:24">
      <c r="A133" t="str">
        <f>_xlfn.IFNA(VLOOKUP(D133,Spelerslijst!A:B,1,FALSE),FALSE)</f>
        <v>NMK14K2</v>
      </c>
      <c r="B133" t="b">
        <f>_xlfn.IFNA(VLOOKUP(D133,Spelerslijst!J:K,1,FALSE),FALSE)</f>
        <v>0</v>
      </c>
      <c r="C133" t="str">
        <f t="shared" si="2"/>
        <v/>
      </c>
      <c r="D133" t="s">
        <v>982</v>
      </c>
      <c r="E133" t="s">
        <v>1770</v>
      </c>
      <c r="F133" s="1">
        <v>41194</v>
      </c>
      <c r="G133" t="s">
        <v>1174</v>
      </c>
      <c r="H133" t="s">
        <v>1759</v>
      </c>
      <c r="I133">
        <v>230</v>
      </c>
      <c r="K133" t="s">
        <v>1765</v>
      </c>
      <c r="L133" t="s">
        <v>1187</v>
      </c>
      <c r="M133" t="s">
        <v>1166</v>
      </c>
      <c r="N133" t="s">
        <v>1771</v>
      </c>
      <c r="P133" t="s">
        <v>1772</v>
      </c>
      <c r="Q133" t="s">
        <v>1169</v>
      </c>
      <c r="R133" t="s">
        <v>1170</v>
      </c>
      <c r="S133">
        <v>230</v>
      </c>
      <c r="T133" t="s">
        <v>1182</v>
      </c>
      <c r="U133" t="s">
        <v>1172</v>
      </c>
      <c r="V133" t="s">
        <v>1213</v>
      </c>
      <c r="W133" s="1">
        <v>44024</v>
      </c>
      <c r="X133" s="1">
        <v>44377</v>
      </c>
    </row>
    <row r="134" spans="1:24">
      <c r="A134" t="b">
        <f>_xlfn.IFNA(VLOOKUP(D134,Spelerslijst!A:B,1,FALSE),FALSE)</f>
        <v>0</v>
      </c>
      <c r="B134" t="str">
        <f>_xlfn.IFNA(VLOOKUP(D134,Spelerslijst!J:K,1,FALSE),FALSE)</f>
        <v>NKW50C2</v>
      </c>
      <c r="C134" t="str">
        <f t="shared" si="2"/>
        <v/>
      </c>
      <c r="D134" t="s">
        <v>633</v>
      </c>
      <c r="E134" t="s">
        <v>1773</v>
      </c>
      <c r="F134" s="1">
        <v>37960</v>
      </c>
      <c r="G134" t="s">
        <v>1162</v>
      </c>
      <c r="H134" t="s">
        <v>1774</v>
      </c>
      <c r="I134">
        <v>83</v>
      </c>
      <c r="K134" t="s">
        <v>1775</v>
      </c>
      <c r="L134" t="s">
        <v>1187</v>
      </c>
      <c r="M134" t="s">
        <v>1166</v>
      </c>
      <c r="N134" t="s">
        <v>1776</v>
      </c>
      <c r="O134" t="s">
        <v>1777</v>
      </c>
      <c r="P134" t="s">
        <v>1778</v>
      </c>
      <c r="Q134" t="s">
        <v>1190</v>
      </c>
      <c r="R134" t="s">
        <v>1170</v>
      </c>
      <c r="S134">
        <v>210</v>
      </c>
      <c r="T134" t="s">
        <v>1182</v>
      </c>
      <c r="U134" t="s">
        <v>1172</v>
      </c>
      <c r="V134" t="s">
        <v>1194</v>
      </c>
      <c r="W134" s="1">
        <v>40787</v>
      </c>
    </row>
    <row r="135" spans="1:24">
      <c r="A135" t="str">
        <f>_xlfn.IFNA(VLOOKUP(D135,Spelerslijst!A:B,1,FALSE),FALSE)</f>
        <v>NLL81G4</v>
      </c>
      <c r="B135" t="b">
        <f>_xlfn.IFNA(VLOOKUP(D135,Spelerslijst!J:K,1,FALSE),FALSE)</f>
        <v>0</v>
      </c>
      <c r="C135" t="str">
        <f t="shared" si="2"/>
        <v/>
      </c>
      <c r="D135" t="s">
        <v>653</v>
      </c>
      <c r="E135" t="s">
        <v>1779</v>
      </c>
      <c r="F135" s="1">
        <v>39324</v>
      </c>
      <c r="G135" t="s">
        <v>1174</v>
      </c>
      <c r="H135" t="s">
        <v>1774</v>
      </c>
      <c r="I135">
        <v>90</v>
      </c>
      <c r="K135" t="s">
        <v>1780</v>
      </c>
      <c r="L135" t="s">
        <v>1187</v>
      </c>
      <c r="M135" t="s">
        <v>1166</v>
      </c>
      <c r="N135" t="s">
        <v>1781</v>
      </c>
      <c r="O135" t="s">
        <v>1782</v>
      </c>
      <c r="P135" t="s">
        <v>1783</v>
      </c>
      <c r="Q135" t="s">
        <v>1190</v>
      </c>
      <c r="R135" t="s">
        <v>1170</v>
      </c>
      <c r="S135">
        <v>220</v>
      </c>
      <c r="T135" t="s">
        <v>1182</v>
      </c>
      <c r="U135" t="s">
        <v>1172</v>
      </c>
      <c r="V135" t="s">
        <v>1207</v>
      </c>
      <c r="W135" s="1">
        <v>41913</v>
      </c>
    </row>
    <row r="136" spans="1:24">
      <c r="A136" t="str">
        <f>_xlfn.IFNA(VLOOKUP(D136,Spelerslijst!A:B,1,FALSE),FALSE)</f>
        <v>NKR88F7</v>
      </c>
      <c r="B136" t="b">
        <f>_xlfn.IFNA(VLOOKUP(D136,Spelerslijst!J:K,1,FALSE),FALSE)</f>
        <v>0</v>
      </c>
      <c r="C136" t="str">
        <f t="shared" si="2"/>
        <v/>
      </c>
      <c r="D136" t="s">
        <v>479</v>
      </c>
      <c r="E136" t="s">
        <v>1784</v>
      </c>
      <c r="F136" s="1">
        <v>37771</v>
      </c>
      <c r="G136" t="s">
        <v>1174</v>
      </c>
      <c r="H136" t="s">
        <v>1774</v>
      </c>
      <c r="I136">
        <v>95</v>
      </c>
      <c r="K136" t="s">
        <v>1780</v>
      </c>
      <c r="L136" t="s">
        <v>1187</v>
      </c>
      <c r="M136" t="s">
        <v>1166</v>
      </c>
      <c r="N136" t="s">
        <v>1785</v>
      </c>
      <c r="O136" t="s">
        <v>1786</v>
      </c>
      <c r="P136" t="s">
        <v>1787</v>
      </c>
      <c r="Q136" t="s">
        <v>1190</v>
      </c>
      <c r="R136" t="s">
        <v>1170</v>
      </c>
      <c r="S136">
        <v>210</v>
      </c>
      <c r="T136" t="s">
        <v>1182</v>
      </c>
      <c r="U136" t="s">
        <v>1172</v>
      </c>
      <c r="V136" t="s">
        <v>1194</v>
      </c>
      <c r="W136" s="1">
        <v>41183</v>
      </c>
    </row>
    <row r="137" spans="1:24">
      <c r="A137" t="str">
        <f>_xlfn.IFNA(VLOOKUP(D137,Spelerslijst!A:B,1,FALSE),FALSE)</f>
        <v>NKR88D3</v>
      </c>
      <c r="B137" t="b">
        <f>_xlfn.IFNA(VLOOKUP(D137,Spelerslijst!J:K,1,FALSE),FALSE)</f>
        <v>0</v>
      </c>
      <c r="C137" t="str">
        <f t="shared" si="2"/>
        <v/>
      </c>
      <c r="D137" t="s">
        <v>485</v>
      </c>
      <c r="E137" t="s">
        <v>1788</v>
      </c>
      <c r="F137" s="1">
        <v>38630</v>
      </c>
      <c r="G137" t="s">
        <v>1174</v>
      </c>
      <c r="H137" t="s">
        <v>1774</v>
      </c>
      <c r="I137">
        <v>95</v>
      </c>
      <c r="K137" t="s">
        <v>1780</v>
      </c>
      <c r="L137" t="s">
        <v>1187</v>
      </c>
      <c r="M137" t="s">
        <v>1166</v>
      </c>
      <c r="N137" t="s">
        <v>1789</v>
      </c>
      <c r="O137" t="s">
        <v>1786</v>
      </c>
      <c r="P137" t="s">
        <v>1790</v>
      </c>
      <c r="Q137" t="s">
        <v>1190</v>
      </c>
      <c r="R137" t="s">
        <v>1170</v>
      </c>
      <c r="S137">
        <v>220</v>
      </c>
      <c r="T137" t="s">
        <v>1182</v>
      </c>
      <c r="U137" t="s">
        <v>1172</v>
      </c>
      <c r="V137" t="s">
        <v>1207</v>
      </c>
      <c r="W137" s="1">
        <v>41183</v>
      </c>
    </row>
    <row r="138" spans="1:24">
      <c r="A138" t="str">
        <f>_xlfn.IFNA(VLOOKUP(D138,Spelerslijst!A:B,1,FALSE),FALSE)</f>
        <v>NMM21T3</v>
      </c>
      <c r="B138" t="b">
        <f>_xlfn.IFNA(VLOOKUP(D138,Spelerslijst!J:K,1,FALSE),FALSE)</f>
        <v>0</v>
      </c>
      <c r="C138" t="str">
        <f t="shared" si="2"/>
        <v/>
      </c>
      <c r="D138" t="s">
        <v>166</v>
      </c>
      <c r="E138" t="s">
        <v>571</v>
      </c>
      <c r="F138" s="1">
        <v>41557</v>
      </c>
      <c r="G138" t="s">
        <v>1174</v>
      </c>
      <c r="H138" t="s">
        <v>1774</v>
      </c>
      <c r="I138">
        <v>180</v>
      </c>
      <c r="K138" t="s">
        <v>1791</v>
      </c>
      <c r="L138" t="s">
        <v>1187</v>
      </c>
      <c r="M138" t="s">
        <v>1166</v>
      </c>
      <c r="O138" t="s">
        <v>1792</v>
      </c>
      <c r="P138" t="s">
        <v>1793</v>
      </c>
      <c r="Q138" t="s">
        <v>1190</v>
      </c>
      <c r="R138" t="s">
        <v>1170</v>
      </c>
      <c r="S138">
        <v>230</v>
      </c>
      <c r="T138" t="s">
        <v>1182</v>
      </c>
      <c r="U138" t="s">
        <v>1172</v>
      </c>
      <c r="V138" t="s">
        <v>1213</v>
      </c>
      <c r="W138" s="1">
        <v>44316</v>
      </c>
    </row>
    <row r="139" spans="1:24">
      <c r="A139" t="str">
        <f>_xlfn.IFNA(VLOOKUP(D139,Spelerslijst!A:B,1,FALSE),FALSE)</f>
        <v>NLG57S6</v>
      </c>
      <c r="B139" t="b">
        <f>_xlfn.IFNA(VLOOKUP(D139,Spelerslijst!J:K,1,FALSE),FALSE)</f>
        <v>0</v>
      </c>
      <c r="C139" t="str">
        <f t="shared" si="2"/>
        <v/>
      </c>
      <c r="D139" t="s">
        <v>770</v>
      </c>
      <c r="E139" t="s">
        <v>1794</v>
      </c>
      <c r="F139" s="1">
        <v>38506</v>
      </c>
      <c r="G139" t="s">
        <v>1174</v>
      </c>
      <c r="H139" t="s">
        <v>1795</v>
      </c>
      <c r="I139">
        <v>9</v>
      </c>
      <c r="K139" t="s">
        <v>1796</v>
      </c>
      <c r="L139" t="s">
        <v>1187</v>
      </c>
      <c r="M139" t="s">
        <v>1166</v>
      </c>
      <c r="N139" t="s">
        <v>1797</v>
      </c>
      <c r="O139" t="s">
        <v>1798</v>
      </c>
      <c r="P139" t="s">
        <v>1799</v>
      </c>
      <c r="Q139" t="s">
        <v>1190</v>
      </c>
      <c r="R139" t="s">
        <v>1170</v>
      </c>
      <c r="S139">
        <v>220</v>
      </c>
      <c r="T139" t="s">
        <v>1182</v>
      </c>
      <c r="U139" t="s">
        <v>1172</v>
      </c>
      <c r="V139" t="s">
        <v>1207</v>
      </c>
      <c r="W139" s="1">
        <v>41518</v>
      </c>
    </row>
    <row r="140" spans="1:24">
      <c r="A140" t="b">
        <f>_xlfn.IFNA(VLOOKUP(D140,Spelerslijst!A:B,1,FALSE),FALSE)</f>
        <v>0</v>
      </c>
      <c r="B140" t="str">
        <f>_xlfn.IFNA(VLOOKUP(D140,Spelerslijst!J:K,1,FALSE),FALSE)</f>
        <v>NLL49T9</v>
      </c>
      <c r="C140" t="str">
        <f t="shared" si="2"/>
        <v/>
      </c>
      <c r="D140" t="s">
        <v>415</v>
      </c>
      <c r="E140" t="s">
        <v>1800</v>
      </c>
      <c r="F140" s="1">
        <v>39646</v>
      </c>
      <c r="G140" t="s">
        <v>1162</v>
      </c>
      <c r="H140" t="s">
        <v>1795</v>
      </c>
      <c r="I140">
        <v>70</v>
      </c>
      <c r="K140" t="s">
        <v>1801</v>
      </c>
      <c r="L140" t="s">
        <v>1187</v>
      </c>
      <c r="M140" t="s">
        <v>1166</v>
      </c>
      <c r="N140" t="s">
        <v>1802</v>
      </c>
      <c r="P140" t="s">
        <v>1803</v>
      </c>
      <c r="Q140" t="s">
        <v>1190</v>
      </c>
      <c r="R140" t="s">
        <v>1170</v>
      </c>
      <c r="S140">
        <v>220</v>
      </c>
      <c r="T140" t="s">
        <v>1182</v>
      </c>
      <c r="U140" t="s">
        <v>1172</v>
      </c>
      <c r="V140" t="s">
        <v>1207</v>
      </c>
      <c r="W140" s="1">
        <v>41883</v>
      </c>
    </row>
    <row r="141" spans="1:24">
      <c r="A141" t="str">
        <f>_xlfn.IFNA(VLOOKUP(D141,Spelerslijst!A:B,1,FALSE),FALSE)</f>
        <v>NJF85B1</v>
      </c>
      <c r="B141" t="b">
        <f>_xlfn.IFNA(VLOOKUP(D141,Spelerslijst!J:K,1,FALSE),FALSE)</f>
        <v>0</v>
      </c>
      <c r="C141" t="str">
        <f t="shared" si="2"/>
        <v/>
      </c>
      <c r="D141" t="s">
        <v>576</v>
      </c>
      <c r="E141" t="s">
        <v>1804</v>
      </c>
      <c r="F141" s="1">
        <v>34885</v>
      </c>
      <c r="G141" t="s">
        <v>1174</v>
      </c>
      <c r="H141" t="s">
        <v>1795</v>
      </c>
      <c r="I141">
        <v>140</v>
      </c>
      <c r="K141" t="s">
        <v>1805</v>
      </c>
      <c r="L141" t="s">
        <v>1187</v>
      </c>
      <c r="M141" t="s">
        <v>1166</v>
      </c>
      <c r="N141" t="s">
        <v>1806</v>
      </c>
      <c r="O141" t="s">
        <v>1806</v>
      </c>
      <c r="P141" t="s">
        <v>1807</v>
      </c>
      <c r="Q141" t="s">
        <v>1190</v>
      </c>
      <c r="R141" t="s">
        <v>1170</v>
      </c>
      <c r="S141">
        <v>200</v>
      </c>
      <c r="T141" t="s">
        <v>1182</v>
      </c>
      <c r="U141" t="s">
        <v>1172</v>
      </c>
      <c r="V141" t="s">
        <v>1173</v>
      </c>
      <c r="W141" s="1">
        <v>37261</v>
      </c>
    </row>
    <row r="142" spans="1:24">
      <c r="A142" t="str">
        <f>_xlfn.IFNA(VLOOKUP(D142,Spelerslijst!A:B,1,FALSE),FALSE)</f>
        <v>NKR09G7</v>
      </c>
      <c r="B142" t="b">
        <f>_xlfn.IFNA(VLOOKUP(D142,Spelerslijst!J:K,1,FALSE),FALSE)</f>
        <v>0</v>
      </c>
      <c r="C142" t="str">
        <f t="shared" si="2"/>
        <v/>
      </c>
      <c r="D142" t="s">
        <v>570</v>
      </c>
      <c r="E142" t="s">
        <v>1808</v>
      </c>
      <c r="F142" s="1">
        <v>37801</v>
      </c>
      <c r="G142" t="s">
        <v>1174</v>
      </c>
      <c r="H142" t="s">
        <v>1795</v>
      </c>
      <c r="I142">
        <v>140</v>
      </c>
      <c r="K142" t="s">
        <v>1805</v>
      </c>
      <c r="L142" t="s">
        <v>1187</v>
      </c>
      <c r="M142" t="s">
        <v>1166</v>
      </c>
      <c r="N142" t="s">
        <v>1809</v>
      </c>
      <c r="O142" t="s">
        <v>1806</v>
      </c>
      <c r="P142" t="s">
        <v>1810</v>
      </c>
      <c r="Q142" t="s">
        <v>1190</v>
      </c>
      <c r="R142" t="s">
        <v>1170</v>
      </c>
      <c r="S142">
        <v>210</v>
      </c>
      <c r="T142" t="s">
        <v>1182</v>
      </c>
      <c r="U142" t="s">
        <v>1172</v>
      </c>
      <c r="V142" t="s">
        <v>1194</v>
      </c>
      <c r="W142" s="1">
        <v>40422</v>
      </c>
    </row>
    <row r="143" spans="1:24">
      <c r="A143" t="str">
        <f>_xlfn.IFNA(VLOOKUP(D143,Spelerslijst!A:B,1,FALSE),FALSE)</f>
        <v>NKR57P9</v>
      </c>
      <c r="B143" t="b">
        <f>_xlfn.IFNA(VLOOKUP(D143,Spelerslijst!J:K,1,FALSE),FALSE)</f>
        <v>0</v>
      </c>
      <c r="C143" t="str">
        <f t="shared" si="2"/>
        <v/>
      </c>
      <c r="D143" t="s">
        <v>842</v>
      </c>
      <c r="E143" t="s">
        <v>1811</v>
      </c>
      <c r="F143" s="1">
        <v>37868</v>
      </c>
      <c r="G143" t="s">
        <v>1174</v>
      </c>
      <c r="H143" t="s">
        <v>1795</v>
      </c>
      <c r="I143">
        <v>201</v>
      </c>
      <c r="K143" t="s">
        <v>1812</v>
      </c>
      <c r="L143" t="s">
        <v>1187</v>
      </c>
      <c r="M143" t="s">
        <v>1166</v>
      </c>
      <c r="N143" t="s">
        <v>1813</v>
      </c>
      <c r="O143" t="s">
        <v>1814</v>
      </c>
      <c r="P143" t="s">
        <v>1815</v>
      </c>
      <c r="Q143" t="s">
        <v>1169</v>
      </c>
      <c r="R143" t="s">
        <v>1170</v>
      </c>
      <c r="S143">
        <v>210</v>
      </c>
      <c r="T143" t="s">
        <v>1182</v>
      </c>
      <c r="U143" t="s">
        <v>1172</v>
      </c>
      <c r="V143" t="s">
        <v>1194</v>
      </c>
      <c r="W143" s="1">
        <v>40422</v>
      </c>
      <c r="X143" s="1">
        <v>44377</v>
      </c>
    </row>
    <row r="144" spans="1:24">
      <c r="A144" t="b">
        <f>_xlfn.IFNA(VLOOKUP(D144,Spelerslijst!A:B,1,FALSE),FALSE)</f>
        <v>0</v>
      </c>
      <c r="B144" t="str">
        <f>_xlfn.IFNA(VLOOKUP(D144,Spelerslijst!J:K,1,FALSE),FALSE)</f>
        <v>NLJ47N9</v>
      </c>
      <c r="C144" t="str">
        <f t="shared" si="2"/>
        <v/>
      </c>
      <c r="D144" t="s">
        <v>241</v>
      </c>
      <c r="E144" t="s">
        <v>1816</v>
      </c>
      <c r="F144" s="1">
        <v>38519</v>
      </c>
      <c r="G144" t="s">
        <v>1162</v>
      </c>
      <c r="H144" t="s">
        <v>1795</v>
      </c>
      <c r="I144">
        <v>292</v>
      </c>
      <c r="K144" t="s">
        <v>1817</v>
      </c>
      <c r="L144" t="s">
        <v>1187</v>
      </c>
      <c r="M144" t="s">
        <v>1166</v>
      </c>
      <c r="N144" t="s">
        <v>1818</v>
      </c>
      <c r="O144" t="s">
        <v>1819</v>
      </c>
      <c r="P144" t="s">
        <v>1820</v>
      </c>
      <c r="Q144" t="s">
        <v>1190</v>
      </c>
      <c r="R144" t="s">
        <v>1170</v>
      </c>
      <c r="S144">
        <v>220</v>
      </c>
      <c r="T144" t="s">
        <v>1182</v>
      </c>
      <c r="U144" t="s">
        <v>1172</v>
      </c>
      <c r="V144" t="s">
        <v>1207</v>
      </c>
      <c r="W144" s="1">
        <v>41640</v>
      </c>
    </row>
    <row r="145" spans="1:24">
      <c r="A145" t="b">
        <f>_xlfn.IFNA(VLOOKUP(D145,Spelerslijst!A:B,1,FALSE),FALSE)</f>
        <v>0</v>
      </c>
      <c r="B145" t="str">
        <f>_xlfn.IFNA(VLOOKUP(D145,Spelerslijst!J:K,1,FALSE),FALSE)</f>
        <v>NLY32T6</v>
      </c>
      <c r="C145" t="str">
        <f t="shared" si="2"/>
        <v/>
      </c>
      <c r="D145" t="s">
        <v>482</v>
      </c>
      <c r="E145" t="s">
        <v>1821</v>
      </c>
      <c r="F145" s="1">
        <v>40413</v>
      </c>
      <c r="G145" t="s">
        <v>1162</v>
      </c>
      <c r="H145" t="s">
        <v>1822</v>
      </c>
      <c r="I145">
        <v>47</v>
      </c>
      <c r="K145" t="s">
        <v>1823</v>
      </c>
      <c r="L145" t="s">
        <v>1187</v>
      </c>
      <c r="M145" t="s">
        <v>1166</v>
      </c>
      <c r="N145" t="s">
        <v>1824</v>
      </c>
      <c r="P145" t="s">
        <v>1825</v>
      </c>
      <c r="Q145" t="s">
        <v>1190</v>
      </c>
      <c r="R145" t="s">
        <v>1170</v>
      </c>
      <c r="S145">
        <v>230</v>
      </c>
      <c r="T145" t="s">
        <v>1182</v>
      </c>
      <c r="U145" t="s">
        <v>1172</v>
      </c>
      <c r="V145" t="s">
        <v>1213</v>
      </c>
      <c r="W145" s="1">
        <v>42991</v>
      </c>
    </row>
    <row r="146" spans="1:24">
      <c r="A146" t="b">
        <f>_xlfn.IFNA(VLOOKUP(D146,Spelerslijst!A:B,1,FALSE),FALSE)</f>
        <v>0</v>
      </c>
      <c r="B146" t="str">
        <f>_xlfn.IFNA(VLOOKUP(D146,Spelerslijst!J:K,1,FALSE),FALSE)</f>
        <v>NLZ21F1</v>
      </c>
      <c r="C146" t="str">
        <f t="shared" si="2"/>
        <v/>
      </c>
      <c r="D146" t="s">
        <v>566</v>
      </c>
      <c r="E146" t="s">
        <v>1826</v>
      </c>
      <c r="F146" s="1">
        <v>41668</v>
      </c>
      <c r="G146" t="s">
        <v>1162</v>
      </c>
      <c r="H146" t="s">
        <v>1822</v>
      </c>
      <c r="I146">
        <v>47</v>
      </c>
      <c r="K146" t="s">
        <v>1823</v>
      </c>
      <c r="L146" t="s">
        <v>1187</v>
      </c>
      <c r="M146" t="s">
        <v>1166</v>
      </c>
      <c r="N146" t="s">
        <v>1824</v>
      </c>
      <c r="P146" t="s">
        <v>1825</v>
      </c>
      <c r="Q146" t="s">
        <v>1190</v>
      </c>
      <c r="R146" t="s">
        <v>1170</v>
      </c>
      <c r="S146">
        <v>230</v>
      </c>
      <c r="T146" t="s">
        <v>1182</v>
      </c>
      <c r="U146" t="s">
        <v>1172</v>
      </c>
      <c r="V146" t="s">
        <v>1213</v>
      </c>
      <c r="W146" s="1">
        <v>43055</v>
      </c>
    </row>
    <row r="147" spans="1:24">
      <c r="A147" t="str">
        <f>_xlfn.IFNA(VLOOKUP(D147,Spelerslijst!A:B,1,FALSE),FALSE)</f>
        <v>NLL19T4</v>
      </c>
      <c r="B147" t="b">
        <f>_xlfn.IFNA(VLOOKUP(D147,Spelerslijst!J:K,1,FALSE),FALSE)</f>
        <v>0</v>
      </c>
      <c r="C147" t="str">
        <f t="shared" si="2"/>
        <v/>
      </c>
      <c r="D147" t="s">
        <v>1003</v>
      </c>
      <c r="E147" t="s">
        <v>1827</v>
      </c>
      <c r="F147" s="1">
        <v>39433</v>
      </c>
      <c r="G147" t="s">
        <v>1174</v>
      </c>
      <c r="H147" t="s">
        <v>1822</v>
      </c>
      <c r="I147">
        <v>93</v>
      </c>
      <c r="K147" t="s">
        <v>1828</v>
      </c>
      <c r="L147" t="s">
        <v>1187</v>
      </c>
      <c r="M147" t="s">
        <v>1166</v>
      </c>
      <c r="N147" t="s">
        <v>1829</v>
      </c>
      <c r="O147" t="s">
        <v>1830</v>
      </c>
      <c r="P147" t="s">
        <v>1831</v>
      </c>
      <c r="Q147" t="s">
        <v>1190</v>
      </c>
      <c r="R147" t="s">
        <v>1170</v>
      </c>
      <c r="S147">
        <v>220</v>
      </c>
      <c r="T147" t="s">
        <v>1182</v>
      </c>
      <c r="U147" t="s">
        <v>1172</v>
      </c>
      <c r="V147" t="s">
        <v>1207</v>
      </c>
      <c r="W147" s="1">
        <v>41883</v>
      </c>
    </row>
    <row r="148" spans="1:24">
      <c r="A148" t="b">
        <f>_xlfn.IFNA(VLOOKUP(D148,Spelerslijst!A:B,1,FALSE),FALSE)</f>
        <v>0</v>
      </c>
      <c r="B148" t="str">
        <f>_xlfn.IFNA(VLOOKUP(D148,Spelerslijst!J:K,1,FALSE),FALSE)</f>
        <v>NFS90V6</v>
      </c>
      <c r="C148" t="str">
        <f t="shared" si="2"/>
        <v/>
      </c>
      <c r="D148" t="s">
        <v>845</v>
      </c>
      <c r="E148" t="s">
        <v>1832</v>
      </c>
      <c r="F148" s="1">
        <v>29031</v>
      </c>
      <c r="G148" t="s">
        <v>1162</v>
      </c>
      <c r="H148" t="s">
        <v>1822</v>
      </c>
      <c r="I148">
        <v>93</v>
      </c>
      <c r="K148" t="s">
        <v>1828</v>
      </c>
      <c r="L148" t="s">
        <v>1187</v>
      </c>
      <c r="M148" t="s">
        <v>1166</v>
      </c>
      <c r="N148" t="s">
        <v>1833</v>
      </c>
      <c r="O148" t="s">
        <v>1830</v>
      </c>
      <c r="P148" t="s">
        <v>1831</v>
      </c>
      <c r="Q148" t="s">
        <v>1190</v>
      </c>
      <c r="R148" t="s">
        <v>1170</v>
      </c>
      <c r="S148">
        <v>200</v>
      </c>
      <c r="T148" t="s">
        <v>1182</v>
      </c>
      <c r="U148" t="s">
        <v>1172</v>
      </c>
      <c r="V148" t="s">
        <v>1173</v>
      </c>
      <c r="W148" s="1">
        <v>43279</v>
      </c>
    </row>
    <row r="149" spans="1:24">
      <c r="A149" t="b">
        <f>_xlfn.IFNA(VLOOKUP(D149,Spelerslijst!A:B,1,FALSE),FALSE)</f>
        <v>0</v>
      </c>
      <c r="B149" t="str">
        <f>_xlfn.IFNA(VLOOKUP(D149,Spelerslijst!J:K,1,FALSE),FALSE)</f>
        <v>NMJ57G2</v>
      </c>
      <c r="C149" t="str">
        <f t="shared" si="2"/>
        <v/>
      </c>
      <c r="D149" t="s">
        <v>610</v>
      </c>
      <c r="E149" t="s">
        <v>1834</v>
      </c>
      <c r="F149" s="1">
        <v>41801</v>
      </c>
      <c r="G149" t="s">
        <v>1162</v>
      </c>
      <c r="H149" t="s">
        <v>1822</v>
      </c>
      <c r="I149">
        <v>93</v>
      </c>
      <c r="K149" t="s">
        <v>1828</v>
      </c>
      <c r="L149" t="s">
        <v>1187</v>
      </c>
      <c r="M149" t="s">
        <v>1166</v>
      </c>
      <c r="N149" t="s">
        <v>1833</v>
      </c>
      <c r="P149" t="s">
        <v>1835</v>
      </c>
      <c r="Q149" t="s">
        <v>1190</v>
      </c>
      <c r="R149" t="s">
        <v>1170</v>
      </c>
      <c r="S149">
        <v>230</v>
      </c>
      <c r="T149" t="s">
        <v>1182</v>
      </c>
      <c r="U149" t="s">
        <v>1172</v>
      </c>
      <c r="V149" t="s">
        <v>1213</v>
      </c>
      <c r="W149" s="1">
        <v>43896</v>
      </c>
    </row>
    <row r="150" spans="1:24">
      <c r="A150" t="b">
        <f>_xlfn.IFNA(VLOOKUP(D150,Spelerslijst!A:B,1,FALSE),FALSE)</f>
        <v>0</v>
      </c>
      <c r="B150" t="str">
        <f>_xlfn.IFNA(VLOOKUP(D150,Spelerslijst!J:K,1,FALSE),FALSE)</f>
        <v>NKX66T5</v>
      </c>
      <c r="C150" t="str">
        <f t="shared" si="2"/>
        <v/>
      </c>
      <c r="D150" t="s">
        <v>235</v>
      </c>
      <c r="E150" t="s">
        <v>1836</v>
      </c>
      <c r="F150" s="1">
        <v>38502</v>
      </c>
      <c r="G150" t="s">
        <v>1162</v>
      </c>
      <c r="H150" t="s">
        <v>1822</v>
      </c>
      <c r="I150">
        <v>190</v>
      </c>
      <c r="K150" t="s">
        <v>1837</v>
      </c>
      <c r="L150" t="s">
        <v>1187</v>
      </c>
      <c r="M150" t="s">
        <v>1166</v>
      </c>
      <c r="N150" t="s">
        <v>1838</v>
      </c>
      <c r="O150" t="s">
        <v>1839</v>
      </c>
      <c r="P150" t="s">
        <v>1840</v>
      </c>
      <c r="Q150" t="s">
        <v>1190</v>
      </c>
      <c r="R150" t="s">
        <v>1170</v>
      </c>
      <c r="S150">
        <v>220</v>
      </c>
      <c r="T150" t="s">
        <v>1182</v>
      </c>
      <c r="U150" t="s">
        <v>1172</v>
      </c>
      <c r="V150" t="s">
        <v>1207</v>
      </c>
      <c r="W150" s="1">
        <v>41883</v>
      </c>
    </row>
    <row r="151" spans="1:24">
      <c r="A151" t="str">
        <f>_xlfn.IFNA(VLOOKUP(D151,Spelerslijst!A:B,1,FALSE),FALSE)</f>
        <v>NLB70Z9</v>
      </c>
      <c r="B151" t="b">
        <f>_xlfn.IFNA(VLOOKUP(D151,Spelerslijst!J:K,1,FALSE),FALSE)</f>
        <v>0</v>
      </c>
      <c r="C151" t="str">
        <f t="shared" si="2"/>
        <v/>
      </c>
      <c r="D151" t="s">
        <v>619</v>
      </c>
      <c r="E151" t="s">
        <v>1841</v>
      </c>
      <c r="F151" s="1">
        <v>38267</v>
      </c>
      <c r="G151" t="s">
        <v>1174</v>
      </c>
      <c r="H151" t="s">
        <v>1822</v>
      </c>
      <c r="I151">
        <v>196</v>
      </c>
      <c r="K151" t="s">
        <v>1837</v>
      </c>
      <c r="L151" t="s">
        <v>1187</v>
      </c>
      <c r="M151" t="s">
        <v>1166</v>
      </c>
      <c r="N151" t="s">
        <v>1842</v>
      </c>
      <c r="O151" t="s">
        <v>1843</v>
      </c>
      <c r="P151" t="s">
        <v>1844</v>
      </c>
      <c r="Q151" t="s">
        <v>1190</v>
      </c>
      <c r="R151" t="s">
        <v>1170</v>
      </c>
      <c r="S151">
        <v>210</v>
      </c>
      <c r="T151" t="s">
        <v>1182</v>
      </c>
      <c r="U151" t="s">
        <v>1172</v>
      </c>
      <c r="V151" t="s">
        <v>1194</v>
      </c>
      <c r="W151" s="1">
        <v>41153</v>
      </c>
    </row>
    <row r="152" spans="1:24">
      <c r="A152" t="b">
        <f>_xlfn.IFNA(VLOOKUP(D152,Spelerslijst!A:B,1,FALSE),FALSE)</f>
        <v>0</v>
      </c>
      <c r="B152" t="str">
        <f>_xlfn.IFNA(VLOOKUP(D152,Spelerslijst!J:K,1,FALSE),FALSE)</f>
        <v>NFW15F3</v>
      </c>
      <c r="C152" t="str">
        <f t="shared" si="2"/>
        <v/>
      </c>
      <c r="D152" t="s">
        <v>175</v>
      </c>
      <c r="E152" t="s">
        <v>1845</v>
      </c>
      <c r="F152" s="1">
        <v>24003</v>
      </c>
      <c r="G152" t="s">
        <v>1162</v>
      </c>
      <c r="H152" t="s">
        <v>1846</v>
      </c>
      <c r="I152">
        <v>127</v>
      </c>
      <c r="K152" t="s">
        <v>1847</v>
      </c>
      <c r="L152" t="s">
        <v>1187</v>
      </c>
      <c r="M152" t="s">
        <v>1166</v>
      </c>
      <c r="N152" t="s">
        <v>1848</v>
      </c>
      <c r="O152" t="s">
        <v>1848</v>
      </c>
      <c r="P152" t="s">
        <v>1849</v>
      </c>
      <c r="Q152" t="s">
        <v>1190</v>
      </c>
      <c r="R152" t="s">
        <v>1170</v>
      </c>
      <c r="S152">
        <v>202</v>
      </c>
      <c r="T152" t="s">
        <v>1171</v>
      </c>
      <c r="U152" t="s">
        <v>1172</v>
      </c>
      <c r="V152" t="s">
        <v>1173</v>
      </c>
      <c r="W152" s="1">
        <v>27546</v>
      </c>
    </row>
    <row r="153" spans="1:24">
      <c r="A153" t="str">
        <f>_xlfn.IFNA(VLOOKUP(D153,Spelerslijst!A:B,1,FALSE),FALSE)</f>
        <v>NLB70T7</v>
      </c>
      <c r="B153" t="b">
        <f>_xlfn.IFNA(VLOOKUP(D153,Spelerslijst!J:K,1,FALSE),FALSE)</f>
        <v>0</v>
      </c>
      <c r="C153" t="str">
        <f t="shared" si="2"/>
        <v/>
      </c>
      <c r="D153" t="s">
        <v>142</v>
      </c>
      <c r="E153" t="s">
        <v>1850</v>
      </c>
      <c r="F153" s="1">
        <v>38480</v>
      </c>
      <c r="G153" t="s">
        <v>1174</v>
      </c>
      <c r="H153" t="s">
        <v>1851</v>
      </c>
      <c r="I153">
        <v>44</v>
      </c>
      <c r="K153" t="s">
        <v>1852</v>
      </c>
      <c r="L153" t="s">
        <v>1187</v>
      </c>
      <c r="M153" t="s">
        <v>1166</v>
      </c>
      <c r="N153" t="s">
        <v>1853</v>
      </c>
      <c r="O153" t="s">
        <v>1854</v>
      </c>
      <c r="P153" t="s">
        <v>1855</v>
      </c>
      <c r="Q153" t="s">
        <v>1190</v>
      </c>
      <c r="R153" t="s">
        <v>1170</v>
      </c>
      <c r="S153">
        <v>220</v>
      </c>
      <c r="T153" t="s">
        <v>1182</v>
      </c>
      <c r="U153" t="s">
        <v>1172</v>
      </c>
      <c r="V153" t="s">
        <v>1207</v>
      </c>
      <c r="W153" s="1">
        <v>41061</v>
      </c>
    </row>
    <row r="154" spans="1:24">
      <c r="A154" t="b">
        <f>_xlfn.IFNA(VLOOKUP(D154,Spelerslijst!A:B,1,FALSE),FALSE)</f>
        <v>0</v>
      </c>
      <c r="B154" t="str">
        <f>_xlfn.IFNA(VLOOKUP(D154,Spelerslijst!J:K,1,FALSE),FALSE)</f>
        <v>NLC07T4</v>
      </c>
      <c r="C154" t="str">
        <f t="shared" si="2"/>
        <v/>
      </c>
      <c r="D154" t="s">
        <v>258</v>
      </c>
      <c r="E154" t="s">
        <v>1856</v>
      </c>
      <c r="F154" s="1">
        <v>38346</v>
      </c>
      <c r="G154" t="s">
        <v>1162</v>
      </c>
      <c r="H154" t="s">
        <v>1851</v>
      </c>
      <c r="I154">
        <v>84</v>
      </c>
      <c r="K154" t="s">
        <v>1857</v>
      </c>
      <c r="L154" t="s">
        <v>1187</v>
      </c>
      <c r="M154" t="s">
        <v>1166</v>
      </c>
      <c r="N154" t="s">
        <v>1858</v>
      </c>
      <c r="O154" t="s">
        <v>1859</v>
      </c>
      <c r="P154" t="s">
        <v>1860</v>
      </c>
      <c r="Q154" t="s">
        <v>1190</v>
      </c>
      <c r="R154" t="s">
        <v>1170</v>
      </c>
      <c r="S154">
        <v>210</v>
      </c>
      <c r="T154" t="s">
        <v>1182</v>
      </c>
      <c r="U154" t="s">
        <v>1172</v>
      </c>
      <c r="V154" t="s">
        <v>1194</v>
      </c>
      <c r="W154" s="1">
        <v>41153</v>
      </c>
    </row>
    <row r="155" spans="1:24">
      <c r="A155" t="str">
        <f>_xlfn.IFNA(VLOOKUP(D155,Spelerslijst!A:B,1,FALSE),FALSE)</f>
        <v>NLC07S7</v>
      </c>
      <c r="B155" t="b">
        <f>_xlfn.IFNA(VLOOKUP(D155,Spelerslijst!J:K,1,FALSE),FALSE)</f>
        <v>0</v>
      </c>
      <c r="C155" t="str">
        <f t="shared" si="2"/>
        <v/>
      </c>
      <c r="D155" t="s">
        <v>377</v>
      </c>
      <c r="E155" t="s">
        <v>1861</v>
      </c>
      <c r="F155" s="1">
        <v>39589</v>
      </c>
      <c r="G155" t="s">
        <v>1174</v>
      </c>
      <c r="H155" t="s">
        <v>1851</v>
      </c>
      <c r="I155">
        <v>84</v>
      </c>
      <c r="K155" t="s">
        <v>1857</v>
      </c>
      <c r="L155" t="s">
        <v>1187</v>
      </c>
      <c r="M155" t="s">
        <v>1166</v>
      </c>
      <c r="N155" t="s">
        <v>1858</v>
      </c>
      <c r="O155" t="s">
        <v>1859</v>
      </c>
      <c r="P155" t="s">
        <v>1862</v>
      </c>
      <c r="Q155" t="s">
        <v>1190</v>
      </c>
      <c r="R155" t="s">
        <v>1170</v>
      </c>
      <c r="S155">
        <v>220</v>
      </c>
      <c r="T155" t="s">
        <v>1182</v>
      </c>
      <c r="U155" t="s">
        <v>1172</v>
      </c>
      <c r="V155" t="s">
        <v>1207</v>
      </c>
      <c r="W155" s="1">
        <v>42248</v>
      </c>
    </row>
    <row r="156" spans="1:24">
      <c r="A156" t="b">
        <f>_xlfn.IFNA(VLOOKUP(D156,Spelerslijst!A:B,1,FALSE),FALSE)</f>
        <v>0</v>
      </c>
      <c r="B156" t="str">
        <f>_xlfn.IFNA(VLOOKUP(D156,Spelerslijst!J:K,1,FALSE),FALSE)</f>
        <v>NMJ03L0</v>
      </c>
      <c r="C156" t="str">
        <f t="shared" si="2"/>
        <v/>
      </c>
      <c r="D156" t="s">
        <v>599</v>
      </c>
      <c r="E156" t="s">
        <v>1863</v>
      </c>
      <c r="F156" s="1">
        <v>41832</v>
      </c>
      <c r="G156" t="s">
        <v>1162</v>
      </c>
      <c r="H156" t="s">
        <v>1851</v>
      </c>
      <c r="I156">
        <v>84</v>
      </c>
      <c r="K156" t="s">
        <v>1857</v>
      </c>
      <c r="L156" t="s">
        <v>1187</v>
      </c>
      <c r="M156" t="s">
        <v>1166</v>
      </c>
      <c r="N156" t="s">
        <v>1858</v>
      </c>
      <c r="O156" t="s">
        <v>1859</v>
      </c>
      <c r="P156" t="s">
        <v>1862</v>
      </c>
      <c r="Q156" t="s">
        <v>1190</v>
      </c>
      <c r="R156" t="s">
        <v>1170</v>
      </c>
      <c r="S156">
        <v>230</v>
      </c>
      <c r="T156" t="s">
        <v>1182</v>
      </c>
      <c r="U156" t="s">
        <v>1172</v>
      </c>
      <c r="V156" t="s">
        <v>1213</v>
      </c>
      <c r="W156" s="1">
        <v>43811</v>
      </c>
    </row>
    <row r="157" spans="1:24">
      <c r="A157" t="b">
        <f>_xlfn.IFNA(VLOOKUP(D157,Spelerslijst!A:B,1,FALSE),FALSE)</f>
        <v>0</v>
      </c>
      <c r="B157" t="str">
        <f>_xlfn.IFNA(VLOOKUP(D157,Spelerslijst!J:K,1,FALSE),FALSE)</f>
        <v>NLX08F0</v>
      </c>
      <c r="C157" t="str">
        <f t="shared" si="2"/>
        <v/>
      </c>
      <c r="D157" t="s">
        <v>864</v>
      </c>
      <c r="E157" t="s">
        <v>1864</v>
      </c>
      <c r="F157" s="1">
        <v>40291</v>
      </c>
      <c r="G157" t="s">
        <v>1162</v>
      </c>
      <c r="H157" t="s">
        <v>1851</v>
      </c>
      <c r="I157">
        <v>272</v>
      </c>
      <c r="K157" t="s">
        <v>1865</v>
      </c>
      <c r="L157" t="s">
        <v>1187</v>
      </c>
      <c r="M157" t="s">
        <v>1166</v>
      </c>
      <c r="N157" t="s">
        <v>1866</v>
      </c>
      <c r="O157" t="s">
        <v>1867</v>
      </c>
      <c r="P157" t="s">
        <v>1868</v>
      </c>
      <c r="Q157" t="s">
        <v>1169</v>
      </c>
      <c r="R157" t="s">
        <v>1170</v>
      </c>
      <c r="S157">
        <v>230</v>
      </c>
      <c r="T157" t="s">
        <v>1182</v>
      </c>
      <c r="U157" t="s">
        <v>1172</v>
      </c>
      <c r="V157" t="s">
        <v>1213</v>
      </c>
      <c r="W157" s="1">
        <v>42879</v>
      </c>
      <c r="X157" s="1">
        <v>44377</v>
      </c>
    </row>
    <row r="158" spans="1:24">
      <c r="A158" t="str">
        <f>_xlfn.IFNA(VLOOKUP(D158,Spelerslijst!A:B,1,FALSE),FALSE)</f>
        <v>NMH07D4</v>
      </c>
      <c r="B158" t="b">
        <f>_xlfn.IFNA(VLOOKUP(D158,Spelerslijst!J:K,1,FALSE),FALSE)</f>
        <v>0</v>
      </c>
      <c r="C158" t="str">
        <f t="shared" si="2"/>
        <v/>
      </c>
      <c r="D158" t="s">
        <v>973</v>
      </c>
      <c r="E158" t="s">
        <v>1869</v>
      </c>
      <c r="F158" s="1">
        <v>41692</v>
      </c>
      <c r="G158" t="s">
        <v>1174</v>
      </c>
      <c r="H158" t="s">
        <v>1870</v>
      </c>
      <c r="I158">
        <v>231</v>
      </c>
      <c r="K158" t="s">
        <v>1871</v>
      </c>
      <c r="L158" t="s">
        <v>1187</v>
      </c>
      <c r="M158" t="s">
        <v>1166</v>
      </c>
      <c r="N158" t="s">
        <v>1872</v>
      </c>
      <c r="P158" t="s">
        <v>1873</v>
      </c>
      <c r="Q158" t="s">
        <v>1190</v>
      </c>
      <c r="R158" t="s">
        <v>1170</v>
      </c>
      <c r="S158">
        <v>240</v>
      </c>
      <c r="T158" t="s">
        <v>1182</v>
      </c>
      <c r="U158" t="s">
        <v>1172</v>
      </c>
      <c r="V158" t="s">
        <v>1213</v>
      </c>
      <c r="W158" s="1">
        <v>43727</v>
      </c>
    </row>
    <row r="159" spans="1:24">
      <c r="A159" t="str">
        <f>_xlfn.IFNA(VLOOKUP(D159,Spelerslijst!A:B,1,FALSE),FALSE)</f>
        <v>NML06D5</v>
      </c>
      <c r="B159" t="b">
        <f>_xlfn.IFNA(VLOOKUP(D159,Spelerslijst!J:K,1,FALSE),FALSE)</f>
        <v>0</v>
      </c>
      <c r="C159" t="str">
        <f t="shared" si="2"/>
        <v/>
      </c>
      <c r="D159" t="s">
        <v>979</v>
      </c>
      <c r="E159" t="s">
        <v>1874</v>
      </c>
      <c r="F159" s="1">
        <v>40937</v>
      </c>
      <c r="G159" t="s">
        <v>1174</v>
      </c>
      <c r="H159" t="s">
        <v>1875</v>
      </c>
      <c r="I159">
        <v>35</v>
      </c>
      <c r="K159" t="s">
        <v>1876</v>
      </c>
      <c r="L159" t="s">
        <v>1187</v>
      </c>
      <c r="M159" t="s">
        <v>1166</v>
      </c>
      <c r="N159" t="s">
        <v>1877</v>
      </c>
      <c r="P159" t="s">
        <v>1878</v>
      </c>
      <c r="Q159" t="s">
        <v>1190</v>
      </c>
      <c r="R159" t="s">
        <v>1170</v>
      </c>
      <c r="S159">
        <v>230</v>
      </c>
      <c r="T159" t="s">
        <v>1182</v>
      </c>
      <c r="U159" t="s">
        <v>1172</v>
      </c>
      <c r="V159" t="s">
        <v>1213</v>
      </c>
      <c r="W159" s="1">
        <v>44102</v>
      </c>
    </row>
    <row r="160" spans="1:24">
      <c r="A160" t="b">
        <f>_xlfn.IFNA(VLOOKUP(D160,Spelerslijst!A:B,1,FALSE),FALSE)</f>
        <v>0</v>
      </c>
      <c r="B160" t="str">
        <f>_xlfn.IFNA(VLOOKUP(D160,Spelerslijst!J:K,1,FALSE),FALSE)</f>
        <v>NLL37Q7</v>
      </c>
      <c r="C160" t="str">
        <f t="shared" si="2"/>
        <v/>
      </c>
      <c r="D160" t="s">
        <v>223</v>
      </c>
      <c r="E160" t="s">
        <v>1879</v>
      </c>
      <c r="F160" s="1">
        <v>38010</v>
      </c>
      <c r="G160" t="s">
        <v>1162</v>
      </c>
      <c r="H160" t="s">
        <v>1880</v>
      </c>
      <c r="I160">
        <v>25</v>
      </c>
      <c r="K160" t="s">
        <v>1881</v>
      </c>
      <c r="L160" t="s">
        <v>1187</v>
      </c>
      <c r="M160" t="s">
        <v>1166</v>
      </c>
      <c r="N160" t="s">
        <v>1882</v>
      </c>
      <c r="P160" t="s">
        <v>1883</v>
      </c>
      <c r="Q160" t="s">
        <v>1190</v>
      </c>
      <c r="R160" t="s">
        <v>1170</v>
      </c>
      <c r="S160">
        <v>210</v>
      </c>
      <c r="T160" t="s">
        <v>1182</v>
      </c>
      <c r="U160" t="s">
        <v>1172</v>
      </c>
      <c r="V160" t="s">
        <v>1194</v>
      </c>
      <c r="W160" s="1">
        <v>41883</v>
      </c>
    </row>
    <row r="161" spans="1:24">
      <c r="A161" t="str">
        <f>_xlfn.IFNA(VLOOKUP(D161,Spelerslijst!A:B,1,FALSE),FALSE)</f>
        <v>NLP78K2</v>
      </c>
      <c r="B161" t="b">
        <f>_xlfn.IFNA(VLOOKUP(D161,Spelerslijst!J:K,1,FALSE),FALSE)</f>
        <v>0</v>
      </c>
      <c r="C161" t="str">
        <f t="shared" si="2"/>
        <v/>
      </c>
      <c r="D161" t="s">
        <v>867</v>
      </c>
      <c r="E161" t="s">
        <v>1884</v>
      </c>
      <c r="F161" s="1">
        <v>38929</v>
      </c>
      <c r="G161" t="s">
        <v>1174</v>
      </c>
      <c r="H161" t="s">
        <v>1880</v>
      </c>
      <c r="I161">
        <v>25</v>
      </c>
      <c r="K161" t="s">
        <v>1881</v>
      </c>
      <c r="L161" t="s">
        <v>1187</v>
      </c>
      <c r="M161" t="s">
        <v>1166</v>
      </c>
      <c r="N161" t="s">
        <v>1882</v>
      </c>
      <c r="P161" t="s">
        <v>1885</v>
      </c>
      <c r="Q161" t="s">
        <v>1169</v>
      </c>
      <c r="R161" t="s">
        <v>1170</v>
      </c>
      <c r="S161">
        <v>220</v>
      </c>
      <c r="T161" t="s">
        <v>1182</v>
      </c>
      <c r="U161" t="s">
        <v>1172</v>
      </c>
      <c r="V161" t="s">
        <v>1207</v>
      </c>
      <c r="W161" s="1">
        <v>42248</v>
      </c>
      <c r="X161" s="1">
        <v>44377</v>
      </c>
    </row>
    <row r="162" spans="1:24">
      <c r="A162" t="str">
        <f>_xlfn.IFNA(VLOOKUP(D162,Spelerslijst!A:B,1,FALSE),FALSE)</f>
        <v>NMM85D3</v>
      </c>
      <c r="B162" t="b">
        <f>_xlfn.IFNA(VLOOKUP(D162,Spelerslijst!J:K,1,FALSE),FALSE)</f>
        <v>0</v>
      </c>
      <c r="C162" t="str">
        <f t="shared" si="2"/>
        <v/>
      </c>
      <c r="D162" t="s">
        <v>238</v>
      </c>
      <c r="E162" t="s">
        <v>1886</v>
      </c>
      <c r="F162" s="1">
        <v>42943</v>
      </c>
      <c r="G162" t="s">
        <v>1174</v>
      </c>
      <c r="H162" t="s">
        <v>1880</v>
      </c>
      <c r="I162">
        <v>109</v>
      </c>
      <c r="K162" t="s">
        <v>1887</v>
      </c>
      <c r="L162" t="s">
        <v>1187</v>
      </c>
      <c r="M162" t="s">
        <v>1166</v>
      </c>
      <c r="N162" t="s">
        <v>1888</v>
      </c>
      <c r="P162" t="s">
        <v>1889</v>
      </c>
      <c r="Q162" t="s">
        <v>1190</v>
      </c>
      <c r="R162" t="s">
        <v>1181</v>
      </c>
      <c r="S162">
        <v>240</v>
      </c>
      <c r="T162" t="s">
        <v>1182</v>
      </c>
      <c r="U162" t="s">
        <v>1172</v>
      </c>
      <c r="V162" t="s">
        <v>1183</v>
      </c>
      <c r="W162" s="1">
        <v>44358</v>
      </c>
    </row>
    <row r="163" spans="1:24">
      <c r="A163" t="str">
        <f>_xlfn.IFNA(VLOOKUP(D163,Spelerslijst!A:B,1,FALSE),FALSE)</f>
        <v>NMM85F7</v>
      </c>
      <c r="B163" t="b">
        <f>_xlfn.IFNA(VLOOKUP(D163,Spelerslijst!J:K,1,FALSE),FALSE)</f>
        <v>0</v>
      </c>
      <c r="C163" t="str">
        <f t="shared" si="2"/>
        <v/>
      </c>
      <c r="D163" t="s">
        <v>226</v>
      </c>
      <c r="E163" t="s">
        <v>1890</v>
      </c>
      <c r="F163" s="1">
        <v>41574</v>
      </c>
      <c r="G163" t="s">
        <v>1174</v>
      </c>
      <c r="H163" t="s">
        <v>1880</v>
      </c>
      <c r="I163">
        <v>109</v>
      </c>
      <c r="K163" t="s">
        <v>1887</v>
      </c>
      <c r="L163" t="s">
        <v>1187</v>
      </c>
      <c r="M163" t="s">
        <v>1166</v>
      </c>
      <c r="N163" t="s">
        <v>1888</v>
      </c>
      <c r="P163" t="s">
        <v>1889</v>
      </c>
      <c r="Q163" t="s">
        <v>1190</v>
      </c>
      <c r="R163" t="s">
        <v>1170</v>
      </c>
      <c r="S163">
        <v>230</v>
      </c>
      <c r="T163" t="s">
        <v>1182</v>
      </c>
      <c r="U163" t="s">
        <v>1172</v>
      </c>
      <c r="V163" t="s">
        <v>1213</v>
      </c>
      <c r="W163" s="1">
        <v>44358</v>
      </c>
    </row>
    <row r="164" spans="1:24">
      <c r="A164" t="b">
        <f>_xlfn.IFNA(VLOOKUP(D164,Spelerslijst!A:B,1,FALSE),FALSE)</f>
        <v>0</v>
      </c>
      <c r="B164" t="str">
        <f>_xlfn.IFNA(VLOOKUP(D164,Spelerslijst!J:K,1,FALSE),FALSE)</f>
        <v>NML47D8</v>
      </c>
      <c r="C164" t="str">
        <f t="shared" si="2"/>
        <v/>
      </c>
      <c r="D164" t="s">
        <v>556</v>
      </c>
      <c r="E164" t="s">
        <v>1891</v>
      </c>
      <c r="F164" s="1">
        <v>40957</v>
      </c>
      <c r="G164" t="s">
        <v>1162</v>
      </c>
      <c r="H164" t="s">
        <v>1880</v>
      </c>
      <c r="I164">
        <v>151</v>
      </c>
      <c r="K164" t="s">
        <v>1892</v>
      </c>
      <c r="L164" t="s">
        <v>1187</v>
      </c>
      <c r="M164" t="s">
        <v>1166</v>
      </c>
      <c r="N164" t="s">
        <v>1893</v>
      </c>
      <c r="P164" t="s">
        <v>1894</v>
      </c>
      <c r="Q164" t="s">
        <v>1190</v>
      </c>
      <c r="R164" t="s">
        <v>1170</v>
      </c>
      <c r="S164">
        <v>230</v>
      </c>
      <c r="T164" t="s">
        <v>1182</v>
      </c>
      <c r="U164" t="s">
        <v>1172</v>
      </c>
      <c r="V164" t="s">
        <v>1213</v>
      </c>
      <c r="W164" s="1">
        <v>44145</v>
      </c>
    </row>
    <row r="165" spans="1:24">
      <c r="A165" t="str">
        <f>_xlfn.IFNA(VLOOKUP(D165,Spelerslijst!A:B,1,FALSE),FALSE)</f>
        <v>NLT36L7</v>
      </c>
      <c r="B165" t="b">
        <f>_xlfn.IFNA(VLOOKUP(D165,Spelerslijst!J:K,1,FALSE),FALSE)</f>
        <v>0</v>
      </c>
      <c r="C165" t="str">
        <f t="shared" si="2"/>
        <v/>
      </c>
      <c r="D165" t="s">
        <v>708</v>
      </c>
      <c r="E165" t="s">
        <v>1895</v>
      </c>
      <c r="F165" s="1">
        <v>40565</v>
      </c>
      <c r="G165" t="s">
        <v>1174</v>
      </c>
      <c r="H165" t="s">
        <v>1896</v>
      </c>
      <c r="I165">
        <v>25</v>
      </c>
      <c r="K165" t="s">
        <v>1897</v>
      </c>
      <c r="L165" t="s">
        <v>1187</v>
      </c>
      <c r="M165" t="s">
        <v>1166</v>
      </c>
      <c r="N165" t="s">
        <v>1898</v>
      </c>
      <c r="O165" t="s">
        <v>1898</v>
      </c>
      <c r="P165" t="s">
        <v>1899</v>
      </c>
      <c r="Q165" t="s">
        <v>1169</v>
      </c>
      <c r="S165">
        <v>100</v>
      </c>
      <c r="T165" t="s">
        <v>1900</v>
      </c>
      <c r="U165" t="s">
        <v>1172</v>
      </c>
      <c r="V165" t="s">
        <v>1213</v>
      </c>
      <c r="W165" s="1">
        <v>42610</v>
      </c>
      <c r="X165" s="1">
        <v>44377</v>
      </c>
    </row>
    <row r="166" spans="1:24">
      <c r="A166" t="str">
        <f>_xlfn.IFNA(VLOOKUP(D166,Spelerslijst!A:B,1,FALSE),FALSE)</f>
        <v>NLJ47P3</v>
      </c>
      <c r="B166" t="b">
        <f>_xlfn.IFNA(VLOOKUP(D166,Spelerslijst!J:K,1,FALSE),FALSE)</f>
        <v>0</v>
      </c>
      <c r="C166" t="str">
        <f t="shared" si="2"/>
        <v/>
      </c>
      <c r="D166" t="s">
        <v>389</v>
      </c>
      <c r="E166" t="s">
        <v>1901</v>
      </c>
      <c r="F166" s="1">
        <v>38900</v>
      </c>
      <c r="G166" t="s">
        <v>1174</v>
      </c>
      <c r="H166" t="s">
        <v>1896</v>
      </c>
      <c r="I166">
        <v>31</v>
      </c>
      <c r="K166" t="s">
        <v>1897</v>
      </c>
      <c r="L166" t="s">
        <v>1187</v>
      </c>
      <c r="M166" t="s">
        <v>1166</v>
      </c>
      <c r="N166" t="s">
        <v>1902</v>
      </c>
      <c r="P166" t="s">
        <v>1903</v>
      </c>
      <c r="Q166" t="s">
        <v>1190</v>
      </c>
      <c r="R166" t="s">
        <v>1170</v>
      </c>
      <c r="S166">
        <v>220</v>
      </c>
      <c r="T166" t="s">
        <v>1182</v>
      </c>
      <c r="U166" t="s">
        <v>1172</v>
      </c>
      <c r="V166" t="s">
        <v>1207</v>
      </c>
      <c r="W166" s="1">
        <v>41640</v>
      </c>
    </row>
    <row r="167" spans="1:24">
      <c r="A167" t="b">
        <f>_xlfn.IFNA(VLOOKUP(D167,Spelerslijst!A:B,1,FALSE),FALSE)</f>
        <v>0</v>
      </c>
      <c r="B167" t="str">
        <f>_xlfn.IFNA(VLOOKUP(D167,Spelerslijst!J:K,1,FALSE),FALSE)</f>
        <v>NKX56T0</v>
      </c>
      <c r="C167" t="str">
        <f t="shared" si="2"/>
        <v/>
      </c>
      <c r="D167" t="s">
        <v>276</v>
      </c>
      <c r="E167" t="s">
        <v>1904</v>
      </c>
      <c r="F167" s="1">
        <v>38090</v>
      </c>
      <c r="G167" t="s">
        <v>1162</v>
      </c>
      <c r="H167" t="s">
        <v>1896</v>
      </c>
      <c r="I167">
        <v>34</v>
      </c>
      <c r="K167" t="s">
        <v>1897</v>
      </c>
      <c r="L167" t="s">
        <v>1187</v>
      </c>
      <c r="M167" t="s">
        <v>1166</v>
      </c>
      <c r="N167" t="s">
        <v>1905</v>
      </c>
      <c r="O167" t="s">
        <v>1906</v>
      </c>
      <c r="P167" t="s">
        <v>1907</v>
      </c>
      <c r="Q167" t="s">
        <v>1190</v>
      </c>
      <c r="R167" t="s">
        <v>1170</v>
      </c>
      <c r="S167">
        <v>210</v>
      </c>
      <c r="T167" t="s">
        <v>1182</v>
      </c>
      <c r="U167" t="s">
        <v>1172</v>
      </c>
      <c r="V167" t="s">
        <v>1194</v>
      </c>
      <c r="W167" s="1">
        <v>40787</v>
      </c>
    </row>
    <row r="168" spans="1:24">
      <c r="A168" t="str">
        <f>_xlfn.IFNA(VLOOKUP(D168,Spelerslijst!A:B,1,FALSE),FALSE)</f>
        <v>NMK12D7</v>
      </c>
      <c r="B168" t="b">
        <f>_xlfn.IFNA(VLOOKUP(D168,Spelerslijst!J:K,1,FALSE),FALSE)</f>
        <v>0</v>
      </c>
      <c r="C168" t="str">
        <f t="shared" si="2"/>
        <v/>
      </c>
      <c r="D168" t="s">
        <v>872</v>
      </c>
      <c r="E168" t="s">
        <v>1908</v>
      </c>
      <c r="F168" s="1">
        <v>41477</v>
      </c>
      <c r="G168" t="s">
        <v>1174</v>
      </c>
      <c r="H168" t="s">
        <v>1896</v>
      </c>
      <c r="I168">
        <v>133</v>
      </c>
      <c r="K168" t="s">
        <v>1909</v>
      </c>
      <c r="L168" t="s">
        <v>1187</v>
      </c>
      <c r="M168" t="s">
        <v>1166</v>
      </c>
      <c r="N168" t="s">
        <v>1910</v>
      </c>
      <c r="P168" t="s">
        <v>1911</v>
      </c>
      <c r="Q168" t="s">
        <v>1190</v>
      </c>
      <c r="R168" t="s">
        <v>1170</v>
      </c>
      <c r="S168">
        <v>230</v>
      </c>
      <c r="T168" t="s">
        <v>1182</v>
      </c>
      <c r="U168" t="s">
        <v>1172</v>
      </c>
      <c r="V168" t="s">
        <v>1213</v>
      </c>
      <c r="W168" s="1">
        <v>44020</v>
      </c>
    </row>
    <row r="169" spans="1:24">
      <c r="A169" t="b">
        <f>_xlfn.IFNA(VLOOKUP(D169,Spelerslijst!A:B,1,FALSE),FALSE)</f>
        <v>0</v>
      </c>
      <c r="B169" t="str">
        <f>_xlfn.IFNA(VLOOKUP(D169,Spelerslijst!J:K,1,FALSE),FALSE)</f>
        <v>NKW50D9</v>
      </c>
      <c r="C169" t="str">
        <f t="shared" si="2"/>
        <v/>
      </c>
      <c r="D169" t="s">
        <v>270</v>
      </c>
      <c r="E169" t="s">
        <v>1912</v>
      </c>
      <c r="F169" s="1">
        <v>38169</v>
      </c>
      <c r="G169" t="s">
        <v>1162</v>
      </c>
      <c r="H169" t="s">
        <v>1913</v>
      </c>
      <c r="I169">
        <v>170</v>
      </c>
      <c r="K169" t="s">
        <v>1914</v>
      </c>
      <c r="L169" t="s">
        <v>1187</v>
      </c>
      <c r="M169" t="s">
        <v>1166</v>
      </c>
      <c r="N169" t="s">
        <v>1915</v>
      </c>
      <c r="O169" t="s">
        <v>1916</v>
      </c>
      <c r="P169" t="s">
        <v>1917</v>
      </c>
      <c r="Q169" t="s">
        <v>1190</v>
      </c>
      <c r="R169" t="s">
        <v>1170</v>
      </c>
      <c r="S169">
        <v>210</v>
      </c>
      <c r="T169" t="s">
        <v>1182</v>
      </c>
      <c r="U169" t="s">
        <v>1172</v>
      </c>
      <c r="V169" t="s">
        <v>1194</v>
      </c>
      <c r="W169" s="1">
        <v>40787</v>
      </c>
    </row>
    <row r="170" spans="1:24">
      <c r="A170" t="b">
        <f>_xlfn.IFNA(VLOOKUP(D170,Spelerslijst!A:B,1,FALSE),FALSE)</f>
        <v>0</v>
      </c>
      <c r="B170" t="str">
        <f>_xlfn.IFNA(VLOOKUP(D170,Spelerslijst!J:K,1,FALSE),FALSE)</f>
        <v>NLG59G8</v>
      </c>
      <c r="C170" t="str">
        <f t="shared" si="2"/>
        <v/>
      </c>
      <c r="D170" t="s">
        <v>289</v>
      </c>
      <c r="E170" t="s">
        <v>1918</v>
      </c>
      <c r="F170" s="1">
        <v>38657</v>
      </c>
      <c r="G170" t="s">
        <v>1162</v>
      </c>
      <c r="H170" t="s">
        <v>1896</v>
      </c>
      <c r="I170">
        <v>189</v>
      </c>
      <c r="K170" t="s">
        <v>1914</v>
      </c>
      <c r="L170" t="s">
        <v>1187</v>
      </c>
      <c r="M170" t="s">
        <v>1166</v>
      </c>
      <c r="N170" t="s">
        <v>1919</v>
      </c>
      <c r="O170" t="s">
        <v>1920</v>
      </c>
      <c r="P170" t="s">
        <v>1921</v>
      </c>
      <c r="Q170" t="s">
        <v>1190</v>
      </c>
      <c r="R170" t="s">
        <v>1170</v>
      </c>
      <c r="S170">
        <v>220</v>
      </c>
      <c r="T170" t="s">
        <v>1182</v>
      </c>
      <c r="U170" t="s">
        <v>1172</v>
      </c>
      <c r="V170" t="s">
        <v>1207</v>
      </c>
      <c r="W170" s="1">
        <v>41518</v>
      </c>
    </row>
    <row r="171" spans="1:24">
      <c r="A171" t="b">
        <f>_xlfn.IFNA(VLOOKUP(D171,Spelerslijst!A:B,1,FALSE),FALSE)</f>
        <v>0</v>
      </c>
      <c r="B171" t="str">
        <f>_xlfn.IFNA(VLOOKUP(D171,Spelerslijst!J:K,1,FALSE),FALSE)</f>
        <v>NLB71B4</v>
      </c>
      <c r="C171" t="str">
        <f t="shared" si="2"/>
        <v/>
      </c>
      <c r="D171" t="s">
        <v>363</v>
      </c>
      <c r="E171" t="s">
        <v>1922</v>
      </c>
      <c r="F171" s="1">
        <v>39123</v>
      </c>
      <c r="G171" t="s">
        <v>1162</v>
      </c>
      <c r="H171" t="s">
        <v>1730</v>
      </c>
      <c r="I171">
        <v>596</v>
      </c>
      <c r="K171" t="s">
        <v>1923</v>
      </c>
      <c r="L171" t="s">
        <v>1187</v>
      </c>
      <c r="M171" t="s">
        <v>1166</v>
      </c>
      <c r="N171" t="s">
        <v>1924</v>
      </c>
      <c r="O171" t="s">
        <v>1925</v>
      </c>
      <c r="P171" t="s">
        <v>1926</v>
      </c>
      <c r="Q171" t="s">
        <v>1190</v>
      </c>
      <c r="R171" t="s">
        <v>1170</v>
      </c>
      <c r="S171">
        <v>220</v>
      </c>
      <c r="T171" t="s">
        <v>1182</v>
      </c>
      <c r="U171" t="s">
        <v>1172</v>
      </c>
      <c r="V171" t="s">
        <v>1207</v>
      </c>
      <c r="W171" s="1">
        <v>41153</v>
      </c>
    </row>
    <row r="172" spans="1:24">
      <c r="A172" t="b">
        <f>_xlfn.IFNA(VLOOKUP(D172,Spelerslijst!A:B,1,FALSE),FALSE)</f>
        <v>0</v>
      </c>
      <c r="B172" t="str">
        <f>_xlfn.IFNA(VLOOKUP(D172,Spelerslijst!J:K,1,FALSE),FALSE)</f>
        <v>NLB71F2</v>
      </c>
      <c r="C172" t="str">
        <f t="shared" si="2"/>
        <v/>
      </c>
      <c r="D172" t="s">
        <v>246</v>
      </c>
      <c r="E172" t="s">
        <v>1927</v>
      </c>
      <c r="F172" s="1">
        <v>38517</v>
      </c>
      <c r="G172" t="s">
        <v>1162</v>
      </c>
      <c r="H172" t="s">
        <v>1730</v>
      </c>
      <c r="I172">
        <v>596</v>
      </c>
      <c r="K172" t="s">
        <v>1923</v>
      </c>
      <c r="L172" t="s">
        <v>1187</v>
      </c>
      <c r="M172" t="s">
        <v>1166</v>
      </c>
      <c r="N172" t="s">
        <v>1928</v>
      </c>
      <c r="O172" t="s">
        <v>1925</v>
      </c>
      <c r="P172" t="s">
        <v>1926</v>
      </c>
      <c r="Q172" t="s">
        <v>1190</v>
      </c>
      <c r="R172" t="s">
        <v>1170</v>
      </c>
      <c r="S172">
        <v>220</v>
      </c>
      <c r="T172" t="s">
        <v>1182</v>
      </c>
      <c r="U172" t="s">
        <v>1172</v>
      </c>
      <c r="V172" t="s">
        <v>1207</v>
      </c>
      <c r="W172" s="1">
        <v>41153</v>
      </c>
    </row>
    <row r="173" spans="1:24">
      <c r="A173" t="b">
        <f>_xlfn.IFNA(VLOOKUP(D173,Spelerslijst!A:B,1,FALSE),FALSE)</f>
        <v>0</v>
      </c>
      <c r="B173" t="str">
        <f>_xlfn.IFNA(VLOOKUP(D173,Spelerslijst!J:K,1,FALSE),FALSE)</f>
        <v>NKV95Q4</v>
      </c>
      <c r="C173" t="str">
        <f t="shared" si="2"/>
        <v/>
      </c>
      <c r="D173" t="s">
        <v>187</v>
      </c>
      <c r="E173" t="s">
        <v>1929</v>
      </c>
      <c r="F173" s="1">
        <v>37810</v>
      </c>
      <c r="G173" t="s">
        <v>1162</v>
      </c>
      <c r="H173" t="s">
        <v>1730</v>
      </c>
      <c r="I173">
        <v>608</v>
      </c>
      <c r="K173" t="s">
        <v>1923</v>
      </c>
      <c r="L173" t="s">
        <v>1187</v>
      </c>
      <c r="M173" t="s">
        <v>1166</v>
      </c>
      <c r="N173" t="s">
        <v>1930</v>
      </c>
      <c r="O173" t="s">
        <v>1931</v>
      </c>
      <c r="P173" t="s">
        <v>1932</v>
      </c>
      <c r="Q173" t="s">
        <v>1190</v>
      </c>
      <c r="R173" t="s">
        <v>1170</v>
      </c>
      <c r="S173">
        <v>210</v>
      </c>
      <c r="T173" t="s">
        <v>1182</v>
      </c>
      <c r="U173" t="s">
        <v>1172</v>
      </c>
      <c r="V173" t="s">
        <v>1194</v>
      </c>
      <c r="W173" s="1">
        <v>40634</v>
      </c>
    </row>
    <row r="174" spans="1:24">
      <c r="A174" t="str">
        <f>_xlfn.IFNA(VLOOKUP(D174,Spelerslijst!A:B,1,FALSE),FALSE)</f>
        <v>NLF50K8</v>
      </c>
      <c r="B174" t="b">
        <f>_xlfn.IFNA(VLOOKUP(D174,Spelerslijst!J:K,1,FALSE),FALSE)</f>
        <v>0</v>
      </c>
      <c r="C174" t="str">
        <f t="shared" si="2"/>
        <v/>
      </c>
      <c r="D174" t="s">
        <v>412</v>
      </c>
      <c r="E174" t="s">
        <v>1933</v>
      </c>
      <c r="F174" s="1">
        <v>38656</v>
      </c>
      <c r="G174" t="s">
        <v>1174</v>
      </c>
      <c r="H174" t="s">
        <v>1730</v>
      </c>
      <c r="I174">
        <v>608</v>
      </c>
      <c r="K174" t="s">
        <v>1923</v>
      </c>
      <c r="L174" t="s">
        <v>1187</v>
      </c>
      <c r="M174" t="s">
        <v>1166</v>
      </c>
      <c r="N174" t="s">
        <v>1930</v>
      </c>
      <c r="O174" t="s">
        <v>1931</v>
      </c>
      <c r="P174" t="s">
        <v>1934</v>
      </c>
      <c r="Q174" t="s">
        <v>1190</v>
      </c>
      <c r="R174" t="s">
        <v>1170</v>
      </c>
      <c r="S174">
        <v>220</v>
      </c>
      <c r="T174" t="s">
        <v>1182</v>
      </c>
      <c r="U174" t="s">
        <v>1172</v>
      </c>
      <c r="V174" t="s">
        <v>1207</v>
      </c>
      <c r="W174" s="1">
        <v>41365</v>
      </c>
    </row>
    <row r="175" spans="1:24">
      <c r="A175" t="b">
        <f>_xlfn.IFNA(VLOOKUP(D175,Spelerslijst!A:B,1,FALSE),FALSE)</f>
        <v>0</v>
      </c>
      <c r="B175" t="str">
        <f>_xlfn.IFNA(VLOOKUP(D175,Spelerslijst!J:K,1,FALSE),FALSE)</f>
        <v>NLH06P8</v>
      </c>
      <c r="C175" t="str">
        <f t="shared" si="2"/>
        <v/>
      </c>
      <c r="D175" t="s">
        <v>432</v>
      </c>
      <c r="E175" t="s">
        <v>1935</v>
      </c>
      <c r="F175" s="1">
        <v>39693</v>
      </c>
      <c r="G175" t="s">
        <v>1162</v>
      </c>
      <c r="H175" t="s">
        <v>1730</v>
      </c>
      <c r="I175">
        <v>616</v>
      </c>
      <c r="K175" t="s">
        <v>1923</v>
      </c>
      <c r="L175" t="s">
        <v>1187</v>
      </c>
      <c r="M175" t="s">
        <v>1166</v>
      </c>
      <c r="N175" t="s">
        <v>1936</v>
      </c>
      <c r="O175" t="s">
        <v>1937</v>
      </c>
      <c r="P175" t="s">
        <v>1938</v>
      </c>
      <c r="Q175" t="s">
        <v>1190</v>
      </c>
      <c r="R175" t="s">
        <v>1170</v>
      </c>
      <c r="S175">
        <v>220</v>
      </c>
      <c r="T175" t="s">
        <v>1182</v>
      </c>
      <c r="U175" t="s">
        <v>1172</v>
      </c>
      <c r="V175" t="s">
        <v>1207</v>
      </c>
      <c r="W175" s="1">
        <v>41518</v>
      </c>
    </row>
    <row r="176" spans="1:24">
      <c r="A176" t="str">
        <f>_xlfn.IFNA(VLOOKUP(D176,Spelerslijst!A:B,1,FALSE),FALSE)</f>
        <v>NLV80N0</v>
      </c>
      <c r="B176" t="b">
        <f>_xlfn.IFNA(VLOOKUP(D176,Spelerslijst!J:K,1,FALSE),FALSE)</f>
        <v>0</v>
      </c>
      <c r="C176" t="str">
        <f t="shared" si="2"/>
        <v/>
      </c>
      <c r="D176" t="s">
        <v>372</v>
      </c>
      <c r="E176" t="s">
        <v>1939</v>
      </c>
      <c r="F176" s="1">
        <v>40213</v>
      </c>
      <c r="G176" t="s">
        <v>1174</v>
      </c>
      <c r="H176" t="s">
        <v>1730</v>
      </c>
      <c r="I176">
        <v>616</v>
      </c>
      <c r="K176" t="s">
        <v>1923</v>
      </c>
      <c r="L176" t="s">
        <v>1187</v>
      </c>
      <c r="M176" t="s">
        <v>1166</v>
      </c>
      <c r="N176" t="s">
        <v>1936</v>
      </c>
      <c r="P176" t="s">
        <v>1938</v>
      </c>
      <c r="Q176" t="s">
        <v>1169</v>
      </c>
      <c r="R176" t="s">
        <v>1170</v>
      </c>
      <c r="S176">
        <v>230</v>
      </c>
      <c r="T176" t="s">
        <v>1182</v>
      </c>
      <c r="U176" t="s">
        <v>1172</v>
      </c>
      <c r="V176" t="s">
        <v>1213</v>
      </c>
      <c r="W176" s="1">
        <v>42711</v>
      </c>
      <c r="X176" s="1">
        <v>44377</v>
      </c>
    </row>
    <row r="177" spans="1:24">
      <c r="A177" t="str">
        <f>_xlfn.IFNA(VLOOKUP(D177,Spelerslijst!A:B,1,FALSE),FALSE)</f>
        <v>NLP78N3</v>
      </c>
      <c r="B177" t="b">
        <f>_xlfn.IFNA(VLOOKUP(D177,Spelerslijst!J:K,1,FALSE),FALSE)</f>
        <v>0</v>
      </c>
      <c r="C177" t="str">
        <f t="shared" si="2"/>
        <v/>
      </c>
      <c r="D177" t="s">
        <v>1015</v>
      </c>
      <c r="E177" t="s">
        <v>1940</v>
      </c>
      <c r="F177" s="1">
        <v>39328</v>
      </c>
      <c r="G177" t="s">
        <v>1174</v>
      </c>
      <c r="H177" t="s">
        <v>1941</v>
      </c>
      <c r="I177">
        <v>42</v>
      </c>
      <c r="K177" t="s">
        <v>1942</v>
      </c>
      <c r="L177" t="s">
        <v>1187</v>
      </c>
      <c r="M177" t="s">
        <v>1166</v>
      </c>
      <c r="N177" t="s">
        <v>1943</v>
      </c>
      <c r="O177" t="s">
        <v>1944</v>
      </c>
      <c r="P177" t="s">
        <v>1945</v>
      </c>
      <c r="Q177" t="s">
        <v>1190</v>
      </c>
      <c r="R177" t="s">
        <v>1170</v>
      </c>
      <c r="S177">
        <v>220</v>
      </c>
      <c r="T177" t="s">
        <v>1182</v>
      </c>
      <c r="U177" t="s">
        <v>1172</v>
      </c>
      <c r="V177" t="s">
        <v>1207</v>
      </c>
      <c r="W177" s="1">
        <v>42248</v>
      </c>
    </row>
    <row r="178" spans="1:24">
      <c r="A178" t="str">
        <f>_xlfn.IFNA(VLOOKUP(D178,Spelerslijst!A:B,1,FALSE),FALSE)</f>
        <v>NKG18N7</v>
      </c>
      <c r="B178" t="b">
        <f>_xlfn.IFNA(VLOOKUP(D178,Spelerslijst!J:K,1,FALSE),FALSE)</f>
        <v>0</v>
      </c>
      <c r="C178" t="str">
        <f t="shared" si="2"/>
        <v/>
      </c>
      <c r="D178" t="s">
        <v>852</v>
      </c>
      <c r="E178" t="s">
        <v>1946</v>
      </c>
      <c r="F178" s="1">
        <v>37551</v>
      </c>
      <c r="G178" t="s">
        <v>1174</v>
      </c>
      <c r="H178" t="s">
        <v>1941</v>
      </c>
      <c r="I178">
        <v>108</v>
      </c>
      <c r="K178" t="s">
        <v>1947</v>
      </c>
      <c r="L178" t="s">
        <v>1187</v>
      </c>
      <c r="M178" t="s">
        <v>1166</v>
      </c>
      <c r="N178" t="s">
        <v>1948</v>
      </c>
      <c r="O178" t="s">
        <v>1949</v>
      </c>
      <c r="P178" t="s">
        <v>1950</v>
      </c>
      <c r="Q178" t="s">
        <v>1190</v>
      </c>
      <c r="R178" t="s">
        <v>1170</v>
      </c>
      <c r="S178">
        <v>210</v>
      </c>
      <c r="T178" t="s">
        <v>1182</v>
      </c>
      <c r="U178" t="s">
        <v>1172</v>
      </c>
      <c r="V178" t="s">
        <v>1194</v>
      </c>
      <c r="W178" s="1">
        <v>39594</v>
      </c>
    </row>
    <row r="179" spans="1:24">
      <c r="A179" t="str">
        <f>_xlfn.IFNA(VLOOKUP(D179,Spelerslijst!A:B,1,FALSE),FALSE)</f>
        <v>NKR24N1</v>
      </c>
      <c r="B179" t="b">
        <f>_xlfn.IFNA(VLOOKUP(D179,Spelerslijst!J:K,1,FALSE),FALSE)</f>
        <v>0</v>
      </c>
      <c r="C179" t="str">
        <f t="shared" si="2"/>
        <v/>
      </c>
      <c r="D179" t="s">
        <v>998</v>
      </c>
      <c r="E179" t="s">
        <v>1951</v>
      </c>
      <c r="F179" s="1">
        <v>37177</v>
      </c>
      <c r="G179" t="s">
        <v>1174</v>
      </c>
      <c r="H179" t="s">
        <v>1952</v>
      </c>
      <c r="I179">
        <v>261</v>
      </c>
      <c r="K179" t="s">
        <v>1953</v>
      </c>
      <c r="L179" t="s">
        <v>1187</v>
      </c>
      <c r="M179" t="s">
        <v>1166</v>
      </c>
      <c r="N179" t="s">
        <v>1954</v>
      </c>
      <c r="O179" t="s">
        <v>1955</v>
      </c>
      <c r="P179" t="s">
        <v>1956</v>
      </c>
      <c r="Q179" t="s">
        <v>1169</v>
      </c>
      <c r="R179" t="s">
        <v>1170</v>
      </c>
      <c r="S179">
        <v>200</v>
      </c>
      <c r="T179" t="s">
        <v>1182</v>
      </c>
      <c r="U179" t="s">
        <v>1172</v>
      </c>
      <c r="V179" t="s">
        <v>1173</v>
      </c>
      <c r="W179" s="1">
        <v>40422</v>
      </c>
      <c r="X179" s="1">
        <v>44377</v>
      </c>
    </row>
    <row r="180" spans="1:24">
      <c r="A180" t="str">
        <f>_xlfn.IFNA(VLOOKUP(D180,Spelerslijst!A:B,1,FALSE),FALSE)</f>
        <v>NKS24S7</v>
      </c>
      <c r="B180" t="b">
        <f>_xlfn.IFNA(VLOOKUP(D180,Spelerslijst!J:K,1,FALSE),FALSE)</f>
        <v>0</v>
      </c>
      <c r="C180" t="str">
        <f t="shared" si="2"/>
        <v/>
      </c>
      <c r="D180" t="s">
        <v>995</v>
      </c>
      <c r="E180" t="s">
        <v>1957</v>
      </c>
      <c r="F180" s="1">
        <v>38928</v>
      </c>
      <c r="G180" t="s">
        <v>1174</v>
      </c>
      <c r="H180" t="s">
        <v>1952</v>
      </c>
      <c r="I180">
        <v>261</v>
      </c>
      <c r="K180" t="s">
        <v>1953</v>
      </c>
      <c r="L180" t="s">
        <v>1187</v>
      </c>
      <c r="M180" t="s">
        <v>1166</v>
      </c>
      <c r="N180" t="s">
        <v>1958</v>
      </c>
      <c r="O180" t="s">
        <v>1955</v>
      </c>
      <c r="P180" t="s">
        <v>1959</v>
      </c>
      <c r="Q180" t="s">
        <v>1190</v>
      </c>
      <c r="R180" t="s">
        <v>1170</v>
      </c>
      <c r="S180">
        <v>220</v>
      </c>
      <c r="T180" t="s">
        <v>1182</v>
      </c>
      <c r="U180" t="s">
        <v>1172</v>
      </c>
      <c r="V180" t="s">
        <v>1207</v>
      </c>
      <c r="W180" s="1">
        <v>40422</v>
      </c>
    </row>
    <row r="181" spans="1:24">
      <c r="A181" t="str">
        <f>_xlfn.IFNA(VLOOKUP(D181,Spelerslijst!A:B,1,FALSE),FALSE)</f>
        <v>NKC46R0</v>
      </c>
      <c r="B181" t="b">
        <f>_xlfn.IFNA(VLOOKUP(D181,Spelerslijst!J:K,1,FALSE),FALSE)</f>
        <v>0</v>
      </c>
      <c r="C181" t="str">
        <f t="shared" si="2"/>
        <v/>
      </c>
      <c r="D181" t="s">
        <v>221</v>
      </c>
      <c r="E181" t="s">
        <v>1960</v>
      </c>
      <c r="F181" s="1">
        <v>36460</v>
      </c>
      <c r="G181" t="s">
        <v>1174</v>
      </c>
      <c r="H181" t="s">
        <v>1961</v>
      </c>
      <c r="I181">
        <v>29</v>
      </c>
      <c r="K181" t="s">
        <v>1962</v>
      </c>
      <c r="L181" t="s">
        <v>1187</v>
      </c>
      <c r="M181" t="s">
        <v>1166</v>
      </c>
      <c r="N181" t="s">
        <v>1963</v>
      </c>
      <c r="P181" t="s">
        <v>1964</v>
      </c>
      <c r="Q181" t="s">
        <v>1190</v>
      </c>
      <c r="R181" t="s">
        <v>1170</v>
      </c>
      <c r="S181">
        <v>200</v>
      </c>
      <c r="T181" t="s">
        <v>1182</v>
      </c>
      <c r="U181" t="s">
        <v>1172</v>
      </c>
      <c r="V181" t="s">
        <v>1173</v>
      </c>
      <c r="W181" s="1">
        <v>39356</v>
      </c>
    </row>
    <row r="182" spans="1:24">
      <c r="A182" t="b">
        <f>_xlfn.IFNA(VLOOKUP(D182,Spelerslijst!A:B,1,FALSE),FALSE)</f>
        <v>0</v>
      </c>
      <c r="B182" t="str">
        <f>_xlfn.IFNA(VLOOKUP(D182,Spelerslijst!J:K,1,FALSE),FALSE)</f>
        <v>NFW26Q8</v>
      </c>
      <c r="C182" t="str">
        <f t="shared" si="2"/>
        <v/>
      </c>
      <c r="D182" t="s">
        <v>169</v>
      </c>
      <c r="E182" t="s">
        <v>1965</v>
      </c>
      <c r="F182" s="1">
        <v>29725</v>
      </c>
      <c r="G182" t="s">
        <v>1162</v>
      </c>
      <c r="H182" t="s">
        <v>1966</v>
      </c>
      <c r="I182">
        <v>4</v>
      </c>
      <c r="K182" t="s">
        <v>1967</v>
      </c>
      <c r="L182" t="s">
        <v>1187</v>
      </c>
      <c r="M182" t="s">
        <v>1166</v>
      </c>
      <c r="N182" t="s">
        <v>1968</v>
      </c>
      <c r="P182" t="s">
        <v>1969</v>
      </c>
      <c r="Q182" t="s">
        <v>1190</v>
      </c>
      <c r="R182" t="s">
        <v>1170</v>
      </c>
      <c r="S182">
        <v>202</v>
      </c>
      <c r="T182" t="s">
        <v>1171</v>
      </c>
      <c r="U182" t="s">
        <v>1172</v>
      </c>
      <c r="V182" t="s">
        <v>1173</v>
      </c>
      <c r="W182" s="1">
        <v>39502</v>
      </c>
    </row>
    <row r="183" spans="1:24">
      <c r="A183" t="b">
        <f>_xlfn.IFNA(VLOOKUP(D183,Spelerslijst!A:B,1,FALSE),FALSE)</f>
        <v>0</v>
      </c>
      <c r="B183" t="str">
        <f>_xlfn.IFNA(VLOOKUP(D183,Spelerslijst!J:K,1,FALSE),FALSE)</f>
        <v>NMC29Z9</v>
      </c>
      <c r="C183" t="str">
        <f t="shared" si="2"/>
        <v/>
      </c>
      <c r="D183" t="s">
        <v>578</v>
      </c>
      <c r="E183" t="s">
        <v>1970</v>
      </c>
      <c r="F183" s="1">
        <v>41121</v>
      </c>
      <c r="G183" t="s">
        <v>1162</v>
      </c>
      <c r="H183" t="s">
        <v>1966</v>
      </c>
      <c r="I183">
        <v>4</v>
      </c>
      <c r="K183" t="s">
        <v>1967</v>
      </c>
      <c r="L183" t="s">
        <v>1187</v>
      </c>
      <c r="M183" t="s">
        <v>1166</v>
      </c>
      <c r="N183" t="s">
        <v>1968</v>
      </c>
      <c r="P183" t="s">
        <v>1969</v>
      </c>
      <c r="Q183" t="s">
        <v>1190</v>
      </c>
      <c r="R183" t="s">
        <v>1170</v>
      </c>
      <c r="S183">
        <v>230</v>
      </c>
      <c r="T183" t="s">
        <v>1182</v>
      </c>
      <c r="U183" t="s">
        <v>1172</v>
      </c>
      <c r="V183" t="s">
        <v>1213</v>
      </c>
      <c r="W183" s="1">
        <v>43336</v>
      </c>
    </row>
    <row r="184" spans="1:24">
      <c r="A184" t="b">
        <f>_xlfn.IFNA(VLOOKUP(D184,Spelerslijst!A:B,1,FALSE),FALSE)</f>
        <v>0</v>
      </c>
      <c r="B184" t="str">
        <f>_xlfn.IFNA(VLOOKUP(D184,Spelerslijst!J:K,1,FALSE),FALSE)</f>
        <v>NGT42V5</v>
      </c>
      <c r="C184" t="str">
        <f t="shared" si="2"/>
        <v/>
      </c>
      <c r="D184" t="s">
        <v>90</v>
      </c>
      <c r="E184" t="s">
        <v>1971</v>
      </c>
      <c r="F184" s="1">
        <v>33211</v>
      </c>
      <c r="G184" t="s">
        <v>1162</v>
      </c>
      <c r="H184" t="s">
        <v>1972</v>
      </c>
      <c r="I184">
        <v>100</v>
      </c>
      <c r="K184" t="s">
        <v>1973</v>
      </c>
      <c r="L184" t="s">
        <v>1187</v>
      </c>
      <c r="M184" t="s">
        <v>1166</v>
      </c>
      <c r="N184" t="s">
        <v>1974</v>
      </c>
      <c r="O184" t="s">
        <v>1974</v>
      </c>
      <c r="P184" t="s">
        <v>1975</v>
      </c>
      <c r="Q184" t="s">
        <v>1190</v>
      </c>
      <c r="R184" t="s">
        <v>1170</v>
      </c>
      <c r="S184">
        <v>202</v>
      </c>
      <c r="T184" t="s">
        <v>1171</v>
      </c>
      <c r="U184" t="s">
        <v>1172</v>
      </c>
      <c r="V184" t="s">
        <v>1173</v>
      </c>
      <c r="W184" s="1">
        <v>35459</v>
      </c>
    </row>
    <row r="185" spans="1:24">
      <c r="A185" t="b">
        <f>_xlfn.IFNA(VLOOKUP(D185,Spelerslijst!A:B,1,FALSE),FALSE)</f>
        <v>0</v>
      </c>
      <c r="B185" t="str">
        <f>_xlfn.IFNA(VLOOKUP(D185,Spelerslijst!J:K,1,FALSE),FALSE)</f>
        <v>NJH39X4</v>
      </c>
      <c r="C185" t="str">
        <f t="shared" si="2"/>
        <v/>
      </c>
      <c r="D185" t="s">
        <v>794</v>
      </c>
      <c r="E185" t="s">
        <v>1976</v>
      </c>
      <c r="F185" s="1">
        <v>34900</v>
      </c>
      <c r="G185" t="s">
        <v>1162</v>
      </c>
      <c r="H185" t="s">
        <v>1977</v>
      </c>
      <c r="I185">
        <v>5</v>
      </c>
      <c r="K185" t="s">
        <v>1978</v>
      </c>
      <c r="L185" t="s">
        <v>1187</v>
      </c>
      <c r="M185" t="s">
        <v>1166</v>
      </c>
      <c r="N185" t="s">
        <v>1979</v>
      </c>
      <c r="P185" t="s">
        <v>1980</v>
      </c>
      <c r="Q185" t="s">
        <v>1190</v>
      </c>
      <c r="R185" t="s">
        <v>1170</v>
      </c>
      <c r="S185">
        <v>200</v>
      </c>
      <c r="T185" t="s">
        <v>1182</v>
      </c>
      <c r="U185" t="s">
        <v>1172</v>
      </c>
      <c r="V185" t="s">
        <v>1173</v>
      </c>
      <c r="W185" s="1">
        <v>38343</v>
      </c>
    </row>
    <row r="186" spans="1:24">
      <c r="A186" t="str">
        <f>_xlfn.IFNA(VLOOKUP(D186,Spelerslijst!A:B,1,FALSE),FALSE)</f>
        <v>NLH27P1</v>
      </c>
      <c r="B186" t="b">
        <f>_xlfn.IFNA(VLOOKUP(D186,Spelerslijst!J:K,1,FALSE),FALSE)</f>
        <v>0</v>
      </c>
      <c r="C186" t="str">
        <f t="shared" si="2"/>
        <v/>
      </c>
      <c r="D186" t="s">
        <v>273</v>
      </c>
      <c r="E186" t="s">
        <v>1981</v>
      </c>
      <c r="F186" s="1">
        <v>39114</v>
      </c>
      <c r="G186" t="s">
        <v>1174</v>
      </c>
      <c r="H186" t="s">
        <v>1982</v>
      </c>
      <c r="I186">
        <v>17</v>
      </c>
      <c r="K186" t="s">
        <v>1983</v>
      </c>
      <c r="L186" t="s">
        <v>1187</v>
      </c>
      <c r="M186" t="s">
        <v>1166</v>
      </c>
      <c r="N186" t="s">
        <v>1984</v>
      </c>
      <c r="O186" t="s">
        <v>1985</v>
      </c>
      <c r="P186" t="s">
        <v>1986</v>
      </c>
      <c r="Q186" t="s">
        <v>1190</v>
      </c>
      <c r="R186" t="s">
        <v>1170</v>
      </c>
      <c r="S186">
        <v>220</v>
      </c>
      <c r="T186" t="s">
        <v>1182</v>
      </c>
      <c r="U186" t="s">
        <v>1172</v>
      </c>
      <c r="V186" t="s">
        <v>1207</v>
      </c>
      <c r="W186" s="1">
        <v>44358</v>
      </c>
    </row>
    <row r="187" spans="1:24">
      <c r="A187" t="str">
        <f>_xlfn.IFNA(VLOOKUP(D187,Spelerslijst!A:B,1,FALSE),FALSE)</f>
        <v>NLM17J9</v>
      </c>
      <c r="B187" t="b">
        <f>_xlfn.IFNA(VLOOKUP(D187,Spelerslijst!J:K,1,FALSE),FALSE)</f>
        <v>0</v>
      </c>
      <c r="C187" t="str">
        <f t="shared" si="2"/>
        <v/>
      </c>
      <c r="D187" t="s">
        <v>536</v>
      </c>
      <c r="E187" t="s">
        <v>1987</v>
      </c>
      <c r="F187" s="1">
        <v>40822</v>
      </c>
      <c r="G187" t="s">
        <v>1174</v>
      </c>
      <c r="H187" t="s">
        <v>1988</v>
      </c>
      <c r="I187">
        <v>34</v>
      </c>
      <c r="K187" t="s">
        <v>1989</v>
      </c>
      <c r="L187" t="s">
        <v>1187</v>
      </c>
      <c r="M187" t="s">
        <v>1166</v>
      </c>
      <c r="N187" t="s">
        <v>1990</v>
      </c>
      <c r="P187" t="s">
        <v>1991</v>
      </c>
      <c r="Q187" t="s">
        <v>1190</v>
      </c>
      <c r="R187" t="s">
        <v>1170</v>
      </c>
      <c r="T187" t="s">
        <v>1182</v>
      </c>
      <c r="U187" t="s">
        <v>1172</v>
      </c>
      <c r="V187" t="s">
        <v>1213</v>
      </c>
      <c r="W187" s="1">
        <v>44345</v>
      </c>
    </row>
    <row r="188" spans="1:24">
      <c r="A188" t="str">
        <f>_xlfn.IFNA(VLOOKUP(D188,Spelerslijst!A:B,1,FALSE),FALSE)</f>
        <v>NLQ98H2</v>
      </c>
      <c r="B188" t="b">
        <f>_xlfn.IFNA(VLOOKUP(D188,Spelerslijst!J:K,1,FALSE),FALSE)</f>
        <v>0</v>
      </c>
      <c r="C188" t="str">
        <f t="shared" si="2"/>
        <v/>
      </c>
      <c r="D188" t="s">
        <v>93</v>
      </c>
      <c r="E188" t="s">
        <v>1992</v>
      </c>
      <c r="F188" s="1">
        <v>40344</v>
      </c>
      <c r="G188" t="s">
        <v>1174</v>
      </c>
      <c r="H188" t="s">
        <v>1993</v>
      </c>
      <c r="I188">
        <v>28</v>
      </c>
      <c r="K188" t="s">
        <v>1994</v>
      </c>
      <c r="L188" t="s">
        <v>1187</v>
      </c>
      <c r="M188" t="s">
        <v>1166</v>
      </c>
      <c r="N188" t="s">
        <v>1995</v>
      </c>
      <c r="O188" t="s">
        <v>1996</v>
      </c>
      <c r="P188" t="s">
        <v>1997</v>
      </c>
      <c r="Q188" t="s">
        <v>1190</v>
      </c>
      <c r="R188" t="s">
        <v>1170</v>
      </c>
      <c r="S188">
        <v>230</v>
      </c>
      <c r="T188" t="s">
        <v>1182</v>
      </c>
      <c r="U188" t="s">
        <v>1172</v>
      </c>
      <c r="V188" t="s">
        <v>1213</v>
      </c>
      <c r="W188" s="1">
        <v>42309</v>
      </c>
    </row>
    <row r="189" spans="1:24">
      <c r="A189" t="str">
        <f>_xlfn.IFNA(VLOOKUP(D189,Spelerslijst!A:B,1,FALSE),FALSE)</f>
        <v>NLZ39C9</v>
      </c>
      <c r="B189" t="b">
        <f>_xlfn.IFNA(VLOOKUP(D189,Spelerslijst!J:K,1,FALSE),FALSE)</f>
        <v>0</v>
      </c>
      <c r="C189" t="str">
        <f t="shared" si="2"/>
        <v/>
      </c>
      <c r="D189" t="s">
        <v>87</v>
      </c>
      <c r="E189" t="s">
        <v>1998</v>
      </c>
      <c r="F189" s="1">
        <v>41214</v>
      </c>
      <c r="G189" t="s">
        <v>1174</v>
      </c>
      <c r="H189" t="s">
        <v>1993</v>
      </c>
      <c r="I189">
        <v>28</v>
      </c>
      <c r="K189" t="s">
        <v>1994</v>
      </c>
      <c r="L189" t="s">
        <v>1187</v>
      </c>
      <c r="M189" t="s">
        <v>1166</v>
      </c>
      <c r="N189" t="s">
        <v>1995</v>
      </c>
      <c r="P189" t="s">
        <v>1997</v>
      </c>
      <c r="Q189" t="s">
        <v>1190</v>
      </c>
      <c r="R189" t="s">
        <v>1170</v>
      </c>
      <c r="S189">
        <v>230</v>
      </c>
      <c r="T189" t="s">
        <v>1182</v>
      </c>
      <c r="U189" t="s">
        <v>1172</v>
      </c>
      <c r="V189" t="s">
        <v>1213</v>
      </c>
      <c r="W189" s="1">
        <v>43076</v>
      </c>
    </row>
    <row r="190" spans="1:24">
      <c r="A190" t="b">
        <f>_xlfn.IFNA(VLOOKUP(D190,Spelerslijst!A:B,1,FALSE),FALSE)</f>
        <v>0</v>
      </c>
      <c r="B190" t="b">
        <f>_xlfn.IFNA(VLOOKUP(D190,Spelerslijst!J:K,1,FALSE),FALSE)</f>
        <v>0</v>
      </c>
      <c r="C190" t="str">
        <f t="shared" si="2"/>
        <v>Onbekend</v>
      </c>
      <c r="D190" t="s">
        <v>1999</v>
      </c>
      <c r="E190" t="s">
        <v>2000</v>
      </c>
      <c r="F190" s="1">
        <v>31161</v>
      </c>
      <c r="G190" t="s">
        <v>1174</v>
      </c>
      <c r="H190" t="s">
        <v>2001</v>
      </c>
      <c r="I190">
        <v>16</v>
      </c>
      <c r="K190" t="s">
        <v>2002</v>
      </c>
      <c r="L190" t="s">
        <v>1187</v>
      </c>
      <c r="M190" t="s">
        <v>1166</v>
      </c>
      <c r="N190" t="s">
        <v>2003</v>
      </c>
      <c r="P190" t="s">
        <v>2004</v>
      </c>
      <c r="Q190" t="s">
        <v>1190</v>
      </c>
      <c r="S190">
        <v>100</v>
      </c>
      <c r="T190" t="s">
        <v>1900</v>
      </c>
      <c r="U190" t="s">
        <v>1172</v>
      </c>
      <c r="V190" t="s">
        <v>1173</v>
      </c>
      <c r="W190" s="1">
        <v>37027</v>
      </c>
    </row>
    <row r="191" spans="1:24">
      <c r="A191" t="str">
        <f>_xlfn.IFNA(VLOOKUP(D191,Spelerslijst!A:B,1,FALSE),FALSE)</f>
        <v>NLN41L1</v>
      </c>
      <c r="B191" t="b">
        <f>_xlfn.IFNA(VLOOKUP(D191,Spelerslijst!J:K,1,FALSE),FALSE)</f>
        <v>0</v>
      </c>
      <c r="C191" t="str">
        <f t="shared" si="2"/>
        <v/>
      </c>
      <c r="D191" t="s">
        <v>847</v>
      </c>
      <c r="E191" t="s">
        <v>2005</v>
      </c>
      <c r="F191" s="1">
        <v>40439</v>
      </c>
      <c r="G191" t="s">
        <v>1174</v>
      </c>
      <c r="H191" t="s">
        <v>2001</v>
      </c>
      <c r="I191">
        <v>16</v>
      </c>
      <c r="K191" t="s">
        <v>2002</v>
      </c>
      <c r="L191" t="s">
        <v>1187</v>
      </c>
      <c r="M191" t="s">
        <v>1166</v>
      </c>
      <c r="N191" t="s">
        <v>2003</v>
      </c>
      <c r="O191" t="s">
        <v>2006</v>
      </c>
      <c r="P191" t="s">
        <v>2004</v>
      </c>
      <c r="Q191" t="s">
        <v>1190</v>
      </c>
      <c r="R191" t="s">
        <v>1170</v>
      </c>
      <c r="S191">
        <v>230</v>
      </c>
      <c r="T191" t="s">
        <v>1182</v>
      </c>
      <c r="U191" t="s">
        <v>1172</v>
      </c>
      <c r="V191" t="s">
        <v>1213</v>
      </c>
      <c r="W191" s="1">
        <v>42064</v>
      </c>
    </row>
    <row r="192" spans="1:24">
      <c r="A192" t="b">
        <f>_xlfn.IFNA(VLOOKUP(D192,Spelerslijst!A:B,1,FALSE),FALSE)</f>
        <v>0</v>
      </c>
      <c r="B192" t="str">
        <f>_xlfn.IFNA(VLOOKUP(D192,Spelerslijst!J:K,1,FALSE),FALSE)</f>
        <v>NLW14T0</v>
      </c>
      <c r="C192" t="str">
        <f t="shared" si="2"/>
        <v/>
      </c>
      <c r="D192" t="s">
        <v>913</v>
      </c>
      <c r="E192" t="s">
        <v>2007</v>
      </c>
      <c r="F192" s="1">
        <v>40869</v>
      </c>
      <c r="G192" t="s">
        <v>1162</v>
      </c>
      <c r="H192" t="s">
        <v>2001</v>
      </c>
      <c r="I192">
        <v>16</v>
      </c>
      <c r="K192" t="s">
        <v>2002</v>
      </c>
      <c r="L192" t="s">
        <v>1187</v>
      </c>
      <c r="M192" t="s">
        <v>1166</v>
      </c>
      <c r="N192" t="s">
        <v>2003</v>
      </c>
      <c r="O192" t="s">
        <v>2006</v>
      </c>
      <c r="P192" t="s">
        <v>2004</v>
      </c>
      <c r="Q192" t="s">
        <v>1169</v>
      </c>
      <c r="R192" t="s">
        <v>1170</v>
      </c>
      <c r="S192">
        <v>100</v>
      </c>
      <c r="T192" t="s">
        <v>1900</v>
      </c>
      <c r="U192" t="s">
        <v>1172</v>
      </c>
      <c r="V192" t="s">
        <v>1213</v>
      </c>
      <c r="W192" s="1">
        <v>42736</v>
      </c>
      <c r="X192" s="1">
        <v>44377</v>
      </c>
    </row>
    <row r="193" spans="1:23">
      <c r="A193" t="b">
        <f>_xlfn.IFNA(VLOOKUP(D193,Spelerslijst!A:B,1,FALSE),FALSE)</f>
        <v>0</v>
      </c>
      <c r="B193" t="str">
        <f>_xlfn.IFNA(VLOOKUP(D193,Spelerslijst!J:K,1,FALSE),FALSE)</f>
        <v>NKW21H5</v>
      </c>
      <c r="C193" t="str">
        <f t="shared" si="2"/>
        <v/>
      </c>
      <c r="D193" t="s">
        <v>205</v>
      </c>
      <c r="E193" t="s">
        <v>2008</v>
      </c>
      <c r="F193" s="1">
        <v>37971</v>
      </c>
      <c r="G193" t="s">
        <v>1162</v>
      </c>
      <c r="H193" t="s">
        <v>2009</v>
      </c>
      <c r="I193">
        <v>209</v>
      </c>
      <c r="K193" t="s">
        <v>2010</v>
      </c>
      <c r="L193" t="s">
        <v>1187</v>
      </c>
      <c r="M193" t="s">
        <v>1166</v>
      </c>
      <c r="N193" t="s">
        <v>2011</v>
      </c>
      <c r="O193" t="s">
        <v>2012</v>
      </c>
      <c r="P193" t="s">
        <v>2013</v>
      </c>
      <c r="Q193" t="s">
        <v>1190</v>
      </c>
      <c r="R193" t="s">
        <v>1170</v>
      </c>
      <c r="S193">
        <v>210</v>
      </c>
      <c r="T193" t="s">
        <v>1182</v>
      </c>
      <c r="U193" t="s">
        <v>1172</v>
      </c>
      <c r="V193" t="s">
        <v>1194</v>
      </c>
      <c r="W193" s="1">
        <v>40787</v>
      </c>
    </row>
    <row r="194" spans="1:23">
      <c r="A194" t="b">
        <f>_xlfn.IFNA(VLOOKUP(D194,Spelerslijst!A:B,1,FALSE),FALSE)</f>
        <v>0</v>
      </c>
      <c r="B194" t="str">
        <f>_xlfn.IFNA(VLOOKUP(D194,Spelerslijst!J:K,1,FALSE),FALSE)</f>
        <v>NLN28Y3</v>
      </c>
      <c r="C194" t="str">
        <f t="shared" si="2"/>
        <v/>
      </c>
      <c r="D194" t="s">
        <v>444</v>
      </c>
      <c r="E194" t="s">
        <v>2014</v>
      </c>
      <c r="F194" s="1">
        <v>39629</v>
      </c>
      <c r="G194" t="s">
        <v>1162</v>
      </c>
      <c r="H194" t="s">
        <v>2009</v>
      </c>
      <c r="I194">
        <v>209</v>
      </c>
      <c r="K194" t="s">
        <v>2010</v>
      </c>
      <c r="L194" t="s">
        <v>1187</v>
      </c>
      <c r="M194" t="s">
        <v>1166</v>
      </c>
      <c r="N194" t="s">
        <v>2015</v>
      </c>
      <c r="O194" t="s">
        <v>2012</v>
      </c>
      <c r="P194" t="s">
        <v>2016</v>
      </c>
      <c r="Q194" t="s">
        <v>1190</v>
      </c>
      <c r="R194" t="s">
        <v>1170</v>
      </c>
      <c r="S194">
        <v>220</v>
      </c>
      <c r="T194" t="s">
        <v>1182</v>
      </c>
      <c r="U194" t="s">
        <v>1172</v>
      </c>
      <c r="V194" t="s">
        <v>1207</v>
      </c>
      <c r="W194" s="1">
        <v>42036</v>
      </c>
    </row>
    <row r="195" spans="1:23">
      <c r="A195" t="b">
        <f>_xlfn.IFNA(VLOOKUP(D195,Spelerslijst!A:B,1,FALSE),FALSE)</f>
        <v>0</v>
      </c>
      <c r="B195" t="str">
        <f>_xlfn.IFNA(VLOOKUP(D195,Spelerslijst!J:K,1,FALSE),FALSE)</f>
        <v>NKW30G0</v>
      </c>
      <c r="C195" t="str">
        <f t="shared" ref="C195:C258" si="3">IF(AND(A195=FALSE,B195=FALSE),"Onbekend","")</f>
        <v/>
      </c>
      <c r="D195" t="s">
        <v>683</v>
      </c>
      <c r="E195" t="s">
        <v>2017</v>
      </c>
      <c r="F195" s="1">
        <v>37974</v>
      </c>
      <c r="G195" t="s">
        <v>1162</v>
      </c>
      <c r="H195" t="s">
        <v>2009</v>
      </c>
      <c r="I195">
        <v>12</v>
      </c>
      <c r="K195" t="s">
        <v>2018</v>
      </c>
      <c r="L195" t="s">
        <v>1187</v>
      </c>
      <c r="M195" t="s">
        <v>1166</v>
      </c>
      <c r="N195" t="s">
        <v>2019</v>
      </c>
      <c r="O195" t="s">
        <v>2020</v>
      </c>
      <c r="P195" t="s">
        <v>2021</v>
      </c>
      <c r="Q195" t="s">
        <v>1190</v>
      </c>
      <c r="R195" t="s">
        <v>1170</v>
      </c>
      <c r="S195">
        <v>210</v>
      </c>
      <c r="T195" t="s">
        <v>1182</v>
      </c>
      <c r="U195" t="s">
        <v>1172</v>
      </c>
      <c r="V195" t="s">
        <v>1194</v>
      </c>
      <c r="W195" s="1">
        <v>40787</v>
      </c>
    </row>
    <row r="196" spans="1:23">
      <c r="A196" t="b">
        <f>_xlfn.IFNA(VLOOKUP(D196,Spelerslijst!A:B,1,FALSE),FALSE)</f>
        <v>0</v>
      </c>
      <c r="B196" t="str">
        <f>_xlfn.IFNA(VLOOKUP(D196,Spelerslijst!J:K,1,FALSE),FALSE)</f>
        <v>NLX00G3</v>
      </c>
      <c r="C196" t="str">
        <f t="shared" si="3"/>
        <v/>
      </c>
      <c r="D196" t="s">
        <v>421</v>
      </c>
      <c r="E196" t="s">
        <v>2022</v>
      </c>
      <c r="F196" s="1">
        <v>40100</v>
      </c>
      <c r="G196" t="s">
        <v>1162</v>
      </c>
      <c r="H196" t="s">
        <v>2009</v>
      </c>
      <c r="I196">
        <v>14</v>
      </c>
      <c r="K196" t="s">
        <v>2018</v>
      </c>
      <c r="L196" t="s">
        <v>1187</v>
      </c>
      <c r="M196" t="s">
        <v>1166</v>
      </c>
      <c r="N196" t="s">
        <v>2023</v>
      </c>
      <c r="P196" t="s">
        <v>2024</v>
      </c>
      <c r="Q196" t="s">
        <v>1190</v>
      </c>
      <c r="R196" t="s">
        <v>1170</v>
      </c>
      <c r="S196">
        <v>230</v>
      </c>
      <c r="T196" t="s">
        <v>1182</v>
      </c>
      <c r="U196" t="s">
        <v>1172</v>
      </c>
      <c r="V196" t="s">
        <v>1213</v>
      </c>
      <c r="W196" s="1">
        <v>42876</v>
      </c>
    </row>
    <row r="197" spans="1:23">
      <c r="A197" t="b">
        <f>_xlfn.IFNA(VLOOKUP(D197,Spelerslijst!A:B,1,FALSE),FALSE)</f>
        <v>0</v>
      </c>
      <c r="B197" t="str">
        <f>_xlfn.IFNA(VLOOKUP(D197,Spelerslijst!J:K,1,FALSE),FALSE)</f>
        <v>NJF53H2</v>
      </c>
      <c r="C197" t="str">
        <f t="shared" si="3"/>
        <v/>
      </c>
      <c r="D197" t="s">
        <v>783</v>
      </c>
      <c r="E197" t="s">
        <v>2025</v>
      </c>
      <c r="F197" s="1">
        <v>35330</v>
      </c>
      <c r="G197" t="s">
        <v>1162</v>
      </c>
      <c r="H197" t="s">
        <v>2009</v>
      </c>
      <c r="I197">
        <v>46</v>
      </c>
      <c r="K197" t="s">
        <v>2018</v>
      </c>
      <c r="L197" t="s">
        <v>1187</v>
      </c>
      <c r="M197" t="s">
        <v>1166</v>
      </c>
      <c r="N197" t="s">
        <v>2026</v>
      </c>
      <c r="P197" t="s">
        <v>2027</v>
      </c>
      <c r="Q197" t="s">
        <v>1190</v>
      </c>
      <c r="R197" t="s">
        <v>1170</v>
      </c>
      <c r="S197">
        <v>200</v>
      </c>
      <c r="T197" t="s">
        <v>1182</v>
      </c>
      <c r="U197" t="s">
        <v>1172</v>
      </c>
      <c r="V197" t="s">
        <v>1173</v>
      </c>
      <c r="W197" s="1">
        <v>37923</v>
      </c>
    </row>
    <row r="198" spans="1:23">
      <c r="A198" t="b">
        <f>_xlfn.IFNA(VLOOKUP(D198,Spelerslijst!A:B,1,FALSE),FALSE)</f>
        <v>0</v>
      </c>
      <c r="B198" t="str">
        <f>_xlfn.IFNA(VLOOKUP(D198,Spelerslijst!J:K,1,FALSE),FALSE)</f>
        <v>NLM05B2</v>
      </c>
      <c r="C198" t="str">
        <f t="shared" si="3"/>
        <v/>
      </c>
      <c r="D198" t="s">
        <v>328</v>
      </c>
      <c r="E198" t="s">
        <v>2028</v>
      </c>
      <c r="F198" s="1">
        <v>39346</v>
      </c>
      <c r="G198" t="s">
        <v>1162</v>
      </c>
      <c r="H198" t="s">
        <v>2029</v>
      </c>
      <c r="I198">
        <v>20</v>
      </c>
      <c r="J198" t="s">
        <v>2030</v>
      </c>
      <c r="K198" t="s">
        <v>2031</v>
      </c>
      <c r="L198" t="s">
        <v>1187</v>
      </c>
      <c r="M198" t="s">
        <v>1166</v>
      </c>
      <c r="N198" t="s">
        <v>2032</v>
      </c>
      <c r="O198" t="s">
        <v>2033</v>
      </c>
      <c r="P198" t="s">
        <v>2034</v>
      </c>
      <c r="Q198" t="s">
        <v>1190</v>
      </c>
      <c r="R198" t="s">
        <v>1170</v>
      </c>
      <c r="S198">
        <v>220</v>
      </c>
      <c r="T198" t="s">
        <v>1182</v>
      </c>
      <c r="U198" t="s">
        <v>1172</v>
      </c>
      <c r="V198" t="s">
        <v>1207</v>
      </c>
      <c r="W198" s="1">
        <v>41913</v>
      </c>
    </row>
    <row r="199" spans="1:23">
      <c r="A199" t="b">
        <f>_xlfn.IFNA(VLOOKUP(D199,Spelerslijst!A:B,1,FALSE),FALSE)</f>
        <v>0</v>
      </c>
      <c r="B199" t="str">
        <f>_xlfn.IFNA(VLOOKUP(D199,Spelerslijst!J:K,1,FALSE),FALSE)</f>
        <v>NLS85J4</v>
      </c>
      <c r="C199" t="str">
        <f t="shared" si="3"/>
        <v/>
      </c>
      <c r="D199" t="s">
        <v>426</v>
      </c>
      <c r="E199" t="s">
        <v>2035</v>
      </c>
      <c r="F199" s="1">
        <v>40058</v>
      </c>
      <c r="G199" t="s">
        <v>1162</v>
      </c>
      <c r="H199" t="s">
        <v>2029</v>
      </c>
      <c r="I199">
        <v>20</v>
      </c>
      <c r="J199" t="s">
        <v>2030</v>
      </c>
      <c r="K199" t="s">
        <v>2031</v>
      </c>
      <c r="L199" t="s">
        <v>1187</v>
      </c>
      <c r="M199" t="s">
        <v>1166</v>
      </c>
      <c r="N199" t="s">
        <v>2032</v>
      </c>
      <c r="O199" t="s">
        <v>2033</v>
      </c>
      <c r="P199" t="s">
        <v>2034</v>
      </c>
      <c r="Q199" t="s">
        <v>1190</v>
      </c>
      <c r="R199" t="s">
        <v>1170</v>
      </c>
      <c r="S199">
        <v>230</v>
      </c>
      <c r="T199" t="s">
        <v>1182</v>
      </c>
      <c r="U199" t="s">
        <v>1172</v>
      </c>
      <c r="V199" t="s">
        <v>1213</v>
      </c>
      <c r="W199" s="1">
        <v>42548</v>
      </c>
    </row>
    <row r="200" spans="1:23">
      <c r="A200" t="b">
        <f>_xlfn.IFNA(VLOOKUP(D200,Spelerslijst!A:B,1,FALSE),FALSE)</f>
        <v>0</v>
      </c>
      <c r="B200" t="str">
        <f>_xlfn.IFNA(VLOOKUP(D200,Spelerslijst!J:K,1,FALSE),FALSE)</f>
        <v>NJF77Y3</v>
      </c>
      <c r="C200" t="str">
        <f t="shared" si="3"/>
        <v/>
      </c>
      <c r="D200" t="s">
        <v>751</v>
      </c>
      <c r="E200" t="s">
        <v>2036</v>
      </c>
      <c r="F200" s="1">
        <v>35550</v>
      </c>
      <c r="G200" t="s">
        <v>1162</v>
      </c>
      <c r="H200" t="s">
        <v>2037</v>
      </c>
      <c r="I200">
        <v>91</v>
      </c>
      <c r="K200" t="s">
        <v>2038</v>
      </c>
      <c r="L200" t="s">
        <v>1187</v>
      </c>
      <c r="M200" t="s">
        <v>1166</v>
      </c>
      <c r="N200" t="s">
        <v>2039</v>
      </c>
      <c r="O200" t="s">
        <v>2040</v>
      </c>
      <c r="P200" t="s">
        <v>2041</v>
      </c>
      <c r="Q200" t="s">
        <v>1190</v>
      </c>
      <c r="R200" t="s">
        <v>1170</v>
      </c>
      <c r="S200">
        <v>200</v>
      </c>
      <c r="T200" t="s">
        <v>1182</v>
      </c>
      <c r="U200" t="s">
        <v>1172</v>
      </c>
      <c r="V200" t="s">
        <v>1173</v>
      </c>
      <c r="W200" s="1">
        <v>37860</v>
      </c>
    </row>
    <row r="201" spans="1:23">
      <c r="A201" t="b">
        <f>_xlfn.IFNA(VLOOKUP(D201,Spelerslijst!A:B,1,FALSE),FALSE)</f>
        <v>0</v>
      </c>
      <c r="B201" t="str">
        <f>_xlfn.IFNA(VLOOKUP(D201,Spelerslijst!J:K,1,FALSE),FALSE)</f>
        <v>NGD51N5</v>
      </c>
      <c r="C201" t="str">
        <f t="shared" si="3"/>
        <v/>
      </c>
      <c r="D201" t="s">
        <v>805</v>
      </c>
      <c r="E201" t="s">
        <v>2042</v>
      </c>
      <c r="F201" s="1">
        <v>32357</v>
      </c>
      <c r="G201" t="s">
        <v>1162</v>
      </c>
      <c r="H201" t="s">
        <v>2043</v>
      </c>
      <c r="I201">
        <v>65</v>
      </c>
      <c r="K201" t="s">
        <v>2044</v>
      </c>
      <c r="L201" t="s">
        <v>1187</v>
      </c>
      <c r="M201" t="s">
        <v>1166</v>
      </c>
      <c r="N201" t="s">
        <v>2045</v>
      </c>
      <c r="P201" t="s">
        <v>2046</v>
      </c>
      <c r="Q201" t="s">
        <v>1190</v>
      </c>
      <c r="R201" t="s">
        <v>1170</v>
      </c>
      <c r="S201">
        <v>200</v>
      </c>
      <c r="T201" t="s">
        <v>1182</v>
      </c>
      <c r="U201" t="s">
        <v>1172</v>
      </c>
      <c r="V201" t="s">
        <v>1173</v>
      </c>
      <c r="W201" s="1">
        <v>34731</v>
      </c>
    </row>
    <row r="202" spans="1:23">
      <c r="A202" t="str">
        <f>_xlfn.IFNA(VLOOKUP(D202,Spelerslijst!A:B,1,FALSE),FALSE)</f>
        <v>NJK42D1</v>
      </c>
      <c r="B202" t="b">
        <f>_xlfn.IFNA(VLOOKUP(D202,Spelerslijst!J:K,1,FALSE),FALSE)</f>
        <v>0</v>
      </c>
      <c r="C202" t="str">
        <f t="shared" si="3"/>
        <v/>
      </c>
      <c r="D202" t="s">
        <v>69</v>
      </c>
      <c r="E202" t="s">
        <v>2047</v>
      </c>
      <c r="F202" s="1">
        <v>33696</v>
      </c>
      <c r="G202" t="s">
        <v>1174</v>
      </c>
      <c r="H202" t="s">
        <v>2043</v>
      </c>
      <c r="I202">
        <v>65</v>
      </c>
      <c r="K202" t="s">
        <v>2044</v>
      </c>
      <c r="L202" t="s">
        <v>1187</v>
      </c>
      <c r="M202" t="s">
        <v>1166</v>
      </c>
      <c r="N202" t="s">
        <v>2048</v>
      </c>
      <c r="P202" t="s">
        <v>2049</v>
      </c>
      <c r="Q202" t="s">
        <v>1190</v>
      </c>
      <c r="R202" t="s">
        <v>1170</v>
      </c>
      <c r="S202">
        <v>200</v>
      </c>
      <c r="T202" t="s">
        <v>1182</v>
      </c>
      <c r="U202" t="s">
        <v>1172</v>
      </c>
      <c r="V202" t="s">
        <v>1173</v>
      </c>
      <c r="W202" s="1">
        <v>36103</v>
      </c>
    </row>
    <row r="203" spans="1:23">
      <c r="A203" t="str">
        <f>_xlfn.IFNA(VLOOKUP(D203,Spelerslijst!A:B,1,FALSE),FALSE)</f>
        <v>NMJ81C1</v>
      </c>
      <c r="B203" t="b">
        <f>_xlfn.IFNA(VLOOKUP(D203,Spelerslijst!J:K,1,FALSE),FALSE)</f>
        <v>0</v>
      </c>
      <c r="C203" t="str">
        <f t="shared" si="3"/>
        <v/>
      </c>
      <c r="D203" t="s">
        <v>214</v>
      </c>
      <c r="E203" t="s">
        <v>2050</v>
      </c>
      <c r="F203" s="1">
        <v>41123</v>
      </c>
      <c r="G203" t="s">
        <v>1174</v>
      </c>
      <c r="H203" t="s">
        <v>2043</v>
      </c>
      <c r="I203">
        <v>82</v>
      </c>
      <c r="K203" t="s">
        <v>2051</v>
      </c>
      <c r="L203" t="s">
        <v>1187</v>
      </c>
      <c r="M203" t="s">
        <v>1166</v>
      </c>
      <c r="N203" t="s">
        <v>2052</v>
      </c>
      <c r="P203" t="s">
        <v>2053</v>
      </c>
      <c r="Q203" t="s">
        <v>1190</v>
      </c>
      <c r="R203" t="s">
        <v>1170</v>
      </c>
      <c r="S203">
        <v>230</v>
      </c>
      <c r="T203" t="s">
        <v>1182</v>
      </c>
      <c r="U203" t="s">
        <v>1172</v>
      </c>
      <c r="V203" t="s">
        <v>1213</v>
      </c>
      <c r="W203" s="1">
        <v>43992</v>
      </c>
    </row>
    <row r="204" spans="1:23">
      <c r="A204" t="str">
        <f>_xlfn.IFNA(VLOOKUP(D204,Spelerslijst!A:B,1,FALSE),FALSE)</f>
        <v>NMK83B1</v>
      </c>
      <c r="B204" t="b">
        <f>_xlfn.IFNA(VLOOKUP(D204,Spelerslijst!J:K,1,FALSE),FALSE)</f>
        <v>0</v>
      </c>
      <c r="C204" t="str">
        <f t="shared" si="3"/>
        <v/>
      </c>
      <c r="D204" t="s">
        <v>348</v>
      </c>
      <c r="E204" t="s">
        <v>2054</v>
      </c>
      <c r="F204" s="1">
        <v>41822</v>
      </c>
      <c r="G204" t="s">
        <v>1174</v>
      </c>
      <c r="H204" t="s">
        <v>2043</v>
      </c>
      <c r="I204">
        <v>82</v>
      </c>
      <c r="K204" t="s">
        <v>2051</v>
      </c>
      <c r="L204" t="s">
        <v>1187</v>
      </c>
      <c r="M204" t="s">
        <v>1166</v>
      </c>
      <c r="N204" t="s">
        <v>2052</v>
      </c>
      <c r="P204" t="s">
        <v>2055</v>
      </c>
      <c r="Q204" t="s">
        <v>1190</v>
      </c>
      <c r="R204" t="s">
        <v>1170</v>
      </c>
      <c r="S204">
        <v>230</v>
      </c>
      <c r="T204" t="s">
        <v>1182</v>
      </c>
      <c r="U204" t="s">
        <v>1172</v>
      </c>
      <c r="V204" t="s">
        <v>1213</v>
      </c>
      <c r="W204" s="1">
        <v>44086</v>
      </c>
    </row>
    <row r="205" spans="1:23">
      <c r="A205" t="str">
        <f>_xlfn.IFNA(VLOOKUP(D205,Spelerslijst!A:B,1,FALSE),FALSE)</f>
        <v>NML82P7</v>
      </c>
      <c r="B205" t="b">
        <f>_xlfn.IFNA(VLOOKUP(D205,Spelerslijst!J:K,1,FALSE),FALSE)</f>
        <v>0</v>
      </c>
      <c r="C205" t="str">
        <f t="shared" si="3"/>
        <v/>
      </c>
      <c r="D205" t="s">
        <v>279</v>
      </c>
      <c r="E205" t="s">
        <v>2056</v>
      </c>
      <c r="F205" s="1">
        <v>38201</v>
      </c>
      <c r="G205" t="s">
        <v>1174</v>
      </c>
      <c r="H205" t="s">
        <v>2057</v>
      </c>
      <c r="I205">
        <v>13</v>
      </c>
      <c r="K205" t="s">
        <v>2058</v>
      </c>
      <c r="L205" t="s">
        <v>1187</v>
      </c>
      <c r="M205" t="s">
        <v>1166</v>
      </c>
      <c r="N205" t="s">
        <v>2059</v>
      </c>
      <c r="O205" t="s">
        <v>2060</v>
      </c>
      <c r="P205" t="s">
        <v>2061</v>
      </c>
      <c r="Q205" t="s">
        <v>1190</v>
      </c>
      <c r="R205" t="s">
        <v>1170</v>
      </c>
      <c r="S205">
        <v>210</v>
      </c>
      <c r="T205" t="s">
        <v>1182</v>
      </c>
      <c r="U205" t="s">
        <v>1172</v>
      </c>
      <c r="V205" t="s">
        <v>1194</v>
      </c>
      <c r="W205" s="1">
        <v>44248</v>
      </c>
    </row>
    <row r="206" spans="1:23">
      <c r="A206" t="b">
        <f>_xlfn.IFNA(VLOOKUP(D206,Spelerslijst!A:B,1,FALSE),FALSE)</f>
        <v>0</v>
      </c>
      <c r="B206" t="str">
        <f>_xlfn.IFNA(VLOOKUP(D206,Spelerslijst!J:K,1,FALSE),FALSE)</f>
        <v>NLP78P7</v>
      </c>
      <c r="C206" t="str">
        <f t="shared" si="3"/>
        <v/>
      </c>
      <c r="D206" t="s">
        <v>477</v>
      </c>
      <c r="E206" t="s">
        <v>2062</v>
      </c>
      <c r="F206" s="1">
        <v>40381</v>
      </c>
      <c r="G206" t="s">
        <v>1162</v>
      </c>
      <c r="H206" t="s">
        <v>2063</v>
      </c>
      <c r="I206">
        <v>61</v>
      </c>
      <c r="K206" t="s">
        <v>2064</v>
      </c>
      <c r="L206" t="s">
        <v>1187</v>
      </c>
      <c r="M206" t="s">
        <v>1166</v>
      </c>
      <c r="N206" t="s">
        <v>2065</v>
      </c>
      <c r="O206" t="s">
        <v>2066</v>
      </c>
      <c r="P206" t="s">
        <v>2067</v>
      </c>
      <c r="Q206" t="s">
        <v>1190</v>
      </c>
      <c r="R206" t="s">
        <v>1170</v>
      </c>
      <c r="S206">
        <v>230</v>
      </c>
      <c r="T206" t="s">
        <v>1182</v>
      </c>
      <c r="U206" t="s">
        <v>1172</v>
      </c>
      <c r="V206" t="s">
        <v>1213</v>
      </c>
      <c r="W206" s="1">
        <v>42248</v>
      </c>
    </row>
    <row r="207" spans="1:23">
      <c r="A207" t="b">
        <f>_xlfn.IFNA(VLOOKUP(D207,Spelerslijst!A:B,1,FALSE),FALSE)</f>
        <v>0</v>
      </c>
      <c r="B207" t="str">
        <f>_xlfn.IFNA(VLOOKUP(D207,Spelerslijst!J:K,1,FALSE),FALSE)</f>
        <v>NLP78Q4</v>
      </c>
      <c r="C207" t="str">
        <f t="shared" si="3"/>
        <v/>
      </c>
      <c r="D207" t="s">
        <v>397</v>
      </c>
      <c r="E207" t="s">
        <v>2068</v>
      </c>
      <c r="F207" s="1">
        <v>39686</v>
      </c>
      <c r="G207" t="s">
        <v>1162</v>
      </c>
      <c r="H207" t="s">
        <v>2063</v>
      </c>
      <c r="I207">
        <v>61</v>
      </c>
      <c r="K207" t="s">
        <v>2064</v>
      </c>
      <c r="L207" t="s">
        <v>1187</v>
      </c>
      <c r="M207" t="s">
        <v>1166</v>
      </c>
      <c r="N207" t="s">
        <v>2065</v>
      </c>
      <c r="P207" t="s">
        <v>2067</v>
      </c>
      <c r="Q207" t="s">
        <v>1190</v>
      </c>
      <c r="R207" t="s">
        <v>1170</v>
      </c>
      <c r="S207">
        <v>220</v>
      </c>
      <c r="T207" t="s">
        <v>1182</v>
      </c>
      <c r="U207" t="s">
        <v>1172</v>
      </c>
      <c r="V207" t="s">
        <v>1207</v>
      </c>
      <c r="W207" s="1">
        <v>42248</v>
      </c>
    </row>
    <row r="208" spans="1:23">
      <c r="A208" t="str">
        <f>_xlfn.IFNA(VLOOKUP(D208,Spelerslijst!A:B,1,FALSE),FALSE)</f>
        <v>NLL20B6</v>
      </c>
      <c r="B208" t="b">
        <f>_xlfn.IFNA(VLOOKUP(D208,Spelerslijst!J:K,1,FALSE),FALSE)</f>
        <v>0</v>
      </c>
      <c r="C208" t="str">
        <f t="shared" si="3"/>
        <v/>
      </c>
      <c r="D208" t="s">
        <v>160</v>
      </c>
      <c r="E208" t="s">
        <v>2069</v>
      </c>
      <c r="F208" s="1">
        <v>38451</v>
      </c>
      <c r="G208" t="s">
        <v>1174</v>
      </c>
      <c r="H208" t="s">
        <v>2063</v>
      </c>
      <c r="I208">
        <v>56</v>
      </c>
      <c r="K208" t="s">
        <v>2070</v>
      </c>
      <c r="L208" t="s">
        <v>1187</v>
      </c>
      <c r="M208" t="s">
        <v>1166</v>
      </c>
      <c r="N208" t="s">
        <v>2071</v>
      </c>
      <c r="O208" t="s">
        <v>2072</v>
      </c>
      <c r="P208" t="s">
        <v>2073</v>
      </c>
      <c r="Q208" t="s">
        <v>1190</v>
      </c>
      <c r="R208" t="s">
        <v>1170</v>
      </c>
      <c r="S208">
        <v>220</v>
      </c>
      <c r="T208" t="s">
        <v>1182</v>
      </c>
      <c r="U208" t="s">
        <v>1172</v>
      </c>
      <c r="V208" t="s">
        <v>1207</v>
      </c>
      <c r="W208" s="1">
        <v>41883</v>
      </c>
    </row>
    <row r="209" spans="1:23">
      <c r="A209" t="str">
        <f>_xlfn.IFNA(VLOOKUP(D209,Spelerslijst!A:B,1,FALSE),FALSE)</f>
        <v>NMB03R4</v>
      </c>
      <c r="B209" t="b">
        <f>_xlfn.IFNA(VLOOKUP(D209,Spelerslijst!J:K,1,FALSE),FALSE)</f>
        <v>0</v>
      </c>
      <c r="C209" t="str">
        <f t="shared" si="3"/>
        <v/>
      </c>
      <c r="D209" t="s">
        <v>394</v>
      </c>
      <c r="E209" t="s">
        <v>2074</v>
      </c>
      <c r="F209" s="1">
        <v>41047</v>
      </c>
      <c r="G209" t="s">
        <v>1174</v>
      </c>
      <c r="H209" t="s">
        <v>2075</v>
      </c>
      <c r="I209">
        <v>50</v>
      </c>
      <c r="K209" t="s">
        <v>2076</v>
      </c>
      <c r="L209" t="s">
        <v>1187</v>
      </c>
      <c r="M209" t="s">
        <v>1166</v>
      </c>
      <c r="N209" t="s">
        <v>2077</v>
      </c>
      <c r="P209" t="s">
        <v>2078</v>
      </c>
      <c r="Q209" t="s">
        <v>1190</v>
      </c>
      <c r="R209" t="s">
        <v>1170</v>
      </c>
      <c r="S209">
        <v>230</v>
      </c>
      <c r="T209" t="s">
        <v>1182</v>
      </c>
      <c r="U209" t="s">
        <v>1172</v>
      </c>
      <c r="V209" t="s">
        <v>1213</v>
      </c>
      <c r="W209" s="1">
        <v>43181</v>
      </c>
    </row>
    <row r="210" spans="1:23">
      <c r="A210" t="str">
        <f>_xlfn.IFNA(VLOOKUP(D210,Spelerslijst!A:B,1,FALSE),FALSE)</f>
        <v>NMD34T8</v>
      </c>
      <c r="B210" t="b">
        <f>_xlfn.IFNA(VLOOKUP(D210,Spelerslijst!J:K,1,FALSE),FALSE)</f>
        <v>0</v>
      </c>
      <c r="C210" t="str">
        <f t="shared" si="3"/>
        <v/>
      </c>
      <c r="D210" t="s">
        <v>400</v>
      </c>
      <c r="E210" t="s">
        <v>2079</v>
      </c>
      <c r="F210" s="1">
        <v>41807</v>
      </c>
      <c r="G210" t="s">
        <v>1174</v>
      </c>
      <c r="H210" t="s">
        <v>2075</v>
      </c>
      <c r="I210">
        <v>50</v>
      </c>
      <c r="K210" t="s">
        <v>2076</v>
      </c>
      <c r="L210" t="s">
        <v>1187</v>
      </c>
      <c r="M210" t="s">
        <v>1166</v>
      </c>
      <c r="N210" t="s">
        <v>2077</v>
      </c>
      <c r="P210" t="s">
        <v>2078</v>
      </c>
      <c r="Q210" t="s">
        <v>1190</v>
      </c>
      <c r="R210" t="s">
        <v>1170</v>
      </c>
      <c r="S210">
        <v>230</v>
      </c>
      <c r="T210" t="s">
        <v>1182</v>
      </c>
      <c r="U210" t="s">
        <v>1172</v>
      </c>
      <c r="V210" t="s">
        <v>1213</v>
      </c>
      <c r="W210" s="1">
        <v>43407</v>
      </c>
    </row>
    <row r="211" spans="1:23">
      <c r="A211" t="b">
        <f>_xlfn.IFNA(VLOOKUP(D211,Spelerslijst!A:B,1,FALSE),FALSE)</f>
        <v>0</v>
      </c>
      <c r="B211" t="str">
        <f>_xlfn.IFNA(VLOOKUP(D211,Spelerslijst!J:K,1,FALSE),FALSE)</f>
        <v>NJH76N5</v>
      </c>
      <c r="C211" t="str">
        <f t="shared" si="3"/>
        <v/>
      </c>
      <c r="D211" t="s">
        <v>672</v>
      </c>
      <c r="E211" t="s">
        <v>2080</v>
      </c>
      <c r="F211" s="1">
        <v>36143</v>
      </c>
      <c r="G211" t="s">
        <v>1162</v>
      </c>
      <c r="H211" t="s">
        <v>2081</v>
      </c>
      <c r="I211">
        <v>5</v>
      </c>
      <c r="K211" t="s">
        <v>2082</v>
      </c>
      <c r="L211" t="s">
        <v>1187</v>
      </c>
      <c r="M211" t="s">
        <v>1166</v>
      </c>
      <c r="N211" t="s">
        <v>2083</v>
      </c>
      <c r="O211" t="s">
        <v>2040</v>
      </c>
      <c r="P211" t="s">
        <v>2084</v>
      </c>
      <c r="Q211" t="s">
        <v>1190</v>
      </c>
      <c r="R211" t="s">
        <v>1170</v>
      </c>
      <c r="S211">
        <v>200</v>
      </c>
      <c r="T211" t="s">
        <v>1182</v>
      </c>
      <c r="U211" t="s">
        <v>1172</v>
      </c>
      <c r="V211" t="s">
        <v>1173</v>
      </c>
      <c r="W211" s="1">
        <v>38231</v>
      </c>
    </row>
    <row r="212" spans="1:23">
      <c r="A212" t="b">
        <f>_xlfn.IFNA(VLOOKUP(D212,Spelerslijst!A:B,1,FALSE),FALSE)</f>
        <v>0</v>
      </c>
      <c r="B212" t="str">
        <f>_xlfn.IFNA(VLOOKUP(D212,Spelerslijst!J:K,1,FALSE),FALSE)</f>
        <v>NJX60W1</v>
      </c>
      <c r="C212" t="str">
        <f t="shared" si="3"/>
        <v/>
      </c>
      <c r="D212" t="s">
        <v>115</v>
      </c>
      <c r="E212" t="s">
        <v>2085</v>
      </c>
      <c r="F212" s="1">
        <v>36833</v>
      </c>
      <c r="G212" t="s">
        <v>1162</v>
      </c>
      <c r="H212" t="s">
        <v>2081</v>
      </c>
      <c r="I212">
        <v>5</v>
      </c>
      <c r="K212" t="s">
        <v>2082</v>
      </c>
      <c r="L212" t="s">
        <v>1187</v>
      </c>
      <c r="M212" t="s">
        <v>1166</v>
      </c>
      <c r="N212" t="s">
        <v>2086</v>
      </c>
      <c r="O212" t="s">
        <v>2040</v>
      </c>
      <c r="P212" t="s">
        <v>2087</v>
      </c>
      <c r="Q212" t="s">
        <v>1190</v>
      </c>
      <c r="R212" t="s">
        <v>1170</v>
      </c>
      <c r="S212">
        <v>210</v>
      </c>
      <c r="T212" t="s">
        <v>1182</v>
      </c>
      <c r="U212" t="s">
        <v>1172</v>
      </c>
      <c r="V212" t="s">
        <v>1173</v>
      </c>
      <c r="W212" s="1">
        <v>39022</v>
      </c>
    </row>
    <row r="213" spans="1:23">
      <c r="A213" t="b">
        <f>_xlfn.IFNA(VLOOKUP(D213,Spelerslijst!A:B,1,FALSE),FALSE)</f>
        <v>0</v>
      </c>
      <c r="B213" t="str">
        <f>_xlfn.IFNA(VLOOKUP(D213,Spelerslijst!J:K,1,FALSE),FALSE)</f>
        <v>NFW92M3</v>
      </c>
      <c r="C213" t="str">
        <f t="shared" si="3"/>
        <v/>
      </c>
      <c r="D213" t="s">
        <v>833</v>
      </c>
      <c r="E213" t="s">
        <v>2088</v>
      </c>
      <c r="F213" s="1">
        <v>29340</v>
      </c>
      <c r="G213" t="s">
        <v>1162</v>
      </c>
      <c r="H213" t="s">
        <v>2089</v>
      </c>
      <c r="I213">
        <v>135</v>
      </c>
      <c r="K213" t="s">
        <v>2090</v>
      </c>
      <c r="L213" t="s">
        <v>1187</v>
      </c>
      <c r="M213" t="s">
        <v>1166</v>
      </c>
      <c r="N213" t="s">
        <v>2091</v>
      </c>
      <c r="P213" t="s">
        <v>2092</v>
      </c>
      <c r="Q213" t="s">
        <v>1190</v>
      </c>
      <c r="R213" t="s">
        <v>1170</v>
      </c>
      <c r="S213">
        <v>200</v>
      </c>
      <c r="T213" t="s">
        <v>1182</v>
      </c>
      <c r="U213" t="s">
        <v>1172</v>
      </c>
      <c r="V213" t="s">
        <v>1173</v>
      </c>
      <c r="W213" s="1">
        <v>37921</v>
      </c>
    </row>
    <row r="214" spans="1:23">
      <c r="A214" t="str">
        <f>_xlfn.IFNA(VLOOKUP(D214,Spelerslijst!A:B,1,FALSE),FALSE)</f>
        <v>NGQ19P6</v>
      </c>
      <c r="B214" t="b">
        <f>_xlfn.IFNA(VLOOKUP(D214,Spelerslijst!J:K,1,FALSE),FALSE)</f>
        <v>0</v>
      </c>
      <c r="C214" t="str">
        <f t="shared" si="3"/>
        <v/>
      </c>
      <c r="D214" t="s">
        <v>602</v>
      </c>
      <c r="E214" t="s">
        <v>2093</v>
      </c>
      <c r="F214" s="1">
        <v>31209</v>
      </c>
      <c r="G214" t="s">
        <v>1174</v>
      </c>
      <c r="H214" t="s">
        <v>2089</v>
      </c>
      <c r="I214">
        <v>135</v>
      </c>
      <c r="K214" t="s">
        <v>2090</v>
      </c>
      <c r="L214" t="s">
        <v>1187</v>
      </c>
      <c r="M214" t="s">
        <v>1166</v>
      </c>
      <c r="N214" t="s">
        <v>2094</v>
      </c>
      <c r="P214" t="s">
        <v>2095</v>
      </c>
      <c r="Q214" t="s">
        <v>1190</v>
      </c>
      <c r="R214" t="s">
        <v>1170</v>
      </c>
      <c r="S214">
        <v>200</v>
      </c>
      <c r="T214" t="s">
        <v>1182</v>
      </c>
      <c r="U214" t="s">
        <v>1172</v>
      </c>
      <c r="V214" t="s">
        <v>1173</v>
      </c>
      <c r="W214" s="1">
        <v>40603</v>
      </c>
    </row>
    <row r="215" spans="1:23">
      <c r="A215" t="b">
        <f>_xlfn.IFNA(VLOOKUP(D215,Spelerslijst!A:B,1,FALSE),FALSE)</f>
        <v>0</v>
      </c>
      <c r="B215" t="str">
        <f>_xlfn.IFNA(VLOOKUP(D215,Spelerslijst!J:K,1,FALSE),FALSE)</f>
        <v>NLV80M3</v>
      </c>
      <c r="C215" t="str">
        <f t="shared" si="3"/>
        <v/>
      </c>
      <c r="D215" t="s">
        <v>499</v>
      </c>
      <c r="E215" t="s">
        <v>2096</v>
      </c>
      <c r="F215" s="1">
        <v>41044</v>
      </c>
      <c r="G215" t="s">
        <v>1162</v>
      </c>
      <c r="H215" t="s">
        <v>2089</v>
      </c>
      <c r="I215">
        <v>135</v>
      </c>
      <c r="K215" t="s">
        <v>2090</v>
      </c>
      <c r="L215" t="s">
        <v>1187</v>
      </c>
      <c r="M215" t="s">
        <v>1166</v>
      </c>
      <c r="N215" t="s">
        <v>2094</v>
      </c>
      <c r="P215" t="s">
        <v>2095</v>
      </c>
      <c r="Q215" t="s">
        <v>1190</v>
      </c>
      <c r="R215" t="s">
        <v>1170</v>
      </c>
      <c r="S215">
        <v>230</v>
      </c>
      <c r="T215" t="s">
        <v>1182</v>
      </c>
      <c r="U215" t="s">
        <v>1172</v>
      </c>
      <c r="V215" t="s">
        <v>1213</v>
      </c>
      <c r="W215" s="1">
        <v>42711</v>
      </c>
    </row>
    <row r="216" spans="1:23">
      <c r="A216" t="b">
        <f>_xlfn.IFNA(VLOOKUP(D216,Spelerslijst!A:B,1,FALSE),FALSE)</f>
        <v>0</v>
      </c>
      <c r="B216" t="str">
        <f>_xlfn.IFNA(VLOOKUP(D216,Spelerslijst!J:K,1,FALSE),FALSE)</f>
        <v>NLG58X4</v>
      </c>
      <c r="C216" t="str">
        <f t="shared" si="3"/>
        <v/>
      </c>
      <c r="D216" t="s">
        <v>386</v>
      </c>
      <c r="E216" t="s">
        <v>2097</v>
      </c>
      <c r="F216" s="1">
        <v>39196</v>
      </c>
      <c r="G216" t="s">
        <v>1162</v>
      </c>
      <c r="H216" t="s">
        <v>2089</v>
      </c>
      <c r="I216">
        <v>236</v>
      </c>
      <c r="K216" t="s">
        <v>2098</v>
      </c>
      <c r="L216" t="s">
        <v>1187</v>
      </c>
      <c r="M216" t="s">
        <v>1166</v>
      </c>
      <c r="N216" t="s">
        <v>2099</v>
      </c>
      <c r="O216" t="s">
        <v>2100</v>
      </c>
      <c r="P216" t="s">
        <v>2101</v>
      </c>
      <c r="Q216" t="s">
        <v>1190</v>
      </c>
      <c r="R216" t="s">
        <v>1170</v>
      </c>
      <c r="S216">
        <v>220</v>
      </c>
      <c r="T216" t="s">
        <v>1182</v>
      </c>
      <c r="U216" t="s">
        <v>1172</v>
      </c>
      <c r="V216" t="s">
        <v>1207</v>
      </c>
      <c r="W216" s="1">
        <v>41518</v>
      </c>
    </row>
    <row r="217" spans="1:23">
      <c r="A217" t="str">
        <f>_xlfn.IFNA(VLOOKUP(D217,Spelerslijst!A:B,1,FALSE),FALSE)</f>
        <v>NLL53K3</v>
      </c>
      <c r="B217" t="b">
        <f>_xlfn.IFNA(VLOOKUP(D217,Spelerslijst!J:K,1,FALSE),FALSE)</f>
        <v>0</v>
      </c>
      <c r="C217" t="str">
        <f t="shared" si="3"/>
        <v/>
      </c>
      <c r="D217" t="s">
        <v>308</v>
      </c>
      <c r="E217" t="s">
        <v>2102</v>
      </c>
      <c r="F217" s="1">
        <v>40143</v>
      </c>
      <c r="G217" t="s">
        <v>1174</v>
      </c>
      <c r="H217" t="s">
        <v>2089</v>
      </c>
      <c r="I217">
        <v>236</v>
      </c>
      <c r="K217" t="s">
        <v>2098</v>
      </c>
      <c r="L217" t="s">
        <v>1187</v>
      </c>
      <c r="M217" t="s">
        <v>1166</v>
      </c>
      <c r="N217" t="s">
        <v>2103</v>
      </c>
      <c r="O217" t="s">
        <v>2100</v>
      </c>
      <c r="P217" t="s">
        <v>2101</v>
      </c>
      <c r="Q217" t="s">
        <v>1190</v>
      </c>
      <c r="R217" t="s">
        <v>1170</v>
      </c>
      <c r="S217">
        <v>230</v>
      </c>
      <c r="T217" t="s">
        <v>1182</v>
      </c>
      <c r="U217" t="s">
        <v>1172</v>
      </c>
      <c r="V217" t="s">
        <v>1213</v>
      </c>
      <c r="W217" s="1">
        <v>41883</v>
      </c>
    </row>
    <row r="218" spans="1:23">
      <c r="A218" t="str">
        <f>_xlfn.IFNA(VLOOKUP(D218,Spelerslijst!A:B,1,FALSE),FALSE)</f>
        <v>NMJ35H3</v>
      </c>
      <c r="B218" t="b">
        <f>_xlfn.IFNA(VLOOKUP(D218,Spelerslijst!J:K,1,FALSE),FALSE)</f>
        <v>0</v>
      </c>
      <c r="C218" t="str">
        <f t="shared" si="3"/>
        <v/>
      </c>
      <c r="D218" t="s">
        <v>314</v>
      </c>
      <c r="E218" t="s">
        <v>2104</v>
      </c>
      <c r="F218" s="1">
        <v>41901</v>
      </c>
      <c r="G218" t="s">
        <v>1174</v>
      </c>
      <c r="H218" t="s">
        <v>2089</v>
      </c>
      <c r="I218">
        <v>236</v>
      </c>
      <c r="K218" t="s">
        <v>2098</v>
      </c>
      <c r="L218" t="s">
        <v>1187</v>
      </c>
      <c r="M218" t="s">
        <v>1166</v>
      </c>
      <c r="N218" t="s">
        <v>2103</v>
      </c>
      <c r="O218" t="s">
        <v>2100</v>
      </c>
      <c r="P218" t="s">
        <v>2101</v>
      </c>
      <c r="Q218" t="s">
        <v>1190</v>
      </c>
      <c r="R218" t="s">
        <v>1170</v>
      </c>
      <c r="S218">
        <v>230</v>
      </c>
      <c r="T218" t="s">
        <v>1182</v>
      </c>
      <c r="U218" t="s">
        <v>1172</v>
      </c>
      <c r="V218" t="s">
        <v>1213</v>
      </c>
      <c r="W218" s="1">
        <v>43860</v>
      </c>
    </row>
    <row r="219" spans="1:23">
      <c r="A219" t="b">
        <f>_xlfn.IFNA(VLOOKUP(D219,Spelerslijst!A:B,1,FALSE),FALSE)</f>
        <v>0</v>
      </c>
      <c r="B219" t="str">
        <f>_xlfn.IFNA(VLOOKUP(D219,Spelerslijst!J:K,1,FALSE),FALSE)</f>
        <v>NLL20F4</v>
      </c>
      <c r="C219" t="str">
        <f t="shared" si="3"/>
        <v/>
      </c>
      <c r="D219" t="s">
        <v>316</v>
      </c>
      <c r="E219" t="s">
        <v>2105</v>
      </c>
      <c r="F219" s="1">
        <v>39018</v>
      </c>
      <c r="G219" t="s">
        <v>1162</v>
      </c>
      <c r="H219" t="s">
        <v>2106</v>
      </c>
      <c r="I219">
        <v>30</v>
      </c>
      <c r="K219" t="s">
        <v>2107</v>
      </c>
      <c r="L219" t="s">
        <v>1187</v>
      </c>
      <c r="M219" t="s">
        <v>1166</v>
      </c>
      <c r="N219" t="s">
        <v>2108</v>
      </c>
      <c r="P219" t="s">
        <v>2109</v>
      </c>
      <c r="Q219" t="s">
        <v>1190</v>
      </c>
      <c r="R219" t="s">
        <v>1170</v>
      </c>
      <c r="S219">
        <v>220</v>
      </c>
      <c r="T219" t="s">
        <v>1182</v>
      </c>
      <c r="U219" t="s">
        <v>1172</v>
      </c>
      <c r="V219" t="s">
        <v>1207</v>
      </c>
      <c r="W219" s="1">
        <v>41883</v>
      </c>
    </row>
    <row r="220" spans="1:23">
      <c r="A220" t="str">
        <f>_xlfn.IFNA(VLOOKUP(D220,Spelerslijst!A:B,1,FALSE),FALSE)</f>
        <v>NLL20G1</v>
      </c>
      <c r="B220" t="b">
        <f>_xlfn.IFNA(VLOOKUP(D220,Spelerslijst!J:K,1,FALSE),FALSE)</f>
        <v>0</v>
      </c>
      <c r="C220" t="str">
        <f t="shared" si="3"/>
        <v/>
      </c>
      <c r="D220" t="s">
        <v>244</v>
      </c>
      <c r="E220" t="s">
        <v>2110</v>
      </c>
      <c r="F220" s="1">
        <v>39804</v>
      </c>
      <c r="G220" t="s">
        <v>1174</v>
      </c>
      <c r="H220" t="s">
        <v>2106</v>
      </c>
      <c r="I220">
        <v>30</v>
      </c>
      <c r="K220" t="s">
        <v>2107</v>
      </c>
      <c r="L220" t="s">
        <v>1187</v>
      </c>
      <c r="M220" t="s">
        <v>1166</v>
      </c>
      <c r="N220" t="s">
        <v>2108</v>
      </c>
      <c r="P220" t="s">
        <v>2109</v>
      </c>
      <c r="Q220" t="s">
        <v>1190</v>
      </c>
      <c r="R220" t="s">
        <v>1170</v>
      </c>
      <c r="S220">
        <v>220</v>
      </c>
      <c r="T220" t="s">
        <v>1182</v>
      </c>
      <c r="U220" t="s">
        <v>1172</v>
      </c>
      <c r="V220" t="s">
        <v>1207</v>
      </c>
      <c r="W220" s="1">
        <v>41883</v>
      </c>
    </row>
    <row r="221" spans="1:23">
      <c r="A221" t="str">
        <f>_xlfn.IFNA(VLOOKUP(D221,Spelerslijst!A:B,1,FALSE),FALSE)</f>
        <v>NLL20H8</v>
      </c>
      <c r="B221" t="b">
        <f>_xlfn.IFNA(VLOOKUP(D221,Spelerslijst!J:K,1,FALSE),FALSE)</f>
        <v>0</v>
      </c>
      <c r="C221" t="str">
        <f t="shared" si="3"/>
        <v/>
      </c>
      <c r="D221" t="s">
        <v>249</v>
      </c>
      <c r="E221" t="s">
        <v>2111</v>
      </c>
      <c r="F221" s="1">
        <v>40429</v>
      </c>
      <c r="G221" t="s">
        <v>1174</v>
      </c>
      <c r="H221" t="s">
        <v>2106</v>
      </c>
      <c r="I221">
        <v>30</v>
      </c>
      <c r="K221" t="s">
        <v>2107</v>
      </c>
      <c r="L221" t="s">
        <v>1187</v>
      </c>
      <c r="M221" t="s">
        <v>1166</v>
      </c>
      <c r="N221" t="s">
        <v>2108</v>
      </c>
      <c r="P221" t="s">
        <v>2109</v>
      </c>
      <c r="Q221" t="s">
        <v>1190</v>
      </c>
      <c r="R221" t="s">
        <v>1170</v>
      </c>
      <c r="S221">
        <v>230</v>
      </c>
      <c r="T221" t="s">
        <v>1182</v>
      </c>
      <c r="U221" t="s">
        <v>1172</v>
      </c>
      <c r="V221" t="s">
        <v>1213</v>
      </c>
      <c r="W221" s="1">
        <v>41883</v>
      </c>
    </row>
    <row r="222" spans="1:23">
      <c r="A222" t="str">
        <f>_xlfn.IFNA(VLOOKUP(D222,Spelerslijst!A:B,1,FALSE),FALSE)</f>
        <v>NKR62S0</v>
      </c>
      <c r="B222" t="b">
        <f>_xlfn.IFNA(VLOOKUP(D222,Spelerslijst!J:K,1,FALSE),FALSE)</f>
        <v>0</v>
      </c>
      <c r="C222" t="str">
        <f t="shared" si="3"/>
        <v/>
      </c>
      <c r="D222" t="s">
        <v>285</v>
      </c>
      <c r="E222" t="s">
        <v>2112</v>
      </c>
      <c r="F222" s="1">
        <v>38035</v>
      </c>
      <c r="G222" t="s">
        <v>1174</v>
      </c>
      <c r="H222" t="s">
        <v>2113</v>
      </c>
      <c r="I222">
        <v>9</v>
      </c>
      <c r="J222" t="s">
        <v>2114</v>
      </c>
      <c r="K222" t="s">
        <v>2115</v>
      </c>
      <c r="L222" t="s">
        <v>1187</v>
      </c>
      <c r="M222" t="s">
        <v>1166</v>
      </c>
      <c r="N222" t="s">
        <v>2116</v>
      </c>
      <c r="P222" t="s">
        <v>2117</v>
      </c>
      <c r="Q222" t="s">
        <v>1190</v>
      </c>
      <c r="R222" t="s">
        <v>1170</v>
      </c>
      <c r="S222">
        <v>210</v>
      </c>
      <c r="T222" t="s">
        <v>1182</v>
      </c>
      <c r="U222" t="s">
        <v>1172</v>
      </c>
      <c r="V222" t="s">
        <v>1194</v>
      </c>
      <c r="W222" s="1">
        <v>40422</v>
      </c>
    </row>
    <row r="223" spans="1:23">
      <c r="A223" t="b">
        <f>_xlfn.IFNA(VLOOKUP(D223,Spelerslijst!A:B,1,FALSE),FALSE)</f>
        <v>0</v>
      </c>
      <c r="B223" t="str">
        <f>_xlfn.IFNA(VLOOKUP(D223,Spelerslijst!J:K,1,FALSE),FALSE)</f>
        <v>NMG03C4</v>
      </c>
      <c r="C223" t="str">
        <f t="shared" si="3"/>
        <v/>
      </c>
      <c r="D223" t="s">
        <v>573</v>
      </c>
      <c r="E223" t="s">
        <v>2118</v>
      </c>
      <c r="F223" s="1">
        <v>40974</v>
      </c>
      <c r="G223" t="s">
        <v>1162</v>
      </c>
      <c r="H223" t="s">
        <v>2119</v>
      </c>
      <c r="I223">
        <v>102</v>
      </c>
      <c r="J223" t="s">
        <v>2120</v>
      </c>
      <c r="K223" t="s">
        <v>2121</v>
      </c>
      <c r="L223" t="s">
        <v>1187</v>
      </c>
      <c r="M223" t="s">
        <v>1166</v>
      </c>
      <c r="N223" t="s">
        <v>2122</v>
      </c>
      <c r="O223" t="s">
        <v>2123</v>
      </c>
      <c r="P223" t="s">
        <v>2124</v>
      </c>
      <c r="Q223" t="s">
        <v>1190</v>
      </c>
      <c r="R223" t="s">
        <v>1170</v>
      </c>
      <c r="S223">
        <v>230</v>
      </c>
      <c r="T223" t="s">
        <v>1182</v>
      </c>
      <c r="U223" t="s">
        <v>1172</v>
      </c>
      <c r="V223" t="s">
        <v>1213</v>
      </c>
      <c r="W223" s="1">
        <v>43628</v>
      </c>
    </row>
    <row r="224" spans="1:23">
      <c r="A224" t="str">
        <f>_xlfn.IFNA(VLOOKUP(D224,Spelerslijst!A:B,1,FALSE),FALSE)</f>
        <v>NMK74C6</v>
      </c>
      <c r="B224" t="b">
        <f>_xlfn.IFNA(VLOOKUP(D224,Spelerslijst!J:K,1,FALSE),FALSE)</f>
        <v>0</v>
      </c>
      <c r="C224" t="str">
        <f t="shared" si="3"/>
        <v/>
      </c>
      <c r="D224" t="s">
        <v>713</v>
      </c>
      <c r="E224" t="s">
        <v>2125</v>
      </c>
      <c r="F224" s="1">
        <v>40722</v>
      </c>
      <c r="G224" t="s">
        <v>1174</v>
      </c>
      <c r="H224" t="s">
        <v>2126</v>
      </c>
      <c r="I224">
        <v>25</v>
      </c>
      <c r="K224" t="s">
        <v>2127</v>
      </c>
      <c r="L224" t="s">
        <v>1187</v>
      </c>
      <c r="M224" t="s">
        <v>1166</v>
      </c>
      <c r="N224" t="s">
        <v>2128</v>
      </c>
      <c r="P224" t="s">
        <v>2129</v>
      </c>
      <c r="Q224" t="s">
        <v>1190</v>
      </c>
      <c r="R224" t="s">
        <v>1170</v>
      </c>
      <c r="S224">
        <v>230</v>
      </c>
      <c r="T224" t="s">
        <v>1182</v>
      </c>
      <c r="U224" t="s">
        <v>1172</v>
      </c>
      <c r="V224" t="s">
        <v>1213</v>
      </c>
      <c r="W224" s="1">
        <v>44081</v>
      </c>
    </row>
    <row r="225" spans="1:23">
      <c r="A225" t="b">
        <f>_xlfn.IFNA(VLOOKUP(D225,Spelerslijst!A:B,1,FALSE),FALSE)</f>
        <v>0</v>
      </c>
      <c r="B225" t="str">
        <f>_xlfn.IFNA(VLOOKUP(D225,Spelerslijst!J:K,1,FALSE),FALSE)</f>
        <v>NLG59F1</v>
      </c>
      <c r="C225" t="str">
        <f t="shared" si="3"/>
        <v/>
      </c>
      <c r="D225" t="s">
        <v>211</v>
      </c>
      <c r="E225" t="s">
        <v>2130</v>
      </c>
      <c r="F225" s="1">
        <v>38578</v>
      </c>
      <c r="G225" t="s">
        <v>1162</v>
      </c>
      <c r="H225" t="s">
        <v>2131</v>
      </c>
      <c r="I225">
        <v>20</v>
      </c>
      <c r="J225" t="s">
        <v>2132</v>
      </c>
      <c r="K225" t="s">
        <v>2133</v>
      </c>
      <c r="L225" t="s">
        <v>1187</v>
      </c>
      <c r="M225" t="s">
        <v>1166</v>
      </c>
      <c r="N225" t="s">
        <v>2134</v>
      </c>
      <c r="O225" t="s">
        <v>2135</v>
      </c>
      <c r="P225" t="s">
        <v>2136</v>
      </c>
      <c r="Q225" t="s">
        <v>1190</v>
      </c>
      <c r="R225" t="s">
        <v>1170</v>
      </c>
      <c r="S225">
        <v>220</v>
      </c>
      <c r="T225" t="s">
        <v>1182</v>
      </c>
      <c r="U225" t="s">
        <v>1172</v>
      </c>
      <c r="V225" t="s">
        <v>1207</v>
      </c>
      <c r="W225" s="1">
        <v>41518</v>
      </c>
    </row>
    <row r="226" spans="1:23">
      <c r="A226" t="str">
        <f>_xlfn.IFNA(VLOOKUP(D226,Spelerslijst!A:B,1,FALSE),FALSE)</f>
        <v>NLJ04Z4</v>
      </c>
      <c r="B226" t="b">
        <f>_xlfn.IFNA(VLOOKUP(D226,Spelerslijst!J:K,1,FALSE),FALSE)</f>
        <v>0</v>
      </c>
      <c r="C226" t="str">
        <f t="shared" si="3"/>
        <v/>
      </c>
      <c r="D226" t="s">
        <v>647</v>
      </c>
      <c r="E226" t="s">
        <v>2137</v>
      </c>
      <c r="F226" s="1">
        <v>39878</v>
      </c>
      <c r="G226" t="s">
        <v>1174</v>
      </c>
      <c r="H226" t="s">
        <v>2131</v>
      </c>
      <c r="I226">
        <v>20</v>
      </c>
      <c r="J226" t="s">
        <v>501</v>
      </c>
      <c r="K226" t="s">
        <v>2133</v>
      </c>
      <c r="L226" t="s">
        <v>1187</v>
      </c>
      <c r="M226" t="s">
        <v>1166</v>
      </c>
      <c r="N226" t="s">
        <v>2134</v>
      </c>
      <c r="O226" t="s">
        <v>2135</v>
      </c>
      <c r="P226" t="s">
        <v>2136</v>
      </c>
      <c r="Q226" t="s">
        <v>1190</v>
      </c>
      <c r="R226" t="s">
        <v>1170</v>
      </c>
      <c r="S226">
        <v>230</v>
      </c>
      <c r="T226" t="s">
        <v>1182</v>
      </c>
      <c r="U226" t="s">
        <v>1172</v>
      </c>
      <c r="V226" t="s">
        <v>1213</v>
      </c>
      <c r="W226" s="1">
        <v>41579</v>
      </c>
    </row>
    <row r="227" spans="1:23">
      <c r="A227" t="b">
        <f>_xlfn.IFNA(VLOOKUP(D227,Spelerslijst!A:B,1,FALSE),FALSE)</f>
        <v>0</v>
      </c>
      <c r="B227" t="str">
        <f>_xlfn.IFNA(VLOOKUP(D227,Spelerslijst!J:K,1,FALSE),FALSE)</f>
        <v>NMG85H5</v>
      </c>
      <c r="C227" t="str">
        <f t="shared" si="3"/>
        <v/>
      </c>
      <c r="D227" t="s">
        <v>438</v>
      </c>
      <c r="E227" t="s">
        <v>2138</v>
      </c>
      <c r="F227" s="1">
        <v>40112</v>
      </c>
      <c r="G227" t="s">
        <v>1162</v>
      </c>
      <c r="H227" t="s">
        <v>2131</v>
      </c>
      <c r="I227">
        <v>74</v>
      </c>
      <c r="K227" t="s">
        <v>2133</v>
      </c>
      <c r="L227" t="s">
        <v>1187</v>
      </c>
      <c r="M227" t="s">
        <v>1166</v>
      </c>
      <c r="N227" t="s">
        <v>2139</v>
      </c>
      <c r="P227" t="s">
        <v>2140</v>
      </c>
      <c r="Q227" t="s">
        <v>1190</v>
      </c>
      <c r="R227" t="s">
        <v>1170</v>
      </c>
      <c r="S227">
        <v>230</v>
      </c>
      <c r="T227" t="s">
        <v>1182</v>
      </c>
      <c r="U227" t="s">
        <v>1172</v>
      </c>
      <c r="V227" t="s">
        <v>1213</v>
      </c>
      <c r="W227" s="1">
        <v>43713</v>
      </c>
    </row>
    <row r="228" spans="1:23">
      <c r="A228" t="b">
        <f>_xlfn.IFNA(VLOOKUP(D228,Spelerslijst!A:B,1,FALSE),FALSE)</f>
        <v>0</v>
      </c>
      <c r="B228" t="str">
        <f>_xlfn.IFNA(VLOOKUP(D228,Spelerslijst!J:K,1,FALSE),FALSE)</f>
        <v>NLG58W7</v>
      </c>
      <c r="C228" t="str">
        <f t="shared" si="3"/>
        <v/>
      </c>
      <c r="D228" t="s">
        <v>294</v>
      </c>
      <c r="E228" t="s">
        <v>2141</v>
      </c>
      <c r="F228" s="1">
        <v>39069</v>
      </c>
      <c r="G228" t="s">
        <v>1162</v>
      </c>
      <c r="H228" t="s">
        <v>2142</v>
      </c>
      <c r="I228">
        <v>3</v>
      </c>
      <c r="K228" t="s">
        <v>2143</v>
      </c>
      <c r="L228" t="s">
        <v>1187</v>
      </c>
      <c r="M228" t="s">
        <v>1166</v>
      </c>
      <c r="N228" t="s">
        <v>2144</v>
      </c>
      <c r="O228" t="s">
        <v>2145</v>
      </c>
      <c r="P228" t="s">
        <v>2146</v>
      </c>
      <c r="Q228" t="s">
        <v>1190</v>
      </c>
      <c r="R228" t="s">
        <v>1170</v>
      </c>
      <c r="S228">
        <v>220</v>
      </c>
      <c r="T228" t="s">
        <v>1182</v>
      </c>
      <c r="U228" t="s">
        <v>1172</v>
      </c>
      <c r="V228" t="s">
        <v>1207</v>
      </c>
      <c r="W228" s="1">
        <v>41518</v>
      </c>
    </row>
    <row r="229" spans="1:23">
      <c r="A229" t="str">
        <f>_xlfn.IFNA(VLOOKUP(D229,Spelerslijst!A:B,1,FALSE),FALSE)</f>
        <v>NLM86V5</v>
      </c>
      <c r="B229" t="b">
        <f>_xlfn.IFNA(VLOOKUP(D229,Spelerslijst!J:K,1,FALSE),FALSE)</f>
        <v>0</v>
      </c>
      <c r="C229" t="str">
        <f t="shared" si="3"/>
        <v/>
      </c>
      <c r="D229" t="s">
        <v>878</v>
      </c>
      <c r="E229" t="s">
        <v>2147</v>
      </c>
      <c r="F229" s="1">
        <v>40561</v>
      </c>
      <c r="G229" t="s">
        <v>1174</v>
      </c>
      <c r="H229" t="s">
        <v>2142</v>
      </c>
      <c r="I229">
        <v>3</v>
      </c>
      <c r="K229" t="s">
        <v>2143</v>
      </c>
      <c r="L229" t="s">
        <v>1187</v>
      </c>
      <c r="M229" t="s">
        <v>1166</v>
      </c>
      <c r="N229" t="s">
        <v>2144</v>
      </c>
      <c r="P229" t="s">
        <v>2146</v>
      </c>
      <c r="Q229" t="s">
        <v>1190</v>
      </c>
      <c r="R229" t="s">
        <v>1170</v>
      </c>
      <c r="S229">
        <v>230</v>
      </c>
      <c r="T229" t="s">
        <v>1182</v>
      </c>
      <c r="U229" t="s">
        <v>1172</v>
      </c>
      <c r="V229" t="s">
        <v>1213</v>
      </c>
      <c r="W229" s="1">
        <v>41974</v>
      </c>
    </row>
    <row r="230" spans="1:23">
      <c r="A230" t="b">
        <f>_xlfn.IFNA(VLOOKUP(D230,Spelerslijst!A:B,1,FALSE),FALSE)</f>
        <v>0</v>
      </c>
      <c r="B230" t="str">
        <f>_xlfn.IFNA(VLOOKUP(D230,Spelerslijst!J:K,1,FALSE),FALSE)</f>
        <v>NLY54F4</v>
      </c>
      <c r="C230" t="str">
        <f t="shared" si="3"/>
        <v/>
      </c>
      <c r="D230" t="s">
        <v>460</v>
      </c>
      <c r="E230" t="s">
        <v>2148</v>
      </c>
      <c r="F230" s="1">
        <v>39829</v>
      </c>
      <c r="G230" t="s">
        <v>1162</v>
      </c>
      <c r="H230" t="s">
        <v>2149</v>
      </c>
      <c r="I230">
        <v>32</v>
      </c>
      <c r="K230" t="s">
        <v>2150</v>
      </c>
      <c r="L230" t="s">
        <v>1187</v>
      </c>
      <c r="M230" t="s">
        <v>1166</v>
      </c>
      <c r="N230" t="s">
        <v>2151</v>
      </c>
      <c r="P230" t="s">
        <v>2152</v>
      </c>
      <c r="Q230" t="s">
        <v>1190</v>
      </c>
      <c r="R230" t="s">
        <v>1170</v>
      </c>
      <c r="S230">
        <v>230</v>
      </c>
      <c r="T230" t="s">
        <v>1182</v>
      </c>
      <c r="U230" t="s">
        <v>1172</v>
      </c>
      <c r="V230" t="s">
        <v>1213</v>
      </c>
      <c r="W230" s="1">
        <v>43008</v>
      </c>
    </row>
    <row r="231" spans="1:23">
      <c r="A231" t="b">
        <f>_xlfn.IFNA(VLOOKUP(D231,Spelerslijst!A:B,1,FALSE),FALSE)</f>
        <v>0</v>
      </c>
      <c r="B231" t="str">
        <f>_xlfn.IFNA(VLOOKUP(D231,Spelerslijst!J:K,1,FALSE),FALSE)</f>
        <v>NMD51K6</v>
      </c>
      <c r="C231" t="str">
        <f t="shared" si="3"/>
        <v/>
      </c>
      <c r="D231" t="s">
        <v>488</v>
      </c>
      <c r="E231" t="s">
        <v>2153</v>
      </c>
      <c r="F231" s="1">
        <v>40446</v>
      </c>
      <c r="G231" t="s">
        <v>1162</v>
      </c>
      <c r="H231" t="s">
        <v>2149</v>
      </c>
      <c r="I231">
        <v>32</v>
      </c>
      <c r="K231" t="s">
        <v>2150</v>
      </c>
      <c r="L231" t="s">
        <v>1187</v>
      </c>
      <c r="M231" t="s">
        <v>1166</v>
      </c>
      <c r="N231" t="s">
        <v>2151</v>
      </c>
      <c r="P231" t="s">
        <v>2152</v>
      </c>
      <c r="Q231" t="s">
        <v>1190</v>
      </c>
      <c r="R231" t="s">
        <v>1170</v>
      </c>
      <c r="S231">
        <v>230</v>
      </c>
      <c r="T231" t="s">
        <v>1182</v>
      </c>
      <c r="U231" t="s">
        <v>1172</v>
      </c>
      <c r="V231" t="s">
        <v>1213</v>
      </c>
      <c r="W231" s="1">
        <v>43421</v>
      </c>
    </row>
    <row r="232" spans="1:23">
      <c r="A232" t="str">
        <f>_xlfn.IFNA(VLOOKUP(D232,Spelerslijst!A:B,1,FALSE),FALSE)</f>
        <v>NKK88P0</v>
      </c>
      <c r="B232" t="b">
        <f>_xlfn.IFNA(VLOOKUP(D232,Spelerslijst!J:K,1,FALSE),FALSE)</f>
        <v>0</v>
      </c>
      <c r="C232" t="str">
        <f t="shared" si="3"/>
        <v/>
      </c>
      <c r="D232" t="s">
        <v>836</v>
      </c>
      <c r="E232" t="s">
        <v>2154</v>
      </c>
      <c r="F232" s="1">
        <v>37224</v>
      </c>
      <c r="G232" t="s">
        <v>1174</v>
      </c>
      <c r="H232" t="s">
        <v>2155</v>
      </c>
      <c r="I232">
        <v>14</v>
      </c>
      <c r="K232" t="s">
        <v>2156</v>
      </c>
      <c r="L232" t="s">
        <v>1187</v>
      </c>
      <c r="M232" t="s">
        <v>1166</v>
      </c>
      <c r="N232" t="s">
        <v>2157</v>
      </c>
      <c r="O232" t="s">
        <v>2158</v>
      </c>
      <c r="P232" t="s">
        <v>2159</v>
      </c>
      <c r="Q232" t="s">
        <v>1190</v>
      </c>
      <c r="R232" t="s">
        <v>1170</v>
      </c>
      <c r="S232">
        <v>200</v>
      </c>
      <c r="T232" t="s">
        <v>1182</v>
      </c>
      <c r="U232" t="s">
        <v>1172</v>
      </c>
      <c r="V232" t="s">
        <v>1173</v>
      </c>
      <c r="W232" s="1">
        <v>42248</v>
      </c>
    </row>
    <row r="233" spans="1:23">
      <c r="A233" t="b">
        <f>_xlfn.IFNA(VLOOKUP(D233,Spelerslijst!A:B,1,FALSE),FALSE)</f>
        <v>0</v>
      </c>
      <c r="B233" t="str">
        <f>_xlfn.IFNA(VLOOKUP(D233,Spelerslijst!J:K,1,FALSE),FALSE)</f>
        <v>NKX56P2</v>
      </c>
      <c r="C233" t="str">
        <f t="shared" si="3"/>
        <v/>
      </c>
      <c r="D233" t="s">
        <v>650</v>
      </c>
      <c r="E233" t="s">
        <v>2160</v>
      </c>
      <c r="F233" s="1">
        <v>36465</v>
      </c>
      <c r="G233" t="s">
        <v>1162</v>
      </c>
      <c r="H233" t="s">
        <v>2155</v>
      </c>
      <c r="I233">
        <v>20</v>
      </c>
      <c r="K233" t="s">
        <v>2156</v>
      </c>
      <c r="L233" t="s">
        <v>1187</v>
      </c>
      <c r="M233" t="s">
        <v>1166</v>
      </c>
      <c r="N233" t="s">
        <v>2161</v>
      </c>
      <c r="O233" t="s">
        <v>2162</v>
      </c>
      <c r="P233" t="s">
        <v>2163</v>
      </c>
      <c r="Q233" t="s">
        <v>1190</v>
      </c>
      <c r="R233" t="s">
        <v>1170</v>
      </c>
      <c r="S233">
        <v>200</v>
      </c>
      <c r="T233" t="s">
        <v>1182</v>
      </c>
      <c r="U233" t="s">
        <v>1172</v>
      </c>
      <c r="V233" t="s">
        <v>1173</v>
      </c>
      <c r="W233" s="1">
        <v>40787</v>
      </c>
    </row>
    <row r="234" spans="1:23">
      <c r="A234" t="str">
        <f>_xlfn.IFNA(VLOOKUP(D234,Spelerslijst!A:B,1,FALSE),FALSE)</f>
        <v>NLX00H0</v>
      </c>
      <c r="B234" t="b">
        <f>_xlfn.IFNA(VLOOKUP(D234,Spelerslijst!J:K,1,FALSE),FALSE)</f>
        <v>0</v>
      </c>
      <c r="C234" t="str">
        <f t="shared" si="3"/>
        <v/>
      </c>
      <c r="D234" t="s">
        <v>124</v>
      </c>
      <c r="E234" t="s">
        <v>2164</v>
      </c>
      <c r="F234" s="1">
        <v>40169</v>
      </c>
      <c r="G234" t="s">
        <v>1174</v>
      </c>
      <c r="H234" t="s">
        <v>2165</v>
      </c>
      <c r="I234">
        <v>36</v>
      </c>
      <c r="K234" t="s">
        <v>2166</v>
      </c>
      <c r="L234" t="s">
        <v>1187</v>
      </c>
      <c r="M234" t="s">
        <v>1166</v>
      </c>
      <c r="N234" t="s">
        <v>2167</v>
      </c>
      <c r="O234" t="s">
        <v>2168</v>
      </c>
      <c r="P234" t="s">
        <v>2169</v>
      </c>
      <c r="Q234" t="s">
        <v>1190</v>
      </c>
      <c r="R234" t="s">
        <v>1170</v>
      </c>
      <c r="S234">
        <v>230</v>
      </c>
      <c r="T234" t="s">
        <v>1182</v>
      </c>
      <c r="U234" t="s">
        <v>1172</v>
      </c>
      <c r="V234" t="s">
        <v>1213</v>
      </c>
      <c r="W234" s="1">
        <v>42877</v>
      </c>
    </row>
    <row r="235" spans="1:23">
      <c r="A235" t="b">
        <f>_xlfn.IFNA(VLOOKUP(D235,Spelerslijst!A:B,1,FALSE),FALSE)</f>
        <v>0</v>
      </c>
      <c r="B235" t="str">
        <f>_xlfn.IFNA(VLOOKUP(D235,Spelerslijst!J:K,1,FALSE),FALSE)</f>
        <v>NMJ72N6</v>
      </c>
      <c r="C235" t="str">
        <f t="shared" si="3"/>
        <v/>
      </c>
      <c r="D235" t="s">
        <v>375</v>
      </c>
      <c r="E235" t="s">
        <v>2170</v>
      </c>
      <c r="F235" s="1">
        <v>40169</v>
      </c>
      <c r="G235" t="s">
        <v>1162</v>
      </c>
      <c r="H235" t="s">
        <v>2165</v>
      </c>
      <c r="I235">
        <v>36</v>
      </c>
      <c r="K235" t="s">
        <v>2166</v>
      </c>
      <c r="L235" t="s">
        <v>1187</v>
      </c>
      <c r="M235" t="s">
        <v>1166</v>
      </c>
      <c r="N235" t="s">
        <v>2167</v>
      </c>
      <c r="O235" t="s">
        <v>2171</v>
      </c>
      <c r="P235" t="s">
        <v>2169</v>
      </c>
      <c r="Q235" t="s">
        <v>1190</v>
      </c>
      <c r="R235" t="s">
        <v>1170</v>
      </c>
      <c r="S235">
        <v>230</v>
      </c>
      <c r="T235" t="s">
        <v>1182</v>
      </c>
      <c r="U235" t="s">
        <v>1172</v>
      </c>
      <c r="V235" t="s">
        <v>1213</v>
      </c>
      <c r="W235" s="1">
        <v>43977</v>
      </c>
    </row>
    <row r="236" spans="1:23">
      <c r="A236" t="b">
        <f>_xlfn.IFNA(VLOOKUP(D236,Spelerslijst!A:B,1,FALSE),FALSE)</f>
        <v>0</v>
      </c>
      <c r="B236" t="str">
        <f>_xlfn.IFNA(VLOOKUP(D236,Spelerslijst!J:K,1,FALSE),FALSE)</f>
        <v>NMJ72P0</v>
      </c>
      <c r="C236" t="str">
        <f t="shared" si="3"/>
        <v/>
      </c>
      <c r="D236" t="s">
        <v>551</v>
      </c>
      <c r="E236" t="s">
        <v>2172</v>
      </c>
      <c r="F236" s="1">
        <v>41299</v>
      </c>
      <c r="G236" t="s">
        <v>1162</v>
      </c>
      <c r="H236" t="s">
        <v>2165</v>
      </c>
      <c r="I236">
        <v>36</v>
      </c>
      <c r="K236" t="s">
        <v>2166</v>
      </c>
      <c r="L236" t="s">
        <v>1187</v>
      </c>
      <c r="M236" t="s">
        <v>1166</v>
      </c>
      <c r="N236" t="s">
        <v>2167</v>
      </c>
      <c r="O236" t="s">
        <v>2171</v>
      </c>
      <c r="P236" t="s">
        <v>2169</v>
      </c>
      <c r="Q236" t="s">
        <v>1190</v>
      </c>
      <c r="R236" t="s">
        <v>1170</v>
      </c>
      <c r="S236">
        <v>230</v>
      </c>
      <c r="T236" t="s">
        <v>1182</v>
      </c>
      <c r="U236" t="s">
        <v>1172</v>
      </c>
      <c r="V236" t="s">
        <v>1213</v>
      </c>
      <c r="W236" s="1">
        <v>43977</v>
      </c>
    </row>
    <row r="237" spans="1:23">
      <c r="A237" t="b">
        <f>_xlfn.IFNA(VLOOKUP(D237,Spelerslijst!A:B,1,FALSE),FALSE)</f>
        <v>0</v>
      </c>
      <c r="B237" t="str">
        <f>_xlfn.IFNA(VLOOKUP(D237,Spelerslijst!J:K,1,FALSE),FALSE)</f>
        <v>NMJ72R4</v>
      </c>
      <c r="C237" t="str">
        <f t="shared" si="3"/>
        <v/>
      </c>
      <c r="D237" t="s">
        <v>545</v>
      </c>
      <c r="E237" t="s">
        <v>2173</v>
      </c>
      <c r="F237" s="1">
        <v>41299</v>
      </c>
      <c r="G237" t="s">
        <v>1162</v>
      </c>
      <c r="H237" t="s">
        <v>2165</v>
      </c>
      <c r="I237">
        <v>36</v>
      </c>
      <c r="K237" t="s">
        <v>2166</v>
      </c>
      <c r="L237" t="s">
        <v>1187</v>
      </c>
      <c r="M237" t="s">
        <v>1166</v>
      </c>
      <c r="N237" t="s">
        <v>2167</v>
      </c>
      <c r="O237" t="s">
        <v>2171</v>
      </c>
      <c r="P237" t="s">
        <v>2169</v>
      </c>
      <c r="Q237" t="s">
        <v>1190</v>
      </c>
      <c r="R237" t="s">
        <v>1170</v>
      </c>
      <c r="S237">
        <v>230</v>
      </c>
      <c r="T237" t="s">
        <v>1182</v>
      </c>
      <c r="U237" t="s">
        <v>1172</v>
      </c>
      <c r="V237" t="s">
        <v>1213</v>
      </c>
      <c r="W237" s="1">
        <v>43977</v>
      </c>
    </row>
    <row r="238" spans="1:23">
      <c r="A238" t="str">
        <f>_xlfn.IFNA(VLOOKUP(D238,Spelerslijst!A:B,1,FALSE),FALSE)</f>
        <v>NMK31G5</v>
      </c>
      <c r="B238" t="b">
        <f>_xlfn.IFNA(VLOOKUP(D238,Spelerslijst!J:K,1,FALSE),FALSE)</f>
        <v>0</v>
      </c>
      <c r="C238" t="str">
        <f t="shared" si="3"/>
        <v/>
      </c>
      <c r="D238" t="s">
        <v>641</v>
      </c>
      <c r="E238" t="s">
        <v>2174</v>
      </c>
      <c r="F238" s="1">
        <v>41159</v>
      </c>
      <c r="G238" t="s">
        <v>1174</v>
      </c>
      <c r="H238" t="s">
        <v>2165</v>
      </c>
      <c r="I238">
        <v>38</v>
      </c>
      <c r="K238" t="s">
        <v>2166</v>
      </c>
      <c r="L238" t="s">
        <v>1187</v>
      </c>
      <c r="M238" t="s">
        <v>1166</v>
      </c>
      <c r="N238" t="s">
        <v>2175</v>
      </c>
      <c r="P238" t="s">
        <v>2176</v>
      </c>
      <c r="Q238" t="s">
        <v>1190</v>
      </c>
      <c r="R238" t="s">
        <v>1170</v>
      </c>
      <c r="S238">
        <v>230</v>
      </c>
      <c r="T238" t="s">
        <v>1182</v>
      </c>
      <c r="U238" t="s">
        <v>1172</v>
      </c>
      <c r="V238" t="s">
        <v>1213</v>
      </c>
      <c r="W238" s="1">
        <v>44056</v>
      </c>
    </row>
    <row r="239" spans="1:23">
      <c r="A239" t="b">
        <f>_xlfn.IFNA(VLOOKUP(D239,Spelerslijst!A:B,1,FALSE),FALSE)</f>
        <v>0</v>
      </c>
      <c r="B239" t="str">
        <f>_xlfn.IFNA(VLOOKUP(D239,Spelerslijst!J:K,1,FALSE),FALSE)</f>
        <v>NJF34K6</v>
      </c>
      <c r="C239" t="str">
        <f t="shared" si="3"/>
        <v/>
      </c>
      <c r="D239" t="s">
        <v>102</v>
      </c>
      <c r="E239" t="s">
        <v>2177</v>
      </c>
      <c r="F239" s="1">
        <v>35092</v>
      </c>
      <c r="G239" t="s">
        <v>1162</v>
      </c>
      <c r="H239" t="s">
        <v>2165</v>
      </c>
      <c r="I239">
        <v>40</v>
      </c>
      <c r="K239" t="s">
        <v>2166</v>
      </c>
      <c r="L239" t="s">
        <v>1187</v>
      </c>
      <c r="M239" t="s">
        <v>1166</v>
      </c>
      <c r="N239" t="s">
        <v>2178</v>
      </c>
      <c r="O239" t="s">
        <v>2179</v>
      </c>
      <c r="P239" t="s">
        <v>2180</v>
      </c>
      <c r="Q239" t="s">
        <v>1190</v>
      </c>
      <c r="R239" t="s">
        <v>1170</v>
      </c>
      <c r="S239">
        <v>202</v>
      </c>
      <c r="T239" t="s">
        <v>1171</v>
      </c>
      <c r="U239" t="s">
        <v>1172</v>
      </c>
      <c r="V239" t="s">
        <v>1173</v>
      </c>
      <c r="W239" s="1">
        <v>41883</v>
      </c>
    </row>
    <row r="240" spans="1:23">
      <c r="A240" t="b">
        <f>_xlfn.IFNA(VLOOKUP(D240,Spelerslijst!A:B,1,FALSE),FALSE)</f>
        <v>0</v>
      </c>
      <c r="B240" t="str">
        <f>_xlfn.IFNA(VLOOKUP(D240,Spelerslijst!J:K,1,FALSE),FALSE)</f>
        <v>NLL37S1</v>
      </c>
      <c r="C240" t="str">
        <f t="shared" si="3"/>
        <v/>
      </c>
      <c r="D240" t="s">
        <v>404</v>
      </c>
      <c r="E240" t="s">
        <v>2181</v>
      </c>
      <c r="F240" s="1">
        <v>39744</v>
      </c>
      <c r="G240" t="s">
        <v>1162</v>
      </c>
      <c r="H240" t="s">
        <v>2165</v>
      </c>
      <c r="I240">
        <v>170</v>
      </c>
      <c r="K240" t="s">
        <v>2182</v>
      </c>
      <c r="L240" t="s">
        <v>1187</v>
      </c>
      <c r="M240" t="s">
        <v>1166</v>
      </c>
      <c r="N240" t="s">
        <v>2183</v>
      </c>
      <c r="O240" t="s">
        <v>2184</v>
      </c>
      <c r="P240" t="s">
        <v>2185</v>
      </c>
      <c r="Q240" t="s">
        <v>1190</v>
      </c>
      <c r="R240" t="s">
        <v>1170</v>
      </c>
      <c r="S240">
        <v>220</v>
      </c>
      <c r="T240" t="s">
        <v>1182</v>
      </c>
      <c r="U240" t="s">
        <v>1172</v>
      </c>
      <c r="V240" t="s">
        <v>1207</v>
      </c>
      <c r="W240" s="1">
        <v>41883</v>
      </c>
    </row>
    <row r="241" spans="1:24">
      <c r="A241" t="str">
        <f>_xlfn.IFNA(VLOOKUP(D241,Spelerslijst!A:B,1,FALSE),FALSE)</f>
        <v>NLS34M7</v>
      </c>
      <c r="B241" t="b">
        <f>_xlfn.IFNA(VLOOKUP(D241,Spelerslijst!J:K,1,FALSE),FALSE)</f>
        <v>0</v>
      </c>
      <c r="C241" t="str">
        <f t="shared" si="3"/>
        <v/>
      </c>
      <c r="D241" t="s">
        <v>255</v>
      </c>
      <c r="E241" t="s">
        <v>2186</v>
      </c>
      <c r="F241" s="1">
        <v>40786</v>
      </c>
      <c r="G241" t="s">
        <v>1174</v>
      </c>
      <c r="H241" t="s">
        <v>2165</v>
      </c>
      <c r="I241">
        <v>170</v>
      </c>
      <c r="K241" t="s">
        <v>2182</v>
      </c>
      <c r="L241" t="s">
        <v>1187</v>
      </c>
      <c r="M241" t="s">
        <v>1166</v>
      </c>
      <c r="N241" t="s">
        <v>2183</v>
      </c>
      <c r="O241" t="s">
        <v>2184</v>
      </c>
      <c r="P241" t="s">
        <v>2185</v>
      </c>
      <c r="Q241" t="s">
        <v>1190</v>
      </c>
      <c r="R241" t="s">
        <v>1170</v>
      </c>
      <c r="S241">
        <v>230</v>
      </c>
      <c r="T241" t="s">
        <v>1182</v>
      </c>
      <c r="U241" t="s">
        <v>1172</v>
      </c>
      <c r="V241" t="s">
        <v>1213</v>
      </c>
      <c r="W241" s="1">
        <v>42461</v>
      </c>
    </row>
    <row r="242" spans="1:24">
      <c r="A242" t="str">
        <f>_xlfn.IFNA(VLOOKUP(D242,Spelerslijst!A:B,1,FALSE),FALSE)</f>
        <v>NLP78J5</v>
      </c>
      <c r="B242" t="b">
        <f>_xlfn.IFNA(VLOOKUP(D242,Spelerslijst!J:K,1,FALSE),FALSE)</f>
        <v>0</v>
      </c>
      <c r="C242" t="str">
        <f t="shared" si="3"/>
        <v/>
      </c>
      <c r="D242" t="s">
        <v>796</v>
      </c>
      <c r="E242" t="s">
        <v>2187</v>
      </c>
      <c r="F242" s="1">
        <v>38820</v>
      </c>
      <c r="G242" t="s">
        <v>1174</v>
      </c>
      <c r="H242" t="s">
        <v>2188</v>
      </c>
      <c r="I242">
        <v>6</v>
      </c>
      <c r="K242" t="s">
        <v>2189</v>
      </c>
      <c r="L242" t="s">
        <v>1187</v>
      </c>
      <c r="M242" t="s">
        <v>1166</v>
      </c>
      <c r="N242" t="s">
        <v>2190</v>
      </c>
      <c r="O242" t="s">
        <v>2191</v>
      </c>
      <c r="P242" t="s">
        <v>2192</v>
      </c>
      <c r="Q242" t="s">
        <v>1169</v>
      </c>
      <c r="R242" t="s">
        <v>1170</v>
      </c>
      <c r="S242">
        <v>220</v>
      </c>
      <c r="T242" t="s">
        <v>1182</v>
      </c>
      <c r="U242" t="s">
        <v>1172</v>
      </c>
      <c r="V242" t="s">
        <v>1207</v>
      </c>
      <c r="W242" s="1">
        <v>42248</v>
      </c>
      <c r="X242" s="1">
        <v>44377</v>
      </c>
    </row>
    <row r="243" spans="1:24">
      <c r="A243" t="b">
        <f>_xlfn.IFNA(VLOOKUP(D243,Spelerslijst!A:B,1,FALSE),FALSE)</f>
        <v>0</v>
      </c>
      <c r="B243" t="str">
        <f>_xlfn.IFNA(VLOOKUP(D243,Spelerslijst!J:K,1,FALSE),FALSE)</f>
        <v>NML47R6</v>
      </c>
      <c r="C243" t="str">
        <f t="shared" si="3"/>
        <v/>
      </c>
      <c r="D243" t="s">
        <v>523</v>
      </c>
      <c r="E243" t="s">
        <v>2193</v>
      </c>
      <c r="F243" s="1">
        <v>40227</v>
      </c>
      <c r="G243" t="s">
        <v>1162</v>
      </c>
      <c r="H243" t="s">
        <v>2194</v>
      </c>
      <c r="I243">
        <v>364</v>
      </c>
      <c r="K243" t="s">
        <v>2195</v>
      </c>
      <c r="L243" t="s">
        <v>1187</v>
      </c>
      <c r="M243" t="s">
        <v>1166</v>
      </c>
      <c r="N243" t="s">
        <v>2196</v>
      </c>
      <c r="P243" t="s">
        <v>2197</v>
      </c>
      <c r="Q243" t="s">
        <v>1190</v>
      </c>
      <c r="R243" t="s">
        <v>1170</v>
      </c>
      <c r="S243">
        <v>230</v>
      </c>
      <c r="T243" t="s">
        <v>1182</v>
      </c>
      <c r="U243" t="s">
        <v>1172</v>
      </c>
      <c r="V243" t="s">
        <v>1213</v>
      </c>
      <c r="W243" s="1">
        <v>44146</v>
      </c>
    </row>
    <row r="244" spans="1:24">
      <c r="A244" t="b">
        <f>_xlfn.IFNA(VLOOKUP(D244,Spelerslijst!A:B,1,FALSE),FALSE)</f>
        <v>0</v>
      </c>
      <c r="B244" t="str">
        <f>_xlfn.IFNA(VLOOKUP(D244,Spelerslijst!J:K,1,FALSE),FALSE)</f>
        <v>NFW28T5</v>
      </c>
      <c r="C244" t="str">
        <f t="shared" si="3"/>
        <v/>
      </c>
      <c r="D244" t="s">
        <v>109</v>
      </c>
      <c r="E244" t="s">
        <v>2198</v>
      </c>
      <c r="F244" s="1">
        <v>31083</v>
      </c>
      <c r="G244" t="s">
        <v>1162</v>
      </c>
      <c r="H244" t="s">
        <v>2199</v>
      </c>
      <c r="I244">
        <v>10</v>
      </c>
      <c r="K244" t="s">
        <v>2200</v>
      </c>
      <c r="L244" t="s">
        <v>1187</v>
      </c>
      <c r="M244" t="s">
        <v>1166</v>
      </c>
      <c r="P244" t="s">
        <v>2201</v>
      </c>
      <c r="Q244" t="s">
        <v>1190</v>
      </c>
      <c r="R244" t="s">
        <v>1170</v>
      </c>
      <c r="S244">
        <v>901</v>
      </c>
      <c r="T244" t="s">
        <v>1171</v>
      </c>
      <c r="U244" t="s">
        <v>1172</v>
      </c>
      <c r="V244" t="s">
        <v>1173</v>
      </c>
      <c r="W244" s="1">
        <v>33848</v>
      </c>
    </row>
    <row r="245" spans="1:24">
      <c r="A245" t="str">
        <f>_xlfn.IFNA(VLOOKUP(D245,Spelerslijst!A:B,1,FALSE),FALSE)</f>
        <v>NKT65Z0</v>
      </c>
      <c r="B245" t="b">
        <f>_xlfn.IFNA(VLOOKUP(D245,Spelerslijst!J:K,1,FALSE),FALSE)</f>
        <v>0</v>
      </c>
      <c r="C245" t="str">
        <f t="shared" si="3"/>
        <v/>
      </c>
      <c r="D245" t="s">
        <v>554</v>
      </c>
      <c r="E245" t="s">
        <v>2202</v>
      </c>
      <c r="F245" s="1">
        <v>40446</v>
      </c>
      <c r="G245" t="s">
        <v>1174</v>
      </c>
      <c r="H245" t="s">
        <v>2199</v>
      </c>
      <c r="I245">
        <v>10</v>
      </c>
      <c r="K245" t="s">
        <v>2200</v>
      </c>
      <c r="L245" t="s">
        <v>1187</v>
      </c>
      <c r="M245" t="s">
        <v>1166</v>
      </c>
      <c r="N245" t="s">
        <v>2203</v>
      </c>
      <c r="P245" t="s">
        <v>2204</v>
      </c>
      <c r="Q245" t="s">
        <v>1190</v>
      </c>
      <c r="R245" t="s">
        <v>1170</v>
      </c>
      <c r="S245">
        <v>230</v>
      </c>
      <c r="T245" t="s">
        <v>1182</v>
      </c>
      <c r="U245" t="s">
        <v>1172</v>
      </c>
      <c r="V245" t="s">
        <v>1213</v>
      </c>
      <c r="W245" s="1">
        <v>40452</v>
      </c>
    </row>
    <row r="246" spans="1:24">
      <c r="A246" t="str">
        <f>_xlfn.IFNA(VLOOKUP(D246,Spelerslijst!A:B,1,FALSE),FALSE)</f>
        <v>NMD71P1</v>
      </c>
      <c r="B246" t="b">
        <f>_xlfn.IFNA(VLOOKUP(D246,Spelerslijst!J:K,1,FALSE),FALSE)</f>
        <v>0</v>
      </c>
      <c r="C246" t="str">
        <f t="shared" si="3"/>
        <v/>
      </c>
      <c r="D246" t="s">
        <v>548</v>
      </c>
      <c r="E246" t="s">
        <v>2205</v>
      </c>
      <c r="F246" s="1">
        <v>41407</v>
      </c>
      <c r="G246" t="s">
        <v>1174</v>
      </c>
      <c r="H246" t="s">
        <v>2199</v>
      </c>
      <c r="I246">
        <v>10</v>
      </c>
      <c r="K246" t="s">
        <v>2200</v>
      </c>
      <c r="L246" t="s">
        <v>1187</v>
      </c>
      <c r="M246" t="s">
        <v>1166</v>
      </c>
      <c r="N246" t="s">
        <v>2203</v>
      </c>
      <c r="P246" t="s">
        <v>2204</v>
      </c>
      <c r="Q246" t="s">
        <v>1190</v>
      </c>
      <c r="R246" t="s">
        <v>1170</v>
      </c>
      <c r="S246">
        <v>230</v>
      </c>
      <c r="T246" t="s">
        <v>1182</v>
      </c>
      <c r="U246" t="s">
        <v>1172</v>
      </c>
      <c r="V246" t="s">
        <v>1213</v>
      </c>
      <c r="W246" s="1">
        <v>43438</v>
      </c>
    </row>
    <row r="247" spans="1:24">
      <c r="A247" t="str">
        <f>_xlfn.IFNA(VLOOKUP(D247,Spelerslijst!A:B,1,FALSE),FALSE)</f>
        <v>NML53R9</v>
      </c>
      <c r="B247" t="b">
        <f>_xlfn.IFNA(VLOOKUP(D247,Spelerslijst!J:K,1,FALSE),FALSE)</f>
        <v>0</v>
      </c>
      <c r="C247" t="str">
        <f t="shared" si="3"/>
        <v/>
      </c>
      <c r="D247" t="s">
        <v>559</v>
      </c>
      <c r="E247" t="s">
        <v>2206</v>
      </c>
      <c r="F247" s="1">
        <v>42096</v>
      </c>
      <c r="G247" t="s">
        <v>1174</v>
      </c>
      <c r="H247" t="s">
        <v>2199</v>
      </c>
      <c r="I247">
        <v>10</v>
      </c>
      <c r="K247" t="s">
        <v>2200</v>
      </c>
      <c r="L247" t="s">
        <v>1187</v>
      </c>
      <c r="M247" t="s">
        <v>1166</v>
      </c>
      <c r="N247" t="s">
        <v>2203</v>
      </c>
      <c r="P247" t="s">
        <v>2204</v>
      </c>
      <c r="Q247" t="s">
        <v>1190</v>
      </c>
      <c r="R247" t="s">
        <v>1170</v>
      </c>
      <c r="S247">
        <v>240</v>
      </c>
      <c r="T247" t="s">
        <v>1182</v>
      </c>
      <c r="U247" t="s">
        <v>1172</v>
      </c>
      <c r="V247" t="s">
        <v>1183</v>
      </c>
      <c r="W247" s="1">
        <v>44155</v>
      </c>
    </row>
    <row r="248" spans="1:24">
      <c r="A248" t="str">
        <f>_xlfn.IFNA(VLOOKUP(D248,Spelerslijst!A:B,1,FALSE),FALSE)</f>
        <v>NML43T8</v>
      </c>
      <c r="B248" t="b">
        <f>_xlfn.IFNA(VLOOKUP(D248,Spelerslijst!J:K,1,FALSE),FALSE)</f>
        <v>0</v>
      </c>
      <c r="C248" t="str">
        <f t="shared" si="3"/>
        <v/>
      </c>
      <c r="D248" t="s">
        <v>775</v>
      </c>
      <c r="E248" t="s">
        <v>2207</v>
      </c>
      <c r="F248" s="1">
        <v>41152</v>
      </c>
      <c r="G248" t="s">
        <v>1174</v>
      </c>
      <c r="H248" t="s">
        <v>2208</v>
      </c>
      <c r="I248">
        <v>18</v>
      </c>
      <c r="K248" t="s">
        <v>2209</v>
      </c>
      <c r="L248" t="s">
        <v>1187</v>
      </c>
      <c r="M248" t="s">
        <v>1166</v>
      </c>
      <c r="O248" t="s">
        <v>2210</v>
      </c>
      <c r="P248" t="s">
        <v>2211</v>
      </c>
      <c r="Q248" t="s">
        <v>1169</v>
      </c>
      <c r="R248" t="s">
        <v>1170</v>
      </c>
      <c r="S248">
        <v>230</v>
      </c>
      <c r="T248" t="s">
        <v>1182</v>
      </c>
      <c r="U248" t="s">
        <v>1172</v>
      </c>
      <c r="V248" t="s">
        <v>1213</v>
      </c>
      <c r="W248" s="1">
        <v>44139</v>
      </c>
      <c r="X248" s="1">
        <v>44377</v>
      </c>
    </row>
    <row r="249" spans="1:24">
      <c r="A249" t="b">
        <f>_xlfn.IFNA(VLOOKUP(D249,Spelerslijst!A:B,1,FALSE),FALSE)</f>
        <v>0</v>
      </c>
      <c r="B249" t="str">
        <f>_xlfn.IFNA(VLOOKUP(D249,Spelerslijst!J:K,1,FALSE),FALSE)</f>
        <v>NLS75Y4</v>
      </c>
      <c r="C249" t="str">
        <f t="shared" si="3"/>
        <v/>
      </c>
      <c r="D249" t="s">
        <v>409</v>
      </c>
      <c r="E249" t="s">
        <v>2212</v>
      </c>
      <c r="F249" s="1">
        <v>39753</v>
      </c>
      <c r="G249" t="s">
        <v>1162</v>
      </c>
      <c r="H249" t="s">
        <v>2213</v>
      </c>
      <c r="I249">
        <v>13</v>
      </c>
      <c r="K249" t="s">
        <v>2214</v>
      </c>
      <c r="L249" t="s">
        <v>1187</v>
      </c>
      <c r="M249" t="s">
        <v>1166</v>
      </c>
      <c r="N249" t="s">
        <v>2215</v>
      </c>
      <c r="P249" t="s">
        <v>2216</v>
      </c>
      <c r="Q249" t="s">
        <v>1190</v>
      </c>
      <c r="R249" t="s">
        <v>1170</v>
      </c>
      <c r="S249">
        <v>220</v>
      </c>
      <c r="T249" t="s">
        <v>1182</v>
      </c>
      <c r="U249" t="s">
        <v>1172</v>
      </c>
      <c r="V249" t="s">
        <v>1207</v>
      </c>
      <c r="W249" s="1">
        <v>42516</v>
      </c>
    </row>
    <row r="250" spans="1:24">
      <c r="A250" t="b">
        <f>_xlfn.IFNA(VLOOKUP(D250,Spelerslijst!A:B,1,FALSE),FALSE)</f>
        <v>0</v>
      </c>
      <c r="B250" t="str">
        <f>_xlfn.IFNA(VLOOKUP(D250,Spelerslijst!J:K,1,FALSE),FALSE)</f>
        <v>NLV80P4</v>
      </c>
      <c r="C250" t="str">
        <f t="shared" si="3"/>
        <v/>
      </c>
      <c r="D250" t="s">
        <v>493</v>
      </c>
      <c r="E250" t="s">
        <v>2217</v>
      </c>
      <c r="F250" s="1">
        <v>40806</v>
      </c>
      <c r="G250" t="s">
        <v>1162</v>
      </c>
      <c r="H250" t="s">
        <v>2213</v>
      </c>
      <c r="I250">
        <v>13</v>
      </c>
      <c r="K250" t="s">
        <v>2214</v>
      </c>
      <c r="L250" t="s">
        <v>1187</v>
      </c>
      <c r="M250" t="s">
        <v>1166</v>
      </c>
      <c r="N250" t="s">
        <v>2215</v>
      </c>
      <c r="P250" t="s">
        <v>2216</v>
      </c>
      <c r="Q250" t="s">
        <v>1190</v>
      </c>
      <c r="R250" t="s">
        <v>1170</v>
      </c>
      <c r="S250">
        <v>230</v>
      </c>
      <c r="T250" t="s">
        <v>1182</v>
      </c>
      <c r="U250" t="s">
        <v>1172</v>
      </c>
      <c r="V250" t="s">
        <v>1213</v>
      </c>
      <c r="W250" s="1">
        <v>42676</v>
      </c>
    </row>
    <row r="251" spans="1:24">
      <c r="A251" t="str">
        <f>_xlfn.IFNA(VLOOKUP(D251,Spelerslijst!A:B,1,FALSE),FALSE)</f>
        <v>NLX08G7</v>
      </c>
      <c r="B251" t="b">
        <f>_xlfn.IFNA(VLOOKUP(D251,Spelerslijst!J:K,1,FALSE),FALSE)</f>
        <v>0</v>
      </c>
      <c r="C251" t="str">
        <f t="shared" si="3"/>
        <v/>
      </c>
      <c r="D251" t="s">
        <v>531</v>
      </c>
      <c r="E251" t="s">
        <v>2218</v>
      </c>
      <c r="F251" s="1">
        <v>40015</v>
      </c>
      <c r="G251" t="s">
        <v>1174</v>
      </c>
      <c r="H251" t="s">
        <v>2213</v>
      </c>
      <c r="I251">
        <v>9</v>
      </c>
      <c r="K251" t="s">
        <v>2214</v>
      </c>
      <c r="L251" t="s">
        <v>1187</v>
      </c>
      <c r="M251" t="s">
        <v>1166</v>
      </c>
      <c r="N251" t="s">
        <v>2219</v>
      </c>
      <c r="P251" t="s">
        <v>2220</v>
      </c>
      <c r="Q251" t="s">
        <v>1190</v>
      </c>
      <c r="R251" t="s">
        <v>1170</v>
      </c>
      <c r="S251">
        <v>230</v>
      </c>
      <c r="T251" t="s">
        <v>1182</v>
      </c>
      <c r="U251" t="s">
        <v>1172</v>
      </c>
      <c r="V251" t="s">
        <v>1213</v>
      </c>
      <c r="W251" s="1">
        <v>42863</v>
      </c>
    </row>
    <row r="252" spans="1:24">
      <c r="A252" t="str">
        <f>_xlfn.IFNA(VLOOKUP(D252,Spelerslijst!A:B,1,FALSE),FALSE)</f>
        <v>NKX36X8</v>
      </c>
      <c r="B252" t="b">
        <f>_xlfn.IFNA(VLOOKUP(D252,Spelerslijst!J:K,1,FALSE),FALSE)</f>
        <v>0</v>
      </c>
      <c r="C252" t="str">
        <f t="shared" si="3"/>
        <v/>
      </c>
      <c r="D252" t="s">
        <v>1012</v>
      </c>
      <c r="E252" t="s">
        <v>2221</v>
      </c>
      <c r="F252" s="1">
        <v>38163</v>
      </c>
      <c r="G252" t="s">
        <v>1174</v>
      </c>
      <c r="H252" t="s">
        <v>2222</v>
      </c>
      <c r="I252">
        <v>12</v>
      </c>
      <c r="K252" t="s">
        <v>2223</v>
      </c>
      <c r="L252" t="s">
        <v>1187</v>
      </c>
      <c r="M252" t="s">
        <v>1166</v>
      </c>
      <c r="N252" t="s">
        <v>2224</v>
      </c>
      <c r="O252" t="s">
        <v>2225</v>
      </c>
      <c r="P252" t="s">
        <v>2226</v>
      </c>
      <c r="Q252" t="s">
        <v>1190</v>
      </c>
      <c r="R252" t="s">
        <v>1170</v>
      </c>
      <c r="S252">
        <v>210</v>
      </c>
      <c r="T252" t="s">
        <v>1182</v>
      </c>
      <c r="U252" t="s">
        <v>1172</v>
      </c>
      <c r="V252" t="s">
        <v>1194</v>
      </c>
      <c r="W252" s="1">
        <v>43836</v>
      </c>
    </row>
    <row r="253" spans="1:24">
      <c r="A253" t="b">
        <f>_xlfn.IFNA(VLOOKUP(D253,Spelerslijst!A:B,1,FALSE),FALSE)</f>
        <v>0</v>
      </c>
      <c r="B253" t="str">
        <f>_xlfn.IFNA(VLOOKUP(D253,Spelerslijst!J:K,1,FALSE),FALSE)</f>
        <v>NMK12K6</v>
      </c>
      <c r="C253" t="str">
        <f t="shared" si="3"/>
        <v/>
      </c>
      <c r="D253" t="s">
        <v>534</v>
      </c>
      <c r="E253" t="s">
        <v>2227</v>
      </c>
      <c r="F253" s="1">
        <v>40790</v>
      </c>
      <c r="G253" t="s">
        <v>1162</v>
      </c>
      <c r="H253" t="s">
        <v>2228</v>
      </c>
      <c r="I253">
        <v>30</v>
      </c>
      <c r="K253" t="s">
        <v>2229</v>
      </c>
      <c r="L253" t="s">
        <v>1187</v>
      </c>
      <c r="M253" t="s">
        <v>1166</v>
      </c>
      <c r="N253" t="s">
        <v>2230</v>
      </c>
      <c r="P253" t="s">
        <v>2231</v>
      </c>
      <c r="Q253" t="s">
        <v>1190</v>
      </c>
      <c r="R253" t="s">
        <v>1170</v>
      </c>
      <c r="S253">
        <v>230</v>
      </c>
      <c r="T253" t="s">
        <v>1182</v>
      </c>
      <c r="U253" t="s">
        <v>1172</v>
      </c>
      <c r="V253" t="s">
        <v>1213</v>
      </c>
      <c r="W253" s="1">
        <v>44020</v>
      </c>
    </row>
    <row r="254" spans="1:24">
      <c r="A254" t="b">
        <f>_xlfn.IFNA(VLOOKUP(D254,Spelerslijst!A:B,1,FALSE),FALSE)</f>
        <v>0</v>
      </c>
      <c r="B254" t="str">
        <f>_xlfn.IFNA(VLOOKUP(D254,Spelerslijst!J:K,1,FALSE),FALSE)</f>
        <v>NFW40D9</v>
      </c>
      <c r="C254" t="str">
        <f t="shared" si="3"/>
        <v/>
      </c>
      <c r="D254" t="s">
        <v>816</v>
      </c>
      <c r="E254" t="s">
        <v>2232</v>
      </c>
      <c r="F254" s="1">
        <v>27506</v>
      </c>
      <c r="G254" t="s">
        <v>1162</v>
      </c>
      <c r="H254" t="s">
        <v>2233</v>
      </c>
      <c r="I254">
        <v>145</v>
      </c>
      <c r="K254" t="s">
        <v>2234</v>
      </c>
      <c r="L254" t="s">
        <v>1187</v>
      </c>
      <c r="M254" t="s">
        <v>1166</v>
      </c>
      <c r="N254" t="s">
        <v>2235</v>
      </c>
      <c r="O254" t="s">
        <v>2236</v>
      </c>
      <c r="P254" t="s">
        <v>2237</v>
      </c>
      <c r="Q254" t="s">
        <v>1190</v>
      </c>
      <c r="R254" t="s">
        <v>1170</v>
      </c>
      <c r="S254">
        <v>200</v>
      </c>
      <c r="T254" t="s">
        <v>1182</v>
      </c>
      <c r="U254" t="s">
        <v>1172</v>
      </c>
      <c r="V254" t="s">
        <v>1173</v>
      </c>
      <c r="W254" s="1">
        <v>30011</v>
      </c>
    </row>
    <row r="255" spans="1:24">
      <c r="A255" t="str">
        <f>_xlfn.IFNA(VLOOKUP(D255,Spelerslijst!A:B,1,FALSE),FALSE)</f>
        <v>NLB71D8</v>
      </c>
      <c r="B255" t="b">
        <f>_xlfn.IFNA(VLOOKUP(D255,Spelerslijst!J:K,1,FALSE),FALSE)</f>
        <v>0</v>
      </c>
      <c r="C255" t="str">
        <f t="shared" si="3"/>
        <v/>
      </c>
      <c r="D255" t="s">
        <v>184</v>
      </c>
      <c r="E255" t="s">
        <v>2238</v>
      </c>
      <c r="F255" s="1">
        <v>38635</v>
      </c>
      <c r="G255" t="s">
        <v>1174</v>
      </c>
      <c r="H255" t="s">
        <v>2233</v>
      </c>
      <c r="I255">
        <v>145</v>
      </c>
      <c r="K255" t="s">
        <v>2234</v>
      </c>
      <c r="L255" t="s">
        <v>1187</v>
      </c>
      <c r="M255" t="s">
        <v>1166</v>
      </c>
      <c r="N255" t="s">
        <v>2239</v>
      </c>
      <c r="O255" t="s">
        <v>2236</v>
      </c>
      <c r="P255" t="s">
        <v>2237</v>
      </c>
      <c r="Q255" t="s">
        <v>1190</v>
      </c>
      <c r="R255" t="s">
        <v>1170</v>
      </c>
      <c r="S255">
        <v>220</v>
      </c>
      <c r="T255" t="s">
        <v>1182</v>
      </c>
      <c r="U255" t="s">
        <v>1172</v>
      </c>
      <c r="V255" t="s">
        <v>1207</v>
      </c>
      <c r="W255" s="1">
        <v>41153</v>
      </c>
    </row>
    <row r="256" spans="1:24">
      <c r="A256" t="b">
        <f>_xlfn.IFNA(VLOOKUP(D256,Spelerslijst!A:B,1,FALSE),FALSE)</f>
        <v>0</v>
      </c>
      <c r="B256" t="str">
        <f>_xlfn.IFNA(VLOOKUP(D256,Spelerslijst!J:K,1,FALSE),FALSE)</f>
        <v>NMJ10P4</v>
      </c>
      <c r="C256" t="str">
        <f t="shared" si="3"/>
        <v/>
      </c>
      <c r="D256" t="s">
        <v>334</v>
      </c>
      <c r="E256" t="s">
        <v>2240</v>
      </c>
      <c r="F256" s="1">
        <v>39676</v>
      </c>
      <c r="G256" t="s">
        <v>1162</v>
      </c>
      <c r="H256" t="s">
        <v>2233</v>
      </c>
      <c r="I256">
        <v>145</v>
      </c>
      <c r="K256" t="s">
        <v>2234</v>
      </c>
      <c r="L256" t="s">
        <v>1187</v>
      </c>
      <c r="M256" t="s">
        <v>1166</v>
      </c>
      <c r="N256" t="s">
        <v>2241</v>
      </c>
      <c r="O256" t="s">
        <v>2236</v>
      </c>
      <c r="P256" t="s">
        <v>2242</v>
      </c>
      <c r="Q256" t="s">
        <v>1190</v>
      </c>
      <c r="R256" t="s">
        <v>1170</v>
      </c>
      <c r="S256">
        <v>220</v>
      </c>
      <c r="T256" t="s">
        <v>1182</v>
      </c>
      <c r="U256" t="s">
        <v>1172</v>
      </c>
      <c r="V256" t="s">
        <v>1207</v>
      </c>
      <c r="W256" s="1">
        <v>43827</v>
      </c>
    </row>
    <row r="257" spans="1:24">
      <c r="A257" t="str">
        <f>_xlfn.IFNA(VLOOKUP(D257,Spelerslijst!A:B,1,FALSE),FALSE)</f>
        <v>NKS62Q7</v>
      </c>
      <c r="B257" t="b">
        <f>_xlfn.IFNA(VLOOKUP(D257,Spelerslijst!J:K,1,FALSE),FALSE)</f>
        <v>0</v>
      </c>
      <c r="C257" t="str">
        <f t="shared" si="3"/>
        <v/>
      </c>
      <c r="D257" t="s">
        <v>830</v>
      </c>
      <c r="E257" t="s">
        <v>2243</v>
      </c>
      <c r="F257" s="1">
        <v>37673</v>
      </c>
      <c r="G257" t="s">
        <v>1174</v>
      </c>
      <c r="H257" t="s">
        <v>2244</v>
      </c>
      <c r="I257">
        <v>15</v>
      </c>
      <c r="K257" t="s">
        <v>2245</v>
      </c>
      <c r="L257" t="s">
        <v>1187</v>
      </c>
      <c r="M257" t="s">
        <v>1166</v>
      </c>
      <c r="N257" t="s">
        <v>2246</v>
      </c>
      <c r="O257" t="s">
        <v>2247</v>
      </c>
      <c r="P257" t="s">
        <v>2248</v>
      </c>
      <c r="Q257" t="s">
        <v>1169</v>
      </c>
      <c r="R257" t="s">
        <v>1170</v>
      </c>
      <c r="S257">
        <v>210</v>
      </c>
      <c r="T257" t="s">
        <v>1182</v>
      </c>
      <c r="U257" t="s">
        <v>1172</v>
      </c>
      <c r="V257" t="s">
        <v>1194</v>
      </c>
      <c r="W257" s="1">
        <v>42370</v>
      </c>
      <c r="X257" s="1">
        <v>44377</v>
      </c>
    </row>
    <row r="258" spans="1:24">
      <c r="A258" t="str">
        <f>_xlfn.IFNA(VLOOKUP(D258,Spelerslijst!A:B,1,FALSE),FALSE)</f>
        <v>NLX08D6</v>
      </c>
      <c r="B258" t="b">
        <f>_xlfn.IFNA(VLOOKUP(D258,Spelerslijst!J:K,1,FALSE),FALSE)</f>
        <v>0</v>
      </c>
      <c r="C258" t="str">
        <f t="shared" si="3"/>
        <v/>
      </c>
      <c r="D258" t="s">
        <v>780</v>
      </c>
      <c r="E258" t="s">
        <v>2249</v>
      </c>
      <c r="F258" s="1">
        <v>39861</v>
      </c>
      <c r="G258" t="s">
        <v>1174</v>
      </c>
      <c r="H258" t="s">
        <v>2250</v>
      </c>
      <c r="I258">
        <v>24</v>
      </c>
      <c r="K258" t="s">
        <v>2251</v>
      </c>
      <c r="L258" t="s">
        <v>1187</v>
      </c>
      <c r="M258" t="s">
        <v>1166</v>
      </c>
      <c r="N258" t="s">
        <v>2252</v>
      </c>
      <c r="P258" t="s">
        <v>2253</v>
      </c>
      <c r="Q258" t="s">
        <v>1190</v>
      </c>
      <c r="R258" t="s">
        <v>1170</v>
      </c>
      <c r="S258">
        <v>230</v>
      </c>
      <c r="T258" t="s">
        <v>1182</v>
      </c>
      <c r="U258" t="s">
        <v>1172</v>
      </c>
      <c r="V258" t="s">
        <v>1213</v>
      </c>
      <c r="W258" s="1">
        <v>42879</v>
      </c>
    </row>
    <row r="259" spans="1:24">
      <c r="A259" t="b">
        <f>_xlfn.IFNA(VLOOKUP(D259,Spelerslijst!A:B,1,FALSE),FALSE)</f>
        <v>0</v>
      </c>
      <c r="B259" t="b">
        <f>_xlfn.IFNA(VLOOKUP(D259,Spelerslijst!J:K,1,FALSE),FALSE)</f>
        <v>0</v>
      </c>
      <c r="C259" t="str">
        <f t="shared" ref="C259:C282" si="4">IF(AND(A259=FALSE,B259=FALSE),"Onbekend","")</f>
        <v>Onbekend</v>
      </c>
      <c r="D259" t="s">
        <v>2254</v>
      </c>
      <c r="E259" t="s">
        <v>2255</v>
      </c>
      <c r="F259" s="1">
        <v>20081</v>
      </c>
      <c r="G259" t="s">
        <v>1162</v>
      </c>
      <c r="H259" t="s">
        <v>2256</v>
      </c>
      <c r="I259">
        <v>145</v>
      </c>
      <c r="K259" t="s">
        <v>2257</v>
      </c>
      <c r="L259" t="s">
        <v>1187</v>
      </c>
      <c r="M259" t="s">
        <v>1166</v>
      </c>
      <c r="N259" t="s">
        <v>2258</v>
      </c>
      <c r="O259" t="s">
        <v>2258</v>
      </c>
      <c r="P259" t="s">
        <v>2259</v>
      </c>
      <c r="Q259" t="s">
        <v>1190</v>
      </c>
      <c r="S259" t="s">
        <v>1611</v>
      </c>
      <c r="T259" t="s">
        <v>1555</v>
      </c>
      <c r="U259" t="s">
        <v>1172</v>
      </c>
      <c r="V259" t="s">
        <v>1173</v>
      </c>
      <c r="W259" s="1">
        <v>25173</v>
      </c>
    </row>
    <row r="260" spans="1:24">
      <c r="A260" t="str">
        <f>_xlfn.IFNA(VLOOKUP(D260,Spelerslijst!A:B,1,FALSE),FALSE)</f>
        <v>NMK07N7</v>
      </c>
      <c r="B260" t="b">
        <f>_xlfn.IFNA(VLOOKUP(D260,Spelerslijst!J:K,1,FALSE),FALSE)</f>
        <v>0</v>
      </c>
      <c r="C260" t="str">
        <f t="shared" si="4"/>
        <v/>
      </c>
      <c r="D260" t="s">
        <v>435</v>
      </c>
      <c r="E260" t="s">
        <v>2260</v>
      </c>
      <c r="F260" s="1">
        <v>41412</v>
      </c>
      <c r="G260" t="s">
        <v>1174</v>
      </c>
      <c r="H260" t="s">
        <v>2261</v>
      </c>
      <c r="I260">
        <v>22</v>
      </c>
      <c r="K260" t="s">
        <v>2262</v>
      </c>
      <c r="L260" t="s">
        <v>1187</v>
      </c>
      <c r="M260" t="s">
        <v>1166</v>
      </c>
      <c r="O260" t="s">
        <v>2263</v>
      </c>
      <c r="P260" t="s">
        <v>2264</v>
      </c>
      <c r="Q260" t="s">
        <v>1169</v>
      </c>
      <c r="R260" t="s">
        <v>1170</v>
      </c>
      <c r="S260">
        <v>230</v>
      </c>
      <c r="T260" t="s">
        <v>1182</v>
      </c>
      <c r="U260" t="s">
        <v>1172</v>
      </c>
      <c r="V260" t="s">
        <v>1213</v>
      </c>
      <c r="W260" s="1">
        <v>44016</v>
      </c>
      <c r="X260" s="1">
        <v>44377</v>
      </c>
    </row>
    <row r="261" spans="1:24">
      <c r="A261" t="b">
        <f>_xlfn.IFNA(VLOOKUP(D261,Spelerslijst!A:B,1,FALSE),FALSE)</f>
        <v>0</v>
      </c>
      <c r="B261" t="str">
        <f>_xlfn.IFNA(VLOOKUP(D261,Spelerslijst!J:K,1,FALSE),FALSE)</f>
        <v>NMK07Q8</v>
      </c>
      <c r="C261" t="str">
        <f t="shared" si="4"/>
        <v/>
      </c>
      <c r="D261" t="s">
        <v>859</v>
      </c>
      <c r="E261" t="s">
        <v>2265</v>
      </c>
      <c r="F261" s="1">
        <v>41412</v>
      </c>
      <c r="G261" t="s">
        <v>1162</v>
      </c>
      <c r="H261" t="s">
        <v>2261</v>
      </c>
      <c r="I261">
        <v>22</v>
      </c>
      <c r="K261" t="s">
        <v>2262</v>
      </c>
      <c r="L261" t="s">
        <v>1187</v>
      </c>
      <c r="M261" t="s">
        <v>1166</v>
      </c>
      <c r="O261" t="s">
        <v>2263</v>
      </c>
      <c r="P261" t="s">
        <v>2266</v>
      </c>
      <c r="Q261" t="s">
        <v>1169</v>
      </c>
      <c r="R261" t="s">
        <v>1170</v>
      </c>
      <c r="S261">
        <v>230</v>
      </c>
      <c r="T261" t="s">
        <v>1182</v>
      </c>
      <c r="U261" t="s">
        <v>1172</v>
      </c>
      <c r="V261" t="s">
        <v>1213</v>
      </c>
      <c r="W261" s="1">
        <v>44016</v>
      </c>
      <c r="X261" s="1">
        <v>44377</v>
      </c>
    </row>
    <row r="262" spans="1:24">
      <c r="A262" t="str">
        <f>_xlfn.IFNA(VLOOKUP(D262,Spelerslijst!A:B,1,FALSE),FALSE)</f>
        <v>NKW81C0</v>
      </c>
      <c r="B262" t="b">
        <f>_xlfn.IFNA(VLOOKUP(D262,Spelerslijst!J:K,1,FALSE),FALSE)</f>
        <v>0</v>
      </c>
      <c r="C262" t="str">
        <f t="shared" si="4"/>
        <v/>
      </c>
      <c r="D262" t="s">
        <v>856</v>
      </c>
      <c r="E262" t="s">
        <v>2267</v>
      </c>
      <c r="F262" s="1">
        <v>37448</v>
      </c>
      <c r="G262" t="s">
        <v>1174</v>
      </c>
      <c r="H262" t="s">
        <v>2268</v>
      </c>
      <c r="I262">
        <v>118</v>
      </c>
      <c r="K262" t="s">
        <v>2269</v>
      </c>
      <c r="L262" t="s">
        <v>1187</v>
      </c>
      <c r="M262" t="s">
        <v>1166</v>
      </c>
      <c r="N262" t="s">
        <v>2270</v>
      </c>
      <c r="O262" t="s">
        <v>2271</v>
      </c>
      <c r="P262" t="s">
        <v>2272</v>
      </c>
      <c r="Q262" t="s">
        <v>1169</v>
      </c>
      <c r="R262" t="s">
        <v>1170</v>
      </c>
      <c r="S262">
        <v>210</v>
      </c>
      <c r="T262" t="s">
        <v>1182</v>
      </c>
      <c r="U262" t="s">
        <v>1172</v>
      </c>
      <c r="V262" t="s">
        <v>1194</v>
      </c>
      <c r="W262" s="1">
        <v>43844</v>
      </c>
      <c r="X262" s="1">
        <v>44377</v>
      </c>
    </row>
    <row r="263" spans="1:24">
      <c r="A263" t="b">
        <f>_xlfn.IFNA(VLOOKUP(D263,Spelerslijst!A:B,1,FALSE),FALSE)</f>
        <v>0</v>
      </c>
      <c r="B263" t="str">
        <f>_xlfn.IFNA(VLOOKUP(D263,Spelerslijst!J:K,1,FALSE),FALSE)</f>
        <v>NLR23F9</v>
      </c>
      <c r="C263" t="str">
        <f t="shared" si="4"/>
        <v/>
      </c>
      <c r="D263" t="s">
        <v>688</v>
      </c>
      <c r="E263" t="s">
        <v>2273</v>
      </c>
      <c r="F263" s="1">
        <v>37909</v>
      </c>
      <c r="G263" t="s">
        <v>1162</v>
      </c>
      <c r="H263" t="s">
        <v>2274</v>
      </c>
      <c r="I263">
        <v>57</v>
      </c>
      <c r="K263" t="s">
        <v>2275</v>
      </c>
      <c r="L263" t="s">
        <v>1187</v>
      </c>
      <c r="M263" t="s">
        <v>1166</v>
      </c>
      <c r="N263" t="s">
        <v>2276</v>
      </c>
      <c r="P263" t="s">
        <v>2277</v>
      </c>
      <c r="Q263" t="s">
        <v>1190</v>
      </c>
      <c r="R263" t="s">
        <v>1170</v>
      </c>
      <c r="S263">
        <v>210</v>
      </c>
      <c r="T263" t="s">
        <v>1182</v>
      </c>
      <c r="U263" t="s">
        <v>1172</v>
      </c>
      <c r="V263" t="s">
        <v>1194</v>
      </c>
      <c r="W263" s="1">
        <v>42339</v>
      </c>
    </row>
    <row r="264" spans="1:24">
      <c r="A264" t="str">
        <f>_xlfn.IFNA(VLOOKUP(D264,Spelerslijst!A:B,1,FALSE),FALSE)</f>
        <v>NLP78L9</v>
      </c>
      <c r="B264" t="b">
        <f>_xlfn.IFNA(VLOOKUP(D264,Spelerslijst!J:K,1,FALSE),FALSE)</f>
        <v>0</v>
      </c>
      <c r="C264" t="str">
        <f t="shared" si="4"/>
        <v/>
      </c>
      <c r="D264" t="s">
        <v>989</v>
      </c>
      <c r="E264" t="s">
        <v>2278</v>
      </c>
      <c r="F264" s="1">
        <v>40538</v>
      </c>
      <c r="G264" t="s">
        <v>1174</v>
      </c>
      <c r="H264" t="s">
        <v>2274</v>
      </c>
      <c r="I264">
        <v>7</v>
      </c>
      <c r="K264" t="s">
        <v>2275</v>
      </c>
      <c r="L264" t="s">
        <v>1187</v>
      </c>
      <c r="M264" t="s">
        <v>1166</v>
      </c>
      <c r="N264" t="s">
        <v>2279</v>
      </c>
      <c r="P264" t="s">
        <v>2280</v>
      </c>
      <c r="Q264" t="s">
        <v>1190</v>
      </c>
      <c r="R264" t="s">
        <v>1170</v>
      </c>
      <c r="S264">
        <v>230</v>
      </c>
      <c r="T264" t="s">
        <v>1182</v>
      </c>
      <c r="U264" t="s">
        <v>1172</v>
      </c>
      <c r="V264" t="s">
        <v>1213</v>
      </c>
      <c r="W264" s="1">
        <v>42248</v>
      </c>
    </row>
    <row r="265" spans="1:24">
      <c r="A265" t="str">
        <f>_xlfn.IFNA(VLOOKUP(D265,Spelerslijst!A:B,1,FALSE),FALSE)</f>
        <v>NMC85Q4</v>
      </c>
      <c r="B265" t="b">
        <f>_xlfn.IFNA(VLOOKUP(D265,Spelerslijst!J:K,1,FALSE),FALSE)</f>
        <v>0</v>
      </c>
      <c r="C265" t="str">
        <f t="shared" si="4"/>
        <v/>
      </c>
      <c r="D265" t="s">
        <v>992</v>
      </c>
      <c r="E265" t="s">
        <v>2281</v>
      </c>
      <c r="F265" s="1">
        <v>41537</v>
      </c>
      <c r="G265" t="s">
        <v>1174</v>
      </c>
      <c r="H265" t="s">
        <v>2274</v>
      </c>
      <c r="I265">
        <v>7</v>
      </c>
      <c r="K265" t="s">
        <v>2275</v>
      </c>
      <c r="L265" t="s">
        <v>1187</v>
      </c>
      <c r="M265" t="s">
        <v>1166</v>
      </c>
      <c r="N265" t="s">
        <v>2279</v>
      </c>
      <c r="P265" t="s">
        <v>2280</v>
      </c>
      <c r="Q265" t="s">
        <v>1190</v>
      </c>
      <c r="R265" t="s">
        <v>1170</v>
      </c>
      <c r="S265">
        <v>230</v>
      </c>
      <c r="T265" t="s">
        <v>1182</v>
      </c>
      <c r="U265" t="s">
        <v>1172</v>
      </c>
      <c r="V265" t="s">
        <v>1213</v>
      </c>
      <c r="W265" s="1">
        <v>43370</v>
      </c>
    </row>
    <row r="266" spans="1:24">
      <c r="A266" t="str">
        <f>_xlfn.IFNA(VLOOKUP(D266,Spelerslijst!A:B,1,FALSE),FALSE)</f>
        <v>NLP78C6</v>
      </c>
      <c r="B266" t="b">
        <f>_xlfn.IFNA(VLOOKUP(D266,Spelerslijst!J:K,1,FALSE),FALSE)</f>
        <v>0</v>
      </c>
      <c r="C266" t="str">
        <f t="shared" si="4"/>
        <v/>
      </c>
      <c r="D266" t="s">
        <v>916</v>
      </c>
      <c r="E266" t="s">
        <v>2282</v>
      </c>
      <c r="F266" s="1">
        <v>39562</v>
      </c>
      <c r="G266" t="s">
        <v>1174</v>
      </c>
      <c r="H266" t="s">
        <v>2283</v>
      </c>
      <c r="I266">
        <v>82</v>
      </c>
      <c r="K266" t="s">
        <v>2284</v>
      </c>
      <c r="L266" t="s">
        <v>1187</v>
      </c>
      <c r="M266" t="s">
        <v>1166</v>
      </c>
      <c r="N266" t="s">
        <v>2285</v>
      </c>
      <c r="O266" t="s">
        <v>2286</v>
      </c>
      <c r="P266" t="s">
        <v>2287</v>
      </c>
      <c r="Q266" t="s">
        <v>1190</v>
      </c>
      <c r="R266" t="s">
        <v>1170</v>
      </c>
      <c r="S266">
        <v>220</v>
      </c>
      <c r="T266" t="s">
        <v>1182</v>
      </c>
      <c r="U266" t="s">
        <v>1172</v>
      </c>
      <c r="V266" t="s">
        <v>1207</v>
      </c>
      <c r="W266" s="1">
        <v>42248</v>
      </c>
    </row>
    <row r="267" spans="1:24">
      <c r="A267" t="b">
        <f>_xlfn.IFNA(VLOOKUP(D267,Spelerslijst!A:B,1,FALSE),FALSE)</f>
        <v>0</v>
      </c>
      <c r="B267" t="str">
        <f>_xlfn.IFNA(VLOOKUP(D267,Spelerslijst!J:K,1,FALSE),FALSE)</f>
        <v>NMF22Q8</v>
      </c>
      <c r="C267" t="str">
        <f t="shared" si="4"/>
        <v/>
      </c>
      <c r="D267" t="s">
        <v>528</v>
      </c>
      <c r="E267" t="s">
        <v>2288</v>
      </c>
      <c r="F267" s="1">
        <v>40750</v>
      </c>
      <c r="G267" t="s">
        <v>1162</v>
      </c>
      <c r="H267" t="s">
        <v>2289</v>
      </c>
      <c r="I267">
        <v>53</v>
      </c>
      <c r="K267" t="s">
        <v>2290</v>
      </c>
      <c r="L267" t="s">
        <v>1187</v>
      </c>
      <c r="M267" t="s">
        <v>1166</v>
      </c>
      <c r="N267" t="s">
        <v>2291</v>
      </c>
      <c r="O267" t="s">
        <v>2292</v>
      </c>
      <c r="P267" t="s">
        <v>2293</v>
      </c>
      <c r="Q267" t="s">
        <v>1190</v>
      </c>
      <c r="R267" t="s">
        <v>1170</v>
      </c>
      <c r="S267">
        <v>230</v>
      </c>
      <c r="T267" t="s">
        <v>1182</v>
      </c>
      <c r="U267" t="s">
        <v>1172</v>
      </c>
      <c r="V267" t="s">
        <v>1213</v>
      </c>
      <c r="W267" s="1">
        <v>43517</v>
      </c>
    </row>
    <row r="268" spans="1:24">
      <c r="A268" t="str">
        <f>_xlfn.IFNA(VLOOKUP(D268,Spelerslijst!A:B,1,FALSE),FALSE)</f>
        <v>NMM42W7</v>
      </c>
      <c r="B268" t="b">
        <f>_xlfn.IFNA(VLOOKUP(D268,Spelerslijst!J:K,1,FALSE),FALSE)</f>
        <v>0</v>
      </c>
      <c r="C268" t="str">
        <f t="shared" si="4"/>
        <v/>
      </c>
      <c r="D268" t="s">
        <v>502</v>
      </c>
      <c r="E268" t="s">
        <v>797</v>
      </c>
      <c r="F268" s="1">
        <v>42788</v>
      </c>
      <c r="G268" t="s">
        <v>1174</v>
      </c>
      <c r="H268" t="s">
        <v>2289</v>
      </c>
      <c r="I268">
        <v>53</v>
      </c>
      <c r="K268" t="s">
        <v>2290</v>
      </c>
      <c r="L268" t="s">
        <v>1187</v>
      </c>
      <c r="M268" t="s">
        <v>1166</v>
      </c>
      <c r="N268" t="s">
        <v>2291</v>
      </c>
      <c r="O268" t="s">
        <v>2292</v>
      </c>
      <c r="P268" t="s">
        <v>2293</v>
      </c>
      <c r="Q268" t="s">
        <v>1180</v>
      </c>
      <c r="R268" t="s">
        <v>1181</v>
      </c>
      <c r="S268">
        <v>240</v>
      </c>
      <c r="T268" t="s">
        <v>1182</v>
      </c>
      <c r="U268" t="s">
        <v>1172</v>
      </c>
      <c r="V268" t="s">
        <v>1183</v>
      </c>
      <c r="W268" s="1">
        <v>44338</v>
      </c>
    </row>
    <row r="269" spans="1:24">
      <c r="A269" t="str">
        <f>_xlfn.IFNA(VLOOKUP(D269,Spelerslijst!A:B,1,FALSE),FALSE)</f>
        <v>NLP89T3</v>
      </c>
      <c r="B269" t="b">
        <f>_xlfn.IFNA(VLOOKUP(D269,Spelerslijst!J:K,1,FALSE),FALSE)</f>
        <v>0</v>
      </c>
      <c r="C269" t="str">
        <f t="shared" si="4"/>
        <v/>
      </c>
      <c r="D269" t="s">
        <v>457</v>
      </c>
      <c r="E269" t="s">
        <v>2294</v>
      </c>
      <c r="F269" s="1">
        <v>40652</v>
      </c>
      <c r="G269" t="s">
        <v>1174</v>
      </c>
      <c r="H269" t="s">
        <v>2295</v>
      </c>
      <c r="I269">
        <v>186</v>
      </c>
      <c r="K269" t="s">
        <v>2296</v>
      </c>
      <c r="L269" t="s">
        <v>1187</v>
      </c>
      <c r="M269" t="s">
        <v>1166</v>
      </c>
      <c r="N269" t="s">
        <v>2297</v>
      </c>
      <c r="O269" t="s">
        <v>2298</v>
      </c>
      <c r="P269" t="s">
        <v>2299</v>
      </c>
      <c r="Q269" t="s">
        <v>1190</v>
      </c>
      <c r="R269" t="s">
        <v>1170</v>
      </c>
      <c r="S269">
        <v>230</v>
      </c>
      <c r="T269" t="s">
        <v>1182</v>
      </c>
      <c r="U269" t="s">
        <v>1172</v>
      </c>
      <c r="V269" t="s">
        <v>1213</v>
      </c>
      <c r="W269" s="1">
        <v>42248</v>
      </c>
    </row>
    <row r="270" spans="1:24">
      <c r="A270" t="b">
        <f>_xlfn.IFNA(VLOOKUP(D270,Spelerslijst!A:B,1,FALSE),FALSE)</f>
        <v>0</v>
      </c>
      <c r="B270" t="str">
        <f>_xlfn.IFNA(VLOOKUP(D270,Spelerslijst!J:K,1,FALSE),FALSE)</f>
        <v>NLZ36K6</v>
      </c>
      <c r="C270" t="str">
        <f t="shared" si="4"/>
        <v/>
      </c>
      <c r="D270" t="s">
        <v>902</v>
      </c>
      <c r="E270" t="s">
        <v>2300</v>
      </c>
      <c r="F270" s="1">
        <v>40405</v>
      </c>
      <c r="G270" t="s">
        <v>1162</v>
      </c>
      <c r="H270" t="s">
        <v>2301</v>
      </c>
      <c r="I270">
        <v>128</v>
      </c>
      <c r="K270" t="s">
        <v>2302</v>
      </c>
      <c r="L270" t="s">
        <v>1187</v>
      </c>
      <c r="M270" t="s">
        <v>1166</v>
      </c>
      <c r="N270" t="s">
        <v>2303</v>
      </c>
      <c r="P270" t="s">
        <v>2304</v>
      </c>
      <c r="Q270" t="s">
        <v>1169</v>
      </c>
      <c r="R270" t="s">
        <v>1170</v>
      </c>
      <c r="S270">
        <v>230</v>
      </c>
      <c r="T270" t="s">
        <v>1182</v>
      </c>
      <c r="U270" t="s">
        <v>1172</v>
      </c>
      <c r="V270" t="s">
        <v>1213</v>
      </c>
      <c r="W270" s="1">
        <v>43071</v>
      </c>
      <c r="X270" s="1">
        <v>44377</v>
      </c>
    </row>
    <row r="271" spans="1:24">
      <c r="A271" t="str">
        <f>_xlfn.IFNA(VLOOKUP(D271,Spelerslijst!A:B,1,FALSE),FALSE)</f>
        <v>NMJ14Y9</v>
      </c>
      <c r="B271" t="b">
        <f>_xlfn.IFNA(VLOOKUP(D271,Spelerslijst!J:K,1,FALSE),FALSE)</f>
        <v>0</v>
      </c>
      <c r="C271" t="str">
        <f t="shared" si="4"/>
        <v/>
      </c>
      <c r="D271" t="s">
        <v>691</v>
      </c>
      <c r="E271" t="s">
        <v>2305</v>
      </c>
      <c r="F271" s="1">
        <v>42021</v>
      </c>
      <c r="G271" t="s">
        <v>1174</v>
      </c>
      <c r="H271" t="s">
        <v>2301</v>
      </c>
      <c r="I271">
        <v>128</v>
      </c>
      <c r="K271" t="s">
        <v>2302</v>
      </c>
      <c r="L271" t="s">
        <v>1187</v>
      </c>
      <c r="M271" t="s">
        <v>1166</v>
      </c>
      <c r="N271" t="s">
        <v>2303</v>
      </c>
      <c r="P271" t="s">
        <v>2304</v>
      </c>
      <c r="Q271" t="s">
        <v>1190</v>
      </c>
      <c r="R271" t="s">
        <v>1170</v>
      </c>
      <c r="S271">
        <v>240</v>
      </c>
      <c r="T271" t="s">
        <v>1182</v>
      </c>
      <c r="U271" t="s">
        <v>1172</v>
      </c>
      <c r="V271" t="s">
        <v>1183</v>
      </c>
      <c r="W271" s="1">
        <v>43836</v>
      </c>
    </row>
    <row r="272" spans="1:24">
      <c r="A272" t="str">
        <f>_xlfn.IFNA(VLOOKUP(D272,Spelerslijst!A:B,1,FALSE),FALSE)</f>
        <v>NLV84L8</v>
      </c>
      <c r="B272" t="b">
        <f>_xlfn.IFNA(VLOOKUP(D272,Spelerslijst!J:K,1,FALSE),FALSE)</f>
        <v>0</v>
      </c>
      <c r="C272" t="str">
        <f t="shared" si="4"/>
        <v/>
      </c>
      <c r="D272" t="s">
        <v>922</v>
      </c>
      <c r="E272" t="s">
        <v>2306</v>
      </c>
      <c r="F272" s="1">
        <v>40226</v>
      </c>
      <c r="G272" t="s">
        <v>1174</v>
      </c>
      <c r="H272" t="s">
        <v>2307</v>
      </c>
      <c r="I272">
        <v>25</v>
      </c>
      <c r="K272" t="s">
        <v>2308</v>
      </c>
      <c r="L272" t="s">
        <v>1187</v>
      </c>
      <c r="M272" t="s">
        <v>1166</v>
      </c>
      <c r="N272" t="s">
        <v>2309</v>
      </c>
      <c r="P272" t="s">
        <v>2310</v>
      </c>
      <c r="Q272" t="s">
        <v>1190</v>
      </c>
      <c r="R272" t="s">
        <v>1170</v>
      </c>
      <c r="S272">
        <v>230</v>
      </c>
      <c r="T272" t="s">
        <v>1182</v>
      </c>
      <c r="U272" t="s">
        <v>1172</v>
      </c>
      <c r="V272" t="s">
        <v>1213</v>
      </c>
      <c r="W272" s="1">
        <v>42716</v>
      </c>
    </row>
    <row r="273" spans="1:24">
      <c r="A273" t="str">
        <f>_xlfn.IFNA(VLOOKUP(D273,Spelerslijst!A:B,1,FALSE),FALSE)</f>
        <v>NMK07T9</v>
      </c>
      <c r="B273" t="b">
        <f>_xlfn.IFNA(VLOOKUP(D273,Spelerslijst!J:K,1,FALSE),FALSE)</f>
        <v>0</v>
      </c>
      <c r="C273" t="str">
        <f t="shared" si="4"/>
        <v/>
      </c>
      <c r="D273" t="s">
        <v>697</v>
      </c>
      <c r="E273" t="s">
        <v>2311</v>
      </c>
      <c r="F273" s="1">
        <v>41149</v>
      </c>
      <c r="G273" t="s">
        <v>1174</v>
      </c>
      <c r="H273" t="s">
        <v>2312</v>
      </c>
      <c r="I273">
        <v>24</v>
      </c>
      <c r="K273" t="s">
        <v>2313</v>
      </c>
      <c r="L273" t="s">
        <v>1187</v>
      </c>
      <c r="M273" t="s">
        <v>1166</v>
      </c>
      <c r="N273" t="s">
        <v>2314</v>
      </c>
      <c r="P273" t="s">
        <v>2315</v>
      </c>
      <c r="Q273" t="s">
        <v>1190</v>
      </c>
      <c r="R273" t="s">
        <v>1170</v>
      </c>
      <c r="S273">
        <v>230</v>
      </c>
      <c r="T273" t="s">
        <v>1182</v>
      </c>
      <c r="U273" t="s">
        <v>1172</v>
      </c>
      <c r="V273" t="s">
        <v>1213</v>
      </c>
      <c r="W273" s="1">
        <v>44016</v>
      </c>
    </row>
    <row r="274" spans="1:24">
      <c r="A274" t="b">
        <f>_xlfn.IFNA(VLOOKUP(D274,Spelerslijst!A:B,1,FALSE),FALSE)</f>
        <v>0</v>
      </c>
      <c r="B274" t="str">
        <f>_xlfn.IFNA(VLOOKUP(D274,Spelerslijst!J:K,1,FALSE),FALSE)</f>
        <v>NKN65B6</v>
      </c>
      <c r="C274" t="str">
        <f t="shared" si="4"/>
        <v/>
      </c>
      <c r="D274" t="s">
        <v>627</v>
      </c>
      <c r="E274" t="s">
        <v>2316</v>
      </c>
      <c r="F274" s="1">
        <v>36929</v>
      </c>
      <c r="G274" t="s">
        <v>1162</v>
      </c>
      <c r="H274" t="s">
        <v>2317</v>
      </c>
      <c r="I274">
        <v>825</v>
      </c>
      <c r="K274" t="s">
        <v>2318</v>
      </c>
      <c r="L274" t="s">
        <v>1187</v>
      </c>
      <c r="M274" t="s">
        <v>1166</v>
      </c>
      <c r="N274" t="s">
        <v>2319</v>
      </c>
      <c r="O274" t="s">
        <v>2320</v>
      </c>
      <c r="P274" t="s">
        <v>2321</v>
      </c>
      <c r="Q274" t="s">
        <v>1190</v>
      </c>
      <c r="R274" t="s">
        <v>1170</v>
      </c>
      <c r="S274">
        <v>200</v>
      </c>
      <c r="T274" t="s">
        <v>1182</v>
      </c>
      <c r="U274" t="s">
        <v>1172</v>
      </c>
      <c r="V274" t="s">
        <v>1173</v>
      </c>
      <c r="W274" s="1">
        <v>40087</v>
      </c>
    </row>
    <row r="275" spans="1:24">
      <c r="A275" t="str">
        <f>_xlfn.IFNA(VLOOKUP(D275,Spelerslijst!A:B,1,FALSE),FALSE)</f>
        <v>NJC15T9</v>
      </c>
      <c r="B275" t="b">
        <f>_xlfn.IFNA(VLOOKUP(D275,Spelerslijst!J:K,1,FALSE),FALSE)</f>
        <v>0</v>
      </c>
      <c r="C275" t="str">
        <f t="shared" si="4"/>
        <v/>
      </c>
      <c r="D275" t="s">
        <v>953</v>
      </c>
      <c r="E275" t="s">
        <v>2322</v>
      </c>
      <c r="F275" s="1">
        <v>33777</v>
      </c>
      <c r="G275" t="s">
        <v>1174</v>
      </c>
      <c r="H275" t="s">
        <v>2323</v>
      </c>
      <c r="I275">
        <v>29</v>
      </c>
      <c r="K275" t="s">
        <v>2324</v>
      </c>
      <c r="L275" t="s">
        <v>2325</v>
      </c>
      <c r="M275" t="s">
        <v>1166</v>
      </c>
      <c r="N275" t="s">
        <v>2326</v>
      </c>
      <c r="P275" t="s">
        <v>2327</v>
      </c>
      <c r="Q275" t="s">
        <v>1169</v>
      </c>
      <c r="R275" t="s">
        <v>1170</v>
      </c>
      <c r="S275">
        <v>200</v>
      </c>
      <c r="T275" t="s">
        <v>1182</v>
      </c>
      <c r="U275" t="s">
        <v>1172</v>
      </c>
      <c r="V275" t="s">
        <v>1173</v>
      </c>
      <c r="W275" s="1">
        <v>37159</v>
      </c>
      <c r="X275" s="1">
        <v>44377</v>
      </c>
    </row>
    <row r="276" spans="1:24">
      <c r="A276" t="str">
        <f>_xlfn.IFNA(VLOOKUP(D276,Spelerslijst!A:B,1,FALSE),FALSE)</f>
        <v>NKD16N8</v>
      </c>
      <c r="B276" t="b">
        <f>_xlfn.IFNA(VLOOKUP(D276,Spelerslijst!J:K,1,FALSE),FALSE)</f>
        <v>0</v>
      </c>
      <c r="C276" t="str">
        <f t="shared" si="4"/>
        <v/>
      </c>
      <c r="D276" t="s">
        <v>685</v>
      </c>
      <c r="E276" t="s">
        <v>2328</v>
      </c>
      <c r="F276" s="1">
        <v>36706</v>
      </c>
      <c r="G276" t="s">
        <v>1174</v>
      </c>
      <c r="H276" t="s">
        <v>2329</v>
      </c>
      <c r="I276">
        <v>12</v>
      </c>
      <c r="K276" t="s">
        <v>2330</v>
      </c>
      <c r="L276" t="s">
        <v>2325</v>
      </c>
      <c r="M276" t="s">
        <v>1166</v>
      </c>
      <c r="N276" t="s">
        <v>2331</v>
      </c>
      <c r="O276" t="s">
        <v>2332</v>
      </c>
      <c r="P276" t="s">
        <v>2333</v>
      </c>
      <c r="Q276" t="s">
        <v>1169</v>
      </c>
      <c r="S276">
        <v>100</v>
      </c>
      <c r="T276" t="s">
        <v>1900</v>
      </c>
      <c r="U276" t="s">
        <v>1172</v>
      </c>
      <c r="V276" t="s">
        <v>1173</v>
      </c>
      <c r="W276" s="1">
        <v>40787</v>
      </c>
      <c r="X276" s="1">
        <v>44377</v>
      </c>
    </row>
    <row r="277" spans="1:24">
      <c r="A277" t="b">
        <f>_xlfn.IFNA(VLOOKUP(D277,Spelerslijst!A:B,1,FALSE),FALSE)</f>
        <v>0</v>
      </c>
      <c r="B277" t="str">
        <f>_xlfn.IFNA(VLOOKUP(D277,Spelerslijst!J:K,1,FALSE),FALSE)</f>
        <v>NLJ97M7</v>
      </c>
      <c r="C277" t="str">
        <f t="shared" si="4"/>
        <v/>
      </c>
      <c r="D277" t="s">
        <v>322</v>
      </c>
      <c r="E277" t="s">
        <v>2334</v>
      </c>
      <c r="F277" s="1">
        <v>39420</v>
      </c>
      <c r="G277" t="s">
        <v>1162</v>
      </c>
      <c r="H277" t="s">
        <v>2335</v>
      </c>
      <c r="I277">
        <v>52</v>
      </c>
      <c r="K277" t="s">
        <v>2336</v>
      </c>
      <c r="L277" t="s">
        <v>2337</v>
      </c>
      <c r="M277" t="s">
        <v>1166</v>
      </c>
      <c r="N277" t="s">
        <v>2338</v>
      </c>
      <c r="O277" t="s">
        <v>2339</v>
      </c>
      <c r="P277" t="s">
        <v>2340</v>
      </c>
      <c r="Q277" t="s">
        <v>1190</v>
      </c>
      <c r="R277" t="s">
        <v>1170</v>
      </c>
      <c r="S277">
        <v>220</v>
      </c>
      <c r="T277" t="s">
        <v>1182</v>
      </c>
      <c r="U277" t="s">
        <v>1172</v>
      </c>
      <c r="V277" t="s">
        <v>1207</v>
      </c>
      <c r="W277" s="1">
        <v>44029</v>
      </c>
    </row>
    <row r="278" spans="1:24">
      <c r="A278" t="str">
        <f>_xlfn.IFNA(VLOOKUP(D278,Spelerslijst!A:B,1,FALSE),FALSE)</f>
        <v>NJX04V6</v>
      </c>
      <c r="B278" t="b">
        <f>_xlfn.IFNA(VLOOKUP(D278,Spelerslijst!J:K,1,FALSE),FALSE)</f>
        <v>0</v>
      </c>
      <c r="C278" t="str">
        <f t="shared" si="4"/>
        <v/>
      </c>
      <c r="D278" t="s">
        <v>508</v>
      </c>
      <c r="E278" t="s">
        <v>2341</v>
      </c>
      <c r="F278" s="1">
        <v>36849</v>
      </c>
      <c r="G278" t="s">
        <v>1174</v>
      </c>
      <c r="H278" t="s">
        <v>2342</v>
      </c>
      <c r="I278">
        <v>1</v>
      </c>
      <c r="K278" t="s">
        <v>2343</v>
      </c>
      <c r="L278" t="s">
        <v>2337</v>
      </c>
      <c r="M278" t="s">
        <v>1166</v>
      </c>
      <c r="N278" t="s">
        <v>2344</v>
      </c>
      <c r="O278" t="s">
        <v>2344</v>
      </c>
      <c r="P278" t="s">
        <v>2345</v>
      </c>
      <c r="Q278" t="s">
        <v>1169</v>
      </c>
      <c r="S278">
        <v>100</v>
      </c>
      <c r="T278" t="s">
        <v>1900</v>
      </c>
      <c r="U278" t="s">
        <v>1172</v>
      </c>
      <c r="V278" t="s">
        <v>1173</v>
      </c>
      <c r="W278" s="1">
        <v>42977</v>
      </c>
      <c r="X278" s="1">
        <v>44377</v>
      </c>
    </row>
    <row r="279" spans="1:24">
      <c r="A279" t="b">
        <f>_xlfn.IFNA(VLOOKUP(D279,Spelerslijst!A:B,1,FALSE),FALSE)</f>
        <v>0</v>
      </c>
      <c r="B279" t="str">
        <f>_xlfn.IFNA(VLOOKUP(D279,Spelerslijst!J:K,1,FALSE),FALSE)</f>
        <v>NKR57N5</v>
      </c>
      <c r="C279" t="str">
        <f t="shared" si="4"/>
        <v/>
      </c>
      <c r="D279" t="s">
        <v>199</v>
      </c>
      <c r="E279" t="s">
        <v>2346</v>
      </c>
      <c r="F279" s="1">
        <v>37715</v>
      </c>
      <c r="G279" t="s">
        <v>1162</v>
      </c>
      <c r="H279" t="s">
        <v>2347</v>
      </c>
      <c r="I279">
        <v>62</v>
      </c>
      <c r="K279" t="s">
        <v>2348</v>
      </c>
      <c r="L279" t="s">
        <v>2349</v>
      </c>
      <c r="M279" t="s">
        <v>1166</v>
      </c>
      <c r="N279" t="s">
        <v>2350</v>
      </c>
      <c r="O279" t="s">
        <v>2351</v>
      </c>
      <c r="P279" t="s">
        <v>2352</v>
      </c>
      <c r="Q279" t="s">
        <v>1190</v>
      </c>
      <c r="R279" t="s">
        <v>1170</v>
      </c>
      <c r="S279">
        <v>210</v>
      </c>
      <c r="T279" t="s">
        <v>1182</v>
      </c>
      <c r="U279" t="s">
        <v>1172</v>
      </c>
      <c r="V279" t="s">
        <v>1194</v>
      </c>
      <c r="W279" s="1">
        <v>40422</v>
      </c>
    </row>
    <row r="280" spans="1:24">
      <c r="A280" t="str">
        <f>_xlfn.IFNA(VLOOKUP(D280,Spelerslijst!A:B,1,FALSE),FALSE)</f>
        <v>NLY40X3</v>
      </c>
      <c r="B280" t="b">
        <f>_xlfn.IFNA(VLOOKUP(D280,Spelerslijst!J:K,1,FALSE),FALSE)</f>
        <v>0</v>
      </c>
      <c r="C280" t="str">
        <f t="shared" si="4"/>
        <v/>
      </c>
      <c r="D280" t="s">
        <v>670</v>
      </c>
      <c r="E280" t="s">
        <v>2353</v>
      </c>
      <c r="F280" s="1">
        <v>39961</v>
      </c>
      <c r="G280" t="s">
        <v>1174</v>
      </c>
      <c r="H280" t="s">
        <v>2354</v>
      </c>
      <c r="I280">
        <v>20</v>
      </c>
      <c r="K280" t="s">
        <v>2355</v>
      </c>
      <c r="L280" t="s">
        <v>2356</v>
      </c>
      <c r="M280" t="s">
        <v>1166</v>
      </c>
      <c r="N280" t="s">
        <v>2357</v>
      </c>
      <c r="P280" t="s">
        <v>2358</v>
      </c>
      <c r="Q280" t="s">
        <v>1190</v>
      </c>
      <c r="R280" t="s">
        <v>1170</v>
      </c>
      <c r="S280">
        <v>230</v>
      </c>
      <c r="T280" t="s">
        <v>1182</v>
      </c>
      <c r="U280" t="s">
        <v>1172</v>
      </c>
      <c r="V280" t="s">
        <v>1213</v>
      </c>
      <c r="W280" s="1">
        <v>44013</v>
      </c>
    </row>
    <row r="281" spans="1:24">
      <c r="A281" t="b">
        <f>_xlfn.IFNA(VLOOKUP(D281,Spelerslijst!A:B,1,FALSE),FALSE)</f>
        <v>0</v>
      </c>
      <c r="B281" t="str">
        <f>_xlfn.IFNA(VLOOKUP(D281,Spelerslijst!J:K,1,FALSE),FALSE)</f>
        <v>NJG52P6</v>
      </c>
      <c r="C281" t="str">
        <f t="shared" si="4"/>
        <v/>
      </c>
      <c r="D281" t="s">
        <v>778</v>
      </c>
      <c r="E281" t="s">
        <v>2359</v>
      </c>
      <c r="F281" s="1">
        <v>35270</v>
      </c>
      <c r="G281" t="s">
        <v>1162</v>
      </c>
      <c r="H281" t="s">
        <v>2360</v>
      </c>
      <c r="I281">
        <v>7</v>
      </c>
      <c r="K281" t="s">
        <v>2361</v>
      </c>
      <c r="L281" t="s">
        <v>2362</v>
      </c>
      <c r="M281" t="s">
        <v>1166</v>
      </c>
      <c r="N281" t="s">
        <v>2363</v>
      </c>
      <c r="O281" t="s">
        <v>2364</v>
      </c>
      <c r="P281" t="s">
        <v>2365</v>
      </c>
      <c r="Q281" t="s">
        <v>1190</v>
      </c>
      <c r="R281" t="s">
        <v>1170</v>
      </c>
      <c r="S281">
        <v>200</v>
      </c>
      <c r="T281" t="s">
        <v>1182</v>
      </c>
      <c r="U281" t="s">
        <v>1172</v>
      </c>
      <c r="V281" t="s">
        <v>1173</v>
      </c>
      <c r="W281" s="1">
        <v>40787</v>
      </c>
    </row>
    <row r="282" spans="1:24">
      <c r="A282" t="str">
        <f>_xlfn.IFNA(VLOOKUP(D282,Spelerslijst!A:B,1,FALSE),FALSE)</f>
        <v>NJG13L1</v>
      </c>
      <c r="B282" t="b">
        <f>_xlfn.IFNA(VLOOKUP(D282,Spelerslijst!J:K,1,FALSE),FALSE)</f>
        <v>0</v>
      </c>
      <c r="C282" t="str">
        <f t="shared" si="4"/>
        <v/>
      </c>
      <c r="D282" t="s">
        <v>61</v>
      </c>
      <c r="E282" t="s">
        <v>2366</v>
      </c>
      <c r="F282" s="1">
        <v>35337</v>
      </c>
      <c r="G282" t="s">
        <v>1174</v>
      </c>
      <c r="H282" t="s">
        <v>2367</v>
      </c>
      <c r="I282">
        <v>31</v>
      </c>
      <c r="K282" t="s">
        <v>2368</v>
      </c>
      <c r="L282" t="s">
        <v>2369</v>
      </c>
      <c r="M282" t="s">
        <v>1166</v>
      </c>
      <c r="N282" t="s">
        <v>2370</v>
      </c>
      <c r="P282" t="s">
        <v>2371</v>
      </c>
      <c r="Q282" t="s">
        <v>1190</v>
      </c>
      <c r="R282" t="s">
        <v>1170</v>
      </c>
      <c r="S282">
        <v>200</v>
      </c>
      <c r="T282" t="s">
        <v>1182</v>
      </c>
      <c r="U282" t="s">
        <v>1172</v>
      </c>
      <c r="V282" t="s">
        <v>1173</v>
      </c>
      <c r="W282" s="1">
        <v>37587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51D4A53FEF349BFEF26E2342C45C9" ma:contentTypeVersion="16" ma:contentTypeDescription="Een nieuw document maken." ma:contentTypeScope="" ma:versionID="55e8cb14035ef33419b35a171ca9f8e9">
  <xsd:schema xmlns:xsd="http://www.w3.org/2001/XMLSchema" xmlns:xs="http://www.w3.org/2001/XMLSchema" xmlns:p="http://schemas.microsoft.com/office/2006/metadata/properties" xmlns:ns2="4aa677f6-df1a-4d33-8ba3-c60d83947899" xmlns:ns3="433ddfc1-fee3-4cb4-a29f-5839980eeb96" targetNamespace="http://schemas.microsoft.com/office/2006/metadata/properties" ma:root="true" ma:fieldsID="9fdd622b17f933c4a40a956b62ec81a7" ns2:_="" ns3:_="">
    <xsd:import namespace="4aa677f6-df1a-4d33-8ba3-c60d83947899"/>
    <xsd:import namespace="433ddfc1-fee3-4cb4-a29f-5839980ee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677f6-df1a-4d33-8ba3-c60d83947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d7e1b26-e006-4bf5-9b62-aa4573f67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ddfc1-fee3-4cb4-a29f-5839980eeb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7a60a84-2273-4d3d-bb96-bc5c85cf82c6}" ma:internalName="TaxCatchAll" ma:showField="CatchAllData" ma:web="433ddfc1-fee3-4cb4-a29f-5839980ee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3ddfc1-fee3-4cb4-a29f-5839980eeb96" xsi:nil="true"/>
    <lcf76f155ced4ddcb4097134ff3c332f xmlns="4aa677f6-df1a-4d33-8ba3-c60d8394789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BC8652-E72A-4B55-B28B-0161B5EBE035}"/>
</file>

<file path=customXml/itemProps2.xml><?xml version="1.0" encoding="utf-8"?>
<ds:datastoreItem xmlns:ds="http://schemas.openxmlformats.org/officeDocument/2006/customXml" ds:itemID="{B3F0B554-8EDA-451C-96AC-2FE3B557CBEE}"/>
</file>

<file path=customXml/itemProps3.xml><?xml version="1.0" encoding="utf-8"?>
<ds:datastoreItem xmlns:ds="http://schemas.openxmlformats.org/officeDocument/2006/customXml" ds:itemID="{AE2DE994-3C66-47D3-A41B-76464269C2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Wolff</dc:creator>
  <cp:keywords/>
  <dc:description/>
  <cp:lastModifiedBy>Paul Wolff</cp:lastModifiedBy>
  <cp:revision/>
  <dcterms:created xsi:type="dcterms:W3CDTF">2021-04-25T08:32:35Z</dcterms:created>
  <dcterms:modified xsi:type="dcterms:W3CDTF">2025-08-06T07:48:20Z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0x0101001A751D4A53FEF349BFEF26E2342C45C9</vt:lpwstr>
  </property>
  <property fmtid="{D5CDD505-2E9C-101B-9397-08002B2CF9AE}" pid="3" name="MediaServiceImageTags">
    <vt:lpwstr/>
  </property>
</Properties>
</file>