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https://oranjewit.sharepoint.com/sites/TC/Gedeelde documenten/2023-2024/Competitievoorbereiding 23-24/"/>
    </mc:Choice>
  </mc:AlternateContent>
  <xr:revisionPtr revIDLastSave="7269" documentId="8_{862803EC-863D-4DCD-AFB9-F329043AB048}" xr6:coauthVersionLast="47" xr6:coauthVersionMax="47" xr10:uidLastSave="{0277E55B-900B-41D2-AC49-03768BF0F40A}"/>
  <bookViews>
    <workbookView xWindow="-108" yWindow="12852" windowWidth="23256" windowHeight="12576" tabRatio="721" activeTab="1" xr2:uid="{936DD2DD-FEE1-479C-98CF-F58D2D27076A}"/>
  </bookViews>
  <sheets>
    <sheet name="Teams" sheetId="2" r:id="rId1"/>
    <sheet name="Spelerslijst" sheetId="3" r:id="rId2"/>
    <sheet name="Count" sheetId="18" r:id="rId3"/>
    <sheet name="Staf" sheetId="4" r:id="rId4"/>
    <sheet name="Teams-deelversie" sheetId="14" r:id="rId5"/>
    <sheet name="Stoppers" sheetId="5" r:id="rId6"/>
    <sheet name="vraagtekens" sheetId="6" r:id="rId7"/>
    <sheet name="streepjes" sheetId="7" r:id="rId8"/>
    <sheet name="check bond 280623" sheetId="8" r:id="rId9"/>
    <sheet name="leden" sheetId="17" r:id="rId10"/>
    <sheet name="PEIL" sheetId="12" r:id="rId11"/>
    <sheet name="SCENARIO-KEUZE RICHTING 0.9" sheetId="21" r:id="rId12"/>
    <sheet name="Aandachtpunten" sheetId="13" r:id="rId13"/>
    <sheet name="Notities" sheetId="19" r:id="rId14"/>
    <sheet name="Scenarios D-E" sheetId="20" r:id="rId15"/>
    <sheet name="Scenarios B-C" sheetId="22" r:id="rId16"/>
  </sheets>
  <definedNames>
    <definedName name="_xlnm._FilterDatabase" localSheetId="12" hidden="1">Aandachtpunten!$A$1:$E$1</definedName>
    <definedName name="_xlnm._FilterDatabase" localSheetId="1" hidden="1">Spelerslijst!$K$1:$Q$148</definedName>
    <definedName name="ExternalData_1" localSheetId="9" hidden="1">leden!$A$1:$G$302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1" i="3" l="1"/>
  <c r="D121" i="3"/>
  <c r="N101" i="3"/>
  <c r="P101" i="3"/>
  <c r="F106" i="3"/>
  <c r="D106" i="3"/>
  <c r="N21" i="3"/>
  <c r="P21" i="3"/>
  <c r="N30" i="3"/>
  <c r="P30" i="3"/>
  <c r="P28" i="3"/>
  <c r="N28" i="3"/>
  <c r="P26" i="3"/>
  <c r="N26" i="3"/>
  <c r="P19" i="3"/>
  <c r="N19" i="3"/>
  <c r="F24" i="3"/>
  <c r="D24" i="3"/>
  <c r="P25" i="3"/>
  <c r="N25" i="3"/>
  <c r="P23" i="3"/>
  <c r="N23" i="3"/>
  <c r="P24" i="3"/>
  <c r="P27" i="3"/>
  <c r="N24" i="3"/>
  <c r="N27" i="3"/>
  <c r="F19" i="3"/>
  <c r="D19" i="3"/>
  <c r="P105" i="3"/>
  <c r="N105" i="3"/>
  <c r="X17" i="14" a="1"/>
  <c r="X17" i="14" s="1"/>
  <c r="W17" i="14" a="1"/>
  <c r="W17" i="14" s="1"/>
  <c r="Z4" i="14" a="1"/>
  <c r="Z4" i="14" s="1"/>
  <c r="W4" i="14" a="1"/>
  <c r="W4" i="14" s="1"/>
  <c r="F108" i="3"/>
  <c r="F107" i="3"/>
  <c r="F110" i="3"/>
  <c r="D108" i="3"/>
  <c r="D107" i="3"/>
  <c r="D110" i="3"/>
  <c r="P91" i="3"/>
  <c r="N91" i="3"/>
  <c r="N95" i="3"/>
  <c r="P95" i="3"/>
  <c r="P93" i="3"/>
  <c r="N93" i="3"/>
  <c r="B119" i="2" a="1"/>
  <c r="B119" i="2" s="1"/>
  <c r="P90" i="3" l="1"/>
  <c r="N90" i="3"/>
  <c r="F103" i="3"/>
  <c r="D103" i="3"/>
  <c r="X17" i="2" a="1"/>
  <c r="X17" i="2" s="1"/>
  <c r="W17" i="2" a="1"/>
  <c r="W17" i="2" s="1"/>
  <c r="AA4" i="2" a="1"/>
  <c r="AA4" i="2" s="1"/>
  <c r="Z3" i="2" s="1"/>
  <c r="Z4" i="2" a="1"/>
  <c r="Z4" i="2" s="1"/>
  <c r="X4" i="2" a="1"/>
  <c r="X4" i="2" s="1"/>
  <c r="W3" i="2" s="1"/>
  <c r="W4" i="2" a="1"/>
  <c r="W4" i="2" s="1"/>
  <c r="D99" i="3"/>
  <c r="F99" i="3"/>
  <c r="F100" i="3"/>
  <c r="D100" i="3"/>
  <c r="N89" i="3"/>
  <c r="P89" i="3"/>
  <c r="P87" i="3"/>
  <c r="P81" i="3"/>
  <c r="D96" i="3"/>
  <c r="F96" i="3"/>
  <c r="P88" i="3"/>
  <c r="N88" i="3"/>
  <c r="N72" i="3"/>
  <c r="P129" i="3"/>
  <c r="P72" i="3"/>
  <c r="F95" i="3"/>
  <c r="N81" i="3"/>
  <c r="N86" i="3"/>
  <c r="N87" i="3"/>
  <c r="P57" i="3"/>
  <c r="N57" i="3"/>
  <c r="I57" i="2" a="1"/>
  <c r="I57" i="2" s="1"/>
  <c r="P64" i="3"/>
  <c r="N64" i="3"/>
  <c r="P85" i="3"/>
  <c r="N85" i="3"/>
  <c r="D155" i="3"/>
  <c r="F155" i="3"/>
  <c r="F114" i="3"/>
  <c r="D129" i="3"/>
  <c r="F129" i="3"/>
  <c r="D21" i="3"/>
  <c r="F21" i="3"/>
  <c r="D109" i="3"/>
  <c r="D62" i="3"/>
  <c r="F62" i="3"/>
  <c r="D97" i="3"/>
  <c r="F97" i="3"/>
  <c r="D87" i="3"/>
  <c r="F87" i="3"/>
  <c r="F92" i="3"/>
  <c r="D92" i="3"/>
  <c r="D88" i="3"/>
  <c r="F88" i="3"/>
  <c r="D94" i="3"/>
  <c r="F94" i="3"/>
  <c r="D104" i="3"/>
  <c r="F104" i="3"/>
  <c r="F158" i="3"/>
  <c r="D2" i="3"/>
  <c r="D135" i="3"/>
  <c r="D25" i="3"/>
  <c r="D148" i="3"/>
  <c r="D143" i="3"/>
  <c r="D63" i="3"/>
  <c r="D3" i="3"/>
  <c r="D149" i="3"/>
  <c r="D130" i="3"/>
  <c r="D13" i="3"/>
  <c r="D26" i="3"/>
  <c r="D112" i="3"/>
  <c r="D150" i="3"/>
  <c r="D56" i="3"/>
  <c r="D136" i="3"/>
  <c r="D151" i="3"/>
  <c r="D27" i="3"/>
  <c r="D20" i="3"/>
  <c r="D40" i="3"/>
  <c r="D50" i="3"/>
  <c r="D64" i="3"/>
  <c r="D168" i="3"/>
  <c r="D41" i="3"/>
  <c r="D42" i="3"/>
  <c r="D113" i="3"/>
  <c r="D131" i="3"/>
  <c r="D152" i="3"/>
  <c r="D114" i="3"/>
  <c r="D28" i="3"/>
  <c r="D105" i="3"/>
  <c r="D4" i="3"/>
  <c r="D153" i="3"/>
  <c r="D57" i="3"/>
  <c r="D29" i="3"/>
  <c r="D86" i="3"/>
  <c r="D51" i="3"/>
  <c r="D45" i="3"/>
  <c r="D123" i="3"/>
  <c r="D75" i="3"/>
  <c r="D132" i="3"/>
  <c r="D65" i="3"/>
  <c r="D115" i="3"/>
  <c r="D46" i="3"/>
  <c r="D69" i="3"/>
  <c r="D58" i="3"/>
  <c r="D52" i="3"/>
  <c r="D70" i="3"/>
  <c r="D76" i="3"/>
  <c r="D47" i="3"/>
  <c r="D93" i="3"/>
  <c r="D53" i="3"/>
  <c r="D71" i="3"/>
  <c r="D30" i="3"/>
  <c r="D35" i="3"/>
  <c r="D14" i="3"/>
  <c r="D31" i="3"/>
  <c r="D154" i="3"/>
  <c r="D124" i="3"/>
  <c r="D66" i="3"/>
  <c r="D5" i="3"/>
  <c r="D84" i="3"/>
  <c r="D156" i="3"/>
  <c r="D137" i="3"/>
  <c r="D72" i="3"/>
  <c r="D138" i="3"/>
  <c r="D82" i="3"/>
  <c r="D77" i="3"/>
  <c r="D15" i="3"/>
  <c r="D43" i="3"/>
  <c r="D98" i="3"/>
  <c r="D157" i="3"/>
  <c r="D116" i="3"/>
  <c r="D139" i="3"/>
  <c r="D140" i="3"/>
  <c r="D67" i="3"/>
  <c r="D144" i="3"/>
  <c r="D158" i="3"/>
  <c r="D73" i="3"/>
  <c r="D78" i="3"/>
  <c r="D16" i="3"/>
  <c r="D133" i="3"/>
  <c r="D125" i="3"/>
  <c r="D6" i="3"/>
  <c r="D85" i="3"/>
  <c r="D32" i="3"/>
  <c r="D159" i="3"/>
  <c r="D160" i="3"/>
  <c r="D79" i="3"/>
  <c r="D117" i="3"/>
  <c r="D89" i="3"/>
  <c r="D36" i="3"/>
  <c r="D59" i="3"/>
  <c r="D37" i="3"/>
  <c r="D145" i="3"/>
  <c r="D7" i="3"/>
  <c r="D161" i="3"/>
  <c r="D8" i="3"/>
  <c r="D22" i="3"/>
  <c r="D126" i="3"/>
  <c r="D9" i="3"/>
  <c r="D118" i="3"/>
  <c r="D23" i="3"/>
  <c r="D162" i="3"/>
  <c r="D127" i="3"/>
  <c r="D146" i="3"/>
  <c r="D54" i="3"/>
  <c r="D44" i="3"/>
  <c r="D80" i="3"/>
  <c r="D60" i="3"/>
  <c r="D68" i="3"/>
  <c r="D134" i="3"/>
  <c r="D83" i="3"/>
  <c r="D61" i="3"/>
  <c r="D119" i="3"/>
  <c r="D120" i="3"/>
  <c r="D128" i="3"/>
  <c r="D90" i="3"/>
  <c r="D38" i="3"/>
  <c r="D10" i="3"/>
  <c r="D163" i="3"/>
  <c r="D48" i="3"/>
  <c r="D101" i="3"/>
  <c r="D141" i="3"/>
  <c r="D55" i="3"/>
  <c r="D11" i="3"/>
  <c r="D164" i="3"/>
  <c r="D165" i="3"/>
  <c r="D91" i="3"/>
  <c r="D33" i="3"/>
  <c r="D34" i="3"/>
  <c r="D166" i="3"/>
  <c r="D147" i="3"/>
  <c r="D111" i="3"/>
  <c r="D81" i="3"/>
  <c r="D49" i="3"/>
  <c r="D142" i="3"/>
  <c r="D17" i="3"/>
  <c r="D102" i="3"/>
  <c r="D122" i="3"/>
  <c r="D74" i="3"/>
  <c r="D167" i="3"/>
  <c r="D39" i="3"/>
  <c r="D12" i="3"/>
  <c r="C130" i="14" a="1"/>
  <c r="C130" i="14" s="1"/>
  <c r="B130" i="14" a="1"/>
  <c r="B130" i="14" s="1"/>
  <c r="E122" i="14" a="1"/>
  <c r="E122" i="14" s="1"/>
  <c r="B122" i="14" a="1"/>
  <c r="B122" i="14" s="1"/>
  <c r="AE115" i="14" a="1"/>
  <c r="AE115" i="14" s="1"/>
  <c r="AD115" i="14" a="1"/>
  <c r="AD115" i="14" s="1"/>
  <c r="X115" i="14" a="1"/>
  <c r="X115" i="14" s="1"/>
  <c r="W115" i="14" a="1"/>
  <c r="W115" i="14" s="1"/>
  <c r="Q115" i="14" a="1"/>
  <c r="Q115" i="14" s="1"/>
  <c r="P115" i="14" a="1"/>
  <c r="P115" i="14" s="1"/>
  <c r="J115" i="14" a="1"/>
  <c r="J115" i="14" s="1"/>
  <c r="I115" i="14" a="1"/>
  <c r="I115" i="14" s="1"/>
  <c r="C115" i="14" a="1"/>
  <c r="C115" i="14" s="1"/>
  <c r="B115" i="14" a="1"/>
  <c r="B115" i="14" s="1"/>
  <c r="AI109" i="14" a="1"/>
  <c r="AI109" i="14" s="1"/>
  <c r="AH109" i="14" a="1"/>
  <c r="AH109" i="14" s="1"/>
  <c r="AG109" i="14" a="1"/>
  <c r="AG109" i="14" s="1"/>
  <c r="AF109" i="14" a="1"/>
  <c r="AF109" i="14" s="1"/>
  <c r="AE109" i="14" a="1"/>
  <c r="AE109" i="14" s="1"/>
  <c r="AD109" i="14" a="1"/>
  <c r="AD109" i="14" s="1"/>
  <c r="AB109" i="14" a="1"/>
  <c r="AB109" i="14" s="1"/>
  <c r="AA109" i="14" a="1"/>
  <c r="AA109" i="14" s="1"/>
  <c r="Z109" i="14" a="1"/>
  <c r="Z109" i="14" s="1"/>
  <c r="Y109" i="14" a="1"/>
  <c r="Y109" i="14" s="1"/>
  <c r="X109" i="14" a="1"/>
  <c r="X109" i="14" s="1"/>
  <c r="W109" i="14" a="1"/>
  <c r="W109" i="14" s="1"/>
  <c r="U109" i="14" a="1"/>
  <c r="U109" i="14" s="1"/>
  <c r="T109" i="14" a="1"/>
  <c r="T109" i="14" s="1"/>
  <c r="S109" i="14" a="1"/>
  <c r="S109" i="14" s="1"/>
  <c r="R109" i="14" a="1"/>
  <c r="R109" i="14" s="1"/>
  <c r="Q109" i="14" a="1"/>
  <c r="Q109" i="14" s="1"/>
  <c r="P109" i="14" a="1"/>
  <c r="P109" i="14" s="1"/>
  <c r="L109" i="14" a="1"/>
  <c r="L109" i="14" s="1"/>
  <c r="I109" i="14" a="1"/>
  <c r="I109" i="14" s="1"/>
  <c r="E109" i="14" a="1"/>
  <c r="E109" i="14" s="1"/>
  <c r="B109" i="14" a="1"/>
  <c r="B109" i="14" s="1"/>
  <c r="AS103" i="14" a="1"/>
  <c r="AS103" i="14" s="1"/>
  <c r="AR103" i="14" a="1"/>
  <c r="AR103" i="14" s="1"/>
  <c r="AL103" i="14" a="1"/>
  <c r="AL103" i="14" s="1"/>
  <c r="AK103" i="14" a="1"/>
  <c r="AK103" i="14" s="1"/>
  <c r="AE103" i="14" a="1"/>
  <c r="AE103" i="14" s="1"/>
  <c r="AD103" i="14" a="1"/>
  <c r="AD103" i="14" s="1"/>
  <c r="X103" i="14" a="1"/>
  <c r="X103" i="14" s="1"/>
  <c r="W103" i="14" a="1"/>
  <c r="W103" i="14" s="1"/>
  <c r="Q103" i="14" a="1"/>
  <c r="Q103" i="14" s="1"/>
  <c r="P103" i="14" a="1"/>
  <c r="P103" i="14" s="1"/>
  <c r="J103" i="14" a="1"/>
  <c r="J103" i="14" s="1"/>
  <c r="I103" i="14" a="1"/>
  <c r="I103" i="14" s="1"/>
  <c r="C103" i="14" a="1"/>
  <c r="C103" i="14" s="1"/>
  <c r="B103" i="14" a="1"/>
  <c r="B103" i="14" s="1"/>
  <c r="AV97" i="14" a="1"/>
  <c r="AV97" i="14" s="1"/>
  <c r="AU97" i="14" a="1"/>
  <c r="AU97" i="14" s="1"/>
  <c r="AS97" i="14" a="1"/>
  <c r="AS97" i="14" s="1"/>
  <c r="AR97" i="14" a="1"/>
  <c r="AR97" i="14" s="1"/>
  <c r="AN97" i="14" a="1"/>
  <c r="AN97" i="14" s="1"/>
  <c r="AK97" i="14" a="1"/>
  <c r="AK97" i="14" s="1"/>
  <c r="AG97" i="14" a="1"/>
  <c r="AG97" i="14" s="1"/>
  <c r="AD97" i="14" a="1"/>
  <c r="AD97" i="14" s="1"/>
  <c r="Z97" i="14" a="1"/>
  <c r="Z97" i="14" s="1"/>
  <c r="W97" i="14" a="1"/>
  <c r="W97" i="14" s="1"/>
  <c r="S97" i="14" a="1"/>
  <c r="S97" i="14" s="1"/>
  <c r="P97" i="14" a="1"/>
  <c r="P97" i="14" s="1"/>
  <c r="L97" i="14" a="1"/>
  <c r="L97" i="14" s="1"/>
  <c r="I97" i="14" a="1"/>
  <c r="I97" i="14" s="1"/>
  <c r="E97" i="14" a="1"/>
  <c r="E97" i="14" s="1"/>
  <c r="B97" i="14" a="1"/>
  <c r="B97" i="14" s="1"/>
  <c r="AE91" i="14" a="1"/>
  <c r="AE91" i="14" s="1"/>
  <c r="AD91" i="14" a="1"/>
  <c r="AD91" i="14" s="1"/>
  <c r="X91" i="14" a="1"/>
  <c r="X91" i="14" s="1"/>
  <c r="W91" i="14" a="1"/>
  <c r="W91" i="14" s="1"/>
  <c r="Q91" i="14" a="1"/>
  <c r="Q91" i="14" s="1"/>
  <c r="P91" i="14" a="1"/>
  <c r="P91" i="14" s="1"/>
  <c r="J91" i="14" a="1"/>
  <c r="J91" i="14" s="1"/>
  <c r="I91" i="14" a="1"/>
  <c r="I91" i="14" s="1"/>
  <c r="C91" i="14" a="1"/>
  <c r="C91" i="14" s="1"/>
  <c r="B91" i="14" a="1"/>
  <c r="B91" i="14" s="1"/>
  <c r="AI83" i="14" a="1"/>
  <c r="AI83" i="14" s="1"/>
  <c r="AH83" i="14" a="1"/>
  <c r="AH83" i="14" s="1"/>
  <c r="AG83" i="14" a="1"/>
  <c r="AG83" i="14" s="1"/>
  <c r="AF83" i="14" a="1"/>
  <c r="AF83" i="14" s="1"/>
  <c r="AE83" i="14" a="1"/>
  <c r="AE83" i="14" s="1"/>
  <c r="AD83" i="14" a="1"/>
  <c r="AD83" i="14" s="1"/>
  <c r="AB83" i="14" a="1"/>
  <c r="AB83" i="14" s="1"/>
  <c r="AA83" i="14" a="1"/>
  <c r="AA83" i="14" s="1"/>
  <c r="Z83" i="14" a="1"/>
  <c r="Z83" i="14" s="1"/>
  <c r="Y83" i="14" a="1"/>
  <c r="Y83" i="14" s="1"/>
  <c r="X83" i="14" a="1"/>
  <c r="X83" i="14" s="1"/>
  <c r="W83" i="14" a="1"/>
  <c r="W83" i="14" s="1"/>
  <c r="S83" i="14" a="1"/>
  <c r="S83" i="14" s="1"/>
  <c r="P83" i="14" a="1"/>
  <c r="P83" i="14" s="1"/>
  <c r="L83" i="14" a="1"/>
  <c r="L83" i="14" s="1"/>
  <c r="I83" i="14" a="1"/>
  <c r="I83" i="14" s="1"/>
  <c r="E83" i="14" a="1"/>
  <c r="E83" i="14" s="1"/>
  <c r="B83" i="14" a="1"/>
  <c r="B83" i="14" s="1"/>
  <c r="AE77" i="14" a="1"/>
  <c r="AE77" i="14" s="1"/>
  <c r="AD77" i="14" a="1"/>
  <c r="AD77" i="14" s="1"/>
  <c r="X77" i="14" a="1"/>
  <c r="X77" i="14" s="1"/>
  <c r="W77" i="14" a="1"/>
  <c r="W77" i="14" s="1"/>
  <c r="Q77" i="14" a="1"/>
  <c r="Q77" i="14" s="1"/>
  <c r="P77" i="14" a="1"/>
  <c r="P77" i="14" s="1"/>
  <c r="J77" i="14" a="1"/>
  <c r="J77" i="14" s="1"/>
  <c r="I77" i="14" a="1"/>
  <c r="I77" i="14" s="1"/>
  <c r="C77" i="14" a="1"/>
  <c r="C77" i="14" s="1"/>
  <c r="B77" i="14" a="1"/>
  <c r="B77" i="14" s="1"/>
  <c r="AH69" i="14" a="1"/>
  <c r="AH69" i="14" s="1"/>
  <c r="AG69" i="14" a="1"/>
  <c r="AG69" i="14" s="1"/>
  <c r="AF69" i="14" a="1"/>
  <c r="AF69" i="14" s="1"/>
  <c r="AE69" i="14" a="1"/>
  <c r="AE69" i="14" s="1"/>
  <c r="AD69" i="14" a="1"/>
  <c r="AD69" i="14" s="1"/>
  <c r="Z69" i="14" a="1"/>
  <c r="Z69" i="14" s="1"/>
  <c r="W69" i="14" a="1"/>
  <c r="W69" i="14" s="1"/>
  <c r="S69" i="14" a="1"/>
  <c r="S69" i="14" s="1"/>
  <c r="P69" i="14" a="1"/>
  <c r="P69" i="14" s="1"/>
  <c r="L69" i="14" a="1"/>
  <c r="L69" i="14" s="1"/>
  <c r="I69" i="14" a="1"/>
  <c r="I69" i="14" s="1"/>
  <c r="E69" i="14" a="1"/>
  <c r="E69" i="14" s="1"/>
  <c r="B69" i="14" a="1"/>
  <c r="B69" i="14" s="1"/>
  <c r="AE63" i="14" a="1"/>
  <c r="AE63" i="14" s="1"/>
  <c r="AD63" i="14" a="1"/>
  <c r="AD63" i="14" s="1"/>
  <c r="X63" i="14" a="1"/>
  <c r="X63" i="14" s="1"/>
  <c r="W63" i="14" a="1"/>
  <c r="W63" i="14" s="1"/>
  <c r="Q63" i="14" a="1"/>
  <c r="Q63" i="14" s="1"/>
  <c r="P63" i="14" a="1"/>
  <c r="P63" i="14" s="1"/>
  <c r="J63" i="14" a="1"/>
  <c r="J63" i="14" s="1"/>
  <c r="I63" i="14" a="1"/>
  <c r="I63" i="14" s="1"/>
  <c r="C63" i="14" a="1"/>
  <c r="C63" i="14" s="1"/>
  <c r="B63" i="14" a="1"/>
  <c r="B63" i="14" s="1"/>
  <c r="AI56" i="14" a="1"/>
  <c r="AI56" i="14" s="1"/>
  <c r="AH56" i="14" a="1"/>
  <c r="AH56" i="14" s="1"/>
  <c r="AG56" i="14" a="1"/>
  <c r="AG56" i="14" s="1"/>
  <c r="AF56" i="14" a="1"/>
  <c r="AF56" i="14" s="1"/>
  <c r="AE56" i="14" a="1"/>
  <c r="AE56" i="14" s="1"/>
  <c r="AD56" i="14" a="1"/>
  <c r="AD56" i="14" s="1"/>
  <c r="Z56" i="14" a="1"/>
  <c r="Z56" i="14" s="1"/>
  <c r="W56" i="14" a="1"/>
  <c r="W56" i="14" s="1"/>
  <c r="S56" i="14" a="1"/>
  <c r="S56" i="14" s="1"/>
  <c r="P56" i="14" a="1"/>
  <c r="P56" i="14" s="1"/>
  <c r="L56" i="14" a="1"/>
  <c r="L56" i="14" s="1"/>
  <c r="I56" i="14" a="1"/>
  <c r="I56" i="14" s="1"/>
  <c r="E56" i="14" a="1"/>
  <c r="E56" i="14" s="1"/>
  <c r="B56" i="14" a="1"/>
  <c r="B56" i="14" s="1"/>
  <c r="AE50" i="14" a="1"/>
  <c r="AE50" i="14" s="1"/>
  <c r="AD50" i="14" a="1"/>
  <c r="AD50" i="14" s="1"/>
  <c r="X50" i="14" a="1"/>
  <c r="X50" i="14" s="1"/>
  <c r="W50" i="14" a="1"/>
  <c r="W50" i="14" s="1"/>
  <c r="Q50" i="14" a="1"/>
  <c r="Q50" i="14" s="1"/>
  <c r="P50" i="14" a="1"/>
  <c r="P50" i="14" s="1"/>
  <c r="J50" i="14" a="1"/>
  <c r="J50" i="14" s="1"/>
  <c r="I50" i="14" a="1"/>
  <c r="I50" i="14" s="1"/>
  <c r="C50" i="14" a="1"/>
  <c r="C50" i="14" s="1"/>
  <c r="B50" i="14" a="1"/>
  <c r="B50" i="14" s="1"/>
  <c r="AI41" i="14" a="1"/>
  <c r="AI41" i="14" s="1"/>
  <c r="AH41" i="14" a="1"/>
  <c r="AH41" i="14" s="1"/>
  <c r="AG41" i="14" a="1"/>
  <c r="AG41" i="14" s="1"/>
  <c r="AF41" i="14" a="1"/>
  <c r="AF41" i="14" s="1"/>
  <c r="AE41" i="14" a="1"/>
  <c r="AE41" i="14" s="1"/>
  <c r="AD41" i="14" a="1"/>
  <c r="AD41" i="14" s="1"/>
  <c r="AB41" i="14" a="1"/>
  <c r="AB41" i="14" s="1"/>
  <c r="AA41" i="14" a="1"/>
  <c r="AA41" i="14" s="1"/>
  <c r="Z41" i="14" a="1"/>
  <c r="Z41" i="14" s="1"/>
  <c r="Y41" i="14" a="1"/>
  <c r="Y41" i="14" s="1"/>
  <c r="X41" i="14" a="1"/>
  <c r="X41" i="14" s="1"/>
  <c r="W41" i="14" a="1"/>
  <c r="W41" i="14" s="1"/>
  <c r="S41" i="14" a="1"/>
  <c r="S41" i="14" s="1"/>
  <c r="P41" i="14" a="1"/>
  <c r="P41" i="14" s="1"/>
  <c r="M41" i="14" a="1"/>
  <c r="M41" i="14" s="1"/>
  <c r="L41" i="14" a="1"/>
  <c r="L41" i="14" s="1"/>
  <c r="J41" i="14" a="1"/>
  <c r="J41" i="14" s="1"/>
  <c r="I41" i="14" a="1"/>
  <c r="I41" i="14" s="1"/>
  <c r="F41" i="14" a="1"/>
  <c r="F41" i="14" s="1"/>
  <c r="E41" i="14" a="1"/>
  <c r="E41" i="14" s="1"/>
  <c r="C41" i="14" a="1"/>
  <c r="C41" i="14" s="1"/>
  <c r="B41" i="14" a="1"/>
  <c r="B41" i="14" s="1"/>
  <c r="AZ36" i="14" a="1"/>
  <c r="AZ36" i="14" s="1"/>
  <c r="AY36" i="14" a="1"/>
  <c r="AY36" i="14" s="1"/>
  <c r="AS36" i="14" a="1"/>
  <c r="AS36" i="14" s="1"/>
  <c r="AR36" i="14" a="1"/>
  <c r="AR36" i="14" s="1"/>
  <c r="AL36" i="14" a="1"/>
  <c r="AL36" i="14" s="1"/>
  <c r="AK36" i="14" a="1"/>
  <c r="AK36" i="14" s="1"/>
  <c r="AE36" i="14" a="1"/>
  <c r="AE36" i="14" s="1"/>
  <c r="AD36" i="14" a="1"/>
  <c r="AD36" i="14" s="1"/>
  <c r="X36" i="14" a="1"/>
  <c r="X36" i="14" s="1"/>
  <c r="W36" i="14" a="1"/>
  <c r="W36" i="14" s="1"/>
  <c r="Q36" i="14" a="1"/>
  <c r="Q36" i="14" s="1"/>
  <c r="P36" i="14" a="1"/>
  <c r="P36" i="14" s="1"/>
  <c r="J36" i="14" a="1"/>
  <c r="J36" i="14" s="1"/>
  <c r="I36" i="14" a="1"/>
  <c r="I36" i="14" s="1"/>
  <c r="C36" i="14" a="1"/>
  <c r="C36" i="14" s="1"/>
  <c r="B36" i="14" a="1"/>
  <c r="B36" i="14" s="1"/>
  <c r="BB28" i="14" a="1"/>
  <c r="BB28" i="14" s="1"/>
  <c r="AY28" i="14" a="1"/>
  <c r="AY28" i="14" s="1"/>
  <c r="AU28" i="14" a="1"/>
  <c r="AU28" i="14" s="1"/>
  <c r="AR28" i="14" a="1"/>
  <c r="AR28" i="14" s="1"/>
  <c r="AO28" i="14" a="1"/>
  <c r="AO28" i="14" s="1"/>
  <c r="AN28" i="14" a="1"/>
  <c r="AN28" i="14" s="1"/>
  <c r="AM28" i="14" a="1"/>
  <c r="AM28" i="14" s="1"/>
  <c r="AL28" i="14" a="1"/>
  <c r="AL28" i="14" s="1"/>
  <c r="AK28" i="14" a="1"/>
  <c r="AK28" i="14" s="1"/>
  <c r="AH28" i="14" a="1"/>
  <c r="AH28" i="14" s="1"/>
  <c r="AG28" i="14" a="1"/>
  <c r="AG28" i="14" s="1"/>
  <c r="AE28" i="14" a="1"/>
  <c r="AE28" i="14" s="1"/>
  <c r="AD28" i="14" a="1"/>
  <c r="AD28" i="14" s="1"/>
  <c r="Z28" i="14" a="1"/>
  <c r="Z28" i="14" s="1"/>
  <c r="W28" i="14" a="1"/>
  <c r="W28" i="14" s="1"/>
  <c r="S28" i="14" a="1"/>
  <c r="S28" i="14" s="1"/>
  <c r="P28" i="14" a="1"/>
  <c r="P28" i="14" s="1"/>
  <c r="M28" i="14" a="1"/>
  <c r="M28" i="14" s="1"/>
  <c r="L28" i="14" a="1"/>
  <c r="L28" i="14" s="1"/>
  <c r="J28" i="14" a="1"/>
  <c r="J28" i="14" s="1"/>
  <c r="I28" i="14" a="1"/>
  <c r="I28" i="14" s="1"/>
  <c r="F28" i="14" a="1"/>
  <c r="F28" i="14" s="1"/>
  <c r="E28" i="14" a="1"/>
  <c r="E28" i="14" s="1"/>
  <c r="C28" i="14" a="1"/>
  <c r="C28" i="14" s="1"/>
  <c r="B28" i="14" a="1"/>
  <c r="B28" i="14" s="1"/>
  <c r="Q17" i="14" a="1"/>
  <c r="Q17" i="14" s="1"/>
  <c r="P17" i="14" a="1"/>
  <c r="P17" i="14" s="1"/>
  <c r="J17" i="14" a="1"/>
  <c r="J17" i="14" s="1"/>
  <c r="I17" i="14" a="1"/>
  <c r="I17" i="14" s="1"/>
  <c r="C17" i="14" a="1"/>
  <c r="C17" i="14" s="1"/>
  <c r="B17" i="14" a="1"/>
  <c r="B17" i="14" s="1"/>
  <c r="S4" i="14" a="1"/>
  <c r="S4" i="14" s="1"/>
  <c r="P4" i="14" a="1"/>
  <c r="P4" i="14" s="1"/>
  <c r="L4" i="14" a="1"/>
  <c r="L4" i="14" s="1"/>
  <c r="I4" i="14" a="1"/>
  <c r="I4" i="14" s="1"/>
  <c r="E4" i="14" a="1"/>
  <c r="E4" i="14" s="1"/>
  <c r="B4" i="14" a="1"/>
  <c r="B4" i="14" s="1"/>
  <c r="S28" i="2" a="1"/>
  <c r="S28" i="2" s="1"/>
  <c r="N109" i="3"/>
  <c r="P109" i="3"/>
  <c r="N134" i="3"/>
  <c r="P134" i="3"/>
  <c r="F109" i="3"/>
  <c r="F77" i="3"/>
  <c r="N143" i="3"/>
  <c r="P143" i="3"/>
  <c r="N119" i="3"/>
  <c r="P119" i="3"/>
  <c r="F14" i="3"/>
  <c r="N69" i="3"/>
  <c r="P69" i="3"/>
  <c r="N147" i="3"/>
  <c r="P147" i="3"/>
  <c r="C126" i="2" a="1"/>
  <c r="C126" i="2" s="1"/>
  <c r="B125" i="2" s="1"/>
  <c r="AE113" i="2" a="1"/>
  <c r="AE113" i="2" s="1"/>
  <c r="AD112" i="2" s="1"/>
  <c r="X113" i="2" a="1"/>
  <c r="X113" i="2" s="1"/>
  <c r="W112" i="2" s="1"/>
  <c r="Q113" i="2" a="1"/>
  <c r="Q113" i="2" s="1"/>
  <c r="P112" i="2" s="1"/>
  <c r="J113" i="2" a="1"/>
  <c r="J113" i="2" s="1"/>
  <c r="I112" i="2" s="1"/>
  <c r="C113" i="2" a="1"/>
  <c r="C113" i="2" s="1"/>
  <c r="B112" i="2" s="1"/>
  <c r="AS101" i="2" a="1"/>
  <c r="AS101" i="2" s="1"/>
  <c r="AR100" i="2" s="1"/>
  <c r="AL101" i="2" a="1"/>
  <c r="AL101" i="2" s="1"/>
  <c r="AK100" i="2" s="1"/>
  <c r="AE101" i="2" a="1"/>
  <c r="AE101" i="2" s="1"/>
  <c r="AD100" i="2" s="1"/>
  <c r="X101" i="2" a="1"/>
  <c r="X101" i="2" s="1"/>
  <c r="W100" i="2" s="1"/>
  <c r="Q101" i="2" a="1"/>
  <c r="Q101" i="2" s="1"/>
  <c r="P100" i="2" s="1"/>
  <c r="J101" i="2" a="1"/>
  <c r="J101" i="2" s="1"/>
  <c r="I100" i="2" s="1"/>
  <c r="C101" i="2" a="1"/>
  <c r="C101" i="2" s="1"/>
  <c r="B100" i="2" s="1"/>
  <c r="AE87" i="2" a="1"/>
  <c r="AE87" i="2" s="1"/>
  <c r="AD86" i="2" s="1"/>
  <c r="X87" i="2" a="1"/>
  <c r="X87" i="2" s="1"/>
  <c r="W86" i="2" s="1"/>
  <c r="Q87" i="2" a="1"/>
  <c r="Q87" i="2" s="1"/>
  <c r="P86" i="2" s="1"/>
  <c r="J87" i="2" a="1"/>
  <c r="J87" i="2" s="1"/>
  <c r="I86" i="2" s="1"/>
  <c r="C87" i="2" a="1"/>
  <c r="C87" i="2" s="1"/>
  <c r="B86" i="2" s="1"/>
  <c r="AE71" i="2" a="1"/>
  <c r="AE71" i="2" s="1"/>
  <c r="AD70" i="2" s="1"/>
  <c r="X71" i="2" a="1"/>
  <c r="X71" i="2" s="1"/>
  <c r="W70" i="2" s="1"/>
  <c r="Q71" i="2" a="1"/>
  <c r="Q71" i="2" s="1"/>
  <c r="P70" i="2" s="1"/>
  <c r="J71" i="2" a="1"/>
  <c r="J71" i="2" s="1"/>
  <c r="I70" i="2" s="1"/>
  <c r="C71" i="2" a="1"/>
  <c r="C71" i="2" s="1"/>
  <c r="B70" i="2" s="1"/>
  <c r="AE57" i="2" a="1"/>
  <c r="AE57" i="2" s="1"/>
  <c r="AD56" i="2" s="1"/>
  <c r="X57" i="2" a="1"/>
  <c r="X57" i="2" s="1"/>
  <c r="W56" i="2" s="1"/>
  <c r="Q57" i="2" a="1"/>
  <c r="Q57" i="2" s="1"/>
  <c r="P56" i="2" s="1"/>
  <c r="J57" i="2" a="1"/>
  <c r="J57" i="2" s="1"/>
  <c r="I56" i="2" s="1"/>
  <c r="C57" i="2" a="1"/>
  <c r="C57" i="2" s="1"/>
  <c r="B56" i="2" s="1"/>
  <c r="AE42" i="2" a="1"/>
  <c r="AE42" i="2" s="1"/>
  <c r="AD41" i="2" s="1"/>
  <c r="X42" i="2" a="1"/>
  <c r="X42" i="2" s="1"/>
  <c r="W41" i="2" s="1"/>
  <c r="Q42" i="2" a="1"/>
  <c r="Q42" i="2" s="1"/>
  <c r="P41" i="2" s="1"/>
  <c r="J42" i="2" a="1"/>
  <c r="J42" i="2" s="1"/>
  <c r="I41" i="2" s="1"/>
  <c r="C42" i="2" a="1"/>
  <c r="C42" i="2" s="1"/>
  <c r="B41" i="2" s="1"/>
  <c r="AZ28" i="2" a="1"/>
  <c r="AZ28" i="2" s="1"/>
  <c r="AY27" i="2" s="1"/>
  <c r="AS28" i="2" a="1"/>
  <c r="AS28" i="2" s="1"/>
  <c r="AR27" i="2" s="1"/>
  <c r="AL28" i="2" a="1"/>
  <c r="AL28" i="2" s="1"/>
  <c r="AK27" i="2" s="1"/>
  <c r="AE28" i="2" a="1"/>
  <c r="AE28" i="2" s="1"/>
  <c r="AD27" i="2" s="1"/>
  <c r="X28" i="2" a="1"/>
  <c r="X28" i="2" s="1"/>
  <c r="W27" i="2" s="1"/>
  <c r="Q28" i="2" a="1"/>
  <c r="Q28" i="2" s="1"/>
  <c r="P27" i="2" s="1"/>
  <c r="J28" i="2" a="1"/>
  <c r="J28" i="2" s="1"/>
  <c r="I27" i="2" s="1"/>
  <c r="C28" i="2" a="1"/>
  <c r="C28" i="2" s="1"/>
  <c r="B27" i="2" s="1"/>
  <c r="Q4" i="2" a="1"/>
  <c r="Q4" i="2" s="1"/>
  <c r="P3" i="2" s="1"/>
  <c r="J4" i="2" a="1"/>
  <c r="J4" i="2" s="1"/>
  <c r="I3" i="2" s="1"/>
  <c r="C4" i="2" a="1"/>
  <c r="C4" i="2" s="1"/>
  <c r="B3" i="2" s="1"/>
  <c r="F126" i="2" a="1"/>
  <c r="F126" i="2" s="1"/>
  <c r="E125" i="2" s="1"/>
  <c r="AH113" i="2" a="1"/>
  <c r="AH113" i="2" s="1"/>
  <c r="AG112" i="2" s="1"/>
  <c r="AA113" i="2" a="1"/>
  <c r="AA113" i="2" s="1"/>
  <c r="Z112" i="2" s="1"/>
  <c r="T113" i="2" a="1"/>
  <c r="T113" i="2" s="1"/>
  <c r="S112" i="2" s="1"/>
  <c r="M113" i="2" a="1"/>
  <c r="M113" i="2" s="1"/>
  <c r="L112" i="2" s="1"/>
  <c r="F113" i="2" a="1"/>
  <c r="F113" i="2" s="1"/>
  <c r="E112" i="2" s="1"/>
  <c r="AV101" i="2" a="1"/>
  <c r="AV101" i="2" s="1"/>
  <c r="AU100" i="2" s="1"/>
  <c r="AO101" i="2" a="1"/>
  <c r="AO101" i="2" s="1"/>
  <c r="AN100" i="2" s="1"/>
  <c r="AH101" i="2" a="1"/>
  <c r="AH101" i="2" s="1"/>
  <c r="AG100" i="2" s="1"/>
  <c r="AA101" i="2" a="1"/>
  <c r="AA101" i="2" s="1"/>
  <c r="Z100" i="2" s="1"/>
  <c r="T101" i="2" a="1"/>
  <c r="T101" i="2" s="1"/>
  <c r="S100" i="2" s="1"/>
  <c r="M101" i="2" a="1"/>
  <c r="M101" i="2" s="1"/>
  <c r="L100" i="2" s="1"/>
  <c r="F101" i="2" a="1"/>
  <c r="F101" i="2" s="1"/>
  <c r="E100" i="2" s="1"/>
  <c r="AH87" i="2" a="1"/>
  <c r="AH87" i="2" s="1"/>
  <c r="AG86" i="2" s="1"/>
  <c r="AA87" i="2" a="1"/>
  <c r="AA87" i="2" s="1"/>
  <c r="Z86" i="2" s="1"/>
  <c r="T87" i="2" a="1"/>
  <c r="T87" i="2" s="1"/>
  <c r="S86" i="2" s="1"/>
  <c r="M87" i="2" a="1"/>
  <c r="M87" i="2" s="1"/>
  <c r="L86" i="2" s="1"/>
  <c r="AH71" i="2" a="1"/>
  <c r="AH71" i="2" s="1"/>
  <c r="AG70" i="2" s="1"/>
  <c r="AA71" i="2" a="1"/>
  <c r="AA71" i="2" s="1"/>
  <c r="Z70" i="2" s="1"/>
  <c r="T71" i="2" a="1"/>
  <c r="T71" i="2" s="1"/>
  <c r="S70" i="2" s="1"/>
  <c r="M71" i="2" a="1"/>
  <c r="M71" i="2" s="1"/>
  <c r="L70" i="2" s="1"/>
  <c r="F71" i="2" a="1"/>
  <c r="F71" i="2" s="1"/>
  <c r="E70" i="2" s="1"/>
  <c r="AH57" i="2" a="1"/>
  <c r="AH57" i="2" s="1"/>
  <c r="AG56" i="2" s="1"/>
  <c r="AA57" i="2" a="1"/>
  <c r="AA57" i="2" s="1"/>
  <c r="Z56" i="2" s="1"/>
  <c r="T57" i="2" a="1"/>
  <c r="T57" i="2" s="1"/>
  <c r="S56" i="2" s="1"/>
  <c r="M57" i="2" a="1"/>
  <c r="M57" i="2" s="1"/>
  <c r="L56" i="2" s="1"/>
  <c r="F57" i="2" a="1"/>
  <c r="F57" i="2" s="1"/>
  <c r="E56" i="2" s="1"/>
  <c r="AH42" i="2" a="1"/>
  <c r="AH42" i="2" s="1"/>
  <c r="AG41" i="2" s="1"/>
  <c r="AA42" i="2" a="1"/>
  <c r="AA42" i="2" s="1"/>
  <c r="Z41" i="2" s="1"/>
  <c r="T42" i="2" a="1"/>
  <c r="T42" i="2" s="1"/>
  <c r="S41" i="2" s="1"/>
  <c r="M42" i="2" a="1"/>
  <c r="M42" i="2" s="1"/>
  <c r="L41" i="2" s="1"/>
  <c r="F42" i="2" a="1"/>
  <c r="F42" i="2" s="1"/>
  <c r="E41" i="2" s="1"/>
  <c r="BC28" i="2" a="1"/>
  <c r="BC28" i="2" s="1"/>
  <c r="BB27" i="2" s="1"/>
  <c r="AV28" i="2" a="1"/>
  <c r="AV28" i="2" s="1"/>
  <c r="AU27" i="2" s="1"/>
  <c r="AO28" i="2" a="1"/>
  <c r="AO28" i="2" s="1"/>
  <c r="AN27" i="2" s="1"/>
  <c r="AH28" i="2" a="1"/>
  <c r="AH28" i="2" s="1"/>
  <c r="AG27" i="2" s="1"/>
  <c r="AA28" i="2" a="1"/>
  <c r="AA28" i="2" s="1"/>
  <c r="Z27" i="2" s="1"/>
  <c r="T28" i="2" a="1"/>
  <c r="T28" i="2" s="1"/>
  <c r="S27" i="2" s="1"/>
  <c r="M28" i="2" a="1"/>
  <c r="M28" i="2" s="1"/>
  <c r="L27" i="2" s="1"/>
  <c r="F28" i="2" a="1"/>
  <c r="F28" i="2" s="1"/>
  <c r="E27" i="2" s="1"/>
  <c r="T4" i="2" a="1"/>
  <c r="T4" i="2" s="1"/>
  <c r="S3" i="2" s="1"/>
  <c r="M4" i="2" a="1"/>
  <c r="M4" i="2" s="1"/>
  <c r="L3" i="2" s="1"/>
  <c r="F4" i="2" a="1"/>
  <c r="F4" i="2" s="1"/>
  <c r="E3" i="2" s="1"/>
  <c r="F87" i="2" a="1"/>
  <c r="F87" i="2" s="1"/>
  <c r="E86" i="2" s="1"/>
  <c r="AS107" i="2" a="1"/>
  <c r="AS107" i="2" s="1"/>
  <c r="AR107" i="2" a="1"/>
  <c r="AR107" i="2" s="1"/>
  <c r="AU101" i="2" a="1"/>
  <c r="AU101" i="2" s="1"/>
  <c r="AR101" i="2" a="1"/>
  <c r="AR101" i="2" s="1"/>
  <c r="A283" i="8"/>
  <c r="B283" i="8"/>
  <c r="P141" i="3"/>
  <c r="P138" i="3"/>
  <c r="P96" i="3"/>
  <c r="P97" i="3"/>
  <c r="P116" i="3"/>
  <c r="P114" i="3"/>
  <c r="P115" i="3"/>
  <c r="P92" i="3"/>
  <c r="P136" i="3"/>
  <c r="P94" i="3"/>
  <c r="P112" i="3"/>
  <c r="P113" i="3"/>
  <c r="P117" i="3"/>
  <c r="P118" i="3"/>
  <c r="P110" i="3"/>
  <c r="P107" i="3"/>
  <c r="P111" i="3"/>
  <c r="P18" i="3"/>
  <c r="P22" i="3"/>
  <c r="P132" i="3"/>
  <c r="P106" i="3"/>
  <c r="P20" i="3"/>
  <c r="P99" i="3"/>
  <c r="P104" i="3"/>
  <c r="P102" i="3"/>
  <c r="P98" i="3"/>
  <c r="P86" i="3"/>
  <c r="P128" i="3"/>
  <c r="P108" i="3"/>
  <c r="P124" i="3"/>
  <c r="P125" i="3"/>
  <c r="P123" i="3"/>
  <c r="P29" i="3"/>
  <c r="P120" i="3"/>
  <c r="P127" i="3"/>
  <c r="P100" i="3"/>
  <c r="P130" i="3"/>
  <c r="P148" i="3"/>
  <c r="P126" i="3"/>
  <c r="P121" i="3"/>
  <c r="P122" i="3"/>
  <c r="P103" i="3"/>
  <c r="P14" i="3"/>
  <c r="P146" i="3"/>
  <c r="P142" i="3"/>
  <c r="P140" i="3"/>
  <c r="P7" i="3"/>
  <c r="P13" i="3"/>
  <c r="P135" i="3"/>
  <c r="P5" i="3"/>
  <c r="P6" i="3"/>
  <c r="P9" i="3"/>
  <c r="P10" i="3"/>
  <c r="P8" i="3"/>
  <c r="P137" i="3"/>
  <c r="P17" i="3"/>
  <c r="P16" i="3"/>
  <c r="P2" i="3"/>
  <c r="P11" i="3"/>
  <c r="P12" i="3"/>
  <c r="P3" i="3"/>
  <c r="P15" i="3"/>
  <c r="P4" i="3"/>
  <c r="P133" i="3"/>
  <c r="P131" i="3"/>
  <c r="P139" i="3"/>
  <c r="P37" i="3"/>
  <c r="P41" i="3"/>
  <c r="P36" i="3"/>
  <c r="P39" i="3"/>
  <c r="P145" i="3"/>
  <c r="P35" i="3"/>
  <c r="P38" i="3"/>
  <c r="P31" i="3"/>
  <c r="P40" i="3"/>
  <c r="P42" i="3"/>
  <c r="P43" i="3"/>
  <c r="P34" i="3"/>
  <c r="P60" i="3"/>
  <c r="P33" i="3"/>
  <c r="P48" i="3"/>
  <c r="P32" i="3"/>
  <c r="P53" i="3"/>
  <c r="P56" i="3"/>
  <c r="P52" i="3"/>
  <c r="P45" i="3"/>
  <c r="P50" i="3"/>
  <c r="P46" i="3"/>
  <c r="P59" i="3"/>
  <c r="P44" i="3"/>
  <c r="P47" i="3"/>
  <c r="P58" i="3"/>
  <c r="P55" i="3"/>
  <c r="P54" i="3"/>
  <c r="P51" i="3"/>
  <c r="P62" i="3"/>
  <c r="P144" i="3"/>
  <c r="P61" i="3"/>
  <c r="P49" i="3"/>
  <c r="P63" i="3"/>
  <c r="P67" i="3"/>
  <c r="P68" i="3"/>
  <c r="P66" i="3"/>
  <c r="P70" i="3"/>
  <c r="P71" i="3"/>
  <c r="P80" i="3"/>
  <c r="P65" i="3"/>
  <c r="P77" i="3"/>
  <c r="P73" i="3"/>
  <c r="P79" i="3"/>
  <c r="P82" i="3"/>
  <c r="P83" i="3"/>
  <c r="P78" i="3"/>
  <c r="P75" i="3"/>
  <c r="P74" i="3"/>
  <c r="P76" i="3"/>
  <c r="P84" i="3"/>
  <c r="N141" i="3"/>
  <c r="N138" i="3"/>
  <c r="N96" i="3"/>
  <c r="N97" i="3"/>
  <c r="N116" i="3"/>
  <c r="N114" i="3"/>
  <c r="N115" i="3"/>
  <c r="N92" i="3"/>
  <c r="N136" i="3"/>
  <c r="N94" i="3"/>
  <c r="N112" i="3"/>
  <c r="N113" i="3"/>
  <c r="N117" i="3"/>
  <c r="N118" i="3"/>
  <c r="N110" i="3"/>
  <c r="N107" i="3"/>
  <c r="N111" i="3"/>
  <c r="N18" i="3"/>
  <c r="N22" i="3"/>
  <c r="N132" i="3"/>
  <c r="N106" i="3"/>
  <c r="N20" i="3"/>
  <c r="N99" i="3"/>
  <c r="N104" i="3"/>
  <c r="N102" i="3"/>
  <c r="N98" i="3"/>
  <c r="N129" i="3"/>
  <c r="N128" i="3"/>
  <c r="N108" i="3"/>
  <c r="N124" i="3"/>
  <c r="N125" i="3"/>
  <c r="N123" i="3"/>
  <c r="N29" i="3"/>
  <c r="N120" i="3"/>
  <c r="N127" i="3"/>
  <c r="N100" i="3"/>
  <c r="N130" i="3"/>
  <c r="N148" i="3"/>
  <c r="N126" i="3"/>
  <c r="N121" i="3"/>
  <c r="N122" i="3"/>
  <c r="N103" i="3"/>
  <c r="N14" i="3"/>
  <c r="N146" i="3"/>
  <c r="N142" i="3"/>
  <c r="N140" i="3"/>
  <c r="N7" i="3"/>
  <c r="N13" i="3"/>
  <c r="N135" i="3"/>
  <c r="N5" i="3"/>
  <c r="N6" i="3"/>
  <c r="N9" i="3"/>
  <c r="N10" i="3"/>
  <c r="N8" i="3"/>
  <c r="N137" i="3"/>
  <c r="N17" i="3"/>
  <c r="N16" i="3"/>
  <c r="N2" i="3"/>
  <c r="N11" i="3"/>
  <c r="N12" i="3"/>
  <c r="N3" i="3"/>
  <c r="N15" i="3"/>
  <c r="N4" i="3"/>
  <c r="N133" i="3"/>
  <c r="N131" i="3"/>
  <c r="N139" i="3"/>
  <c r="N37" i="3"/>
  <c r="N41" i="3"/>
  <c r="N36" i="3"/>
  <c r="N39" i="3"/>
  <c r="N145" i="3"/>
  <c r="N35" i="3"/>
  <c r="N38" i="3"/>
  <c r="N31" i="3"/>
  <c r="N40" i="3"/>
  <c r="N42" i="3"/>
  <c r="N43" i="3"/>
  <c r="N34" i="3"/>
  <c r="N60" i="3"/>
  <c r="N33" i="3"/>
  <c r="N48" i="3"/>
  <c r="N32" i="3"/>
  <c r="N53" i="3"/>
  <c r="N56" i="3"/>
  <c r="N52" i="3"/>
  <c r="N45" i="3"/>
  <c r="N50" i="3"/>
  <c r="N46" i="3"/>
  <c r="N59" i="3"/>
  <c r="N44" i="3"/>
  <c r="N47" i="3"/>
  <c r="N58" i="3"/>
  <c r="N55" i="3"/>
  <c r="N54" i="3"/>
  <c r="N51" i="3"/>
  <c r="N62" i="3"/>
  <c r="N144" i="3"/>
  <c r="AB87" i="2" s="1" a="1"/>
  <c r="AB87" i="2" s="1"/>
  <c r="N61" i="3"/>
  <c r="N49" i="3"/>
  <c r="N63" i="3"/>
  <c r="N67" i="3"/>
  <c r="N68" i="3"/>
  <c r="N66" i="3"/>
  <c r="N70" i="3"/>
  <c r="N71" i="3"/>
  <c r="N80" i="3"/>
  <c r="N65" i="3"/>
  <c r="N77" i="3"/>
  <c r="N73" i="3"/>
  <c r="N79" i="3"/>
  <c r="N82" i="3"/>
  <c r="N83" i="3"/>
  <c r="N78" i="3"/>
  <c r="N75" i="3"/>
  <c r="N74" i="3"/>
  <c r="N76" i="3"/>
  <c r="N84" i="3"/>
  <c r="G113" i="2" s="1" a="1"/>
  <c r="G113" i="2" s="1"/>
  <c r="F134" i="3"/>
  <c r="F168" i="3"/>
  <c r="F20" i="3"/>
  <c r="F130" i="3"/>
  <c r="F105" i="3"/>
  <c r="F133" i="3"/>
  <c r="F124" i="3"/>
  <c r="F23" i="3"/>
  <c r="F111" i="3"/>
  <c r="F127" i="3"/>
  <c r="F132" i="3"/>
  <c r="F125" i="3"/>
  <c r="F131" i="3"/>
  <c r="F126" i="3"/>
  <c r="F162" i="3"/>
  <c r="F122" i="3"/>
  <c r="F128" i="3"/>
  <c r="F123" i="3"/>
  <c r="F119" i="3"/>
  <c r="F2" i="6" s="1" a="1"/>
  <c r="F2" i="6" s="1"/>
  <c r="F137" i="3"/>
  <c r="F120" i="3"/>
  <c r="F22" i="3"/>
  <c r="F152" i="3"/>
  <c r="F142" i="3"/>
  <c r="F140" i="3"/>
  <c r="F113" i="3"/>
  <c r="F116" i="3"/>
  <c r="F146" i="3"/>
  <c r="F147" i="3"/>
  <c r="F144" i="3"/>
  <c r="F141" i="3"/>
  <c r="F118" i="3"/>
  <c r="F143" i="3"/>
  <c r="F135" i="3"/>
  <c r="F115" i="3"/>
  <c r="F117" i="3"/>
  <c r="F145" i="3"/>
  <c r="F160" i="3"/>
  <c r="F112" i="3"/>
  <c r="F138" i="3"/>
  <c r="F159" i="3"/>
  <c r="F161" i="3"/>
  <c r="F167" i="3"/>
  <c r="F157" i="3"/>
  <c r="F139" i="3"/>
  <c r="F136" i="3"/>
  <c r="F10" i="3"/>
  <c r="F7" i="3"/>
  <c r="F12" i="3"/>
  <c r="F4" i="3"/>
  <c r="F3" i="3"/>
  <c r="F11" i="3"/>
  <c r="F6" i="3"/>
  <c r="F17" i="3"/>
  <c r="F13" i="3"/>
  <c r="F164" i="3"/>
  <c r="F2" i="3"/>
  <c r="F16" i="3"/>
  <c r="F156" i="3"/>
  <c r="F15" i="3"/>
  <c r="F8" i="3"/>
  <c r="F5" i="3"/>
  <c r="F149" i="3"/>
  <c r="F9" i="3"/>
  <c r="F33" i="3"/>
  <c r="F34" i="3"/>
  <c r="F148" i="3"/>
  <c r="F26" i="3"/>
  <c r="F154" i="3"/>
  <c r="F151" i="3"/>
  <c r="F28" i="3"/>
  <c r="F27" i="3"/>
  <c r="F29" i="3"/>
  <c r="F166" i="3"/>
  <c r="F30" i="3"/>
  <c r="F25" i="3"/>
  <c r="F32" i="3"/>
  <c r="F39" i="3"/>
  <c r="F57" i="3"/>
  <c r="F38" i="3"/>
  <c r="F36" i="3"/>
  <c r="F31" i="3"/>
  <c r="F42" i="3"/>
  <c r="F60" i="3"/>
  <c r="F49" i="3"/>
  <c r="F40" i="3"/>
  <c r="F35" i="3"/>
  <c r="F41" i="3"/>
  <c r="F45" i="3"/>
  <c r="F58" i="3"/>
  <c r="F53" i="3"/>
  <c r="F56" i="3"/>
  <c r="F47" i="3"/>
  <c r="F44" i="3"/>
  <c r="F43" i="3"/>
  <c r="F54" i="3"/>
  <c r="F51" i="3"/>
  <c r="F50" i="3"/>
  <c r="F37" i="3"/>
  <c r="F150" i="3"/>
  <c r="F59" i="3"/>
  <c r="F55" i="3"/>
  <c r="F52" i="3"/>
  <c r="F48" i="3"/>
  <c r="F61" i="3"/>
  <c r="F68" i="3"/>
  <c r="F163" i="3"/>
  <c r="F65" i="3"/>
  <c r="F67" i="3"/>
  <c r="F71" i="3"/>
  <c r="F72" i="3"/>
  <c r="F79" i="3"/>
  <c r="F76" i="3"/>
  <c r="F46" i="3"/>
  <c r="F63" i="3"/>
  <c r="F66" i="3"/>
  <c r="F75" i="3"/>
  <c r="F64" i="3"/>
  <c r="F69" i="3"/>
  <c r="F73" i="3"/>
  <c r="F70" i="3"/>
  <c r="F74" i="3"/>
  <c r="F78" i="3"/>
  <c r="F80" i="3"/>
  <c r="F81" i="3"/>
  <c r="F86" i="3"/>
  <c r="F84" i="3"/>
  <c r="F82" i="3"/>
  <c r="F165" i="3"/>
  <c r="F85" i="3"/>
  <c r="F83" i="3"/>
  <c r="F89" i="3"/>
  <c r="F91" i="3"/>
  <c r="F90" i="3"/>
  <c r="F93" i="3"/>
  <c r="F98" i="3"/>
  <c r="F102" i="3"/>
  <c r="F101" i="3"/>
  <c r="F153" i="3"/>
  <c r="Y71" i="2" a="1"/>
  <c r="Y71" i="2" s="1"/>
  <c r="R87" i="2" a="1"/>
  <c r="R87" i="2" s="1"/>
  <c r="Y87" i="2" a="1"/>
  <c r="Y87" i="2" s="1"/>
  <c r="D87" i="2" a="1"/>
  <c r="D87" i="2" s="1"/>
  <c r="AM101" i="2" a="1"/>
  <c r="AM101" i="2" s="1"/>
  <c r="AF101" i="2" a="1"/>
  <c r="AF101" i="2" s="1"/>
  <c r="B17" i="2" a="1"/>
  <c r="B17" i="2" s="1"/>
  <c r="AL107" i="2" a="1"/>
  <c r="AL107" i="2" s="1"/>
  <c r="AK107" i="2" a="1"/>
  <c r="AK107" i="2" s="1"/>
  <c r="AN101" i="2" a="1"/>
  <c r="AN101" i="2" s="1"/>
  <c r="AK101" i="2" a="1"/>
  <c r="AK101" i="2" s="1"/>
  <c r="Q17" i="2" a="1"/>
  <c r="Q17" i="2" s="1"/>
  <c r="P17" i="2" a="1"/>
  <c r="P17" i="2" s="1"/>
  <c r="S4" i="2" a="1"/>
  <c r="S4" i="2" s="1"/>
  <c r="P4" i="2" a="1"/>
  <c r="P4" i="2" s="1"/>
  <c r="J17" i="2" a="1"/>
  <c r="J17" i="2" s="1"/>
  <c r="I17" i="2" a="1"/>
  <c r="I17" i="2" s="1"/>
  <c r="L4" i="2" a="1"/>
  <c r="L4" i="2" s="1"/>
  <c r="I4" i="2" a="1"/>
  <c r="I4" i="2" s="1"/>
  <c r="E4" i="2" a="1"/>
  <c r="E4" i="2" s="1"/>
  <c r="B4" i="2" a="1"/>
  <c r="B4" i="2" s="1"/>
  <c r="C17" i="2" a="1"/>
  <c r="C17" i="2" s="1"/>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 i="8"/>
  <c r="A2" i="8"/>
  <c r="AZ36" i="2" a="1"/>
  <c r="AZ36" i="2" s="1"/>
  <c r="AY36" i="2" a="1"/>
  <c r="AY36" i="2" s="1"/>
  <c r="BB28" i="2" a="1"/>
  <c r="BB28" i="2" s="1"/>
  <c r="AY28" i="2" a="1"/>
  <c r="AY28" i="2" s="1"/>
  <c r="J2" i="6" a="1"/>
  <c r="J2" i="6" s="1"/>
  <c r="K2" i="6" a="1"/>
  <c r="K2" i="6" s="1"/>
  <c r="L2" i="6" a="1"/>
  <c r="L2" i="6" s="1"/>
  <c r="M2" i="6" a="1"/>
  <c r="M2" i="6" s="1"/>
  <c r="N2" i="6" a="1"/>
  <c r="N2" i="6" s="1"/>
  <c r="O2" i="6" a="1"/>
  <c r="O2" i="6" s="1"/>
  <c r="I2" i="6" a="1"/>
  <c r="I2" i="6" s="1"/>
  <c r="B2" i="6" a="1"/>
  <c r="B2" i="6" s="1"/>
  <c r="C2" i="6" a="1"/>
  <c r="C2" i="6" s="1"/>
  <c r="E2" i="6" a="1"/>
  <c r="E2" i="6" s="1"/>
  <c r="G2" i="6" a="1"/>
  <c r="G2" i="6" s="1"/>
  <c r="A2" i="6" a="1"/>
  <c r="A2" i="6" s="1"/>
  <c r="J2" i="5" a="1"/>
  <c r="J2" i="5" s="1"/>
  <c r="K2" i="5" a="1"/>
  <c r="K2" i="5" s="1"/>
  <c r="M2" i="5" a="1"/>
  <c r="M2" i="5" s="1"/>
  <c r="O2" i="5" a="1"/>
  <c r="O2" i="5" s="1"/>
  <c r="I2" i="5" a="1"/>
  <c r="I2" i="5" s="1"/>
  <c r="B2" i="5" a="1"/>
  <c r="B2" i="5" s="1"/>
  <c r="C2" i="5" a="1"/>
  <c r="C2" i="5" s="1"/>
  <c r="E2" i="5" a="1"/>
  <c r="E2" i="5" s="1"/>
  <c r="G2" i="5" a="1"/>
  <c r="G2" i="5" s="1"/>
  <c r="A2" i="5" a="1"/>
  <c r="A2" i="5" s="1"/>
  <c r="C134" i="2" a="1"/>
  <c r="C134" i="2" s="1"/>
  <c r="B134" i="2" a="1"/>
  <c r="B134" i="2" s="1"/>
  <c r="AE119" i="2" a="1"/>
  <c r="AE119" i="2" s="1"/>
  <c r="AD119" i="2" a="1"/>
  <c r="AD119" i="2" s="1"/>
  <c r="X119" i="2" a="1"/>
  <c r="X119" i="2" s="1"/>
  <c r="W119" i="2" a="1"/>
  <c r="W119" i="2" s="1"/>
  <c r="Q119" i="2" a="1"/>
  <c r="Q119" i="2" s="1"/>
  <c r="P119" i="2" a="1"/>
  <c r="P119" i="2" s="1"/>
  <c r="J119" i="2" a="1"/>
  <c r="J119" i="2" s="1"/>
  <c r="I119" i="2" a="1"/>
  <c r="I119" i="2" s="1"/>
  <c r="C119" i="2" a="1"/>
  <c r="C119" i="2" s="1"/>
  <c r="C107" i="2" a="1"/>
  <c r="C107" i="2" s="1"/>
  <c r="B107" i="2" a="1"/>
  <c r="B107" i="2" s="1"/>
  <c r="J107" i="2" a="1"/>
  <c r="J107" i="2" s="1"/>
  <c r="I107" i="2" a="1"/>
  <c r="I107" i="2" s="1"/>
  <c r="Q107" i="2" a="1"/>
  <c r="Q107" i="2" s="1"/>
  <c r="P107" i="2" a="1"/>
  <c r="P107" i="2" s="1"/>
  <c r="X107" i="2" a="1"/>
  <c r="X107" i="2" s="1"/>
  <c r="W107" i="2" a="1"/>
  <c r="W107" i="2" s="1"/>
  <c r="AE107" i="2" a="1"/>
  <c r="AE107" i="2" s="1"/>
  <c r="AD107" i="2" a="1"/>
  <c r="AD107" i="2" s="1"/>
  <c r="AE95" i="2" a="1"/>
  <c r="AE95" i="2" s="1"/>
  <c r="AD95" i="2" a="1"/>
  <c r="AD95" i="2" s="1"/>
  <c r="X95" i="2" a="1"/>
  <c r="X95" i="2" s="1"/>
  <c r="W95" i="2" a="1"/>
  <c r="W95" i="2" s="1"/>
  <c r="Q95" i="2" a="1"/>
  <c r="Q95" i="2" s="1"/>
  <c r="P95" i="2" a="1"/>
  <c r="P95" i="2" s="1"/>
  <c r="J95" i="2" a="1"/>
  <c r="J95" i="2" s="1"/>
  <c r="I95" i="2" a="1"/>
  <c r="I95" i="2" s="1"/>
  <c r="C95" i="2" a="1"/>
  <c r="C95" i="2" s="1"/>
  <c r="B95" i="2" a="1"/>
  <c r="B95" i="2" s="1"/>
  <c r="C81" i="2" a="1"/>
  <c r="C81" i="2" s="1"/>
  <c r="B81" i="2" a="1"/>
  <c r="B81" i="2" s="1"/>
  <c r="J81" i="2" a="1"/>
  <c r="J81" i="2" s="1"/>
  <c r="I81" i="2" a="1"/>
  <c r="I81" i="2" s="1"/>
  <c r="Q81" i="2" a="1"/>
  <c r="Q81" i="2" s="1"/>
  <c r="P81" i="2" a="1"/>
  <c r="P81" i="2" s="1"/>
  <c r="X81" i="2" a="1"/>
  <c r="X81" i="2" s="1"/>
  <c r="W81" i="2" a="1"/>
  <c r="W81" i="2" s="1"/>
  <c r="AE81" i="2" a="1"/>
  <c r="AE81" i="2" s="1"/>
  <c r="AD81" i="2" a="1"/>
  <c r="AD81" i="2" s="1"/>
  <c r="AE65" i="2" a="1"/>
  <c r="AE65" i="2" s="1"/>
  <c r="AD65" i="2" a="1"/>
  <c r="AD65" i="2" s="1"/>
  <c r="X65" i="2" a="1"/>
  <c r="X65" i="2" s="1"/>
  <c r="W65" i="2" a="1"/>
  <c r="W65" i="2" s="1"/>
  <c r="Q65" i="2" a="1"/>
  <c r="Q65" i="2" s="1"/>
  <c r="P65" i="2" a="1"/>
  <c r="P65" i="2" s="1"/>
  <c r="J65" i="2" a="1"/>
  <c r="J65" i="2" s="1"/>
  <c r="I65" i="2" a="1"/>
  <c r="I65" i="2" s="1"/>
  <c r="C65" i="2" a="1"/>
  <c r="C65" i="2" s="1"/>
  <c r="B65" i="2" a="1"/>
  <c r="B65" i="2" s="1"/>
  <c r="AE51" i="2" a="1"/>
  <c r="AE51" i="2" s="1"/>
  <c r="AD51" i="2" a="1"/>
  <c r="AD51" i="2" s="1"/>
  <c r="X51" i="2" a="1"/>
  <c r="X51" i="2" s="1"/>
  <c r="W51" i="2" a="1"/>
  <c r="W51" i="2" s="1"/>
  <c r="Q51" i="2" a="1"/>
  <c r="Q51" i="2" s="1"/>
  <c r="P51" i="2" a="1"/>
  <c r="P51" i="2" s="1"/>
  <c r="J51" i="2" a="1"/>
  <c r="J51" i="2" s="1"/>
  <c r="I51" i="2" a="1"/>
  <c r="I51" i="2" s="1"/>
  <c r="C51" i="2" a="1"/>
  <c r="C51" i="2" s="1"/>
  <c r="B51" i="2" a="1"/>
  <c r="B51" i="2" s="1"/>
  <c r="AS36" i="2" a="1"/>
  <c r="AS36" i="2" s="1"/>
  <c r="AR36" i="2" a="1"/>
  <c r="AR36" i="2" s="1"/>
  <c r="AL36" i="2" a="1"/>
  <c r="AL36" i="2" s="1"/>
  <c r="AK36" i="2" a="1"/>
  <c r="AK36" i="2" s="1"/>
  <c r="AE36" i="2" a="1"/>
  <c r="AE36" i="2" s="1"/>
  <c r="AD36" i="2" a="1"/>
  <c r="AD36" i="2" s="1"/>
  <c r="X36" i="2" a="1"/>
  <c r="X36" i="2" s="1"/>
  <c r="W36" i="2" a="1"/>
  <c r="W36" i="2" s="1"/>
  <c r="Q36" i="2" a="1"/>
  <c r="Q36" i="2" s="1"/>
  <c r="P36" i="2" a="1"/>
  <c r="P36" i="2" s="1"/>
  <c r="J36" i="2" a="1"/>
  <c r="J36" i="2" s="1"/>
  <c r="I36" i="2" a="1"/>
  <c r="I36" i="2" s="1"/>
  <c r="C36" i="2" a="1"/>
  <c r="C36" i="2" s="1"/>
  <c r="B36" i="2" a="1"/>
  <c r="B36" i="2" s="1"/>
  <c r="AI113" i="2" a="1"/>
  <c r="AI113" i="2" s="1"/>
  <c r="AG113" i="2" a="1"/>
  <c r="AG113" i="2" s="1"/>
  <c r="AF113" i="2" a="1"/>
  <c r="AF113" i="2" s="1"/>
  <c r="AD113" i="2" a="1"/>
  <c r="AD113" i="2" s="1"/>
  <c r="AB113" i="2" a="1"/>
  <c r="AB113" i="2" s="1"/>
  <c r="Z113" i="2" a="1"/>
  <c r="Z113" i="2" s="1"/>
  <c r="Y113" i="2" a="1"/>
  <c r="Y113" i="2" s="1"/>
  <c r="W113" i="2" a="1"/>
  <c r="W113" i="2" s="1"/>
  <c r="U113" i="2" a="1"/>
  <c r="U113" i="2" s="1"/>
  <c r="S113" i="2" a="1"/>
  <c r="S113" i="2" s="1"/>
  <c r="R113" i="2" a="1"/>
  <c r="R113" i="2" s="1"/>
  <c r="P113" i="2" a="1"/>
  <c r="P113" i="2" s="1"/>
  <c r="N113" i="2" a="1"/>
  <c r="N113" i="2" s="1"/>
  <c r="L113" i="2" a="1"/>
  <c r="L113" i="2" s="1"/>
  <c r="I113" i="2" a="1"/>
  <c r="I113" i="2" s="1"/>
  <c r="AG101" i="2" a="1"/>
  <c r="AG101" i="2" s="1"/>
  <c r="AD101" i="2" a="1"/>
  <c r="AD101" i="2" s="1"/>
  <c r="Z101" i="2" a="1"/>
  <c r="Z101" i="2" s="1"/>
  <c r="W101" i="2" a="1"/>
  <c r="W101" i="2" s="1"/>
  <c r="S101" i="2" a="1"/>
  <c r="S101" i="2" s="1"/>
  <c r="R101" i="2" a="1"/>
  <c r="R101" i="2" s="1"/>
  <c r="P101" i="2" a="1"/>
  <c r="P101" i="2" s="1"/>
  <c r="N101" i="2" a="1"/>
  <c r="N101" i="2" s="1"/>
  <c r="L101" i="2" a="1"/>
  <c r="L101" i="2" s="1"/>
  <c r="I101" i="2" a="1"/>
  <c r="I101" i="2" s="1"/>
  <c r="AI87" i="2" a="1"/>
  <c r="AI87" i="2" s="1"/>
  <c r="AG87" i="2" a="1"/>
  <c r="AG87" i="2" s="1"/>
  <c r="AF87" i="2" a="1"/>
  <c r="AF87" i="2" s="1"/>
  <c r="AD87" i="2" a="1"/>
  <c r="AD87" i="2" s="1"/>
  <c r="Z87" i="2" a="1"/>
  <c r="Z87" i="2" s="1"/>
  <c r="W87" i="2" a="1"/>
  <c r="W87" i="2" s="1"/>
  <c r="S87" i="2" a="1"/>
  <c r="S87" i="2" s="1"/>
  <c r="P87" i="2" a="1"/>
  <c r="P87" i="2" s="1"/>
  <c r="L87" i="2" a="1"/>
  <c r="L87" i="2" s="1"/>
  <c r="I87" i="2" a="1"/>
  <c r="I87" i="2" s="1"/>
  <c r="AI71" i="2" a="1"/>
  <c r="AI71" i="2" s="1"/>
  <c r="AG71" i="2" a="1"/>
  <c r="AG71" i="2" s="1"/>
  <c r="AF71" i="2" a="1"/>
  <c r="AF71" i="2" s="1"/>
  <c r="AD71" i="2" a="1"/>
  <c r="AD71" i="2" s="1"/>
  <c r="Z71" i="2" a="1"/>
  <c r="Z71" i="2" s="1"/>
  <c r="W71" i="2" a="1"/>
  <c r="W71" i="2" s="1"/>
  <c r="S71" i="2" a="1"/>
  <c r="S71" i="2" s="1"/>
  <c r="P71" i="2" a="1"/>
  <c r="P71" i="2" s="1"/>
  <c r="L71" i="2" a="1"/>
  <c r="L71" i="2" s="1"/>
  <c r="I71" i="2" a="1"/>
  <c r="I71" i="2" s="1"/>
  <c r="E113" i="2" a="1"/>
  <c r="E113" i="2" s="1"/>
  <c r="D113" i="2" a="1"/>
  <c r="D113" i="2" s="1"/>
  <c r="B113" i="2" a="1"/>
  <c r="B113" i="2" s="1"/>
  <c r="G126" i="2" a="1"/>
  <c r="G126" i="2" s="1"/>
  <c r="E126" i="2" a="1"/>
  <c r="E126" i="2" s="1"/>
  <c r="B126" i="2" a="1"/>
  <c r="B126" i="2" s="1"/>
  <c r="G101" i="2" a="1"/>
  <c r="G101" i="2" s="1"/>
  <c r="E101" i="2" a="1"/>
  <c r="E101" i="2" s="1"/>
  <c r="B101" i="2" a="1"/>
  <c r="B101" i="2" s="1"/>
  <c r="E87" i="2" a="1"/>
  <c r="E87" i="2" s="1"/>
  <c r="B87" i="2" a="1"/>
  <c r="B87" i="2" s="1"/>
  <c r="E71" i="2" a="1"/>
  <c r="E71" i="2" s="1"/>
  <c r="B71" i="2" a="1"/>
  <c r="B71" i="2" s="1"/>
  <c r="AI57" i="2" a="1"/>
  <c r="AI57" i="2" s="1"/>
  <c r="AG57" i="2" a="1"/>
  <c r="AG57" i="2" s="1"/>
  <c r="AF57" i="2" a="1"/>
  <c r="AF57" i="2" s="1"/>
  <c r="AD57" i="2" a="1"/>
  <c r="AD57" i="2" s="1"/>
  <c r="Z57" i="2" a="1"/>
  <c r="Z57" i="2" s="1"/>
  <c r="Y57" i="2" a="1"/>
  <c r="Y57" i="2" s="1"/>
  <c r="W57" i="2" a="1"/>
  <c r="W57" i="2" s="1"/>
  <c r="S57" i="2" a="1"/>
  <c r="S57" i="2" s="1"/>
  <c r="P57" i="2" a="1"/>
  <c r="P57" i="2" s="1"/>
  <c r="L57" i="2" a="1"/>
  <c r="L57" i="2" s="1"/>
  <c r="E57" i="2" a="1"/>
  <c r="E57" i="2" s="1"/>
  <c r="D57" i="2" a="1"/>
  <c r="D57" i="2" s="1"/>
  <c r="B57" i="2" a="1"/>
  <c r="B57" i="2" s="1"/>
  <c r="AI42" i="2" a="1"/>
  <c r="AI42" i="2" s="1"/>
  <c r="AG42" i="2" a="1"/>
  <c r="AG42" i="2" s="1"/>
  <c r="AF42" i="2" a="1"/>
  <c r="AF42" i="2" s="1"/>
  <c r="AD42" i="2" a="1"/>
  <c r="AD42" i="2" s="1"/>
  <c r="AB42" i="2" a="1"/>
  <c r="AB42" i="2" s="1"/>
  <c r="Z42" i="2" a="1"/>
  <c r="Z42" i="2" s="1"/>
  <c r="Y42" i="2" a="1"/>
  <c r="Y42" i="2" s="1"/>
  <c r="W42" i="2" a="1"/>
  <c r="W42" i="2" s="1"/>
  <c r="S42" i="2" a="1"/>
  <c r="S42" i="2" s="1"/>
  <c r="R42" i="2" a="1"/>
  <c r="R42" i="2" s="1"/>
  <c r="P42" i="2" a="1"/>
  <c r="P42" i="2" s="1"/>
  <c r="L42" i="2" a="1"/>
  <c r="L42" i="2" s="1"/>
  <c r="K42" i="2" a="1"/>
  <c r="K42" i="2" s="1"/>
  <c r="I42" i="2" a="1"/>
  <c r="I42" i="2" s="1"/>
  <c r="E42" i="2" a="1"/>
  <c r="E42" i="2" s="1"/>
  <c r="D42" i="2" a="1"/>
  <c r="D42" i="2" s="1"/>
  <c r="B42" i="2" a="1"/>
  <c r="B42" i="2" s="1"/>
  <c r="AU28" i="2" a="1"/>
  <c r="AU28" i="2" s="1"/>
  <c r="AT28" i="2" a="1"/>
  <c r="AT28" i="2" s="1"/>
  <c r="AR28" i="2" a="1"/>
  <c r="AR28" i="2" s="1"/>
  <c r="AP28" i="2" a="1"/>
  <c r="AP28" i="2" s="1"/>
  <c r="AN28" i="2" a="1"/>
  <c r="AN28" i="2" s="1"/>
  <c r="AM28" i="2" a="1"/>
  <c r="AM28" i="2" s="1"/>
  <c r="AK28" i="2" a="1"/>
  <c r="AK28" i="2" s="1"/>
  <c r="AG28" i="2" a="1"/>
  <c r="AG28" i="2" s="1"/>
  <c r="AF28" i="2" a="1"/>
  <c r="AF28" i="2" s="1"/>
  <c r="AD28" i="2" a="1"/>
  <c r="AD28" i="2" s="1"/>
  <c r="AB28" i="2" a="1"/>
  <c r="AB28" i="2" s="1"/>
  <c r="Z28" i="2" a="1"/>
  <c r="Z28" i="2" s="1"/>
  <c r="Y28" i="2" a="1"/>
  <c r="Y28" i="2" s="1"/>
  <c r="W28" i="2" a="1"/>
  <c r="W28" i="2" s="1"/>
  <c r="P28" i="2" a="1"/>
  <c r="P28" i="2" s="1"/>
  <c r="N28" i="2" a="1"/>
  <c r="N28" i="2" s="1"/>
  <c r="L28" i="2" a="1"/>
  <c r="L28" i="2" s="1"/>
  <c r="K28" i="2" a="1"/>
  <c r="K28" i="2" s="1"/>
  <c r="I28" i="2" a="1"/>
  <c r="I28" i="2" s="1"/>
  <c r="G28" i="2" a="1"/>
  <c r="G28" i="2" s="1"/>
  <c r="E28" i="2" a="1"/>
  <c r="E28" i="2" s="1"/>
  <c r="D28" i="2" a="1"/>
  <c r="D28" i="2" s="1"/>
  <c r="B28" i="2" a="1"/>
  <c r="B28" i="2" s="1"/>
  <c r="BA28" i="2" a="1"/>
  <c r="BA28" i="2" s="1"/>
  <c r="AP101" i="2" a="1"/>
  <c r="AP101" i="2" s="1"/>
  <c r="D4" i="2" a="1"/>
  <c r="D4" i="2" s="1"/>
  <c r="R4" i="2" a="1"/>
  <c r="R4" i="2" s="1"/>
  <c r="U4" i="2" a="1"/>
  <c r="U4" i="2" s="1"/>
  <c r="AW101" i="2" a="1"/>
  <c r="AW101" i="2" s="1"/>
  <c r="D2" i="6" a="1"/>
  <c r="D2" i="6" s="1"/>
  <c r="C7" i="8" l="1"/>
  <c r="AW28" i="2" a="1"/>
  <c r="AW28" i="2" s="1"/>
  <c r="AW26" i="2" s="1"/>
  <c r="C66" i="8"/>
  <c r="C55" i="8"/>
  <c r="Y4" i="2" a="1"/>
  <c r="Y4" i="2" s="1"/>
  <c r="AB4" i="2" a="1"/>
  <c r="AB4" i="2" s="1"/>
  <c r="U28" i="2" a="1"/>
  <c r="U28" i="2" s="1"/>
  <c r="C281" i="8"/>
  <c r="C278" i="8"/>
  <c r="C275" i="8"/>
  <c r="C266" i="8"/>
  <c r="C263" i="8"/>
  <c r="C254" i="8"/>
  <c r="C251" i="8"/>
  <c r="C245" i="8"/>
  <c r="C239" i="8"/>
  <c r="C233" i="8"/>
  <c r="C218" i="8"/>
  <c r="C215" i="8"/>
  <c r="C209" i="8"/>
  <c r="C203" i="8"/>
  <c r="C194" i="8"/>
  <c r="C191" i="8"/>
  <c r="C182" i="8"/>
  <c r="C179" i="8"/>
  <c r="C173" i="8"/>
  <c r="C167" i="8"/>
  <c r="C161" i="8"/>
  <c r="C158" i="8"/>
  <c r="C155" i="8"/>
  <c r="C149" i="8"/>
  <c r="C146" i="8"/>
  <c r="C143" i="8"/>
  <c r="C137" i="8"/>
  <c r="C134" i="8"/>
  <c r="C131" i="8"/>
  <c r="C119" i="8"/>
  <c r="C113" i="8"/>
  <c r="C107" i="8"/>
  <c r="C101" i="8"/>
  <c r="C95" i="8"/>
  <c r="C89" i="8"/>
  <c r="C83" i="8"/>
  <c r="C80" i="8"/>
  <c r="C71" i="8"/>
  <c r="C59" i="8"/>
  <c r="C47" i="8"/>
  <c r="C41" i="8"/>
  <c r="C35" i="8"/>
  <c r="C29" i="8"/>
  <c r="C23" i="8"/>
  <c r="C17" i="8"/>
  <c r="C11" i="8"/>
  <c r="C8" i="8"/>
  <c r="C5" i="8"/>
  <c r="C279" i="8"/>
  <c r="C273" i="8"/>
  <c r="C270" i="8"/>
  <c r="C267" i="8"/>
  <c r="C258" i="8"/>
  <c r="C255" i="8"/>
  <c r="C252" i="8"/>
  <c r="C249" i="8"/>
  <c r="C246" i="8"/>
  <c r="C243" i="8"/>
  <c r="C240" i="8"/>
  <c r="C237" i="8"/>
  <c r="C231" i="8"/>
  <c r="C225" i="8"/>
  <c r="C222" i="8"/>
  <c r="C219" i="8"/>
  <c r="C213" i="8"/>
  <c r="C207" i="8"/>
  <c r="C201" i="8"/>
  <c r="C198" i="8"/>
  <c r="C195" i="8"/>
  <c r="C183" i="8"/>
  <c r="C177" i="8"/>
  <c r="C174" i="8"/>
  <c r="C171" i="8"/>
  <c r="C168" i="8"/>
  <c r="C159" i="8"/>
  <c r="C153" i="8"/>
  <c r="C147" i="8"/>
  <c r="C138" i="8"/>
  <c r="C135" i="8"/>
  <c r="C117" i="8"/>
  <c r="C111" i="8"/>
  <c r="C105" i="8"/>
  <c r="C99" i="8"/>
  <c r="C75" i="8"/>
  <c r="C72" i="8"/>
  <c r="C63" i="8"/>
  <c r="C57" i="8"/>
  <c r="C51" i="8"/>
  <c r="C48" i="8"/>
  <c r="C39" i="8"/>
  <c r="C27" i="8"/>
  <c r="C24" i="8"/>
  <c r="C15" i="8"/>
  <c r="C9" i="8"/>
  <c r="C3" i="8"/>
  <c r="AP28" i="14" a="1"/>
  <c r="AP28" i="14" s="1"/>
  <c r="AI69" i="14" a="1"/>
  <c r="AI69" i="14" s="1"/>
  <c r="AI28" i="2" a="1"/>
  <c r="AI28" i="2" s="1"/>
  <c r="AI26" i="2" s="1"/>
  <c r="C82" i="8"/>
  <c r="C58" i="8"/>
  <c r="AB57" i="2" a="1"/>
  <c r="AB57" i="2" s="1"/>
  <c r="AB55" i="2" s="1"/>
  <c r="N4" i="2" a="1"/>
  <c r="N4" i="2" s="1"/>
  <c r="C277" i="8"/>
  <c r="C271" i="8"/>
  <c r="C265" i="8"/>
  <c r="C259" i="8"/>
  <c r="C250" i="8"/>
  <c r="C247" i="8"/>
  <c r="C241" i="8"/>
  <c r="C235" i="8"/>
  <c r="C223" i="8"/>
  <c r="C217" i="8"/>
  <c r="C214" i="8"/>
  <c r="C211" i="8"/>
  <c r="C199" i="8"/>
  <c r="C193" i="8"/>
  <c r="C190" i="8"/>
  <c r="C187" i="8"/>
  <c r="C181" i="8"/>
  <c r="C175" i="8"/>
  <c r="C172" i="8"/>
  <c r="C163" i="8"/>
  <c r="C151" i="8"/>
  <c r="C145" i="8"/>
  <c r="C139" i="8"/>
  <c r="C136" i="8"/>
  <c r="C130" i="8"/>
  <c r="C121" i="8"/>
  <c r="C115" i="8"/>
  <c r="C109" i="8"/>
  <c r="C103" i="8"/>
  <c r="C100" i="8"/>
  <c r="C97" i="8"/>
  <c r="C91" i="8"/>
  <c r="C85" i="8"/>
  <c r="C79" i="8"/>
  <c r="C73" i="8"/>
  <c r="C67" i="8"/>
  <c r="C61" i="8"/>
  <c r="C49" i="8"/>
  <c r="C43" i="8"/>
  <c r="C37" i="8"/>
  <c r="C31" i="8"/>
  <c r="C25" i="8"/>
  <c r="C19" i="8"/>
  <c r="C88" i="8"/>
  <c r="G4" i="2" a="1"/>
  <c r="G4" i="2" s="1"/>
  <c r="G2" i="2" s="1"/>
  <c r="G42" i="2" a="1"/>
  <c r="G42" i="2" s="1"/>
  <c r="G40" i="2" s="1"/>
  <c r="C14" i="8"/>
  <c r="U42" i="2" a="1"/>
  <c r="U42" i="2" s="1"/>
  <c r="U40" i="2" s="1"/>
  <c r="N42" i="2" a="1"/>
  <c r="N42" i="2" s="1"/>
  <c r="N40" i="2" s="1"/>
  <c r="N71" i="2" a="1"/>
  <c r="N71" i="2" s="1"/>
  <c r="U87" i="2" a="1"/>
  <c r="U87" i="2" s="1"/>
  <c r="U85" i="2" s="1"/>
  <c r="C185" i="8"/>
  <c r="C81" i="8"/>
  <c r="C65" i="8"/>
  <c r="C33" i="8"/>
  <c r="F4" i="18"/>
  <c r="F3" i="18"/>
  <c r="F10" i="18"/>
  <c r="F9" i="18"/>
  <c r="AB101" i="2" a="1"/>
  <c r="AB101" i="2" s="1"/>
  <c r="F8" i="18"/>
  <c r="F7" i="18"/>
  <c r="F6" i="18"/>
  <c r="U57" i="2" a="1"/>
  <c r="U57" i="2" s="1"/>
  <c r="F5" i="18"/>
  <c r="C3" i="18"/>
  <c r="C10" i="18"/>
  <c r="C9" i="18"/>
  <c r="C8" i="18"/>
  <c r="C7" i="18"/>
  <c r="C6" i="18"/>
  <c r="C5" i="18"/>
  <c r="C4" i="18"/>
  <c r="C227" i="8"/>
  <c r="C282" i="8"/>
  <c r="C274" i="8"/>
  <c r="C242" i="8"/>
  <c r="C234" i="8"/>
  <c r="C226" i="8"/>
  <c r="C210" i="8"/>
  <c r="C202" i="8"/>
  <c r="C186" i="8"/>
  <c r="C178" i="8"/>
  <c r="C170" i="8"/>
  <c r="C162" i="8"/>
  <c r="C154" i="8"/>
  <c r="C114" i="8"/>
  <c r="C106" i="8"/>
  <c r="C98" i="8"/>
  <c r="C90" i="8"/>
  <c r="C74" i="8"/>
  <c r="C34" i="8"/>
  <c r="C26" i="8"/>
  <c r="C18" i="8"/>
  <c r="C10" i="8"/>
  <c r="C169" i="8"/>
  <c r="C144" i="8"/>
  <c r="C112" i="8"/>
  <c r="C118" i="8"/>
  <c r="C110" i="8"/>
  <c r="C94" i="8"/>
  <c r="C86" i="8"/>
  <c r="C70" i="8"/>
  <c r="C38" i="8"/>
  <c r="C6" i="8"/>
  <c r="C140" i="8"/>
  <c r="C132" i="8"/>
  <c r="C127" i="8"/>
  <c r="C123" i="8"/>
  <c r="C126" i="8"/>
  <c r="C128" i="8"/>
  <c r="C28" i="8"/>
  <c r="C205" i="8"/>
  <c r="C283" i="8"/>
  <c r="C257" i="8"/>
  <c r="C197" i="8"/>
  <c r="C93" i="8"/>
  <c r="C204" i="8"/>
  <c r="C36" i="8"/>
  <c r="C276" i="8"/>
  <c r="C164" i="8"/>
  <c r="C129" i="8"/>
  <c r="C196" i="8"/>
  <c r="C13" i="8"/>
  <c r="C180" i="8"/>
  <c r="C268" i="8"/>
  <c r="C244" i="8"/>
  <c r="C220" i="8"/>
  <c r="C124" i="8"/>
  <c r="C92" i="8"/>
  <c r="C20" i="8"/>
  <c r="C116" i="8"/>
  <c r="C76" i="8"/>
  <c r="C280" i="8"/>
  <c r="C256" i="8"/>
  <c r="C232" i="8"/>
  <c r="C176" i="8"/>
  <c r="C269" i="8"/>
  <c r="C261" i="8"/>
  <c r="C253" i="8"/>
  <c r="C229" i="8"/>
  <c r="C221" i="8"/>
  <c r="C189" i="8"/>
  <c r="C165" i="8"/>
  <c r="C157" i="8"/>
  <c r="C141" i="8"/>
  <c r="C133" i="8"/>
  <c r="C125" i="8"/>
  <c r="C77" i="8"/>
  <c r="C69" i="8"/>
  <c r="C53" i="8"/>
  <c r="C21" i="8"/>
  <c r="C260" i="8"/>
  <c r="C236" i="8"/>
  <c r="C228" i="8"/>
  <c r="C212" i="8"/>
  <c r="C188" i="8"/>
  <c r="C156" i="8"/>
  <c r="C148" i="8"/>
  <c r="C84" i="8"/>
  <c r="C68" i="8"/>
  <c r="C60" i="8"/>
  <c r="C52" i="8"/>
  <c r="C44" i="8"/>
  <c r="C12" i="8"/>
  <c r="C4" i="8"/>
  <c r="C272" i="8"/>
  <c r="C264" i="8"/>
  <c r="C224" i="8"/>
  <c r="C216" i="8"/>
  <c r="C184" i="8"/>
  <c r="C2" i="8"/>
  <c r="C262" i="8"/>
  <c r="C238" i="8"/>
  <c r="C230" i="8"/>
  <c r="C206" i="8"/>
  <c r="C166" i="8"/>
  <c r="C150" i="8"/>
  <c r="C142" i="8"/>
  <c r="C102" i="8"/>
  <c r="C62" i="8"/>
  <c r="C54" i="8"/>
  <c r="C46" i="8"/>
  <c r="C22" i="8"/>
  <c r="U101" i="2" a="1"/>
  <c r="U101" i="2" s="1"/>
  <c r="U99" i="2" s="1"/>
  <c r="C248" i="8"/>
  <c r="C208" i="8"/>
  <c r="C200" i="8"/>
  <c r="C192" i="8"/>
  <c r="C160" i="8"/>
  <c r="C152" i="8"/>
  <c r="C104" i="8"/>
  <c r="C96" i="8"/>
  <c r="C64" i="8"/>
  <c r="C56" i="8"/>
  <c r="C40" i="8"/>
  <c r="C32" i="8"/>
  <c r="C16" i="8"/>
  <c r="AB111" i="2"/>
  <c r="AI101" i="2" a="1"/>
  <c r="AI101" i="2" s="1"/>
  <c r="AI99" i="2" s="1"/>
  <c r="AI28" i="14" a="1"/>
  <c r="AI28" i="14" s="1"/>
  <c r="N87" i="2" a="1"/>
  <c r="N87" i="2" s="1"/>
  <c r="C122" i="8"/>
  <c r="C50" i="8"/>
  <c r="C42" i="8"/>
  <c r="AF28" i="14" a="1"/>
  <c r="AF28" i="14" s="1"/>
  <c r="D41" i="14" a="1"/>
  <c r="D41" i="14" s="1"/>
  <c r="K41" i="14" a="1"/>
  <c r="K41" i="14" s="1"/>
  <c r="N41" i="14" a="1"/>
  <c r="N41" i="14" s="1"/>
  <c r="G41" i="14" a="1"/>
  <c r="G41" i="14" s="1"/>
  <c r="C120" i="8"/>
  <c r="C108" i="8"/>
  <c r="C87" i="8"/>
  <c r="C78" i="8"/>
  <c r="C45" i="8"/>
  <c r="C30" i="8"/>
  <c r="G28" i="14" a="1"/>
  <c r="G28" i="14" s="1"/>
  <c r="AW97" i="14" a="1"/>
  <c r="AW97" i="14" s="1"/>
  <c r="G87" i="2" a="1"/>
  <c r="G87" i="2" s="1"/>
  <c r="G85" i="2" s="1"/>
  <c r="N28" i="14" a="1"/>
  <c r="N28" i="14" s="1"/>
  <c r="AB71" i="2" a="1"/>
  <c r="AB71" i="2" s="1"/>
  <c r="AB69" i="2" s="1"/>
  <c r="N57" i="2" a="1"/>
  <c r="N57" i="2" s="1"/>
  <c r="AB81" i="14"/>
  <c r="Y101" i="2" a="1"/>
  <c r="Y101" i="2" s="1"/>
  <c r="K28" i="14" a="1"/>
  <c r="K28" i="14" s="1"/>
  <c r="D28" i="14" a="1"/>
  <c r="D28" i="14" s="1"/>
  <c r="D101" i="2" a="1"/>
  <c r="D101" i="2" s="1"/>
  <c r="G99" i="2" s="1"/>
  <c r="AT101" i="2" a="1"/>
  <c r="AT101" i="2" s="1"/>
  <c r="AW99" i="2" s="1"/>
  <c r="AT97" i="14" a="1"/>
  <c r="AT97" i="14" s="1"/>
  <c r="K101" i="2" a="1"/>
  <c r="K101" i="2" s="1"/>
  <c r="N99" i="2" s="1"/>
  <c r="D71" i="2" a="1"/>
  <c r="D71" i="2" s="1"/>
  <c r="G111" i="2"/>
  <c r="K87" i="2" a="1"/>
  <c r="K87" i="2" s="1"/>
  <c r="D2" i="5" a="1"/>
  <c r="D2" i="5" s="1"/>
  <c r="R71" i="2" a="1"/>
  <c r="R71" i="2" s="1"/>
  <c r="AB26" i="2"/>
  <c r="N26" i="2"/>
  <c r="L2" i="5" a="1"/>
  <c r="L2" i="5" s="1"/>
  <c r="N2" i="5" a="1"/>
  <c r="N2" i="5" s="1"/>
  <c r="G26" i="2"/>
  <c r="AP99" i="2"/>
  <c r="AI69" i="2"/>
  <c r="G71" i="2" a="1"/>
  <c r="G71" i="2" s="1"/>
  <c r="U71" i="2" a="1"/>
  <c r="U71" i="2" s="1"/>
  <c r="G57" i="2" a="1"/>
  <c r="G57" i="2" s="1"/>
  <c r="G55" i="2" s="1"/>
  <c r="BD28" i="2" a="1"/>
  <c r="BD28" i="2" s="1"/>
  <c r="BD26" i="2" s="1"/>
  <c r="U2" i="2"/>
  <c r="AP26" i="2"/>
  <c r="AB40" i="2"/>
  <c r="AI40" i="2"/>
  <c r="AI85" i="2"/>
  <c r="AB85" i="2"/>
  <c r="AI55" i="2"/>
  <c r="U111" i="2"/>
  <c r="AI111" i="2"/>
  <c r="R57" i="2" a="1"/>
  <c r="R57" i="2" s="1"/>
  <c r="F2" i="5" a="1"/>
  <c r="F2" i="5" s="1"/>
  <c r="D126" i="2" a="1"/>
  <c r="D126" i="2" s="1"/>
  <c r="G124" i="2" s="1"/>
  <c r="K113" i="2" a="1"/>
  <c r="K113" i="2" s="1"/>
  <c r="N111" i="2" s="1"/>
  <c r="K71" i="2" a="1"/>
  <c r="K71" i="2" s="1"/>
  <c r="K57" i="2" a="1"/>
  <c r="K57" i="2" s="1"/>
  <c r="K4" i="2" a="1"/>
  <c r="K4" i="2" s="1"/>
  <c r="R28" i="2" a="1"/>
  <c r="R28" i="2" s="1"/>
  <c r="U26" i="2" l="1"/>
  <c r="N2" i="2"/>
  <c r="AB2" i="2"/>
  <c r="H5" i="18"/>
  <c r="H6" i="18"/>
  <c r="H8" i="18"/>
  <c r="H10" i="18"/>
  <c r="H3" i="18"/>
  <c r="H9" i="18"/>
  <c r="N69" i="2"/>
  <c r="H4" i="18"/>
  <c r="H7" i="18"/>
  <c r="U55" i="2"/>
  <c r="AB99" i="2"/>
  <c r="N55" i="2"/>
  <c r="N85" i="2"/>
  <c r="G69" i="2"/>
  <c r="U69" i="2"/>
  <c r="H11"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2F6C00-293B-48C3-8414-88A1BD171F97}" keepAlive="1" name="Query - leden" description="Verbinding maken met de query leden in de werkmap." type="5" refreshedVersion="8" background="1" saveData="1">
    <dbPr connection="Provider=Microsoft.Mashup.OleDb.1;Data Source=$Workbook$;Location=leden;Extended Properties=&quot;&quot;" command="SELECT * FROM [lede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<sst xmlns="http://schemas.openxmlformats.org/spreadsheetml/2006/main" count="6660" uniqueCount="1510">
  <si>
    <t>Selecties</t>
  </si>
  <si>
    <t>S1S2</t>
  </si>
  <si>
    <t>S5S6</t>
  </si>
  <si>
    <t>A1A2</t>
  </si>
  <si>
    <t>B1B2</t>
  </si>
  <si>
    <t>Senioren</t>
  </si>
  <si>
    <t>S1</t>
  </si>
  <si>
    <t>S2</t>
  </si>
  <si>
    <t>S3</t>
  </si>
  <si>
    <t>S4</t>
  </si>
  <si>
    <t>S5</t>
  </si>
  <si>
    <t>S6</t>
  </si>
  <si>
    <t>S7</t>
  </si>
  <si>
    <t>MW1</t>
  </si>
  <si>
    <t>A-Junioren</t>
  </si>
  <si>
    <t>A1</t>
  </si>
  <si>
    <t>A2</t>
  </si>
  <si>
    <t>A3</t>
  </si>
  <si>
    <t>A4</t>
  </si>
  <si>
    <t>A5</t>
  </si>
  <si>
    <t>B-Aspiranten</t>
  </si>
  <si>
    <t>B1</t>
  </si>
  <si>
    <t>B2</t>
  </si>
  <si>
    <t>B3</t>
  </si>
  <si>
    <t>B4</t>
  </si>
  <si>
    <t>B5</t>
  </si>
  <si>
    <t xml:space="preserve">Lars Visser </t>
  </si>
  <si>
    <t>C-Aspiranten</t>
  </si>
  <si>
    <t>C1</t>
  </si>
  <si>
    <t>C2</t>
  </si>
  <si>
    <t>C3</t>
  </si>
  <si>
    <t>C4</t>
  </si>
  <si>
    <t>C5</t>
  </si>
  <si>
    <t>D-Pupillen</t>
  </si>
  <si>
    <t>D1</t>
  </si>
  <si>
    <t>D2</t>
  </si>
  <si>
    <t>D3</t>
  </si>
  <si>
    <t>D4</t>
  </si>
  <si>
    <t>D5</t>
  </si>
  <si>
    <t>E-pupillen</t>
  </si>
  <si>
    <t>E1</t>
  </si>
  <si>
    <t>E2</t>
  </si>
  <si>
    <t>E3</t>
  </si>
  <si>
    <t>E4</t>
  </si>
  <si>
    <t>E5</t>
  </si>
  <si>
    <t>E6</t>
  </si>
  <si>
    <t>E7</t>
  </si>
  <si>
    <t>F-Pupillen</t>
  </si>
  <si>
    <t>F1</t>
  </si>
  <si>
    <t>F2</t>
  </si>
  <si>
    <t>F3</t>
  </si>
  <si>
    <t>F4</t>
  </si>
  <si>
    <t>F5</t>
  </si>
  <si>
    <t>Kangoeroes</t>
  </si>
  <si>
    <t>K</t>
  </si>
  <si>
    <t>Rel.nr</t>
  </si>
  <si>
    <t>Naam &amp; Initialen)</t>
  </si>
  <si>
    <t>Roepnaam</t>
  </si>
  <si>
    <t>Leeftijd Peildatum</t>
  </si>
  <si>
    <t>Geb datum</t>
  </si>
  <si>
    <t>Team op Peildatum</t>
  </si>
  <si>
    <t>Team 23-24</t>
  </si>
  <si>
    <t>Team 22-23</t>
  </si>
  <si>
    <t>AR</t>
  </si>
  <si>
    <t>Naam &amp; Initialen</t>
  </si>
  <si>
    <t>Team 22-232</t>
  </si>
  <si>
    <t>NLH27P1</t>
  </si>
  <si>
    <t>Amber de Haas</t>
  </si>
  <si>
    <t>Amber</t>
  </si>
  <si>
    <t>NLG58X4</t>
  </si>
  <si>
    <t>Freek van Dongen</t>
  </si>
  <si>
    <t>Freek</t>
  </si>
  <si>
    <t>NKT92K1</t>
  </si>
  <si>
    <t>Anouk de Jongh</t>
  </si>
  <si>
    <t>Anouk</t>
  </si>
  <si>
    <t>NLL19V8</t>
  </si>
  <si>
    <t>Jack Zwanenburg</t>
  </si>
  <si>
    <t>Jack</t>
  </si>
  <si>
    <t>NLB70S0</t>
  </si>
  <si>
    <t>Elena Quarré</t>
  </si>
  <si>
    <t>Elena</t>
  </si>
  <si>
    <t>NLG57L7</t>
  </si>
  <si>
    <t>Jarno Valk</t>
  </si>
  <si>
    <t>Jarno</t>
  </si>
  <si>
    <t>NLP78N3</t>
  </si>
  <si>
    <t>Iza Wolleswinkel</t>
  </si>
  <si>
    <t>Iza</t>
  </si>
  <si>
    <t>NLG59F1</t>
  </si>
  <si>
    <t>Jens Lohuis</t>
  </si>
  <si>
    <t>Jens</t>
  </si>
  <si>
    <t>NLF50K8</t>
  </si>
  <si>
    <t>Lindi Fasbender</t>
  </si>
  <si>
    <t>Lindi</t>
  </si>
  <si>
    <t>NLB70Y2</t>
  </si>
  <si>
    <t>Joeke Meijer</t>
  </si>
  <si>
    <t>Joeke</t>
  </si>
  <si>
    <t>Stopt</t>
  </si>
  <si>
    <t>NLL20B6</t>
  </si>
  <si>
    <t>Maud van Wensen</t>
  </si>
  <si>
    <t>Maud</t>
  </si>
  <si>
    <t>NKX66T5</t>
  </si>
  <si>
    <t>Joël Wietses</t>
  </si>
  <si>
    <t>Joël</t>
  </si>
  <si>
    <t>NLL81G4</t>
  </si>
  <si>
    <t>Merel Manduapessy</t>
  </si>
  <si>
    <t>Merel</t>
  </si>
  <si>
    <t>NLG58W7</t>
  </si>
  <si>
    <t>Jordi Vaartmans</t>
  </si>
  <si>
    <t>Jordi</t>
  </si>
  <si>
    <t>NLL19T4</t>
  </si>
  <si>
    <t>Mila de Wit</t>
  </si>
  <si>
    <t>Mila</t>
  </si>
  <si>
    <t>NLG59G8</t>
  </si>
  <si>
    <t>Senne Koster</t>
  </si>
  <si>
    <t>Senne</t>
  </si>
  <si>
    <t>NKY17P6</t>
  </si>
  <si>
    <t>Roos Groeneweg</t>
  </si>
  <si>
    <t>Roos</t>
  </si>
  <si>
    <t>NLL20F4</t>
  </si>
  <si>
    <t>Seth van de Burgt</t>
  </si>
  <si>
    <t>Seth</t>
  </si>
  <si>
    <t>NLB71D8</t>
  </si>
  <si>
    <t>Sara Boshoven</t>
  </si>
  <si>
    <t>Sara</t>
  </si>
  <si>
    <t>NLG57P5</t>
  </si>
  <si>
    <t>Tijn Bäcker</t>
  </si>
  <si>
    <t>Tijn</t>
  </si>
  <si>
    <t>NLB70T7</t>
  </si>
  <si>
    <t>Amber Boeije</t>
  </si>
  <si>
    <t>NLM05B2</t>
  </si>
  <si>
    <t>Tycho Vliet</t>
  </si>
  <si>
    <t>Tycho</t>
  </si>
  <si>
    <t>NKS24S7</t>
  </si>
  <si>
    <t>Bente van Wijngaarden</t>
  </si>
  <si>
    <t>Bente</t>
  </si>
  <si>
    <t>NLB71F2</t>
  </si>
  <si>
    <t>Wouter Koornneef</t>
  </si>
  <si>
    <t>Wouter</t>
  </si>
  <si>
    <t>NKX20W8</t>
  </si>
  <si>
    <t>Flore Steenks</t>
  </si>
  <si>
    <t>Flore</t>
  </si>
  <si>
    <t>NKX56T0</t>
  </si>
  <si>
    <t>Laurens Verhagen</t>
  </si>
  <si>
    <t>Laurens</t>
  </si>
  <si>
    <t>NLP78G4</t>
  </si>
  <si>
    <t>Julia Bozuwa</t>
  </si>
  <si>
    <t>Julia</t>
  </si>
  <si>
    <t>NKZ28R9</t>
  </si>
  <si>
    <t>Matthijs de Jongh</t>
  </si>
  <si>
    <t>Matthijs</t>
  </si>
  <si>
    <t>NKY54N3</t>
  </si>
  <si>
    <t>Lianne Bouwknegt</t>
  </si>
  <si>
    <t>Lianne</t>
  </si>
  <si>
    <t>NLR06X4</t>
  </si>
  <si>
    <t>Menno Pille</t>
  </si>
  <si>
    <t>Menno</t>
  </si>
  <si>
    <t>NLJ47P3</t>
  </si>
  <si>
    <t>Tessa van Everdingen</t>
  </si>
  <si>
    <t>Tessa</t>
  </si>
  <si>
    <t>NLB71B4</t>
  </si>
  <si>
    <t>Tommie Koornneef</t>
  </si>
  <si>
    <t>Tommie</t>
  </si>
  <si>
    <t>Vivienne Versnel</t>
  </si>
  <si>
    <t>Vivienne</t>
  </si>
  <si>
    <t>*</t>
  </si>
  <si>
    <t>NJH39X4</t>
  </si>
  <si>
    <t>Bart van der Brugge</t>
  </si>
  <si>
    <t>Bart</t>
  </si>
  <si>
    <t>NKD19X7</t>
  </si>
  <si>
    <t>Anne Driesprong</t>
  </si>
  <si>
    <t>Anne</t>
  </si>
  <si>
    <t>NKX66V9</t>
  </si>
  <si>
    <t>Bert Seevinck</t>
  </si>
  <si>
    <t>Bert</t>
  </si>
  <si>
    <t>NKX56Q9</t>
  </si>
  <si>
    <t>Damaris Everaarts</t>
  </si>
  <si>
    <t>Damaris</t>
  </si>
  <si>
    <t>NJG52P6</t>
  </si>
  <si>
    <t>Freek de Peuter</t>
  </si>
  <si>
    <t>NGT43N2</t>
  </si>
  <si>
    <t>Hilde Visser</t>
  </si>
  <si>
    <t>Hilde</t>
  </si>
  <si>
    <t>NFW28T5</t>
  </si>
  <si>
    <t>Jasper Kleingeld</t>
  </si>
  <si>
    <t>Jasper</t>
  </si>
  <si>
    <t>NJW77M6</t>
  </si>
  <si>
    <t>Merel Schram</t>
  </si>
  <si>
    <t>NJH51J2</t>
  </si>
  <si>
    <t>Jeroen Huijgen</t>
  </si>
  <si>
    <t>Jeroen</t>
  </si>
  <si>
    <t>NGT43H0</t>
  </si>
  <si>
    <t>Mirjam Noordam</t>
  </si>
  <si>
    <t>Mirjam</t>
  </si>
  <si>
    <t>NFW15F3</t>
  </si>
  <si>
    <t>Johan van der Wall</t>
  </si>
  <si>
    <t>Johan</t>
  </si>
  <si>
    <t>NKF94H2</t>
  </si>
  <si>
    <t>Tirsa Fernhout</t>
  </si>
  <si>
    <t>Tirsa</t>
  </si>
  <si>
    <t>NJF53H2</t>
  </si>
  <si>
    <t>Lars van Strijen</t>
  </si>
  <si>
    <t>Lars</t>
  </si>
  <si>
    <t>NLY40X3</t>
  </si>
  <si>
    <t>Anjanette Matena</t>
  </si>
  <si>
    <t>Anjanette</t>
  </si>
  <si>
    <t>NFX11D8</t>
  </si>
  <si>
    <t>Lex van Dalen</t>
  </si>
  <si>
    <t>Lex</t>
  </si>
  <si>
    <t>NLP78D3</t>
  </si>
  <si>
    <t>Benthe van der Linden</t>
  </si>
  <si>
    <t>Benthe</t>
  </si>
  <si>
    <t>NJH51W3</t>
  </si>
  <si>
    <t>Peter Berendsen</t>
  </si>
  <si>
    <t>Peter</t>
  </si>
  <si>
    <t>NLN05N7</t>
  </si>
  <si>
    <t>Carmen van der Klooster</t>
  </si>
  <si>
    <t>Carmen</t>
  </si>
  <si>
    <t>NGT42V5</t>
  </si>
  <si>
    <t>Rens Draaijer</t>
  </si>
  <si>
    <t>Rens</t>
  </si>
  <si>
    <t>NLT96R9</t>
  </si>
  <si>
    <t>Doeska Voorbij</t>
  </si>
  <si>
    <t>Doeska</t>
  </si>
  <si>
    <t>NGP49B2</t>
  </si>
  <si>
    <t>Robbert van Ameijden</t>
  </si>
  <si>
    <t>Robbert</t>
  </si>
  <si>
    <t>NLL20G1</t>
  </si>
  <si>
    <t>Elize van de Burgt</t>
  </si>
  <si>
    <t>Elize</t>
  </si>
  <si>
    <t>NKG59J2</t>
  </si>
  <si>
    <t>Tim Groeneweg</t>
  </si>
  <si>
    <t>Tim</t>
  </si>
  <si>
    <t>NLJ04Z4</t>
  </si>
  <si>
    <t>Floor Lohuis</t>
  </si>
  <si>
    <t>Floor</t>
  </si>
  <si>
    <t>NJF34K6</t>
  </si>
  <si>
    <t>Tom Hendriks</t>
  </si>
  <si>
    <t>Tom</t>
  </si>
  <si>
    <t>NLX00H0</t>
  </si>
  <si>
    <t>Githa Bemer</t>
  </si>
  <si>
    <t>Githa</t>
  </si>
  <si>
    <t>NLS75Y4</t>
  </si>
  <si>
    <t>Dani Heersping</t>
  </si>
  <si>
    <t>Dani</t>
  </si>
  <si>
    <t>NLS08H9</t>
  </si>
  <si>
    <t>Lisa Reuvers</t>
  </si>
  <si>
    <t>Lisa</t>
  </si>
  <si>
    <t>NMJ72N6</t>
  </si>
  <si>
    <t>Jarno Bemer</t>
  </si>
  <si>
    <t>NLS45N2</t>
  </si>
  <si>
    <t>Sophie Kilsdonk</t>
  </si>
  <si>
    <t>Sophie</t>
  </si>
  <si>
    <t>NLX00G3</t>
  </si>
  <si>
    <t>Jasper Sempel</t>
  </si>
  <si>
    <t>NLP78C6</t>
  </si>
  <si>
    <t>Stella Verboom</t>
  </si>
  <si>
    <t>Stella</t>
  </si>
  <si>
    <t>NLS85J4</t>
  </si>
  <si>
    <t>Kian Vliet</t>
  </si>
  <si>
    <t>Kian</t>
  </si>
  <si>
    <t>NLR34F7</t>
  </si>
  <si>
    <t>Floortje Jongkind</t>
  </si>
  <si>
    <t>Floortje</t>
  </si>
  <si>
    <t>NLP78Q4</t>
  </si>
  <si>
    <t>Maarten Sas</t>
  </si>
  <si>
    <t>Maarten</t>
  </si>
  <si>
    <t>NLL53K3</t>
  </si>
  <si>
    <t>Madelief van Dongen</t>
  </si>
  <si>
    <t>Madelief</t>
  </si>
  <si>
    <t>NLD36P9</t>
  </si>
  <si>
    <t>Niek Driesprong</t>
  </si>
  <si>
    <t>Niek</t>
  </si>
  <si>
    <t>NMP10M9</t>
  </si>
  <si>
    <t>Marit van den Bergh</t>
  </si>
  <si>
    <t>Marit</t>
  </si>
  <si>
    <t>NLS85H0</t>
  </si>
  <si>
    <t>Onno den Dekker</t>
  </si>
  <si>
    <t>Onno</t>
  </si>
  <si>
    <t>NLS76C3</t>
  </si>
  <si>
    <t>Robin Zwanenburg</t>
  </si>
  <si>
    <t>Robin</t>
  </si>
  <si>
    <t>NLL37S1</t>
  </si>
  <si>
    <t>Tijn Camphens</t>
  </si>
  <si>
    <t>NLX08G7</t>
  </si>
  <si>
    <t>Zoë Kamerman</t>
  </si>
  <si>
    <t>Zoë</t>
  </si>
  <si>
    <t>NMJ10P4</t>
  </si>
  <si>
    <t>Casper Boshoven</t>
  </si>
  <si>
    <t>Casper</t>
  </si>
  <si>
    <t>NLP77Z4</t>
  </si>
  <si>
    <t>Danique van der Klooster</t>
  </si>
  <si>
    <t>Danique</t>
  </si>
  <si>
    <t>NLY54F4</t>
  </si>
  <si>
    <t>Justin Vos</t>
  </si>
  <si>
    <t>Justin</t>
  </si>
  <si>
    <t>NLX25R5</t>
  </si>
  <si>
    <t>Demi Engelfriet</t>
  </si>
  <si>
    <t>Demi</t>
  </si>
  <si>
    <t>NLN28Y3</t>
  </si>
  <si>
    <t>Raoul Kuijper</t>
  </si>
  <si>
    <t>Raoul</t>
  </si>
  <si>
    <t>NMB60Y4</t>
  </si>
  <si>
    <t>Demi Lindhout</t>
  </si>
  <si>
    <t>NLV35B6</t>
  </si>
  <si>
    <t>Stephan Quarre</t>
  </si>
  <si>
    <t>Stephan</t>
  </si>
  <si>
    <t>NKT65Z0</t>
  </si>
  <si>
    <t>Julia Kleingeld</t>
  </si>
  <si>
    <t>NMK85P5</t>
  </si>
  <si>
    <t>Timo Pichel</t>
  </si>
  <si>
    <t>Timo</t>
  </si>
  <si>
    <t>NLN41L1</t>
  </si>
  <si>
    <t>Noa Stomp</t>
  </si>
  <si>
    <t>Noa</t>
  </si>
  <si>
    <t>NMG18G2</t>
  </si>
  <si>
    <t>Lenn Belder</t>
  </si>
  <si>
    <t>Lenn</t>
  </si>
  <si>
    <t>NLX64V0</t>
  </si>
  <si>
    <t>Esmée de Boer</t>
  </si>
  <si>
    <t>Esmée</t>
  </si>
  <si>
    <t>NLP78P7</t>
  </si>
  <si>
    <t>Niek Sas</t>
  </si>
  <si>
    <t>NMJ53F3</t>
  </si>
  <si>
    <t>Eva van Rooij</t>
  </si>
  <si>
    <t>Eva</t>
  </si>
  <si>
    <t>NMD51K6</t>
  </si>
  <si>
    <t>Thomas Vos</t>
  </si>
  <si>
    <t>Thomas</t>
  </si>
  <si>
    <t>NLL20H8</t>
  </si>
  <si>
    <t>Feline van de Burgt</t>
  </si>
  <si>
    <t>Feline</t>
  </si>
  <si>
    <t>NMC61P5</t>
  </si>
  <si>
    <t>Tiemen den Dekker</t>
  </si>
  <si>
    <t>Tiemen</t>
  </si>
  <si>
    <t>NLS34M7</t>
  </si>
  <si>
    <t>Saar Camphens</t>
  </si>
  <si>
    <t>Saar</t>
  </si>
  <si>
    <t>NMG85H5</t>
  </si>
  <si>
    <t>Diederik Hovestadt</t>
  </si>
  <si>
    <t>Diederik</t>
  </si>
  <si>
    <t>NLP89W4</t>
  </si>
  <si>
    <t>Tess Volker</t>
  </si>
  <si>
    <t>Tess</t>
  </si>
  <si>
    <t>NLV80M3</t>
  </si>
  <si>
    <t>Freek Laban</t>
  </si>
  <si>
    <t>NLP78L9</t>
  </si>
  <si>
    <t>Danique van der Wiel</t>
  </si>
  <si>
    <t>NLY32T6</t>
  </si>
  <si>
    <t>Jonas van de Ven</t>
  </si>
  <si>
    <t>Jonas</t>
  </si>
  <si>
    <t>NLM40K0</t>
  </si>
  <si>
    <t>Enora Bouwknegt</t>
  </si>
  <si>
    <t>Enora</t>
  </si>
  <si>
    <t>NLV80P4</t>
  </si>
  <si>
    <t>Sander Heerspring</t>
  </si>
  <si>
    <t>Sander</t>
  </si>
  <si>
    <t>NMK74C6</t>
  </si>
  <si>
    <t>Famke Nijman</t>
  </si>
  <si>
    <t>Famke</t>
  </si>
  <si>
    <t>NLX04H2</t>
  </si>
  <si>
    <t>Joaz Post</t>
  </si>
  <si>
    <t>Joaz</t>
  </si>
  <si>
    <t>NLQ98H2</t>
  </si>
  <si>
    <t>Femke Bakker</t>
  </si>
  <si>
    <t>Femke</t>
  </si>
  <si>
    <t>NML47R6</t>
  </si>
  <si>
    <t>Maarten Rutten</t>
  </si>
  <si>
    <t>NLS54M7</t>
  </si>
  <si>
    <t>Nikki Baas</t>
  </si>
  <si>
    <t>Nikki</t>
  </si>
  <si>
    <t>NMK12K6</t>
  </si>
  <si>
    <t>Thijs Vos</t>
  </si>
  <si>
    <t>Thijs</t>
  </si>
  <si>
    <t>NMQ57X8</t>
  </si>
  <si>
    <t>Sanne van Driel</t>
  </si>
  <si>
    <t>Sanne</t>
  </si>
  <si>
    <t>NMF22Q8</t>
  </si>
  <si>
    <t>Xavi Jacobs</t>
  </si>
  <si>
    <t>Xavi</t>
  </si>
  <si>
    <t>NML00R5</t>
  </si>
  <si>
    <t>Bryanna Bos</t>
  </si>
  <si>
    <t>Bryanna</t>
  </si>
  <si>
    <t>NMB42C6</t>
  </si>
  <si>
    <t>Djess van Heeren</t>
  </si>
  <si>
    <t>Djess</t>
  </si>
  <si>
    <t>NMN23N8</t>
  </si>
  <si>
    <t>Eline Veenendaal</t>
  </si>
  <si>
    <t>Eline</t>
  </si>
  <si>
    <t>NMV37K2</t>
  </si>
  <si>
    <t>Jurre van der Linden</t>
  </si>
  <si>
    <t>Jurre</t>
  </si>
  <si>
    <t>NMK12F1</t>
  </si>
  <si>
    <t>Evie Groen</t>
  </si>
  <si>
    <t>Evie</t>
  </si>
  <si>
    <t>NMP90X6</t>
  </si>
  <si>
    <t>Levi Molendijk</t>
  </si>
  <si>
    <t>Levi</t>
  </si>
  <si>
    <t>NMN07F4</t>
  </si>
  <si>
    <t>Manon Barbaroux</t>
  </si>
  <si>
    <t>Manon</t>
  </si>
  <si>
    <t>NMQ51D0</t>
  </si>
  <si>
    <t>Mika Kerschkamp</t>
  </si>
  <si>
    <t>Mika</t>
  </si>
  <si>
    <t>NLV84L8</t>
  </si>
  <si>
    <t>Noortje Vercouteren</t>
  </si>
  <si>
    <t>Noortje</t>
  </si>
  <si>
    <t>NMC41D1</t>
  </si>
  <si>
    <t>Parham Afsharbegloe</t>
  </si>
  <si>
    <t>Parham</t>
  </si>
  <si>
    <t>NMN06Y4</t>
  </si>
  <si>
    <t>Pippa Jongkind</t>
  </si>
  <si>
    <t>Pippa</t>
  </si>
  <si>
    <t>NMG03C4</t>
  </si>
  <si>
    <t>Finn Verboom</t>
  </si>
  <si>
    <t>Finn</t>
  </si>
  <si>
    <t>NMT44W0</t>
  </si>
  <si>
    <t>Sanne Peters</t>
  </si>
  <si>
    <t>NMC41W4</t>
  </si>
  <si>
    <t>Joep van Ameijden</t>
  </si>
  <si>
    <t>Joep</t>
  </si>
  <si>
    <t>NLZ39C9</t>
  </si>
  <si>
    <t>Anouk Bakker</t>
  </si>
  <si>
    <t>NMC29Z9</t>
  </si>
  <si>
    <t>Juda Vos</t>
  </si>
  <si>
    <t>Juda</t>
  </si>
  <si>
    <t>NMN23K7</t>
  </si>
  <si>
    <t>Davina Moniz</t>
  </si>
  <si>
    <t>Davina</t>
  </si>
  <si>
    <t>NMT18Q5</t>
  </si>
  <si>
    <t>Matthijs de Reus</t>
  </si>
  <si>
    <t>NMD22V1</t>
  </si>
  <si>
    <t>Eva Bezemer</t>
  </si>
  <si>
    <t>NLZ21F1</t>
  </si>
  <si>
    <t>Abel van de Ven</t>
  </si>
  <si>
    <t>Abel</t>
  </si>
  <si>
    <t>NMP92X2</t>
  </si>
  <si>
    <t>Imke van Geldrop</t>
  </si>
  <si>
    <t>Imke</t>
  </si>
  <si>
    <t>NMJ72R4</t>
  </si>
  <si>
    <t>Falco Bemer</t>
  </si>
  <si>
    <t>Falco</t>
  </si>
  <si>
    <t>NMB03R4</t>
  </si>
  <si>
    <t>Laura Exalto</t>
  </si>
  <si>
    <t>Laura</t>
  </si>
  <si>
    <t>NMN49T8</t>
  </si>
  <si>
    <t>Nathan Verberkt</t>
  </si>
  <si>
    <t>Nathan</t>
  </si>
  <si>
    <t>NML06D5</t>
  </si>
  <si>
    <t>Olivia de Waard</t>
  </si>
  <si>
    <t>Olivia</t>
  </si>
  <si>
    <t>NMJ72P0</t>
  </si>
  <si>
    <t>Tygo Bemer</t>
  </si>
  <si>
    <t>Tygo</t>
  </si>
  <si>
    <t>NMD71P1</t>
  </si>
  <si>
    <t>Evi Kleingeld</t>
  </si>
  <si>
    <t>Evi</t>
  </si>
  <si>
    <t>NMQ65B3</t>
  </si>
  <si>
    <t>Cas Uljee</t>
  </si>
  <si>
    <t>Cas</t>
  </si>
  <si>
    <t>NMK12D7</t>
  </si>
  <si>
    <t>Fay Tims</t>
  </si>
  <si>
    <t>Fay</t>
  </si>
  <si>
    <t>NMN23L4</t>
  </si>
  <si>
    <t>Fynn Kuling</t>
  </si>
  <si>
    <t>Fynn</t>
  </si>
  <si>
    <t>NMN85P8</t>
  </si>
  <si>
    <t>Fenna van Rijswijk</t>
  </si>
  <si>
    <t>Fenna</t>
  </si>
  <si>
    <t>NMN23M1</t>
  </si>
  <si>
    <t>Martijn Veenendaal</t>
  </si>
  <si>
    <t>Martijn</t>
  </si>
  <si>
    <t>NMK01M2</t>
  </si>
  <si>
    <t>Jenna Ehmila</t>
  </si>
  <si>
    <t>Jenna</t>
  </si>
  <si>
    <t>NMS76D7</t>
  </si>
  <si>
    <t>Vince van der Hoeven</t>
  </si>
  <si>
    <t>Vince</t>
  </si>
  <si>
    <t>NMG13P0</t>
  </si>
  <si>
    <t>Layla de Boer</t>
  </si>
  <si>
    <t>Layla</t>
  </si>
  <si>
    <t>NMB99X9</t>
  </si>
  <si>
    <t>Ayden van den Bosch</t>
  </si>
  <si>
    <t>Ayden</t>
  </si>
  <si>
    <t>NMC85Q4</t>
  </si>
  <si>
    <t>Yara van der Wiel</t>
  </si>
  <si>
    <t>Yara</t>
  </si>
  <si>
    <t>NMJ03L0</t>
  </si>
  <si>
    <t>Levi Everaarts</t>
  </si>
  <si>
    <t>NMN14R4</t>
  </si>
  <si>
    <t>Esther Oosse</t>
  </si>
  <si>
    <t>Esther</t>
  </si>
  <si>
    <t>NMJ57G2</t>
  </si>
  <si>
    <t>Merlijn de Wit</t>
  </si>
  <si>
    <t>Merlijn</t>
  </si>
  <si>
    <t>NMK31G5</t>
  </si>
  <si>
    <t>Feline Littooij</t>
  </si>
  <si>
    <t>NMN09P0</t>
  </si>
  <si>
    <t>Jorn den Dekker</t>
  </si>
  <si>
    <t>Jorn</t>
  </si>
  <si>
    <t>NMR12K3</t>
  </si>
  <si>
    <t>Jolijn van den Bergh</t>
  </si>
  <si>
    <t>Jolijn</t>
  </si>
  <si>
    <t>NMN10V0</t>
  </si>
  <si>
    <t>Lars Winter</t>
  </si>
  <si>
    <t>NMM21T3</t>
  </si>
  <si>
    <t>Lenthe van den Boogaart</t>
  </si>
  <si>
    <t>Lenthe</t>
  </si>
  <si>
    <t>NMK59H6</t>
  </si>
  <si>
    <t>Morris van Ameijden</t>
  </si>
  <si>
    <t>Morris</t>
  </si>
  <si>
    <t>NMK07T9</t>
  </si>
  <si>
    <t>Lisanne Naeije</t>
  </si>
  <si>
    <t>Lisanne</t>
  </si>
  <si>
    <t>NMK07M0</t>
  </si>
  <si>
    <t>Tobias Hoedelmans</t>
  </si>
  <si>
    <t>Tobias</t>
  </si>
  <si>
    <t>NMM85F7</t>
  </si>
  <si>
    <t>Noor Brouwer</t>
  </si>
  <si>
    <t>Noor</t>
  </si>
  <si>
    <t>NMN65L0</t>
  </si>
  <si>
    <t>Lucas van de Rest</t>
  </si>
  <si>
    <t>Lucas</t>
  </si>
  <si>
    <t>NMP73C8</t>
  </si>
  <si>
    <t>Tess Uljee</t>
  </si>
  <si>
    <t>NMQ45V3</t>
  </si>
  <si>
    <t>Ralf Dijkstra</t>
  </si>
  <si>
    <t>Ralf</t>
  </si>
  <si>
    <t>NMH07D4</t>
  </si>
  <si>
    <t>Jeslynn Vos</t>
  </si>
  <si>
    <t>Jeslynn</t>
  </si>
  <si>
    <t>NMN65C7</t>
  </si>
  <si>
    <t>Sepp Jongkind</t>
  </si>
  <si>
    <t>Sepp</t>
  </si>
  <si>
    <t>NMJ35H3</t>
  </si>
  <si>
    <t>Pien van Dongen</t>
  </si>
  <si>
    <t>Pien</t>
  </si>
  <si>
    <t>NMN66T9</t>
  </si>
  <si>
    <t>Joep Jongkind</t>
  </si>
  <si>
    <t>NMH37W2</t>
  </si>
  <si>
    <t>Ize van der Linden</t>
  </si>
  <si>
    <t>Ize</t>
  </si>
  <si>
    <t>NMN39T3</t>
  </si>
  <si>
    <t>Koen Ploeg</t>
  </si>
  <si>
    <t>Koen</t>
  </si>
  <si>
    <t>NMD34T8</t>
  </si>
  <si>
    <t>Lisa Exalto</t>
  </si>
  <si>
    <t>NMV01T2</t>
  </si>
  <si>
    <t>Rens Boekee</t>
  </si>
  <si>
    <t>NMQ40P6</t>
  </si>
  <si>
    <t>Emma Schot</t>
  </si>
  <si>
    <t>Emma</t>
  </si>
  <si>
    <t>Gideon Verberkt</t>
  </si>
  <si>
    <t>Gideon</t>
  </si>
  <si>
    <t>NML14J6</t>
  </si>
  <si>
    <t>Suze Maaskant</t>
  </si>
  <si>
    <t>Suze</t>
  </si>
  <si>
    <t>NMV70H0</t>
  </si>
  <si>
    <t>Timo van der Sijde</t>
  </si>
  <si>
    <t>NMS99T8</t>
  </si>
  <si>
    <t>Tess Rebollo</t>
  </si>
  <si>
    <t>NMV71X5</t>
  </si>
  <si>
    <t>Amos Alberts</t>
  </si>
  <si>
    <t>Amos</t>
  </si>
  <si>
    <t>NMM97Y1</t>
  </si>
  <si>
    <t>Maartje Laban</t>
  </si>
  <si>
    <t>Maartje</t>
  </si>
  <si>
    <t>NMV76G1</t>
  </si>
  <si>
    <t>Art Malschaert</t>
  </si>
  <si>
    <t>Art</t>
  </si>
  <si>
    <t>NMK64V4</t>
  </si>
  <si>
    <t>Robin Mans</t>
  </si>
  <si>
    <t>Sem van de Wiel</t>
  </si>
  <si>
    <t>Sem</t>
  </si>
  <si>
    <t>NML53R9</t>
  </si>
  <si>
    <t>Sofie Kleingeld</t>
  </si>
  <si>
    <t>Sofie</t>
  </si>
  <si>
    <t>Hans Ploeg</t>
  </si>
  <si>
    <t>Hans</t>
  </si>
  <si>
    <t>NMS40B0</t>
  </si>
  <si>
    <t>Aniek van den Bergh</t>
  </si>
  <si>
    <t>Aniek</t>
  </si>
  <si>
    <t>NFW42X5</t>
  </si>
  <si>
    <t>Michiel 't Jong</t>
  </si>
  <si>
    <t>Michiel</t>
  </si>
  <si>
    <t>NMQ57Y5</t>
  </si>
  <si>
    <t>Feliz Lanser</t>
  </si>
  <si>
    <t>Feliz</t>
  </si>
  <si>
    <t>NFZ85W0</t>
  </si>
  <si>
    <t>Peter Batenburg</t>
  </si>
  <si>
    <t>NMS09V7</t>
  </si>
  <si>
    <t>Julia van Twist</t>
  </si>
  <si>
    <t>NFV13V8</t>
  </si>
  <si>
    <t>Ronald Riet</t>
  </si>
  <si>
    <t>Ronald</t>
  </si>
  <si>
    <t>Sanae</t>
  </si>
  <si>
    <t>Sebastiaan Belder</t>
  </si>
  <si>
    <t>Sebastiaan</t>
  </si>
  <si>
    <t>NMV61M3</t>
  </si>
  <si>
    <t>Alisa Stomp</t>
  </si>
  <si>
    <t>Alisa</t>
  </si>
  <si>
    <t>NKH71P1</t>
  </si>
  <si>
    <t>Wilco Kooij</t>
  </si>
  <si>
    <t>Wilco</t>
  </si>
  <si>
    <t>NMS67Y2</t>
  </si>
  <si>
    <t>Imme Bouman</t>
  </si>
  <si>
    <t>Imme</t>
  </si>
  <si>
    <t>NFW40B5</t>
  </si>
  <si>
    <t>Erwin Belder</t>
  </si>
  <si>
    <t>Erwin</t>
  </si>
  <si>
    <t>NSL</t>
  </si>
  <si>
    <t>NMQ48V2</t>
  </si>
  <si>
    <t>Karlijn Bakker</t>
  </si>
  <si>
    <t>Karlijn</t>
  </si>
  <si>
    <t>NKD19Y4</t>
  </si>
  <si>
    <t>Bart Driesprong</t>
  </si>
  <si>
    <t>NMV77N3</t>
  </si>
  <si>
    <t>Lara Mans</t>
  </si>
  <si>
    <t>Lara</t>
  </si>
  <si>
    <t>NJF95S5</t>
  </si>
  <si>
    <t>Bob Mans</t>
  </si>
  <si>
    <t>Bob</t>
  </si>
  <si>
    <t>NMV90Z6</t>
  </si>
  <si>
    <t>Livia van de Burgt</t>
  </si>
  <si>
    <t>Livia</t>
  </si>
  <si>
    <t>NKY88T2</t>
  </si>
  <si>
    <t>Daniel den Uijl</t>
  </si>
  <si>
    <t>Daniel</t>
  </si>
  <si>
    <t>NMQ42K7</t>
  </si>
  <si>
    <t>Sanna de Lange</t>
  </si>
  <si>
    <t>Sanna</t>
  </si>
  <si>
    <t>Jaimy van Arkel</t>
  </si>
  <si>
    <t>Jaimy</t>
  </si>
  <si>
    <t>NMM42W7</t>
  </si>
  <si>
    <t>Vive Jacobs</t>
  </si>
  <si>
    <t>Vive</t>
  </si>
  <si>
    <t>NJD65S8</t>
  </si>
  <si>
    <t>Joeri van Dijk</t>
  </si>
  <si>
    <t>Joeri</t>
  </si>
  <si>
    <t>NMV75Z1</t>
  </si>
  <si>
    <t>Wies van den Berg</t>
  </si>
  <si>
    <t>Wies</t>
  </si>
  <si>
    <t>NLL37Q7</t>
  </si>
  <si>
    <t>Jordan Timmer</t>
  </si>
  <si>
    <t>Jordan</t>
  </si>
  <si>
    <t>NMR70L4</t>
  </si>
  <si>
    <t>Diede van den Boogaart</t>
  </si>
  <si>
    <t>Diede</t>
  </si>
  <si>
    <t>NJF77Y3</t>
  </si>
  <si>
    <t>Marijn Klink</t>
  </si>
  <si>
    <t>Marijn</t>
  </si>
  <si>
    <t>NFW28D3</t>
  </si>
  <si>
    <t>Dorien in 't Veld</t>
  </si>
  <si>
    <t>Dorien</t>
  </si>
  <si>
    <t>NJH76N5</t>
  </si>
  <si>
    <t>Olivier Klink</t>
  </si>
  <si>
    <t>Olivier</t>
  </si>
  <si>
    <t>NGD85T4</t>
  </si>
  <si>
    <t>Kim Heesterbeek</t>
  </si>
  <si>
    <t>Kim</t>
  </si>
  <si>
    <t>NJF24X2</t>
  </si>
  <si>
    <t>Robin van Kalkeren</t>
  </si>
  <si>
    <t>Kim Scheurwater</t>
  </si>
  <si>
    <t>NGT16K5</t>
  </si>
  <si>
    <t>Stefan Naaktgeboren</t>
  </si>
  <si>
    <t>Stefan</t>
  </si>
  <si>
    <t>NGT42S4</t>
  </si>
  <si>
    <t>Liesbeth Brand</t>
  </si>
  <si>
    <t>Liesbeth</t>
  </si>
  <si>
    <t>NJZ00W3</t>
  </si>
  <si>
    <t>Tim van Gent</t>
  </si>
  <si>
    <t>NMT10Q1</t>
  </si>
  <si>
    <t>Mirjam de Wit</t>
  </si>
  <si>
    <t>NJC26C8</t>
  </si>
  <si>
    <t>Emiel Houwerzijl</t>
  </si>
  <si>
    <t>Emiel</t>
  </si>
  <si>
    <t>NJK27R4</t>
  </si>
  <si>
    <t>Sanne van Andel</t>
  </si>
  <si>
    <t>NGW00S1</t>
  </si>
  <si>
    <t>Jan Booy</t>
  </si>
  <si>
    <t>Jan</t>
  </si>
  <si>
    <t>NFX24T4</t>
  </si>
  <si>
    <t>Tamara van Opstal-Haksteen</t>
  </si>
  <si>
    <t>Tamara</t>
  </si>
  <si>
    <t>NJC17J5</t>
  </si>
  <si>
    <t>Lex van Gent</t>
  </si>
  <si>
    <t>NKR88F7</t>
  </si>
  <si>
    <t>Bridget ter Horst</t>
  </si>
  <si>
    <t>Bridget</t>
  </si>
  <si>
    <t>NKQ40P2</t>
  </si>
  <si>
    <t>Roy de Vlaming</t>
  </si>
  <si>
    <t>Roy</t>
  </si>
  <si>
    <t>NKG59L6</t>
  </si>
  <si>
    <t>Demi van Dijk</t>
  </si>
  <si>
    <t>NGD51N5</t>
  </si>
  <si>
    <t>Thomas Isarin</t>
  </si>
  <si>
    <t>NKR20L5</t>
  </si>
  <si>
    <t>Djuna Seevinck</t>
  </si>
  <si>
    <t>Djuna</t>
  </si>
  <si>
    <t>NFW92M3</t>
  </si>
  <si>
    <t>Antjan Laban</t>
  </si>
  <si>
    <t>Antjan</t>
  </si>
  <si>
    <t>NKG18N7</t>
  </si>
  <si>
    <t>Eva Teerds</t>
  </si>
  <si>
    <t>NFW26G8</t>
  </si>
  <si>
    <t>Arjan Noels</t>
  </si>
  <si>
    <t>Arjan</t>
  </si>
  <si>
    <t>NKG59H8</t>
  </si>
  <si>
    <t>Kim Dommisse</t>
  </si>
  <si>
    <t>NFS90V6</t>
  </si>
  <si>
    <t>Bart de Wit</t>
  </si>
  <si>
    <t>NKK27B9</t>
  </si>
  <si>
    <t>Loïs Fernhout</t>
  </si>
  <si>
    <t>Loïs</t>
  </si>
  <si>
    <t>NGW10M4</t>
  </si>
  <si>
    <t>Bas de Jong</t>
  </si>
  <si>
    <t>Bas</t>
  </si>
  <si>
    <t>NKJ95L7</t>
  </si>
  <si>
    <t>Milou Oppe</t>
  </si>
  <si>
    <t>Milou</t>
  </si>
  <si>
    <t>NGT92Q5</t>
  </si>
  <si>
    <t>Steven Kuperus</t>
  </si>
  <si>
    <t>Steven</t>
  </si>
  <si>
    <t>NJG35B7</t>
  </si>
  <si>
    <t>Renske Visser</t>
  </si>
  <si>
    <t>Renske</t>
  </si>
  <si>
    <t>NMQ44L0</t>
  </si>
  <si>
    <t>Cas Tieleman</t>
  </si>
  <si>
    <t>NJQ72K1</t>
  </si>
  <si>
    <t>Robin Dommisse</t>
  </si>
  <si>
    <t>NJZ26Z2</t>
  </si>
  <si>
    <t>Ché Kooper</t>
  </si>
  <si>
    <t>Ché</t>
  </si>
  <si>
    <t>Vera Klootwijk</t>
  </si>
  <si>
    <t>Vera</t>
  </si>
  <si>
    <t>NKW21H5</t>
  </si>
  <si>
    <t>David Kuijper</t>
  </si>
  <si>
    <t>David</t>
  </si>
  <si>
    <t>NJF85B1</t>
  </si>
  <si>
    <t>Xanne Klink</t>
  </si>
  <si>
    <t>Xanne</t>
  </si>
  <si>
    <t>NKW30G0</t>
  </si>
  <si>
    <t>Jens de Vlaming</t>
  </si>
  <si>
    <t>NJG13L1</t>
  </si>
  <si>
    <t>Esther Ardon</t>
  </si>
  <si>
    <t>NKN65B6</t>
  </si>
  <si>
    <t>Luuk Baars</t>
  </si>
  <si>
    <t>Luuk</t>
  </si>
  <si>
    <t>NGG54V3</t>
  </si>
  <si>
    <t>Hanneke Batenburg</t>
  </si>
  <si>
    <t>Hanneke</t>
  </si>
  <si>
    <t>NKT73W8</t>
  </si>
  <si>
    <t>Quinten van Driel</t>
  </si>
  <si>
    <t>Quinten</t>
  </si>
  <si>
    <t>NJK42D1</t>
  </si>
  <si>
    <t>Linda Ardon</t>
  </si>
  <si>
    <t>Linda</t>
  </si>
  <si>
    <t>NJY83B4</t>
  </si>
  <si>
    <t>Ruben Dubbeld</t>
  </si>
  <si>
    <t>Ruben</t>
  </si>
  <si>
    <t>NJK08X9</t>
  </si>
  <si>
    <t>Merel van Gurp</t>
  </si>
  <si>
    <t>NKW50C2</t>
  </si>
  <si>
    <t>Thijs Boon</t>
  </si>
  <si>
    <t>NJC72L4</t>
  </si>
  <si>
    <t>Nada Hussein</t>
  </si>
  <si>
    <t>Nada</t>
  </si>
  <si>
    <t>NKV95Q4</t>
  </si>
  <si>
    <t>Tijmen Fasbender</t>
  </si>
  <si>
    <t>Tijmen</t>
  </si>
  <si>
    <t>NJF17P0</t>
  </si>
  <si>
    <t>Robin Leijdsman</t>
  </si>
  <si>
    <t>NKX56P2</t>
  </si>
  <si>
    <t>Joram Flach</t>
  </si>
  <si>
    <t>Joram</t>
  </si>
  <si>
    <t>NJQ72J4</t>
  </si>
  <si>
    <t>Simone van Zwoll</t>
  </si>
  <si>
    <t>Simone</t>
  </si>
  <si>
    <t>NKD39Q8</t>
  </si>
  <si>
    <t>Mark Schindler</t>
  </si>
  <si>
    <t>Mark</t>
  </si>
  <si>
    <t>NFW41S7</t>
  </si>
  <si>
    <t>Barbara Camphens-Moerman</t>
  </si>
  <si>
    <t>Barbara</t>
  </si>
  <si>
    <t>NLR23F9</t>
  </si>
  <si>
    <t>Rick van de Wijgaart</t>
  </si>
  <si>
    <t>Rick</t>
  </si>
  <si>
    <t>NJC15T9</t>
  </si>
  <si>
    <t>Diana Visser-Michelsen</t>
  </si>
  <si>
    <t>Diana</t>
  </si>
  <si>
    <t>NMJ09L8</t>
  </si>
  <si>
    <t>Abdi Ibrahim</t>
  </si>
  <si>
    <t>Abdi</t>
  </si>
  <si>
    <t>NJC46R3</t>
  </si>
  <si>
    <t>Esther Wibbens</t>
  </si>
  <si>
    <t>NKH56N2</t>
  </si>
  <si>
    <t>Alexander Wolff</t>
  </si>
  <si>
    <t>Alexander</t>
  </si>
  <si>
    <t>Gestopt</t>
  </si>
  <si>
    <t>NJK34W5</t>
  </si>
  <si>
    <t>Lieke Ploeg</t>
  </si>
  <si>
    <t>Lieke</t>
  </si>
  <si>
    <t>NLW47J4</t>
  </si>
  <si>
    <t>Ali Hashmei</t>
  </si>
  <si>
    <t>Ali</t>
  </si>
  <si>
    <t>NMH24Z9</t>
  </si>
  <si>
    <t>Petra Verheijde</t>
  </si>
  <si>
    <t>Petra</t>
  </si>
  <si>
    <t>NJD52B5</t>
  </si>
  <si>
    <t>Bas Willemsteijn</t>
  </si>
  <si>
    <t>NLB70X5</t>
  </si>
  <si>
    <t>Angela Friebel</t>
  </si>
  <si>
    <t>Angela</t>
  </si>
  <si>
    <t>NLJ47N9</t>
  </si>
  <si>
    <t>Chris IJben</t>
  </si>
  <si>
    <t>Chris</t>
  </si>
  <si>
    <t>NLB70Z9</t>
  </si>
  <si>
    <t>Carlijn Lievaart</t>
  </si>
  <si>
    <t>Carlijn</t>
  </si>
  <si>
    <t>NFW26Q8</t>
  </si>
  <si>
    <t>Egbert Vos</t>
  </si>
  <si>
    <t>Egbert</t>
  </si>
  <si>
    <t>NJH13R4</t>
  </si>
  <si>
    <t>Jany Lacroes</t>
  </si>
  <si>
    <t>Jany</t>
  </si>
  <si>
    <t>NLL19X2</t>
  </si>
  <si>
    <t>Evan Altena</t>
  </si>
  <si>
    <t>Evan</t>
  </si>
  <si>
    <t>NLF29C4</t>
  </si>
  <si>
    <t>Jennifer Herremans</t>
  </si>
  <si>
    <t>Jennifer</t>
  </si>
  <si>
    <t>NFW14Y3</t>
  </si>
  <si>
    <t>Jan-Peter Verwaal</t>
  </si>
  <si>
    <t>Jan-Peter</t>
  </si>
  <si>
    <t>NKX36X8</t>
  </si>
  <si>
    <t>Kimberley Witman</t>
  </si>
  <si>
    <t>Kimberley</t>
  </si>
  <si>
    <t>NLJ97M7</t>
  </si>
  <si>
    <t>Jesper Felix</t>
  </si>
  <si>
    <t>Jesper</t>
  </si>
  <si>
    <t>NKC46S7</t>
  </si>
  <si>
    <t>Lara Schram</t>
  </si>
  <si>
    <t>NLC07T4</t>
  </si>
  <si>
    <t>Jesse Everaarts</t>
  </si>
  <si>
    <t>Jesse</t>
  </si>
  <si>
    <t>NLS08G2</t>
  </si>
  <si>
    <t>Sanne Dubbeld</t>
  </si>
  <si>
    <t>NFW13Y0</t>
  </si>
  <si>
    <t>Marco van Kalkeren</t>
  </si>
  <si>
    <t>Marco</t>
  </si>
  <si>
    <t>NJY82Z9</t>
  </si>
  <si>
    <t>Tessa Dubbeld</t>
  </si>
  <si>
    <t>NKW50D9</t>
  </si>
  <si>
    <t>Mathijs Lange</t>
  </si>
  <si>
    <t>Mathijs</t>
  </si>
  <si>
    <t>NKJ29C1</t>
  </si>
  <si>
    <t>Anniek Pierse</t>
  </si>
  <si>
    <t>Anniek</t>
  </si>
  <si>
    <t>-</t>
  </si>
  <si>
    <t>Mats Verboom</t>
  </si>
  <si>
    <t>Mats</t>
  </si>
  <si>
    <t>NKC46T4</t>
  </si>
  <si>
    <t>Laura Koote</t>
  </si>
  <si>
    <t>NML47D8</t>
  </si>
  <si>
    <t>Mels Goedegebuur</t>
  </si>
  <si>
    <t>Mels</t>
  </si>
  <si>
    <t>NKK27G4</t>
  </si>
  <si>
    <t>Marlies Valk</t>
  </si>
  <si>
    <t>Marlies</t>
  </si>
  <si>
    <t>NMM75S3</t>
  </si>
  <si>
    <t>Niek Figee</t>
  </si>
  <si>
    <t>NKQ14R3</t>
  </si>
  <si>
    <t>Nadia de Wit</t>
  </si>
  <si>
    <t>Nadia</t>
  </si>
  <si>
    <t>NKT15G2</t>
  </si>
  <si>
    <t>Sem Alberts</t>
  </si>
  <si>
    <t>NKQ13Q3</t>
  </si>
  <si>
    <t>Syrah de Wit</t>
  </si>
  <si>
    <t>Syrah</t>
  </si>
  <si>
    <t>NMQ91B6</t>
  </si>
  <si>
    <t>Siem van den Broek</t>
  </si>
  <si>
    <t>Siem</t>
  </si>
  <si>
    <t>NLC07S7</t>
  </si>
  <si>
    <t>Anna Everaarts</t>
  </si>
  <si>
    <t>Anna</t>
  </si>
  <si>
    <t>NKR20M2</t>
  </si>
  <si>
    <t>Tim Seevinck</t>
  </si>
  <si>
    <t>NMH36F0</t>
  </si>
  <si>
    <t>Anouk Vreeling</t>
  </si>
  <si>
    <t>NLM86V5</t>
  </si>
  <si>
    <t>Britt Vaartmans</t>
  </si>
  <si>
    <t>Britt</t>
  </si>
  <si>
    <t>NMN14W9</t>
  </si>
  <si>
    <t>Carlijn van den Broek</t>
  </si>
  <si>
    <t>NKC46R0</t>
  </si>
  <si>
    <t>Dionne Broere</t>
  </si>
  <si>
    <t>Dionne</t>
  </si>
  <si>
    <t>NMM29Q6</t>
  </si>
  <si>
    <t>Elin Vogelaar</t>
  </si>
  <si>
    <t>Elin</t>
  </si>
  <si>
    <t>NLS08K0</t>
  </si>
  <si>
    <t>Hanna Oomens</t>
  </si>
  <si>
    <t>Hanna</t>
  </si>
  <si>
    <t>NKB62K8</t>
  </si>
  <si>
    <t>Hulsker, N.M.</t>
  </si>
  <si>
    <t>Nina</t>
  </si>
  <si>
    <t>NKW52X5</t>
  </si>
  <si>
    <t>Jana Driesprong</t>
  </si>
  <si>
    <t>Jana</t>
  </si>
  <si>
    <t>NKL60P7</t>
  </si>
  <si>
    <t>Kim de Reus</t>
  </si>
  <si>
    <t>NKK48D6</t>
  </si>
  <si>
    <t>Laura Mol</t>
  </si>
  <si>
    <t>NLD26P4</t>
  </si>
  <si>
    <t>Lisa Taal</t>
  </si>
  <si>
    <t>NKW49Y8</t>
  </si>
  <si>
    <t>Lisa Volker</t>
  </si>
  <si>
    <t>NKQ40Q9</t>
  </si>
  <si>
    <t>Meike Driesprong</t>
  </si>
  <si>
    <t>Meike</t>
  </si>
  <si>
    <t>NJH51Q1</t>
  </si>
  <si>
    <t>Mirthe Verweij</t>
  </si>
  <si>
    <t>Mirthe</t>
  </si>
  <si>
    <t>NMF09H6</t>
  </si>
  <si>
    <t>Roos in 't Veld</t>
  </si>
  <si>
    <t>NLG57M4</t>
  </si>
  <si>
    <t>Senne ten Hoeve</t>
  </si>
  <si>
    <t>NMM99N0</t>
  </si>
  <si>
    <t>Sofie Faber</t>
  </si>
  <si>
    <t>NLX08D6</t>
  </si>
  <si>
    <t>Sterre Reijerkerk</t>
  </si>
  <si>
    <t>Sterre</t>
  </si>
  <si>
    <t>NKS24M5</t>
  </si>
  <si>
    <t>Yente Verbeek</t>
  </si>
  <si>
    <t>Yente</t>
  </si>
  <si>
    <t>stopt</t>
  </si>
  <si>
    <t>NFW15S4</t>
  </si>
  <si>
    <t>Debita Zwanenburg-Moerman</t>
  </si>
  <si>
    <t>Debita</t>
  </si>
  <si>
    <t>Dames</t>
  </si>
  <si>
    <t>Aantal</t>
  </si>
  <si>
    <t>Heren</t>
  </si>
  <si>
    <t>Totaal</t>
  </si>
  <si>
    <t>F</t>
  </si>
  <si>
    <t>E</t>
  </si>
  <si>
    <t>D</t>
  </si>
  <si>
    <t>C</t>
  </si>
  <si>
    <t>B</t>
  </si>
  <si>
    <t>A</t>
  </si>
  <si>
    <t>S</t>
  </si>
  <si>
    <t>M</t>
  </si>
  <si>
    <t>J</t>
  </si>
  <si>
    <t>Naam</t>
  </si>
  <si>
    <t>Team</t>
  </si>
  <si>
    <t>Functie</t>
  </si>
  <si>
    <t>eigen team</t>
  </si>
  <si>
    <t>team vorig jaar</t>
  </si>
  <si>
    <t xml:space="preserve">Niveau </t>
  </si>
  <si>
    <t>Trainer/Coach A2</t>
  </si>
  <si>
    <t>Junior</t>
  </si>
  <si>
    <t>Rob van Dongen</t>
  </si>
  <si>
    <t>Trainer/Coach A1</t>
  </si>
  <si>
    <t>X</t>
  </si>
  <si>
    <t>Medior - KT3</t>
  </si>
  <si>
    <t>Ruben Blokland</t>
  </si>
  <si>
    <t>Senior</t>
  </si>
  <si>
    <t>Trainer/Coach</t>
  </si>
  <si>
    <t>Team 6</t>
  </si>
  <si>
    <t>o.a. Kimberley Witman &amp; Angela Friebel</t>
  </si>
  <si>
    <t>o.a. Ruben Dubbeld &amp; David Kuijper</t>
  </si>
  <si>
    <t>S1/S2</t>
  </si>
  <si>
    <t>Junior - KT2</t>
  </si>
  <si>
    <t>Stephan Ligtmans</t>
  </si>
  <si>
    <t>Michel Sas</t>
  </si>
  <si>
    <t>Teambegeleider</t>
  </si>
  <si>
    <t>A1/A2</t>
  </si>
  <si>
    <t xml:space="preserve">Laura Mol </t>
  </si>
  <si>
    <t>Robert Koster</t>
  </si>
  <si>
    <t>Mees Oppe</t>
  </si>
  <si>
    <t>DeetosSnel 1</t>
  </si>
  <si>
    <t>Kimberly Jacobs</t>
  </si>
  <si>
    <t>Medior</t>
  </si>
  <si>
    <t>Martijn van der Wiel</t>
  </si>
  <si>
    <t>Startend - KT2</t>
  </si>
  <si>
    <t xml:space="preserve">Medior </t>
  </si>
  <si>
    <t>Assistent-trainer</t>
  </si>
  <si>
    <t>Marcel St. Nicolaas</t>
  </si>
  <si>
    <t>Tom van de Ven</t>
  </si>
  <si>
    <t>Alex de Boer</t>
  </si>
  <si>
    <t>Sjoerd van Ameijden</t>
  </si>
  <si>
    <t xml:space="preserve">Vacature </t>
  </si>
  <si>
    <t>Monique te Witt</t>
  </si>
  <si>
    <t>Gertjan Ploeg</t>
  </si>
  <si>
    <t>Liesbeth Wibbens</t>
  </si>
  <si>
    <t>Lenny van den Bergh</t>
  </si>
  <si>
    <t>Ondersteuning</t>
  </si>
  <si>
    <t>Lianne Stomp - vd Burgt</t>
  </si>
  <si>
    <t>Seth vd Burgt</t>
  </si>
  <si>
    <t>Jet van Trooijen</t>
  </si>
  <si>
    <t>Joris van den Neucker</t>
  </si>
  <si>
    <t>Analist S1</t>
  </si>
  <si>
    <t>nvt</t>
  </si>
  <si>
    <t>Teambegeleider S1</t>
  </si>
  <si>
    <t>Sandra Kerklaan</t>
  </si>
  <si>
    <t>Teambegeleider S2</t>
  </si>
  <si>
    <t>Ruben Kamerbeek</t>
  </si>
  <si>
    <t>Fysio</t>
  </si>
  <si>
    <t>Theo Anrochte</t>
  </si>
  <si>
    <t>Verzorger</t>
  </si>
  <si>
    <t>Arthyn Muller</t>
  </si>
  <si>
    <t>Coach S2</t>
  </si>
  <si>
    <t>Jeroen de Kruif</t>
  </si>
  <si>
    <t>Bo van Hoof</t>
  </si>
  <si>
    <t>Coach S1</t>
  </si>
  <si>
    <t>Senior - KT3</t>
  </si>
  <si>
    <t>Kim Ardon</t>
  </si>
  <si>
    <t>Begeleider</t>
  </si>
  <si>
    <t>Thuiscoach</t>
  </si>
  <si>
    <t>Trainer/Coach S5</t>
  </si>
  <si>
    <t>Dio Naaktgeboren</t>
  </si>
  <si>
    <t>Coach</t>
  </si>
  <si>
    <t>Erik vd Burgt</t>
  </si>
  <si>
    <t>Assistent S1</t>
  </si>
  <si>
    <t>Mark Kuijper</t>
  </si>
  <si>
    <t>Benthe van Wijngaarden Stopt</t>
  </si>
  <si>
    <t xml:space="preserve">Trainer/Coach </t>
  </si>
  <si>
    <t>web</t>
  </si>
  <si>
    <t xml:space="preserve"> </t>
  </si>
  <si>
    <t>Team       20-21</t>
  </si>
  <si>
    <t>Check V</t>
  </si>
  <si>
    <t>Check M</t>
  </si>
  <si>
    <t>Check</t>
  </si>
  <si>
    <t>Relatiecode</t>
  </si>
  <si>
    <t>Volledige naam (2)</t>
  </si>
  <si>
    <t>Geboortedatum</t>
  </si>
  <si>
    <t>Geslacht</t>
  </si>
  <si>
    <t>E-mail</t>
  </si>
  <si>
    <t>Status</t>
  </si>
  <si>
    <t>Lidmaatschapcode</t>
  </si>
  <si>
    <t>Bondssporten</t>
  </si>
  <si>
    <t>Verenigingssporten</t>
  </si>
  <si>
    <t>Lid sinds</t>
  </si>
  <si>
    <t>emielhouwerzijl@hotmail.com</t>
  </si>
  <si>
    <t>definitief</t>
  </si>
  <si>
    <t>Veld -  Week, Zaal -  Week</t>
  </si>
  <si>
    <t>Korfbal - Korfbal - Week</t>
  </si>
  <si>
    <t>luukbaars2001@gmail.com</t>
  </si>
  <si>
    <t>V</t>
  </si>
  <si>
    <t>maritteisarin@gmail.com</t>
  </si>
  <si>
    <t>af te melden</t>
  </si>
  <si>
    <t>rmvantwist@hotmail.com</t>
  </si>
  <si>
    <t>angelafriebel02@gmail.com</t>
  </si>
  <si>
    <t>Nina Hulsker</t>
  </si>
  <si>
    <t>ninahulsker@hotmail.com</t>
  </si>
  <si>
    <t>luthiendenheeten@gmail.com</t>
  </si>
  <si>
    <t>merel.schram@gmail.com</t>
  </si>
  <si>
    <t>Algemeen reserve - Algemeen reserve - Week, Korfbal - Korfbal - Week</t>
  </si>
  <si>
    <t>Debita Moerman</t>
  </si>
  <si>
    <t>debmoerman@hotmail.com</t>
  </si>
  <si>
    <t>Algemeen reserve - Algemeen reserve - Week, Midweek - Midweek - Week</t>
  </si>
  <si>
    <t>liekeploeg@gmail.com</t>
  </si>
  <si>
    <t>dorienintveld@gmail.com</t>
  </si>
  <si>
    <t>Midweek - Midweek - Week</t>
  </si>
  <si>
    <t>schinmark@gmail.com</t>
  </si>
  <si>
    <t>EsmÃ©e de Boer</t>
  </si>
  <si>
    <t>EsmÃ©e</t>
  </si>
  <si>
    <t>alexenannemarie@outlook.com</t>
  </si>
  <si>
    <t>bartvanderbrugge@hotmail.com</t>
  </si>
  <si>
    <t>Algemeen reserve - Algemeen reserve - Week</t>
  </si>
  <si>
    <t>basdejong1990@hotmail.com</t>
  </si>
  <si>
    <t>e_int_veld@hotmail.com</t>
  </si>
  <si>
    <t>robbert1990@live.nl</t>
  </si>
  <si>
    <t>jacco.yvette@gmail.com</t>
  </si>
  <si>
    <t>hbatenburg@hotmail.com</t>
  </si>
  <si>
    <t>yenteverbeek@gmail.com</t>
  </si>
  <si>
    <t>peterbatenburg@gmail.com</t>
  </si>
  <si>
    <t>203 + 900</t>
  </si>
  <si>
    <t>Donateur - donateur - Week, Midweek - Midweek - Week</t>
  </si>
  <si>
    <t>nadiadew@kpnmail.nl</t>
  </si>
  <si>
    <t>Student - Student - Week</t>
  </si>
  <si>
    <t>syrahdew@kpnmail.nl</t>
  </si>
  <si>
    <t>arjan.noels@upcmail.nl</t>
  </si>
  <si>
    <t>shirleyvdberg@hotmail.com</t>
  </si>
  <si>
    <t>cvadr@telfort.nl</t>
  </si>
  <si>
    <t>annemiekjongkind@hotmail.com</t>
  </si>
  <si>
    <t>gvanderest@hotmail.com</t>
  </si>
  <si>
    <t>robinvankalkeren@hotmail.com</t>
  </si>
  <si>
    <t>milou.oppe@gmail.com</t>
  </si>
  <si>
    <t>lexvgent@gmail.com</t>
  </si>
  <si>
    <t>robinleijdsman@gmail.com</t>
  </si>
  <si>
    <t>fam.tenhoeve4@kpnmail.nl</t>
  </si>
  <si>
    <t>benthevanderlinden2008@gmail.com</t>
  </si>
  <si>
    <t>maaike_mol86@hotmail.com</t>
  </si>
  <si>
    <t>barboos@kpnmail.nl</t>
  </si>
  <si>
    <t>nando.alberts@gmail.com</t>
  </si>
  <si>
    <t>ckv.ow@dpic.33mail.com</t>
  </si>
  <si>
    <t>jetskedenboer@hotmail.com</t>
  </si>
  <si>
    <t>r.vlaming55@upcmail.nl</t>
  </si>
  <si>
    <t>mariekemc@hotmail.com</t>
  </si>
  <si>
    <t>s.k.belder@kpnplanet.nl</t>
  </si>
  <si>
    <t>meike.driesprong@gmail.com</t>
  </si>
  <si>
    <t>jos.driesprong@gmail.com</t>
  </si>
  <si>
    <t>brendaenjos@gmail.com</t>
  </si>
  <si>
    <t>sem.jalberts@gmail.com</t>
  </si>
  <si>
    <t>naatengert@chello.nl</t>
  </si>
  <si>
    <t>jamila1982@hotmail.com</t>
  </si>
  <si>
    <t>peter.hj@kpnmail.nl</t>
  </si>
  <si>
    <t>de_jong_annemarie@hotmail.com</t>
  </si>
  <si>
    <t>sjoerdvanameijden@gmail.com</t>
  </si>
  <si>
    <t>timmie_078@hotmail.com</t>
  </si>
  <si>
    <t>roosgroeneweg@gmail.com</t>
  </si>
  <si>
    <t>djunaseevinck@gmail.com</t>
  </si>
  <si>
    <t>bseevinck@globaloffshore.nl</t>
  </si>
  <si>
    <t>voorzitter@ckvoranjewit.nl</t>
  </si>
  <si>
    <t>clarina@oosse.nl</t>
  </si>
  <si>
    <t>Tijn BÃ¤cker</t>
  </si>
  <si>
    <t>stertijn@gmail.com</t>
  </si>
  <si>
    <t>doeskavoorbij@gmail.com</t>
  </si>
  <si>
    <t>quintdriel@msn.com</t>
  </si>
  <si>
    <t>paulamalschaert@hotmail.com</t>
  </si>
  <si>
    <t>liannevalerieb9@gmail.com</t>
  </si>
  <si>
    <t>ilonka.at.sea@12move.nl</t>
  </si>
  <si>
    <t>lisavolker03@gmail.com</t>
  </si>
  <si>
    <t>jennyvolker73@gmail.com</t>
  </si>
  <si>
    <t>eliseschouten83@gmail.com</t>
  </si>
  <si>
    <t>sharonmolenberg@hotmail.com</t>
  </si>
  <si>
    <t>vandriel.rutger@gmail.com</t>
  </si>
  <si>
    <t>issa-mp@live.nl</t>
  </si>
  <si>
    <t>jamasan1975@gmail.com</t>
  </si>
  <si>
    <t>fleurbusch@hotmail.nl</t>
  </si>
  <si>
    <t>kimfreriksen@gmail.com</t>
  </si>
  <si>
    <t>bart3sprong@gmail.com</t>
  </si>
  <si>
    <t>ChÃ© Kooper</t>
  </si>
  <si>
    <t>ChÃ©</t>
  </si>
  <si>
    <t>cwkooper@gmail.com</t>
  </si>
  <si>
    <t>sannedubbeld@hotmail.com</t>
  </si>
  <si>
    <t>danoontje132305@hotmail.com</t>
  </si>
  <si>
    <t>simone_94@hotmail.com</t>
  </si>
  <si>
    <t>sanne.vanandel@hotmail.com</t>
  </si>
  <si>
    <t>liesjevalk2003@gmail.com</t>
  </si>
  <si>
    <t>jarnovalk2007@gmail.com</t>
  </si>
  <si>
    <t>essie-wib@hotmail.com</t>
  </si>
  <si>
    <t>m_db@live.nl</t>
  </si>
  <si>
    <t>odette.de.jong0@gmail.com</t>
  </si>
  <si>
    <t>atm200@hotmail.com</t>
  </si>
  <si>
    <t>maralsh@yahoo.com</t>
  </si>
  <si>
    <t>arjovh@planet.nl</t>
  </si>
  <si>
    <t>franke.simone@gmail.com</t>
  </si>
  <si>
    <t>tessadubbeld2000@gmail.com</t>
  </si>
  <si>
    <t>rubendubbeld@gmail.com</t>
  </si>
  <si>
    <t>evanaltena.a@gmail.com</t>
  </si>
  <si>
    <t>carmenvdk08@gmail.com</t>
  </si>
  <si>
    <t>alexvdk75@gmail.com</t>
  </si>
  <si>
    <t>ingrid@velt-werk.nl</t>
  </si>
  <si>
    <t>koeperus@hotmail.com</t>
  </si>
  <si>
    <t>kmbezemer@hotmail.nl</t>
  </si>
  <si>
    <t>Elena QuarrÃ©</t>
  </si>
  <si>
    <t>elena.quarre@icloud.com</t>
  </si>
  <si>
    <t>martha.quarre@gmail.com</t>
  </si>
  <si>
    <t>joerivandijk@kpnmail.nl</t>
  </si>
  <si>
    <t>bobmans123@hotmail.com</t>
  </si>
  <si>
    <t>tirsafernhout@hotmail.com</t>
  </si>
  <si>
    <t>kerstinvanoverbeek@hotmail.com</t>
  </si>
  <si>
    <t>t.i.vanvliet@ziggo.nl</t>
  </si>
  <si>
    <t>hanneke@vangeldrop.nl</t>
  </si>
  <si>
    <t>floresteenks@kpnmail.nl</t>
  </si>
  <si>
    <t>esmeraldavanderhout@gmail.com</t>
  </si>
  <si>
    <t>angelapetersvdkleijn@gmail.com</t>
  </si>
  <si>
    <t>tammiegirl1988@msn.com</t>
  </si>
  <si>
    <t>eelco.delange@gmail.com</t>
  </si>
  <si>
    <t>kilsies08@gmail.com</t>
  </si>
  <si>
    <t>LoÃ¯s Fernhout</t>
  </si>
  <si>
    <t>LoÃ¯s</t>
  </si>
  <si>
    <t>loisfernhout@icloud.com</t>
  </si>
  <si>
    <t>saskia.gerde@gmail.com</t>
  </si>
  <si>
    <t>postpollema@gmail.com</t>
  </si>
  <si>
    <t>babaas2@gmail.com</t>
  </si>
  <si>
    <t>kimdommisse12@gmail.com</t>
  </si>
  <si>
    <t>jhdendekker@hetnet.nl</t>
  </si>
  <si>
    <t>ivandernoll@gmail.com</t>
  </si>
  <si>
    <t>marry-jane@live.nl</t>
  </si>
  <si>
    <t>mvankalkeren@kpnmail.nl</t>
  </si>
  <si>
    <t>mverberkt@hotmail.com</t>
  </si>
  <si>
    <t>sportpolizhz@live.nl</t>
  </si>
  <si>
    <t>jeroenenying@kpnmail.nl</t>
  </si>
  <si>
    <t>renske.visser@hotmail.com</t>
  </si>
  <si>
    <t>kirsten_spiering@hotmail.com</t>
  </si>
  <si>
    <t>kirsten.spiering@hotmail.com</t>
  </si>
  <si>
    <t>boonthijs@icloud.com</t>
  </si>
  <si>
    <t>merelmanduapessy@gmail.com</t>
  </si>
  <si>
    <t>b03terhorst@gmail.com</t>
  </si>
  <si>
    <t>rubenvdboogaart85@gmail.com</t>
  </si>
  <si>
    <t>lennyvandenbergh@yahoo.com</t>
  </si>
  <si>
    <t>x.klink@hotmail.com</t>
  </si>
  <si>
    <t>chrisijben@gmail.com</t>
  </si>
  <si>
    <t>tomvandeven.mail@gmail.com</t>
  </si>
  <si>
    <t>bartdewit2506@gmail.com</t>
  </si>
  <si>
    <t>Merlijn Wit, de</t>
  </si>
  <si>
    <t>mirjam.dewit@live.nl</t>
  </si>
  <si>
    <t>JoÃ«l Wietses</t>
  </si>
  <si>
    <t>JoÃ«l</t>
  </si>
  <si>
    <t>fennegien@wietses.nl</t>
  </si>
  <si>
    <t>wy.lievaart@kpnmail.nl</t>
  </si>
  <si>
    <t>lara.schram8@gmail.com</t>
  </si>
  <si>
    <t>wall127@gmail.com</t>
  </si>
  <si>
    <t>demivandijk@kpnmail.nl</t>
  </si>
  <si>
    <t>familieboeije@t-mobilethuis.nl</t>
  </si>
  <si>
    <t>damaris@solcon.nl</t>
  </si>
  <si>
    <t>annaeliseeveraarts@gmail.com</t>
  </si>
  <si>
    <t>gfb1502@gmail.com</t>
  </si>
  <si>
    <t>a.n.k.leung@gmail.com</t>
  </si>
  <si>
    <t>howardtimmer@hotmail.com</t>
  </si>
  <si>
    <t>merijnensifra@gmail.com</t>
  </si>
  <si>
    <t>alex.van.everdingen@kpnmail.nl</t>
  </si>
  <si>
    <t>aldo@kpnmail.nl</t>
  </si>
  <si>
    <t>mandydonker@hotmail.com</t>
  </si>
  <si>
    <t>sennekoster189@gmail.com</t>
  </si>
  <si>
    <t>anniek.pierse@hotmail.nl</t>
  </si>
  <si>
    <t>dionnepronk@gmail.com</t>
  </si>
  <si>
    <t>tijmen.fasbender@gmail.com</t>
  </si>
  <si>
    <t>lindi.fasbender@gmail.com</t>
  </si>
  <si>
    <t>jwolleswinkel@translas.com</t>
  </si>
  <si>
    <t>evateerds@gmail.com</t>
  </si>
  <si>
    <t>jischot02@smail.com</t>
  </si>
  <si>
    <t>bente@vwijngaarden.nl</t>
  </si>
  <si>
    <t>egbertvos1981@gmail.com</t>
  </si>
  <si>
    <t>jeroentjehuijgen@msn.com</t>
  </si>
  <si>
    <t>rensdraaijerig@hotmail.com</t>
  </si>
  <si>
    <t>groenewegmarjolein@gmail.com</t>
  </si>
  <si>
    <t>amrie-dehaas@hotmail.com</t>
  </si>
  <si>
    <t>wavdiemen@hotmail.com</t>
  </si>
  <si>
    <t>remcolieke@gmail.com</t>
  </si>
  <si>
    <t>liantje007@hotmail.com</t>
  </si>
  <si>
    <t>liantje007@gmail.com</t>
  </si>
  <si>
    <t>david.kuijper@kpnmail.nl</t>
  </si>
  <si>
    <t>mark.kuijper@kpnmail.nl</t>
  </si>
  <si>
    <t>richarddevlaming@gmail.com</t>
  </si>
  <si>
    <t>magdasempel@gmail.com</t>
  </si>
  <si>
    <t>lars.van.strijen@outlook.com</t>
  </si>
  <si>
    <t>familievliet@gmail.com</t>
  </si>
  <si>
    <t>marijn.klink@hotmail.com</t>
  </si>
  <si>
    <t>annedriesprong@gmail.com</t>
  </si>
  <si>
    <t>thomasisarin@gmail.com</t>
  </si>
  <si>
    <t>lindaardon92@gmail.com</t>
  </si>
  <si>
    <t>jm_batenburg@hotmail.com</t>
  </si>
  <si>
    <t>andrekarin@live.nl</t>
  </si>
  <si>
    <t>hans.exalto@kpnmail.nl</t>
  </si>
  <si>
    <t>olivier.klink@outlook.com</t>
  </si>
  <si>
    <t>antjanlaban@gmail.com</t>
  </si>
  <si>
    <t>ingridsinke@hotmail.com</t>
  </si>
  <si>
    <t>rajvandongen@planet.nl</t>
  </si>
  <si>
    <t>sethvandeburgt@hotmail.com</t>
  </si>
  <si>
    <t>erikvandeburgt@hotmail.com</t>
  </si>
  <si>
    <t>erikvanderburgt@hotmail.com</t>
  </si>
  <si>
    <t>anjacorsa@yahoo.com</t>
  </si>
  <si>
    <t>jeroenenjoyceverboom@gmail.com</t>
  </si>
  <si>
    <t>patrickmans@gmail.com</t>
  </si>
  <si>
    <t>irmajanga@hotmail.com</t>
  </si>
  <si>
    <t>jens.lohuis@outlook.com</t>
  </si>
  <si>
    <t>ajlohuis@hotmail.com</t>
  </si>
  <si>
    <t>johanensusanna@gmail.com</t>
  </si>
  <si>
    <t>fam.vaartmans@gmail.com</t>
  </si>
  <si>
    <t>ilzevos80@gmail.com</t>
  </si>
  <si>
    <t>joram.flach@upcmail.nl</t>
  </si>
  <si>
    <t>roelbemer@yahoo.com</t>
  </si>
  <si>
    <t>lindakousemaker@hotmail.com</t>
  </si>
  <si>
    <t>tom.a.hendriks@gmail.com</t>
  </si>
  <si>
    <t>basbarc@gmail.com</t>
  </si>
  <si>
    <t>tijnemans2008@gmail.com</t>
  </si>
  <si>
    <t>rutten.astrid@gmail.com</t>
  </si>
  <si>
    <t>i.j.jonkers@hotmail.com</t>
  </si>
  <si>
    <t>jasperkleingeld@hotmail.com</t>
  </si>
  <si>
    <t>liesbeth.kleingeld@gmail.com</t>
  </si>
  <si>
    <t>robin.rianne.dommisse@gmail.com</t>
  </si>
  <si>
    <t>berend.chantal@gmail.com</t>
  </si>
  <si>
    <t>Sander Heersping</t>
  </si>
  <si>
    <t>aron_molendijk@hotmail.com</t>
  </si>
  <si>
    <t>janbooy1990@gmail.com</t>
  </si>
  <si>
    <t>fam.witman@hotmail.nl</t>
  </si>
  <si>
    <t>slametvos@hotmail.com</t>
  </si>
  <si>
    <t>saraboshoven@gmail.com</t>
  </si>
  <si>
    <t>aboshoven@upcmail.nl</t>
  </si>
  <si>
    <t>hildevisser30@gmail.com</t>
  </si>
  <si>
    <t>liesbeth-01@hotmail.com</t>
  </si>
  <si>
    <t>verwaal@it-aces.nl</t>
  </si>
  <si>
    <t>michiel@autonet.nl</t>
  </si>
  <si>
    <t>k.heesterbeek@gmail.com</t>
  </si>
  <si>
    <t>rietronald@hotmail.com</t>
  </si>
  <si>
    <t>j.verheyde@chello.nl</t>
  </si>
  <si>
    <t>rickvandewijgaart@live.nl</t>
  </si>
  <si>
    <t>tinus_10@hotmail.com</t>
  </si>
  <si>
    <t>cvb1976@kpnmail.nl</t>
  </si>
  <si>
    <t>kimmy_ow@hotmail.com</t>
  </si>
  <si>
    <t>nienke_oosterbaan@hotmail.com</t>
  </si>
  <si>
    <t>s.tieleman76@gmail.com</t>
  </si>
  <si>
    <t>carlijn11@outlook.com</t>
  </si>
  <si>
    <t>r.lanser@hotmail.nl</t>
  </si>
  <si>
    <t>m.radenborg@gmail.com</t>
  </si>
  <si>
    <t>reca.vercouteren@gmail.com</t>
  </si>
  <si>
    <t>pnaeije@gmail.com</t>
  </si>
  <si>
    <t>ZoÃ« Kamerman</t>
  </si>
  <si>
    <t>ZoÃ«</t>
  </si>
  <si>
    <t>kimberlynyc@hotmail.com</t>
  </si>
  <si>
    <t>diana_visser@hotmail.com</t>
  </si>
  <si>
    <t>laura.koote@gmail.com</t>
  </si>
  <si>
    <t>stefan.naaktgeboren@hotmail.com</t>
  </si>
  <si>
    <t>c.kooij8@gmail.com</t>
  </si>
  <si>
    <t>jesper.felix@upcmail.nl</t>
  </si>
  <si>
    <t>matena003@kpnmail.nl</t>
  </si>
  <si>
    <t>freekpeuter@gmail.com</t>
  </si>
  <si>
    <t>estherardon@hotmail.com</t>
  </si>
  <si>
    <t>NFX74K6</t>
  </si>
  <si>
    <t>Aad Romijn</t>
  </si>
  <si>
    <t>Aad</t>
  </si>
  <si>
    <t>NLB70W8</t>
  </si>
  <si>
    <t>Luuk Friebel</t>
  </si>
  <si>
    <t>NFW42M8</t>
  </si>
  <si>
    <t>Alexander de Boer</t>
  </si>
  <si>
    <t>NFW42L1</t>
  </si>
  <si>
    <t>Steven Belder</t>
  </si>
  <si>
    <t>NJB72K6</t>
  </si>
  <si>
    <t>Tiemen Scheurwater</t>
  </si>
  <si>
    <t>NFY89D8</t>
  </si>
  <si>
    <t>Rob van Tol</t>
  </si>
  <si>
    <t>Rob</t>
  </si>
  <si>
    <t>NKC46P6</t>
  </si>
  <si>
    <t>Jeffrey van der Wall</t>
  </si>
  <si>
    <t>Jeffrey</t>
  </si>
  <si>
    <t>NLM17J9</t>
  </si>
  <si>
    <t>Tara Karsten</t>
  </si>
  <si>
    <t>Tara</t>
  </si>
  <si>
    <t>NFW28G4</t>
  </si>
  <si>
    <t>Lieke Bakker-Verwaal</t>
  </si>
  <si>
    <t>NFW29N6</t>
  </si>
  <si>
    <t>Henno Ploeg</t>
  </si>
  <si>
    <t>Henno</t>
  </si>
  <si>
    <t>NGX49G5</t>
  </si>
  <si>
    <t>Irene Ploeg- van Ballegooijen</t>
  </si>
  <si>
    <t>Irene</t>
  </si>
  <si>
    <t>NJK05M3</t>
  </si>
  <si>
    <t>Stefan Goudriaan</t>
  </si>
  <si>
    <t>NFW40D9</t>
  </si>
  <si>
    <t>Davy Boshoven</t>
  </si>
  <si>
    <t>Davy</t>
  </si>
  <si>
    <t>NFH93G9</t>
  </si>
  <si>
    <t>Wim Houwerzijl</t>
  </si>
  <si>
    <t>Wim</t>
  </si>
  <si>
    <t>NFS05D0</t>
  </si>
  <si>
    <t>Dio</t>
  </si>
  <si>
    <t>NMT25X0</t>
  </si>
  <si>
    <t>Alex van der Klooster</t>
  </si>
  <si>
    <t>Alex</t>
  </si>
  <si>
    <t>NMS16W0</t>
  </si>
  <si>
    <t>NMN63D8</t>
  </si>
  <si>
    <t>Sabine Exalto</t>
  </si>
  <si>
    <t>Sabine</t>
  </si>
  <si>
    <t>NMC30G4</t>
  </si>
  <si>
    <t>Annemarie Boshoven-Valk</t>
  </si>
  <si>
    <t>Annemarie</t>
  </si>
  <si>
    <t>NKK88N6</t>
  </si>
  <si>
    <t>Marcel Sint Nicolaas</t>
  </si>
  <si>
    <t>Marcel</t>
  </si>
  <si>
    <t>NMF58C3</t>
  </si>
  <si>
    <t>Kimberly</t>
  </si>
  <si>
    <t>Pijltabel</t>
  </si>
  <si>
    <t>23/24</t>
  </si>
  <si>
    <t>Jaartal</t>
  </si>
  <si>
    <t>Leeftijd</t>
  </si>
  <si>
    <t>Categorie</t>
  </si>
  <si>
    <t>SPELERS - TEAMS</t>
  </si>
  <si>
    <t xml:space="preserve">Situatie </t>
  </si>
  <si>
    <t>Scenario 1</t>
  </si>
  <si>
    <t xml:space="preserve"> Scenario 2</t>
  </si>
  <si>
    <t>Scenario 3</t>
  </si>
  <si>
    <t>Keuze + argumentatie</t>
  </si>
  <si>
    <t>Consequenties</t>
  </si>
  <si>
    <t>TRAINERSINDELING</t>
  </si>
  <si>
    <t>Optie 1</t>
  </si>
  <si>
    <t>Optie 2</t>
  </si>
  <si>
    <t>Optie 3</t>
  </si>
  <si>
    <t>Andere kandidaten</t>
  </si>
  <si>
    <t>TEAM 5/6/7</t>
  </si>
  <si>
    <t>Genoeg dames voor 3 teams, tegelijkertijd ook:
- meetrainen dame PKC
- Flore en Amber in A3 houden
- Nina gaat wel of niet meedoen</t>
  </si>
  <si>
    <t xml:space="preserve">Flore samen met Amber  in A3 houden </t>
  </si>
  <si>
    <t>Team 5</t>
  </si>
  <si>
    <t>Robin Domisse + ….</t>
  </si>
  <si>
    <t>Heren krap bezet, zeker bij 7e</t>
  </si>
  <si>
    <t>Joeke en Wouter over naar 6e?</t>
  </si>
  <si>
    <t xml:space="preserve">Alleen Joeke of alleen Wouter over </t>
  </si>
  <si>
    <t>Geen heren en oplossing blijft, zoals dit seizoen</t>
  </si>
  <si>
    <t>Moeder Ché als coach</t>
  </si>
  <si>
    <t>Selectie voor samenstelling team 5</t>
  </si>
  <si>
    <t>(Nina)  Kimberley + heer</t>
  </si>
  <si>
    <t>Team 7</t>
  </si>
  <si>
    <t>Geen coaches voor 6 en 7</t>
  </si>
  <si>
    <t xml:space="preserve"> Ruben &amp; Rob</t>
  </si>
  <si>
    <t>TEAM A1/A2</t>
  </si>
  <si>
    <t>Olivier &amp; Tim</t>
  </si>
  <si>
    <t>12 heren in de A1-A2 selectie, terwijl niet de wens is om 2 heren af te laten vallen naar A3</t>
  </si>
  <si>
    <t>2 heren naar 5/6/7</t>
  </si>
  <si>
    <t>1 heer over naar 5/6/7: 11 heren in A1-A2</t>
  </si>
  <si>
    <t>Joeke en Wouter blijven; andere keuze met heren</t>
  </si>
  <si>
    <t>Mark + Rick + Anniek met Robert als hoofdtrainer</t>
  </si>
  <si>
    <t>6e</t>
  </si>
  <si>
    <t> Mila de Wit</t>
  </si>
  <si>
    <t> Blijft in A2, is mooi sociaal maatje voor dame 6 uit A1</t>
  </si>
  <si>
    <t> Toch naar B1, voor stabiliteit. Maar keiharde meerwaarde ontbreekt + moet gecompenseerd worden.</t>
  </si>
  <si>
    <t>Stephan + Milou</t>
  </si>
  <si>
    <t>TEAM B1/B2</t>
  </si>
  <si>
    <t>Dame 4 en de rest + heer 3&amp;4 en de rest zit dicht bij elkaar</t>
  </si>
  <si>
    <t>Geen teamkeuze, maar 1 selectie voor de zomer bekend maken</t>
  </si>
  <si>
    <t xml:space="preserve">Erik vd Burgt + </t>
  </si>
  <si>
    <t>5e</t>
  </si>
  <si>
    <t>Precies 8 heren: risico met reserves</t>
  </si>
  <si>
    <t>blijft bij 8 heren</t>
  </si>
  <si>
    <t>Komt nog 1 of 2 heren van buitenaf</t>
  </si>
  <si>
    <r>
      <t>1 3</t>
    </r>
    <r>
      <rPr>
        <vertAlign val="superscript"/>
        <sz val="11"/>
        <color rgb="FF000000"/>
        <rFont val="Calibri"/>
        <family val="2"/>
        <scheme val="minor"/>
      </rPr>
      <t>de</t>
    </r>
    <r>
      <rPr>
        <sz val="11"/>
        <color rgb="FF000000"/>
        <rFont val="Calibri"/>
        <family val="2"/>
        <scheme val="minor"/>
      </rPr>
      <t xml:space="preserve"> jaars in B1: (Freek – wil zelf niet, Tijn – meerwaarde?)</t>
    </r>
  </si>
  <si>
    <t>Robert + Astrid (Maud, Laura) - en als hoofdtrainer voor A3</t>
  </si>
  <si>
    <t>7e</t>
  </si>
  <si>
    <t xml:space="preserve">C1 </t>
  </si>
  <si>
    <t>Jasper + Mees</t>
  </si>
  <si>
    <t>TEAM B3 - C3</t>
  </si>
  <si>
    <t>minimaal, maar eigenlijk te dames 2 weinig in B3</t>
  </si>
  <si>
    <t>Welke dames door te schuiven uit C3?</t>
  </si>
  <si>
    <t>idem dito + heer doorschuiven uit C4 naar C3?</t>
  </si>
  <si>
    <t>Niemand doorschuiven - C3 standaard met 2 reserves bij B3</t>
  </si>
  <si>
    <t xml:space="preserve">C2 </t>
  </si>
  <si>
    <t>Antjan + … Maud / Sam Eichhorn</t>
  </si>
  <si>
    <t>Alex + Robert + Maud</t>
  </si>
  <si>
    <t>…</t>
  </si>
  <si>
    <t>Sam Eichhorn</t>
  </si>
  <si>
    <t>Kimberley + Martijn</t>
  </si>
  <si>
    <t>Marlies &amp; Joram + Kimberley</t>
  </si>
  <si>
    <t xml:space="preserve">C4 </t>
  </si>
  <si>
    <t xml:space="preserve">Syrah &amp; Nadia + </t>
  </si>
  <si>
    <t>Ilonka + 5e</t>
  </si>
  <si>
    <t>Joram en Marlies + Egbert</t>
  </si>
  <si>
    <t>Marcel, Mark, Egbert</t>
  </si>
  <si>
    <t>Marcel, Tom, Alex</t>
  </si>
  <si>
    <t>Martijn, Tom</t>
  </si>
  <si>
    <t xml:space="preserve">Ilonka + </t>
  </si>
  <si>
    <t>Nadia &amp; Syrah + …</t>
  </si>
  <si>
    <t>Opties</t>
  </si>
  <si>
    <t>Jens &amp; Joël</t>
  </si>
  <si>
    <t>OPEN</t>
  </si>
  <si>
    <t>Ingevuld: Rob &amp; Ruben</t>
  </si>
  <si>
    <t>Ingevuld: Olivier &amp; Tim</t>
  </si>
  <si>
    <t>Mark + Rick + Anniek</t>
  </si>
  <si>
    <t>Tessa - Angela -  (Nina)</t>
  </si>
  <si>
    <t>Ingevuld</t>
  </si>
  <si>
    <t>Marlies + Joram</t>
  </si>
  <si>
    <t>Opties / ideeën</t>
  </si>
  <si>
    <t>Ingevuld: Jasper &amp; Mees</t>
  </si>
  <si>
    <t xml:space="preserve">Open </t>
  </si>
  <si>
    <t>Antjan + Robert + Maud</t>
  </si>
  <si>
    <t>Kimberley + Marlies, Joram</t>
  </si>
  <si>
    <t>Martijn + Kimberley</t>
  </si>
  <si>
    <t xml:space="preserve">Sanne - Kimberley W. </t>
  </si>
  <si>
    <t>Marcel, Egbert, Mark</t>
  </si>
  <si>
    <t>Egbert + Mark</t>
  </si>
  <si>
    <t>Martijn, Tom, Alex</t>
  </si>
  <si>
    <t>Martijn + Marcel, Tom</t>
  </si>
  <si>
    <t>Ilonka + Syrah, Nadia</t>
  </si>
  <si>
    <t>Jack &amp; Senne</t>
  </si>
  <si>
    <t>Aandachtspunten</t>
  </si>
  <si>
    <t>Onderwerp</t>
  </si>
  <si>
    <t>Antwoord</t>
  </si>
  <si>
    <t>Actiehouder</t>
  </si>
  <si>
    <t>Wanneer</t>
  </si>
  <si>
    <t>Mila en Freek als derdejaars in de B1?</t>
  </si>
  <si>
    <t>Samenstelling B1</t>
  </si>
  <si>
    <t>Mila staat open
Freek niet, maar zal zich neerleggen bij besluit</t>
  </si>
  <si>
    <t xml:space="preserve">Heer 4 bij de C2: 3de jaars of vanuit huidige C3 </t>
  </si>
  <si>
    <t>Samenstelling C2</t>
  </si>
  <si>
    <t>Inzet is op Diederik</t>
  </si>
  <si>
    <t>Wildcard teruggeven?</t>
  </si>
  <si>
    <t>Hoofdklasse B1</t>
  </si>
  <si>
    <t>Nee, onderkant HK is minder dan Top 1ste klasse. Verder is midden + onderkant geen uitdaging</t>
  </si>
  <si>
    <t xml:space="preserve">Coaching-staff B1 samenstellen met: trainers, coaches, video-analyse, mental coach </t>
  </si>
  <si>
    <t>1 trainer buitenaf 2. Oranje Witter 3. Marijn 4. Michel</t>
  </si>
  <si>
    <t>Scenario D - met Matthijs en zonder Matthijs</t>
  </si>
  <si>
    <t>Met - C3/C4 zitten vol + geen binding voor Matthijs</t>
  </si>
  <si>
    <t>Scenario 1. - nu</t>
  </si>
  <si>
    <t>Scenario 2 - Evie Groen door en Pippa naar D4</t>
  </si>
  <si>
    <t xml:space="preserve">Scenario 3 - Manon, Noortje en Evie naar C4 -met 17 kids + wedstrijdlid </t>
  </si>
  <si>
    <t>Scenario 2 - Imke en Davina D1 + Fenna / Jenna D2 of met wissel Cas / Tess</t>
  </si>
  <si>
    <t>Scenario 3 - Imke en Davina naar D2 + Jenna en Fenna naar D1</t>
  </si>
  <si>
    <t>3 B-teams en 5 C-teams</t>
  </si>
  <si>
    <t>Dames (5)</t>
  </si>
  <si>
    <t>Heren (5)</t>
  </si>
  <si>
    <t>Dames (6)</t>
  </si>
  <si>
    <t>Heren (4)</t>
  </si>
  <si>
    <t>Heren (6)</t>
  </si>
  <si>
    <t>Dames (1)</t>
  </si>
  <si>
    <t>Heren (1)</t>
  </si>
  <si>
    <t/>
  </si>
  <si>
    <t>Dames (2)</t>
  </si>
  <si>
    <t>Dames (8)</t>
  </si>
  <si>
    <t>Heren (3)</t>
  </si>
  <si>
    <t>Dames (4)</t>
  </si>
  <si>
    <t>Heren (2)</t>
  </si>
  <si>
    <t>Trainer</t>
  </si>
  <si>
    <t>4 B-teams en 4 C-teams</t>
  </si>
  <si>
    <t>Rick v.d. Wijgaart</t>
  </si>
  <si>
    <t>Martijn vd Wiel</t>
  </si>
  <si>
    <t xml:space="preserve">Stephan </t>
  </si>
  <si>
    <t xml:space="preserve">Sanne </t>
  </si>
  <si>
    <t>Deetos</t>
  </si>
  <si>
    <t>C4 - minimaal 10</t>
  </si>
  <si>
    <t>Dames B3 stoppen?</t>
  </si>
  <si>
    <t xml:space="preserve">Carlijn - bij Rende checken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</si>
</sst>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b/>
      <sz val="11"/>
      <color theme="1"/>
      <name val="Calibri"/>
      <family val="2"/>
      <scheme val="minor"/>
    </font>
    <font>
      <b/>
      <sz val="14"/>
      <color theme="0"/>
      <name val="Calibri"/>
      <family val="2"/>
      <scheme val="minor"/>
    </font>
    <font>
      <sz val="11"/>
      <name val="Calibri"/>
      <family val="2"/>
      <scheme val="minor"/>
    </font>
    <font>
      <sz val="12"/>
      <name val="Calibri"/>
      <family val="2"/>
      <scheme val="minor"/>
    </font>
    <font>
      <sz val="8"/>
      <name val="Calibri"/>
      <family val="2"/>
      <scheme val="minor"/>
    </font>
    <font>
      <sz val="11"/>
      <color rgb="FFFF0000"/>
      <name val="Calibri"/>
      <family val="2"/>
      <scheme val="minor"/>
    </font>
    <font>
      <b/>
      <sz val="16"/>
      <color rgb="FFFFFFFF"/>
      <name val="Calibri"/>
      <family val="2"/>
      <scheme val="minor"/>
    </font>
    <font>
      <b/>
      <sz val="16"/>
      <color theme="1"/>
      <name val="Calibri"/>
      <family val="2"/>
      <scheme val="minor"/>
    </font>
    <font>
      <sz val="11"/>
      <color rgb="FF000000"/>
      <name val="Calibri"/>
      <family val="2"/>
      <scheme val="minor"/>
    </font>
    <font>
      <vertAlign val="superscript"/>
      <sz val="11"/>
      <color rgb="FF000000"/>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
      <patternFill patternType="solid">
        <fgColor theme="5"/>
        <bgColor indexed="64"/>
      </patternFill>
    </fill>
    <fill>
      <patternFill patternType="solid">
        <fgColor theme="0"/>
        <bgColor indexed="64"/>
      </patternFill>
    </fill>
    <fill>
      <patternFill patternType="solid">
        <fgColor theme="2" tint="-0.749992370372631"/>
        <bgColor indexed="64"/>
      </patternFill>
    </fill>
    <fill>
      <patternFill patternType="solid">
        <fgColor rgb="FFFFFF00"/>
        <bgColor indexed="64"/>
      </patternFill>
    </fill>
    <fill>
      <patternFill patternType="solid">
        <fgColor rgb="FF000000"/>
        <bgColor indexed="64"/>
      </patternFill>
    </fill>
    <fill>
      <patternFill patternType="solid">
        <fgColor rgb="FFFF0000"/>
        <bgColor indexed="64"/>
      </patternFill>
    </fill>
    <fill>
      <patternFill patternType="solid">
        <fgColor rgb="FF00B05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theme="5" tint="0.79998168889431442"/>
      </left>
      <right style="thin">
        <color theme="5" tint="0.79998168889431442"/>
      </right>
      <top style="thin">
        <color theme="5" tint="0.79998168889431442"/>
      </top>
      <bottom style="thin">
        <color theme="5" tint="0.79998168889431442"/>
      </bottom>
      <diagonal/>
    </border>
    <border>
      <left style="medium">
        <color theme="5"/>
      </left>
      <right style="medium">
        <color theme="5"/>
      </right>
      <top style="medium">
        <color theme="5"/>
      </top>
      <bottom style="medium">
        <color theme="5"/>
      </bottom>
      <diagonal/>
    </border>
    <border>
      <left style="medium">
        <color theme="5"/>
      </left>
      <right style="thin">
        <color theme="5" tint="0.79998168889431442"/>
      </right>
      <top style="medium">
        <color theme="5"/>
      </top>
      <bottom style="thin">
        <color theme="5" tint="0.79998168889431442"/>
      </bottom>
      <diagonal/>
    </border>
    <border>
      <left style="thin">
        <color theme="5" tint="0.79998168889431442"/>
      </left>
      <right style="thin">
        <color theme="5" tint="0.79998168889431442"/>
      </right>
      <top style="medium">
        <color theme="5"/>
      </top>
      <bottom style="thin">
        <color theme="5" tint="0.79998168889431442"/>
      </bottom>
      <diagonal/>
    </border>
    <border>
      <left style="thin">
        <color theme="5" tint="0.79998168889431442"/>
      </left>
      <right style="medium">
        <color theme="5"/>
      </right>
      <top style="medium">
        <color theme="5"/>
      </top>
      <bottom style="thin">
        <color theme="5" tint="0.79998168889431442"/>
      </bottom>
      <diagonal/>
    </border>
    <border>
      <left style="medium">
        <color theme="5"/>
      </left>
      <right style="thin">
        <color theme="5" tint="0.79998168889431442"/>
      </right>
      <top style="thin">
        <color theme="5" tint="0.79998168889431442"/>
      </top>
      <bottom style="thin">
        <color theme="5" tint="0.79998168889431442"/>
      </bottom>
      <diagonal/>
    </border>
    <border>
      <left style="thin">
        <color theme="5" tint="0.79998168889431442"/>
      </left>
      <right style="medium">
        <color theme="5"/>
      </right>
      <top style="thin">
        <color theme="5" tint="0.79998168889431442"/>
      </top>
      <bottom style="thin">
        <color theme="5" tint="0.79998168889431442"/>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style="thin">
        <color theme="5"/>
      </left>
      <right style="thin">
        <color theme="5"/>
      </right>
      <top style="thin">
        <color theme="5"/>
      </top>
      <bottom style="thin">
        <color theme="5"/>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11">
    <xf numFmtId="0" fontId="0" fillId="0" borderId="0" xfId="0"/>
    <xf numFmtId="14" fontId="0" fillId="0" borderId="0" xfId="0" applyNumberFormat="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xf numFmtId="0" fontId="0" fillId="2" borderId="0" xfId="0" applyFill="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0" fontId="1" fillId="4" borderId="13" xfId="0" applyFont="1" applyFill="1" applyBorder="1"/>
    <xf numFmtId="164" fontId="1" fillId="5" borderId="3" xfId="0" applyNumberFormat="1" applyFont="1" applyFill="1" applyBorder="1"/>
    <xf numFmtId="0" fontId="0" fillId="4" borderId="20" xfId="0" applyFill="1" applyBorder="1"/>
    <xf numFmtId="0" fontId="0" fillId="0" borderId="20" xfId="0" applyBorder="1"/>
    <xf numFmtId="14" fontId="0" fillId="4" borderId="20" xfId="0" applyNumberFormat="1" applyFill="1" applyBorder="1"/>
    <xf numFmtId="14" fontId="0" fillId="0" borderId="20" xfId="0" applyNumberFormat="1" applyBorder="1"/>
    <xf numFmtId="14" fontId="0" fillId="4" borderId="0" xfId="0" applyNumberFormat="1" applyFill="1"/>
    <xf numFmtId="0" fontId="3" fillId="0" borderId="1" xfId="0" applyFont="1" applyBorder="1"/>
    <xf numFmtId="14" fontId="3" fillId="0" borderId="1" xfId="0" applyNumberFormat="1" applyFont="1" applyBorder="1"/>
    <xf numFmtId="0" fontId="3" fillId="0" borderId="1" xfId="0" applyFont="1" applyBorder="1" applyAlignment="1">
      <alignment horizontal="center"/>
    </xf>
    <xf numFmtId="0" fontId="3" fillId="0" borderId="0" xfId="0" applyFont="1"/>
    <xf numFmtId="14" fontId="3" fillId="0" borderId="0" xfId="0" applyNumberFormat="1" applyFont="1"/>
    <xf numFmtId="0" fontId="3" fillId="0" borderId="0" xfId="0" applyFont="1" applyAlignment="1">
      <alignment horizontal="center"/>
    </xf>
    <xf numFmtId="0" fontId="4" fillId="0" borderId="1" xfId="0" applyFont="1" applyBorder="1"/>
    <xf numFmtId="0" fontId="3" fillId="0" borderId="1" xfId="0" quotePrefix="1" applyFont="1" applyBorder="1" applyAlignment="1">
      <alignment horizontal="center"/>
    </xf>
    <xf numFmtId="0" fontId="3" fillId="0" borderId="21" xfId="0" applyFont="1" applyBorder="1"/>
    <xf numFmtId="0" fontId="3" fillId="0" borderId="22" xfId="0" applyFont="1" applyBorder="1"/>
    <xf numFmtId="0" fontId="3" fillId="0" borderId="22" xfId="0" applyFont="1" applyBorder="1" applyAlignment="1">
      <alignment horizontal="center" wrapText="1"/>
    </xf>
    <xf numFmtId="14" fontId="3" fillId="0" borderId="22" xfId="0" applyNumberFormat="1" applyFont="1" applyBorder="1"/>
    <xf numFmtId="0" fontId="3" fillId="0" borderId="23" xfId="0" applyFont="1" applyBorder="1" applyAlignment="1">
      <alignment wrapText="1"/>
    </xf>
    <xf numFmtId="0" fontId="3" fillId="0" borderId="24" xfId="0" applyFont="1" applyBorder="1"/>
    <xf numFmtId="0" fontId="3" fillId="0" borderId="25" xfId="0" applyFont="1" applyBorder="1"/>
    <xf numFmtId="0" fontId="3" fillId="0" borderId="25" xfId="0" applyFont="1" applyBorder="1" applyAlignment="1">
      <alignment horizontal="center"/>
    </xf>
    <xf numFmtId="0" fontId="3" fillId="0" borderId="23" xfId="0" applyFont="1" applyBorder="1" applyAlignment="1">
      <alignment horizontal="center" wrapText="1"/>
    </xf>
    <xf numFmtId="0" fontId="3" fillId="0" borderId="1" xfId="0" applyFont="1" applyBorder="1" applyAlignment="1">
      <alignment horizontal="center" vertical="center"/>
    </xf>
    <xf numFmtId="14" fontId="3" fillId="0" borderId="22" xfId="0" applyNumberFormat="1" applyFont="1" applyBorder="1" applyAlignment="1">
      <alignment horizontal="right"/>
    </xf>
    <xf numFmtId="14" fontId="3" fillId="0" borderId="1" xfId="0" applyNumberFormat="1" applyFont="1" applyBorder="1" applyAlignment="1">
      <alignment horizontal="right"/>
    </xf>
    <xf numFmtId="14" fontId="3" fillId="0" borderId="0" xfId="0" applyNumberFormat="1" applyFont="1" applyAlignment="1">
      <alignment horizontal="right"/>
    </xf>
    <xf numFmtId="0" fontId="3" fillId="0" borderId="26" xfId="0" applyFont="1" applyBorder="1" applyAlignment="1">
      <alignment horizontal="center"/>
    </xf>
    <xf numFmtId="0" fontId="3" fillId="0" borderId="27" xfId="0" applyFont="1" applyBorder="1"/>
    <xf numFmtId="0" fontId="3" fillId="0" borderId="28" xfId="0" applyFont="1" applyBorder="1"/>
    <xf numFmtId="0" fontId="3" fillId="0" borderId="28" xfId="0" applyFont="1" applyBorder="1" applyAlignment="1">
      <alignment horizontal="center"/>
    </xf>
    <xf numFmtId="14" fontId="3" fillId="0" borderId="28" xfId="0" applyNumberFormat="1" applyFont="1" applyBorder="1"/>
    <xf numFmtId="14" fontId="3" fillId="0" borderId="28" xfId="0" applyNumberFormat="1" applyFont="1" applyBorder="1" applyAlignment="1">
      <alignment horizontal="right"/>
    </xf>
    <xf numFmtId="0" fontId="3" fillId="0" borderId="26" xfId="0" applyFont="1" applyBorder="1"/>
    <xf numFmtId="0" fontId="1" fillId="0" borderId="0" xfId="0" applyFont="1"/>
    <xf numFmtId="0" fontId="6" fillId="0" borderId="0" xfId="0" applyFont="1"/>
    <xf numFmtId="0" fontId="0" fillId="0" borderId="24" xfId="0" applyBorder="1"/>
    <xf numFmtId="14" fontId="0" fillId="0" borderId="1" xfId="0" applyNumberFormat="1" applyBorder="1"/>
    <xf numFmtId="0" fontId="0" fillId="7" borderId="7" xfId="0" applyFill="1" applyBorder="1"/>
    <xf numFmtId="16" fontId="0" fillId="0" borderId="0" xfId="0" applyNumberFormat="1"/>
    <xf numFmtId="0" fontId="0" fillId="8" borderId="0" xfId="0" applyFill="1"/>
    <xf numFmtId="0" fontId="7" fillId="8" borderId="0" xfId="0" applyFont="1" applyFill="1"/>
    <xf numFmtId="0" fontId="8" fillId="0" borderId="0" xfId="0" applyFont="1" applyAlignment="1">
      <alignment horizontal="center" vertical="center"/>
    </xf>
    <xf numFmtId="0" fontId="0" fillId="0" borderId="0" xfId="0" applyAlignment="1">
      <alignment wrapText="1"/>
    </xf>
    <xf numFmtId="0" fontId="0" fillId="0" borderId="0" xfId="0" applyAlignment="1">
      <alignment vertical="top"/>
    </xf>
    <xf numFmtId="0" fontId="0" fillId="0" borderId="1" xfId="0" applyBorder="1" applyAlignment="1">
      <alignment vertical="top"/>
    </xf>
    <xf numFmtId="0" fontId="0" fillId="0" borderId="1" xfId="0" applyBorder="1"/>
    <xf numFmtId="0" fontId="0" fillId="0" borderId="30" xfId="0" applyBorder="1" applyAlignment="1">
      <alignment vertical="top" wrapText="1"/>
    </xf>
    <xf numFmtId="0" fontId="0" fillId="0" borderId="30" xfId="0" applyBorder="1" applyAlignment="1">
      <alignment vertical="top"/>
    </xf>
    <xf numFmtId="0" fontId="0" fillId="0" borderId="31" xfId="0" applyBorder="1"/>
    <xf numFmtId="0" fontId="0" fillId="0" borderId="33" xfId="0" applyBorder="1"/>
    <xf numFmtId="0" fontId="0" fillId="0" borderId="35" xfId="0" applyBorder="1" applyAlignment="1">
      <alignment vertical="top"/>
    </xf>
    <xf numFmtId="0" fontId="0" fillId="0" borderId="36" xfId="0" applyBorder="1"/>
    <xf numFmtId="0" fontId="0" fillId="4" borderId="1" xfId="0" applyFill="1" applyBorder="1" applyAlignment="1">
      <alignment vertical="top"/>
    </xf>
    <xf numFmtId="0" fontId="0" fillId="9" borderId="1" xfId="0" applyFill="1" applyBorder="1" applyAlignment="1">
      <alignment vertical="top"/>
    </xf>
    <xf numFmtId="0" fontId="0" fillId="10" borderId="1" xfId="0" applyFill="1" applyBorder="1" applyAlignment="1">
      <alignment vertical="top"/>
    </xf>
    <xf numFmtId="0" fontId="0" fillId="4" borderId="1" xfId="0" applyFill="1" applyBorder="1"/>
    <xf numFmtId="0" fontId="1" fillId="0" borderId="37" xfId="0" applyFont="1" applyBorder="1"/>
    <xf numFmtId="0" fontId="1" fillId="0" borderId="30" xfId="0" applyFont="1" applyBorder="1" applyAlignment="1">
      <alignment vertical="top"/>
    </xf>
    <xf numFmtId="0" fontId="1" fillId="0" borderId="31" xfId="0" applyFont="1" applyBorder="1" applyAlignment="1">
      <alignment vertical="top"/>
    </xf>
    <xf numFmtId="0" fontId="0" fillId="0" borderId="38" xfId="0" applyBorder="1" applyAlignment="1">
      <alignment vertical="top"/>
    </xf>
    <xf numFmtId="0" fontId="0" fillId="0" borderId="39" xfId="0" applyBorder="1" applyAlignment="1">
      <alignment vertical="top"/>
    </xf>
    <xf numFmtId="0" fontId="0" fillId="0" borderId="35" xfId="0" applyBorder="1"/>
    <xf numFmtId="0" fontId="9" fillId="0" borderId="40" xfId="0" applyFont="1" applyBorder="1" applyAlignment="1">
      <alignment vertical="center"/>
    </xf>
    <xf numFmtId="0" fontId="0" fillId="0" borderId="1" xfId="0" applyBorder="1" applyAlignment="1">
      <alignment vertical="top" wrapText="1"/>
    </xf>
    <xf numFmtId="0" fontId="0" fillId="0" borderId="35" xfId="0" applyBorder="1" applyAlignment="1">
      <alignment vertical="top" wrapText="1"/>
    </xf>
    <xf numFmtId="0" fontId="9" fillId="0" borderId="40" xfId="0" applyFont="1" applyBorder="1" applyAlignment="1">
      <alignment vertical="center" wrapText="1"/>
    </xf>
    <xf numFmtId="0" fontId="9" fillId="0" borderId="41" xfId="0" applyFont="1" applyBorder="1" applyAlignment="1">
      <alignment vertical="center" wrapText="1"/>
    </xf>
    <xf numFmtId="0" fontId="0" fillId="10" borderId="0" xfId="0" applyFill="1" applyAlignment="1">
      <alignment vertical="top"/>
    </xf>
    <xf numFmtId="0" fontId="0" fillId="4" borderId="0" xfId="0" applyFill="1" applyAlignment="1">
      <alignment vertical="top"/>
    </xf>
    <xf numFmtId="0" fontId="0" fillId="9" borderId="0" xfId="0" applyFill="1" applyAlignment="1">
      <alignment vertical="top"/>
    </xf>
    <xf numFmtId="0" fontId="0" fillId="4" borderId="38" xfId="0" applyFill="1" applyBorder="1" applyAlignment="1">
      <alignment vertical="top"/>
    </xf>
    <xf numFmtId="0" fontId="0" fillId="4" borderId="39" xfId="0" applyFill="1" applyBorder="1" applyAlignment="1">
      <alignment vertical="top"/>
    </xf>
    <xf numFmtId="0" fontId="0" fillId="4" borderId="42" xfId="0" applyFill="1" applyBorder="1" applyAlignment="1">
      <alignment vertical="top"/>
    </xf>
    <xf numFmtId="0" fontId="0" fillId="0" borderId="28" xfId="0" applyBorder="1"/>
    <xf numFmtId="0" fontId="0" fillId="0" borderId="43" xfId="0" applyBorder="1"/>
    <xf numFmtId="0" fontId="0" fillId="10" borderId="38" xfId="0" applyFill="1" applyBorder="1" applyAlignment="1">
      <alignment vertical="top"/>
    </xf>
    <xf numFmtId="0" fontId="0" fillId="5" borderId="4" xfId="0" applyFill="1" applyBorder="1"/>
    <xf numFmtId="14" fontId="3" fillId="0" borderId="1" xfId="0" applyNumberFormat="1" applyFont="1" applyBorder="1" applyAlignment="1">
      <alignment horizontal="left"/>
    </xf>
    <xf numFmtId="0" fontId="1" fillId="4" borderId="12" xfId="0" applyFont="1" applyFill="1" applyBorder="1"/>
    <xf numFmtId="0" fontId="0" fillId="0" borderId="15" xfId="0" applyBorder="1"/>
    <xf numFmtId="0" fontId="2" fillId="6" borderId="16" xfId="0" applyFont="1" applyFill="1" applyBorder="1" applyAlignment="1">
      <alignment horizontal="center" vertical="center" textRotation="90"/>
    </xf>
    <xf numFmtId="14" fontId="1" fillId="0" borderId="37" xfId="0" applyNumberFormat="1" applyFont="1" applyBorder="1" applyAlignment="1">
      <alignment horizontal="center" vertical="center"/>
    </xf>
    <xf numFmtId="14" fontId="1" fillId="0" borderId="38" xfId="0" applyNumberFormat="1" applyFont="1" applyBorder="1" applyAlignment="1">
      <alignment horizontal="center" vertical="center"/>
    </xf>
    <xf numFmtId="14" fontId="1" fillId="0" borderId="39" xfId="0" applyNumberFormat="1" applyFont="1" applyBorder="1" applyAlignment="1">
      <alignment horizontal="center" vertical="center"/>
    </xf>
    <xf numFmtId="14" fontId="1" fillId="0" borderId="29" xfId="0" applyNumberFormat="1" applyFont="1" applyBorder="1" applyAlignment="1">
      <alignment horizontal="center" vertical="center"/>
    </xf>
    <xf numFmtId="14" fontId="1" fillId="0" borderId="32" xfId="0" applyNumberFormat="1" applyFont="1" applyBorder="1" applyAlignment="1">
      <alignment horizontal="center" vertical="center"/>
    </xf>
    <xf numFmtId="14" fontId="1" fillId="0" borderId="34" xfId="0" applyNumberFormat="1" applyFont="1" applyBorder="1" applyAlignment="1">
      <alignment horizontal="center" vertical="center"/>
    </xf>
    <xf numFmtId="0" fontId="7" fillId="8" borderId="0" xfId="0" applyFont="1" applyFill="1" applyAlignment="1">
      <alignment horizontal="left"/>
    </xf>
  </cellXfs>
  <cellStyles count="1">
    <cellStyle name="Normal" xfId="0" builtinId="0"/>
  </cellStyles>
  <dxfs count="34">
    <dxf>
      <numFmt numFmtId="0" formatCode="General"/>
    </dxf>
    <dxf>
      <numFmt numFmtId="0" formatCode="General"/>
    </dxf>
    <dxf>
      <numFmt numFmtId="165" formatCode="d/m/yyyy"/>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5" formatCode="d/m/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5" formatCode="d/m/yyyy"/>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C0F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16</xdr:col>
      <xdr:colOff>552450</xdr:colOff>
      <xdr:row>2</xdr:row>
      <xdr:rowOff>161925</xdr:rowOff>
    </xdr:from>
    <xdr:to>
      <xdr:col>26</xdr:col>
      <xdr:colOff>171450</xdr:colOff>
      <xdr:row>22</xdr:row>
      <xdr:rowOff>114300</xdr:rowOff>
    </xdr:to>
    <xdr:sp macro="" textlink="">
      <xdr:nvSpPr>
        <xdr:cNvPr id="2" name="Tekstvak 1">
          <a:extLst>
            <a:ext uri="{FF2B5EF4-FFF2-40B4-BE49-F238E27FC236}">
              <a16:creationId xmlns:a16="http://schemas.microsoft.com/office/drawing/2014/main" id="{558765DA-8CA8-20AA-5033-6D37F86B982A}"/>
            </a:ext>
          </a:extLst>
        </xdr:cNvPr>
        <xdr:cNvSpPr txBox="1"/>
      </xdr:nvSpPr>
      <xdr:spPr>
        <a:xfrm>
          <a:off x="10306050" y="542925"/>
          <a:ext cx="5715000" cy="3762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E : Samenvatting Trainers</a:t>
          </a:r>
        </a:p>
        <a:p>
          <a:endParaRPr lang="nl-NL" sz="1100"/>
        </a:p>
        <a:p>
          <a:r>
            <a:rPr lang="nl-NL" sz="1100"/>
            <a:t>Hierbij nog het overzicht van wat de trainers voor volgend seizoen hebben aangegeven:</a:t>
          </a:r>
          <a:br>
            <a:rPr lang="nl-NL" sz="1100"/>
          </a:br>
          <a:br>
            <a:rPr lang="nl-NL" sz="1100"/>
          </a:br>
          <a:r>
            <a:rPr lang="nl-NL" sz="1100"/>
            <a:t>E1: Jasper wil stoppen bij Evi en doorgaan bij Julia. Graag overleggen met hem. </a:t>
          </a:r>
          <a:br>
            <a:rPr lang="nl-NL" sz="1100"/>
          </a:br>
          <a:br>
            <a:rPr lang="nl-NL" sz="1100"/>
          </a:br>
          <a:r>
            <a:rPr lang="nl-NL" sz="1100"/>
            <a:t>E2: Mark wil doorgaan maar twijfelt of hij bij zijn dochter moet blijven. Bente gaat mbo doen, redt de trainingstijden van de E’s niet meer, maar zou wel graag D’s willen trainen.</a:t>
          </a:r>
          <a:br>
            <a:rPr lang="nl-NL" sz="1100"/>
          </a:br>
          <a:br>
            <a:rPr lang="nl-NL" sz="1100"/>
          </a:br>
          <a:r>
            <a:rPr lang="nl-NL" sz="1100"/>
            <a:t>E3: Tom wil graag door naar D met Abel mee.</a:t>
          </a:r>
          <a:br>
            <a:rPr lang="nl-NL" sz="1100"/>
          </a:br>
          <a:br>
            <a:rPr lang="nl-NL" sz="1100"/>
          </a:br>
          <a:r>
            <a:rPr lang="nl-NL" sz="1100"/>
            <a:t>E4: Bart wil volgend jaar nog trainer zijn bij team Merlijn. Julia en Jordi stoppen ivm school.</a:t>
          </a:r>
          <a:br>
            <a:rPr lang="nl-NL" sz="1100"/>
          </a:br>
          <a:br>
            <a:rPr lang="nl-NL" sz="1100"/>
          </a:br>
          <a:r>
            <a:rPr lang="nl-NL" sz="1100"/>
            <a:t>E5: Anouk en Sjoerd willen blijven trainen. Sjoerd graag bij team Morris.</a:t>
          </a:r>
          <a:br>
            <a:rPr lang="nl-NL" sz="1100"/>
          </a:br>
          <a:br>
            <a:rPr lang="nl-NL" sz="1100"/>
          </a:br>
          <a:r>
            <a:rPr lang="nl-NL" sz="1100"/>
            <a:t>E6: Marjolein wil stoppen ivm dat haar andere zoon gaat voetballen, wil wel 1 middag per week ondersteunen met trainen eventueel. Laura gaat ws naar het buitenland en kan dan geen training meer geven. </a:t>
          </a:r>
          <a:br>
            <a:rPr lang="nl-NL" sz="1100"/>
          </a:br>
          <a:br>
            <a:rPr lang="nl-NL" sz="1100"/>
          </a:br>
          <a:r>
            <a:rPr lang="nl-NL" sz="1100"/>
            <a:t>E7: Jens en Joël willen volgend jaar weer een team coachen, graag wel een sterker team.</a:t>
          </a:r>
        </a:p>
        <a:p>
          <a:endParaRPr lang="nl-NL" sz="1100"/>
        </a:p>
        <a:p>
          <a:endParaRPr lang="nl-NL" sz="1100"/>
        </a:p>
      </xdr:txBody>
    </xdr:sp>
    <xdr:clientData/>
  </xdr:twoCellAnchor>
  <xdr:twoCellAnchor>
    <xdr:from>
      <xdr:col>7</xdr:col>
      <xdr:colOff>228600</xdr:colOff>
      <xdr:row>2</xdr:row>
      <xdr:rowOff>161926</xdr:rowOff>
    </xdr:from>
    <xdr:to>
      <xdr:col>16</xdr:col>
      <xdr:colOff>457200</xdr:colOff>
      <xdr:row>22</xdr:row>
      <xdr:rowOff>104776</xdr:rowOff>
    </xdr:to>
    <xdr:sp macro="" textlink="">
      <xdr:nvSpPr>
        <xdr:cNvPr id="3" name="Tekstvak 2">
          <a:extLst>
            <a:ext uri="{FF2B5EF4-FFF2-40B4-BE49-F238E27FC236}">
              <a16:creationId xmlns:a16="http://schemas.microsoft.com/office/drawing/2014/main" id="{5C87EBB8-A32C-4811-95CC-241795C6D25E}"/>
            </a:ext>
          </a:extLst>
        </xdr:cNvPr>
        <xdr:cNvSpPr txBox="1"/>
      </xdr:nvSpPr>
      <xdr:spPr>
        <a:xfrm>
          <a:off x="4495800" y="542926"/>
          <a:ext cx="5715000" cy="375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E : Samenvatting</a:t>
          </a:r>
        </a:p>
        <a:p>
          <a:br>
            <a:rPr lang="nl-NL" sz="1100"/>
          </a:br>
          <a:r>
            <a:rPr lang="nl-NL" sz="1100"/>
            <a:t>Volgend jaar </a:t>
          </a:r>
          <a:br>
            <a:rPr lang="nl-NL" sz="1100"/>
          </a:br>
          <a:r>
            <a:rPr lang="nl-NL" sz="1100"/>
            <a:t>- 2e jaars E gaan 2x met de D meedoen om sfeer te proeven, is geen selectietraining.</a:t>
          </a:r>
          <a:br>
            <a:rPr lang="nl-NL" sz="1100"/>
          </a:br>
          <a:r>
            <a:rPr lang="nl-NL" sz="1100"/>
            <a:t>- Kim Ardon is proces-coördinator indeling teams gaat datum prikken voor teamindelingsessie. Overzicht welke E’s zijn er, zie onderaan. </a:t>
          </a:r>
          <a:br>
            <a:rPr lang="nl-NL" sz="1100"/>
          </a:br>
          <a:r>
            <a:rPr lang="nl-NL" sz="1100"/>
            <a:t>- Bij E en F wordt sociaal ingedeeld. Beste speler mag niet afvallen en slechtste speler mag er niet uitgaan. Vanaf D wordt ingedeeld op niveau.</a:t>
          </a:r>
          <a:br>
            <a:rPr lang="nl-NL" sz="1100"/>
          </a:br>
          <a:r>
            <a:rPr lang="nl-NL" sz="1100"/>
            <a:t>- Bond stapt af van compensatiespelers. Jaar langer E, dan jaar erna 1 jaar D.</a:t>
          </a:r>
          <a:br>
            <a:rPr lang="nl-NL" sz="1100"/>
          </a:br>
          <a:r>
            <a:rPr lang="nl-NL" sz="1100"/>
            <a:t>- Bond gaat toe naar ‘Onder 9, onder 11, onder 13’- D volgend jaar: 33 spelers, 22 meiden en 11 jongens- E volgend jaar: 26 spelers, 13 meiden en 13 jongens&gt; ws 5 teams</a:t>
          </a:r>
          <a:br>
            <a:rPr lang="nl-NL" sz="1100"/>
          </a:br>
          <a:br>
            <a:rPr lang="nl-NL" sz="1100"/>
          </a:br>
          <a:r>
            <a:rPr lang="nl-NL" sz="1100"/>
            <a:t>- Voorgelegd scenario: Sterke kinderen bij elkaar en zwakkere bij elkaar of gelijkwaardige teams? Trainers geven aan: nu zitten er in de E’s wel kinderen die graag uitgedaagd willen worden. Dus zou ze wel bij elkaar zetten.</a:t>
          </a:r>
          <a:br>
            <a:rPr lang="nl-NL" sz="1100"/>
          </a:br>
          <a:br>
            <a:rPr lang="nl-NL" sz="1100"/>
          </a:br>
          <a:r>
            <a:rPr lang="nl-NL" sz="1100"/>
            <a:t>Kinderen in E:</a:t>
          </a:r>
          <a:br>
            <a:rPr lang="nl-NL" sz="1100"/>
          </a:br>
          <a:r>
            <a:rPr lang="nl-NL" sz="1100"/>
            <a:t>(Jolijn en Emma wens om in E te blijven, Abel heeft E leeftijd, maar wens om naar D door te laten stromen)</a:t>
          </a:r>
          <a:br>
            <a:rPr lang="nl-NL" sz="1100"/>
          </a:br>
          <a:br>
            <a:rPr lang="nl-NL" sz="1100"/>
          </a:br>
          <a:r>
            <a:rPr lang="nl-NL" sz="1100"/>
            <a:t>(Gideon nieuw)</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22</xdr:col>
      <xdr:colOff>72420</xdr:colOff>
      <xdr:row>12</xdr:row>
      <xdr:rowOff>57791</xdr:rowOff>
    </xdr:to>
    <xdr:pic>
      <xdr:nvPicPr>
        <xdr:cNvPr id="2" name="Afbeelding 1">
          <a:extLst>
            <a:ext uri="{FF2B5EF4-FFF2-40B4-BE49-F238E27FC236}">
              <a16:creationId xmlns:a16="http://schemas.microsoft.com/office/drawing/2014/main" id="{294286A6-5C6D-F368-A4F6-09C03AA6FC1B}"/>
            </a:ext>
          </a:extLst>
        </xdr:cNvPr>
        <xdr:cNvPicPr>
          <a:picLocks noChangeAspect="1"/>
        </xdr:cNvPicPr>
      </xdr:nvPicPr>
      <xdr:blipFill>
        <a:blip xmlns:r="http://schemas.openxmlformats.org/officeDocument/2006/relationships" r:embed="rId1"/>
        <a:stretch>
          <a:fillRect/>
        </a:stretch>
      </xdr:blipFill>
      <xdr:spPr>
        <a:xfrm>
          <a:off x="5486400" y="190500"/>
          <a:ext cx="12874020" cy="2149481"/>
        </a:xfrm>
        <a:prstGeom prst="rect">
          <a:avLst/>
        </a:prstGeom>
      </xdr:spPr>
    </xdr:pic>
    <xdr:clientData/>
  </xdr:twoCellAnchor>
  <xdr:twoCellAnchor editAs="oneCell">
    <xdr:from>
      <xdr:col>1</xdr:col>
      <xdr:colOff>0</xdr:colOff>
      <xdr:row>14</xdr:row>
      <xdr:rowOff>0</xdr:rowOff>
    </xdr:from>
    <xdr:to>
      <xdr:col>22</xdr:col>
      <xdr:colOff>41931</xdr:colOff>
      <xdr:row>25</xdr:row>
      <xdr:rowOff>625</xdr:rowOff>
    </xdr:to>
    <xdr:pic>
      <xdr:nvPicPr>
        <xdr:cNvPr id="3" name="Afbeelding 2">
          <a:extLst>
            <a:ext uri="{FF2B5EF4-FFF2-40B4-BE49-F238E27FC236}">
              <a16:creationId xmlns:a16="http://schemas.microsoft.com/office/drawing/2014/main" id="{8B1037E9-0D07-1C60-FAAE-2FB15F2249E2}"/>
            </a:ext>
          </a:extLst>
        </xdr:cNvPr>
        <xdr:cNvPicPr>
          <a:picLocks noChangeAspect="1"/>
        </xdr:cNvPicPr>
      </xdr:nvPicPr>
      <xdr:blipFill>
        <a:blip xmlns:r="http://schemas.openxmlformats.org/officeDocument/2006/relationships" r:embed="rId2"/>
        <a:stretch>
          <a:fillRect/>
        </a:stretch>
      </xdr:blipFill>
      <xdr:spPr>
        <a:xfrm>
          <a:off x="5486400" y="2667000"/>
          <a:ext cx="12843531" cy="2096125"/>
        </a:xfrm>
        <a:prstGeom prst="rect">
          <a:avLst/>
        </a:prstGeom>
      </xdr:spPr>
    </xdr:pic>
    <xdr:clientData/>
  </xdr:twoCellAnchor>
  <xdr:twoCellAnchor editAs="oneCell">
    <xdr:from>
      <xdr:col>1</xdr:col>
      <xdr:colOff>0</xdr:colOff>
      <xdr:row>27</xdr:row>
      <xdr:rowOff>0</xdr:rowOff>
    </xdr:from>
    <xdr:to>
      <xdr:col>22</xdr:col>
      <xdr:colOff>22860</xdr:colOff>
      <xdr:row>35</xdr:row>
      <xdr:rowOff>171450</xdr:rowOff>
    </xdr:to>
    <xdr:pic>
      <xdr:nvPicPr>
        <xdr:cNvPr id="4" name="Afbeelding 3">
          <a:extLst>
            <a:ext uri="{FF2B5EF4-FFF2-40B4-BE49-F238E27FC236}">
              <a16:creationId xmlns:a16="http://schemas.microsoft.com/office/drawing/2014/main" id="{F8E2C81E-682D-3588-876F-7DFC9697FDCA}"/>
            </a:ext>
          </a:extLst>
        </xdr:cNvPr>
        <xdr:cNvPicPr>
          <a:picLocks noChangeAspect="1"/>
        </xdr:cNvPicPr>
      </xdr:nvPicPr>
      <xdr:blipFill>
        <a:blip xmlns:r="http://schemas.openxmlformats.org/officeDocument/2006/relationships" r:embed="rId3"/>
        <a:stretch>
          <a:fillRect/>
        </a:stretch>
      </xdr:blipFill>
      <xdr:spPr>
        <a:xfrm>
          <a:off x="5486400" y="4937760"/>
          <a:ext cx="12824460" cy="1634490"/>
        </a:xfrm>
        <a:prstGeom prst="rect">
          <a:avLst/>
        </a:prstGeom>
      </xdr:spPr>
    </xdr:pic>
    <xdr:clientData/>
  </xdr:twoCellAnchor>
  <xdr:twoCellAnchor editAs="oneCell">
    <xdr:from>
      <xdr:col>22</xdr:col>
      <xdr:colOff>152400</xdr:colOff>
      <xdr:row>26</xdr:row>
      <xdr:rowOff>175260</xdr:rowOff>
    </xdr:from>
    <xdr:to>
      <xdr:col>43</xdr:col>
      <xdr:colOff>335280</xdr:colOff>
      <xdr:row>36</xdr:row>
      <xdr:rowOff>15571</xdr:rowOff>
    </xdr:to>
    <xdr:pic>
      <xdr:nvPicPr>
        <xdr:cNvPr id="5" name="Afbeelding 4">
          <a:extLst>
            <a:ext uri="{FF2B5EF4-FFF2-40B4-BE49-F238E27FC236}">
              <a16:creationId xmlns:a16="http://schemas.microsoft.com/office/drawing/2014/main" id="{9B8AB345-5DE4-8D5E-3379-037F3B3EE824}"/>
            </a:ext>
          </a:extLst>
        </xdr:cNvPr>
        <xdr:cNvPicPr>
          <a:picLocks noChangeAspect="1"/>
        </xdr:cNvPicPr>
      </xdr:nvPicPr>
      <xdr:blipFill>
        <a:blip xmlns:r="http://schemas.openxmlformats.org/officeDocument/2006/relationships" r:embed="rId4"/>
        <a:stretch>
          <a:fillRect/>
        </a:stretch>
      </xdr:blipFill>
      <xdr:spPr>
        <a:xfrm>
          <a:off x="18440400" y="4930140"/>
          <a:ext cx="12984480" cy="1669111"/>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22E9E7-1F6D-49FA-B9CC-1545C35B950F}" autoFormatId="16" applyNumberFormats="0" applyBorderFormats="0" applyFontFormats="0" applyPatternFormats="0" applyAlignmentFormats="0" applyWidthHeightFormats="0">
  <queryTableRefresh nextId="8">
    <queryTableFields count="7">
      <queryTableField id="1" name="Relatiecode" tableColumnId="1"/>
      <queryTableField id="2" name="Volledige naam (2)" tableColumnId="2"/>
      <queryTableField id="3" name="Roepnaam" tableColumnId="3"/>
      <queryTableField id="4" name="Geboortedatum" tableColumnId="4"/>
      <queryTableField id="5" name="Lidmaatschapcode" tableColumnId="5"/>
      <queryTableField id="6" name="Status" tableColumnId="6"/>
      <queryTableField id="7" name="Geslacht" tableColumnId="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v>
    <v>1</v>
  </rv>
</rvData>
</file>

<file path=xl/richData/rdrichvaluestructure.xml><?xml version="1.0" encoding="utf-8"?>
<rvStructures xmlns="http://schemas.microsoft.com/office/spreadsheetml/2017/richdata" count="1">
  <s t="_error">
    <k n="colOffset" t="i"/>
    <k n="errorType" t="i"/>
    <k n="rwOffset" t="i"/>
    <k n="subType" t="i"/>
  </s>
</rvStructure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E9BBE-C725-4F1C-BD01-A039350FEC28}" name="Tabel1" displayName="Tabel1" ref="A1:I175" totalsRowShown="0" headerRowDxfId="33" dataDxfId="32" headerRowBorderDxfId="30" tableBorderDxfId="31" totalsRowBorderDxfId="29">
  <autoFilter ref="A1:I175" xr:uid="{AE6E9BBE-C725-4F1C-BD01-A039350FEC28}"/>
  <sortState xmlns:xlrd2="http://schemas.microsoft.com/office/spreadsheetml/2017/richdata2" ref="A2:I175">
    <sortCondition ref="G1:G175"/>
  </sortState>
  <tableColumns count="9">
    <tableColumn id="1" xr3:uid="{DAD90888-E12D-4FE7-96A0-7F4BFF04D99D}" name="Rel.nr" dataDxfId="28"/>
    <tableColumn id="2" xr3:uid="{D9B86D9B-3872-43E4-B56E-B6D22C092B3D}" name="Naam &amp; Initialen)" dataDxfId="27"/>
    <tableColumn id="3" xr3:uid="{CFC207A0-0670-4B58-A13D-75317CFE7CA0}" name="Roepnaam" dataDxfId="26"/>
    <tableColumn id="4" xr3:uid="{4B4FD741-0429-4F2D-B9C5-42EED222BB21}" name="Leeftijd Peildatum" dataDxfId="25">
      <calculatedColumnFormula>VLOOKUP(YEAR(Tabel1[[#This Row],[Geb datum]]),Tabel8[#All],2,FALSE)</calculatedColumnFormula>
    </tableColumn>
    <tableColumn id="5" xr3:uid="{671D7D19-9841-4CCC-9AE4-344DB8604D3E}" name="Geb datum" dataDxfId="24"/>
    <tableColumn id="6" xr3:uid="{6D5D68BF-CD98-4A54-AB00-D70A65528EAB}" name="Team op Peildatum" dataDxfId="23">
      <calculatedColumnFormula>VLOOKUP(YEAR(Tabel1[[#This Row],[Geb datum]]),Tabel8[#All],3,FALSE)</calculatedColumnFormula>
    </tableColumn>
    <tableColumn id="7" xr3:uid="{08FA66E4-6DA5-4CB2-8E6E-0FD40911EDEA}" name="Team 23-24" dataDxfId="22"/>
    <tableColumn id="10" xr3:uid="{E050B8F8-294D-4103-89CA-DBE14B263FDE}" name="Team 22-23" dataDxfId="21"/>
    <tableColumn id="8" xr3:uid="{4059E91F-D872-4761-905F-839B29A8AAD5}" name="AR" dataDxfId="20"/>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C684-F586-4B64-BE6C-6ADE40A70A37}" name="Tabel3" displayName="Tabel3" ref="K1:S148" totalsRowShown="0" headerRowDxfId="19" dataDxfId="18" headerRowBorderDxfId="16" tableBorderDxfId="17" totalsRowBorderDxfId="15">
  <autoFilter ref="K1:S148" xr:uid="{4B46C684-F586-4B64-BE6C-6ADE40A70A37}"/>
  <sortState xmlns:xlrd2="http://schemas.microsoft.com/office/spreadsheetml/2017/richdata2" ref="K2:S148">
    <sortCondition ref="Q1:Q148"/>
  </sortState>
  <tableColumns count="9">
    <tableColumn id="1" xr3:uid="{39F9CA59-15DF-4038-A3D0-F30CE46BB845}" name="Rel.nr" dataDxfId="14"/>
    <tableColumn id="2" xr3:uid="{E4A71CD9-07CE-46AC-9546-D216D4E285ED}" name="Naam &amp; Initialen" dataDxfId="13"/>
    <tableColumn id="3" xr3:uid="{B1BB36A2-7C76-49C9-8DEB-279B073BDB6C}" name="Roepnaam" dataDxfId="12"/>
    <tableColumn id="4" xr3:uid="{CE56645C-EDBF-4F56-90C1-7F5123429BDC}" name="Leeftijd Peildatum" dataDxfId="11">
      <calculatedColumnFormula>VLOOKUP(YEAR(Tabel3[[#This Row],[Geb datum]]),Tabel8[#All],2,FALSE)</calculatedColumnFormula>
    </tableColumn>
    <tableColumn id="5" xr3:uid="{6BE2106D-00C6-41F4-A7DA-6E00DA33CA3D}" name="Geb datum" dataDxfId="10"/>
    <tableColumn id="6" xr3:uid="{92951544-1477-4890-995E-AAB450B80516}" name="Team op Peildatum" dataDxfId="9">
      <calculatedColumnFormula>VLOOKUP(YEAR(Tabel3[[#This Row],[Geb datum]]),Tabel8[#All],3,FALSE)</calculatedColumnFormula>
    </tableColumn>
    <tableColumn id="7" xr3:uid="{B275FF8B-3F2F-4977-A3EC-117059BE15C7}" name="Team 23-24" dataDxfId="8"/>
    <tableColumn id="10" xr3:uid="{EFEA58FD-932C-4942-AC5F-1AFB98BD08C6}" name="Team 22-232" dataDxfId="7"/>
    <tableColumn id="8" xr3:uid="{6A33BB6B-B238-4E49-9ADF-87306C92EF3E}" name="AR" dataDxfId="6"/>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628C8C-BCCD-4FC7-A5B4-5360C09A208A}" name="Tabel7" displayName="Tabel7" ref="B2:C10" totalsRowShown="0">
  <autoFilter ref="B2:C10" xr:uid="{F8628C8C-BCCD-4FC7-A5B4-5360C09A208A}"/>
  <tableColumns count="2">
    <tableColumn id="1" xr3:uid="{1B390E14-F8E2-4F54-A08F-8AA23E2A9984}" name="Dames"/>
    <tableColumn id="2" xr3:uid="{61C13FE2-AC50-4E71-9818-B40B53590669}" name="Aantal">
      <calculatedColumnFormula>COUNTIF(Spelerslijst!F:F,Count!B3)</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EFDAF4D-8C00-4043-9290-7D80FB3211E8}" name="Tabel9" displayName="Tabel9" ref="E2:F10" totalsRowShown="0">
  <autoFilter ref="E2:F10" xr:uid="{DEFDAF4D-8C00-4043-9290-7D80FB3211E8}"/>
  <tableColumns count="2">
    <tableColumn id="1" xr3:uid="{39B40BC4-DC06-4D24-BB91-A3D811BEBF48}" name="Heren"/>
    <tableColumn id="2" xr3:uid="{2A34FA23-05E2-42E4-99A9-1156E1DCED66}" name="Aantal">
      <calculatedColumnFormula>COUNTIF(Spelerslijst!P:P,Count!E3)</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69AF53-1EE6-4B39-9B64-3F02F0D774AB}" name="Tabel2" displayName="Tabel2" ref="A1:F93" totalsRowShown="0">
  <autoFilter ref="A1:F93" xr:uid="{E269AF53-1EE6-4B39-9B64-3F02F0D774AB}"/>
  <sortState xmlns:xlrd2="http://schemas.microsoft.com/office/spreadsheetml/2017/richdata2" ref="A2:F93">
    <sortCondition ref="B1:B93"/>
  </sortState>
  <tableColumns count="6">
    <tableColumn id="1" xr3:uid="{F4E38EE9-E2FC-4DCA-B87D-D17E9FD692D4}" name="Naam"/>
    <tableColumn id="2" xr3:uid="{E0C059FB-2261-46E4-8C50-90A4F5ABD7DD}" name="Team"/>
    <tableColumn id="3" xr3:uid="{67CE2758-1409-40A2-8A95-2CBB5A36DB73}" name="Functie"/>
    <tableColumn id="4" xr3:uid="{64EA5507-E898-44C2-B83B-BFCAFEEFA8A6}" name="eigen team"/>
    <tableColumn id="6" xr3:uid="{ACAEE753-D911-4971-83AE-435141B09E91}" name="team vorig jaar"/>
    <tableColumn id="5" xr3:uid="{75C6463C-DB32-427D-94DD-9D29F902A228}" name="Niveau "/>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279E89-959C-4714-883A-F89E51BDA26F}" name="leden" displayName="leden" ref="A1:G302" tableType="queryTable" totalsRowShown="0">
  <autoFilter ref="A1:G302" xr:uid="{4E279E89-959C-4714-883A-F89E51BDA26F}"/>
  <tableColumns count="7">
    <tableColumn id="1" xr3:uid="{A742683D-A38B-4A68-B88D-712F7B708810}" uniqueName="1" name="Relatiecode" queryTableFieldId="1" dataDxfId="5"/>
    <tableColumn id="2" xr3:uid="{C139250B-3C78-4E04-9AF9-0FBFB22516A5}" uniqueName="2" name="Volledige naam (2)" queryTableFieldId="2" dataDxfId="4"/>
    <tableColumn id="3" xr3:uid="{2AA56838-2700-4E0E-954D-284A07FE7CD5}" uniqueName="3" name="Roepnaam" queryTableFieldId="3" dataDxfId="3"/>
    <tableColumn id="4" xr3:uid="{1A3BD2E5-AE62-4B29-847F-8FBDA5DF7209}" uniqueName="4" name="Geboortedatum" queryTableFieldId="4" dataDxfId="2"/>
    <tableColumn id="5" xr3:uid="{89565097-8C85-48B3-ADEF-37950D086E41}" uniqueName="5" name="Lidmaatschapcode" queryTableFieldId="5"/>
    <tableColumn id="6" xr3:uid="{D5FECF69-F75F-4C4E-95C0-E1DB6795F794}" uniqueName="6" name="Status" queryTableFieldId="6" dataDxfId="1"/>
    <tableColumn id="7" xr3:uid="{95EA97AB-8610-4782-A5B7-36A59B284C5C}" uniqueName="7" name="Geslacht" queryTableFieldId="7" dataDxfId="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D57A63-77EA-4177-9A7F-236BACEC798E}" name="Tabel8" displayName="Tabel8" ref="A2:C73" totalsRowShown="0">
  <autoFilter ref="A2:C73" xr:uid="{00D57A63-77EA-4177-9A7F-236BACEC798E}"/>
  <tableColumns count="3">
    <tableColumn id="1" xr3:uid="{9A321647-84D2-456C-B9F0-ED42F3DDCE97}" name="Jaartal"/>
    <tableColumn id="2" xr3:uid="{5C825974-8B28-4C9E-8B3F-96D82C0CEA46}" name="Leeftijd"/>
    <tableColumn id="3" xr3:uid="{5A30BC24-B032-4AAA-AB53-9C5A94DCFD6C}" name="Categori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8073-5F9E-4B29-B2F6-04C6098E941D}">
  <sheetPr>
    <tabColor theme="9"/>
  </sheetPr>
  <dimension ref="A1:BD136"/>
  <sheetViews>
    <sheetView topLeftCell="A39" zoomScale="80" zoomScaleNormal="80" workbookViewId="0">
      <selection activeCell="E63" sqref="E63"/>
    </sheetView>
  </sheetViews>
  <sheetFormatPr defaultColWidth="8.7109375" defaultRowHeight="15"/>
  <cols>
    <col min="1" max="1" width="4.7109375" customWidth="1"/>
    <col min="2" max="2" width="24.7109375" customWidth="1"/>
    <col min="3" max="3" width="7.42578125" bestFit="1" customWidth="1"/>
    <col min="4" max="4" width="4.7109375" customWidth="1"/>
    <col min="5" max="5" width="24.7109375" customWidth="1"/>
    <col min="6" max="6" width="6.7109375" bestFit="1" customWidth="1"/>
    <col min="7" max="7" width="4.7109375" customWidth="1"/>
    <col min="8" max="8" width="3.42578125" customWidth="1"/>
    <col min="9" max="9" width="24.7109375" customWidth="1"/>
    <col min="10" max="10" width="12.140625" customWidth="1"/>
    <col min="11" max="11" width="4.7109375" customWidth="1"/>
    <col min="12" max="12" width="24.7109375" customWidth="1"/>
    <col min="13" max="13" width="7.42578125" bestFit="1" customWidth="1"/>
    <col min="14" max="14" width="4.7109375" customWidth="1"/>
    <col min="15" max="15" width="3.42578125" customWidth="1"/>
    <col min="16" max="16" width="24.7109375" customWidth="1"/>
    <col min="17" max="17" width="8.7109375" bestFit="1" customWidth="1"/>
    <col min="18" max="18" width="4.7109375" customWidth="1"/>
    <col min="19" max="19" width="24.7109375" customWidth="1"/>
    <col min="20" max="20" width="8.7109375" bestFit="1" customWidth="1"/>
    <col min="21" max="21" width="4.7109375" customWidth="1"/>
    <col min="22" max="22" width="3.42578125" customWidth="1"/>
    <col min="23" max="23" width="24.7109375" customWidth="1"/>
    <col min="24" max="24" width="8.7109375" bestFit="1" customWidth="1"/>
    <col min="25" max="25" width="4.7109375" customWidth="1"/>
    <col min="26" max="26" width="24.7109375" customWidth="1"/>
    <col min="27" max="27" width="8.7109375" bestFit="1" customWidth="1"/>
    <col min="28" max="28" width="4.7109375" customWidth="1"/>
    <col min="29" max="29" width="3.7109375" customWidth="1"/>
    <col min="30" max="30" width="24.7109375" customWidth="1"/>
    <col min="31" max="31" width="8.7109375" bestFit="1" customWidth="1"/>
    <col min="32" max="32" width="4.7109375" customWidth="1"/>
    <col min="33" max="33" width="24.7109375" customWidth="1"/>
    <col min="34" max="34" width="8.7109375" bestFit="1" customWidth="1"/>
    <col min="35" max="35" width="5.28515625" customWidth="1"/>
    <col min="36" max="36" width="3.7109375" customWidth="1"/>
    <col min="37" max="37" width="24.7109375" customWidth="1"/>
    <col min="38" max="38" width="8.7109375" bestFit="1" customWidth="1"/>
    <col min="39" max="39" width="4.7109375" customWidth="1"/>
    <col min="40" max="40" width="24.7109375" customWidth="1"/>
    <col min="41" max="41" width="8.7109375" bestFit="1" customWidth="1"/>
    <col min="42" max="42" width="4.7109375" customWidth="1"/>
    <col min="43" max="43" width="4.28515625" customWidth="1"/>
    <col min="44" max="44" width="24.7109375" customWidth="1"/>
    <col min="45" max="45" width="8.7109375" bestFit="1" customWidth="1"/>
    <col min="46" max="46" width="4.7109375" customWidth="1"/>
    <col min="47" max="47" width="24.7109375" customWidth="1"/>
    <col min="48" max="48" width="8.7109375" bestFit="1" customWidth="1"/>
    <col min="49" max="49" width="4.7109375" customWidth="1"/>
    <col min="51" max="51" width="24.7109375" customWidth="1"/>
    <col min="53" max="53" width="4.7109375" customWidth="1"/>
    <col min="54" max="54" width="24.7109375" customWidth="1"/>
    <col min="56" max="56" width="4.7109375" customWidth="1"/>
  </cols>
  <sheetData>
    <row r="1" spans="1:28" ht="15.75" thickBot="1"/>
    <row r="2" spans="1:28" ht="15.75" customHeight="1" thickBot="1">
      <c r="A2" s="103" t="s">
        <v>0</v>
      </c>
      <c r="B2" s="21" t="s">
        <v>1</v>
      </c>
      <c r="C2" s="21"/>
      <c r="D2" s="21"/>
      <c r="E2" s="21"/>
      <c r="F2" s="21"/>
      <c r="G2" s="22">
        <f>AVERAGE(D4:D21,G4:G21)</f>
        <v>23.681818181818183</v>
      </c>
      <c r="I2" s="21" t="s">
        <v>2</v>
      </c>
      <c r="J2" s="21"/>
      <c r="K2" s="21"/>
      <c r="L2" s="21"/>
      <c r="M2" s="21"/>
      <c r="N2" s="22">
        <f>AVERAGE(K4:K21,N4:N21)</f>
        <v>21.117647058823529</v>
      </c>
      <c r="P2" s="21" t="s">
        <v>3</v>
      </c>
      <c r="Q2" s="21"/>
      <c r="R2" s="21"/>
      <c r="S2" s="21"/>
      <c r="T2" s="21"/>
      <c r="U2" s="22" t="e">
        <f>AVERAGE(R4:R21,U4:U21)</f>
        <v>#DIV/0!</v>
      </c>
      <c r="W2" s="21" t="s">
        <v>4</v>
      </c>
      <c r="X2" s="21"/>
      <c r="Y2" s="21"/>
      <c r="Z2" s="21"/>
      <c r="AA2" s="21"/>
      <c r="AB2" s="22" t="e">
        <f>AVERAGE(Y4:Y21,AB4:AB21)</f>
        <v>#DIV/0!</v>
      </c>
    </row>
    <row r="3" spans="1:28" ht="15.75" thickBot="1">
      <c r="A3" s="103"/>
      <c r="B3" s="8" t="str">
        <f>CONCATENATE("Dames (",COUNTA(C4:C16),")")</f>
        <v>Dames (11)</v>
      </c>
      <c r="C3" s="9"/>
      <c r="D3" s="10"/>
      <c r="E3" s="8" t="str">
        <f>CONCATENATE("Heren (",COUNTA(F4:F16),")")</f>
        <v>Heren (11)</v>
      </c>
      <c r="F3" s="9"/>
      <c r="G3" s="10"/>
      <c r="I3" s="8" t="str">
        <f>CONCATENATE("Dames (",COUNTA(J4:J16),")")</f>
        <v>Dames (8)</v>
      </c>
      <c r="J3" s="9"/>
      <c r="K3" s="10"/>
      <c r="L3" s="8" t="str">
        <f>CONCATENATE("Heren (",COUNTA(M4:M16),")")</f>
        <v>Heren (9)</v>
      </c>
      <c r="M3" s="9"/>
      <c r="N3" s="10"/>
      <c r="P3" s="8" t="str">
        <f>CONCATENATE("Dames (",COUNTA(Q4:Q16),")")</f>
        <v>Dames (1)</v>
      </c>
      <c r="Q3" s="9"/>
      <c r="R3" s="10"/>
      <c r="S3" s="8" t="str">
        <f>CONCATENATE("Heren (",COUNTA(T4:T16),")")</f>
        <v>Heren (1)</v>
      </c>
      <c r="T3" s="9"/>
      <c r="U3" s="10"/>
      <c r="W3" s="8" t="str">
        <f>CONCATENATE("Dames (",COUNTA(X4:X16),")")</f>
        <v>Dames (1)</v>
      </c>
      <c r="X3" s="9"/>
      <c r="Y3" s="10"/>
      <c r="Z3" s="8" t="str">
        <f>CONCATENATE("Heren (",COUNTA(AA4:AA16),")")</f>
        <v>Heren (1)</v>
      </c>
      <c r="AA3" s="9"/>
      <c r="AB3" s="10"/>
    </row>
    <row r="4" spans="1:28">
      <c r="A4" s="103"/>
      <c r="B4" s="3" t="str" cm="1">
        <f t="array" ref="B4:B14">_xlfn._xlws.FILTER(Spelerslijst!$B:$B,Spelerslijst!$G:$G=B$2,"")</f>
        <v>Bridget ter Horst</v>
      </c>
      <c r="C4" s="4" t="str" cm="1">
        <f t="array" ref="C4:C14">_xlfn._xlws.FILTER(Spelerslijst!$H:$H,Spelerslijst!$G:$G=B$2,"")</f>
        <v>S5</v>
      </c>
      <c r="D4" s="5" cm="1">
        <f t="array" ref="D4:D14">_xlfn._xlws.FILTER(Spelerslijst!$D:$D,Spelerslijst!$G:$G=B$2,"")</f>
        <v>20</v>
      </c>
      <c r="E4" s="3" t="str" cm="1">
        <f t="array" ref="E4:E14">_xlfn._xlws.FILTER(Spelerslijst!$L:$L,Spelerslijst!$Q:$Q=B$2,"")</f>
        <v>Bart Driesprong</v>
      </c>
      <c r="F4" s="4" t="str" cm="1">
        <f t="array" ref="F4:F14">_xlfn._xlws.FILTER(Spelerslijst!$R:$R,Spelerslijst!$Q:$Q=B$2,"")</f>
        <v>S1</v>
      </c>
      <c r="G4" s="5" cm="1">
        <f t="array" ref="G4:G14">_xlfn._xlws.FILTER(Spelerslijst!$N:$N,Spelerslijst!$Q:$Q=B$2,"")</f>
        <v>25</v>
      </c>
      <c r="I4" s="3" t="str" cm="1">
        <f t="array" ref="I4:I11">_xlfn._xlws.FILTER(Spelerslijst!$B:$B,Spelerslijst!$G:$G=I$2,"")</f>
        <v>Angela Friebel</v>
      </c>
      <c r="J4" s="4" t="str" cm="1">
        <f t="array" ref="J4:J11">_xlfn._xlws.FILTER(Spelerslijst!$H:$H,Spelerslijst!$G:$G=I$2,"")</f>
        <v>S6</v>
      </c>
      <c r="K4" s="5" cm="1">
        <f t="array" ref="K4:K11">_xlfn._xlws.FILTER(Spelerslijst!$D:$D,Spelerslijst!$G:$G=I$2,"")</f>
        <v>21</v>
      </c>
      <c r="L4" s="3" t="str" cm="1">
        <f t="array" ref="L4:L12">_xlfn._xlws.FILTER(Spelerslijst!$L:$L,Spelerslijst!$Q:$Q=I$2,"")</f>
        <v>Cas Tieleman</v>
      </c>
      <c r="M4" s="4" t="str" cm="1">
        <f t="array" ref="M4:M12">_xlfn._xlws.FILTER(Spelerslijst!$R:$R,Spelerslijst!$Q:$Q=I$2,"")</f>
        <v>S6</v>
      </c>
      <c r="N4" s="5" cm="1">
        <f t="array" ref="N4:N12">_xlfn._xlws.FILTER(Spelerslijst!$N:$N,Spelerslijst!$Q:$Q=I$2,"")</f>
        <v>19</v>
      </c>
      <c r="P4" s="3" t="str" cm="1">
        <f t="array" ref="P4">_xlfn._xlws.FILTER(Spelerslijst!$B:$B,Spelerslijst!$G:$G=P$2,"")</f>
        <v/>
      </c>
      <c r="Q4" s="4" t="str" cm="1">
        <f t="array" ref="Q4">_xlfn._xlws.FILTER(Spelerslijst!$H:$H,Spelerslijst!$G:$G=P$2,"")</f>
        <v/>
      </c>
      <c r="R4" s="5" t="str" cm="1">
        <f t="array" ref="R4">_xlfn._xlws.FILTER(Spelerslijst!$D:$D,Spelerslijst!$G:$G=P$2,"")</f>
        <v/>
      </c>
      <c r="S4" s="3" t="str" cm="1">
        <f t="array" ref="S4">_xlfn._xlws.FILTER(Spelerslijst!$L:$L,Spelerslijst!$Q:$Q=P$2,"")</f>
        <v/>
      </c>
      <c r="T4" s="4" t="str" cm="1">
        <f t="array" ref="T4">_xlfn._xlws.FILTER(Spelerslijst!$R:$R,Spelerslijst!$Q:$Q=P$2,"")</f>
        <v/>
      </c>
      <c r="U4" s="5" t="str" cm="1">
        <f t="array" ref="U4">_xlfn._xlws.FILTER(Spelerslijst!$N:$N,Spelerslijst!$Q:$Q=P$2,"")</f>
        <v/>
      </c>
      <c r="W4" s="3" t="str" cm="1">
        <f t="array" ref="W4">_xlfn._xlws.FILTER(Spelerslijst!$B:$B,Spelerslijst!$G:$G=W$2,"")</f>
        <v/>
      </c>
      <c r="X4" s="4" t="str" cm="1">
        <f t="array" ref="X4">_xlfn._xlws.FILTER(Spelerslijst!$H:$H,Spelerslijst!$G:$G=W$2,"")</f>
        <v/>
      </c>
      <c r="Y4" s="5" t="str" cm="1">
        <f t="array" ref="Y4">_xlfn._xlws.FILTER(Spelerslijst!$D:$D,Spelerslijst!$G:$G=W$2,"")</f>
        <v/>
      </c>
      <c r="Z4" s="3" t="str" cm="1">
        <f t="array" ref="Z4">_xlfn._xlws.FILTER(Spelerslijst!$L:$L,Spelerslijst!$Q:$Q=W$2,"")</f>
        <v/>
      </c>
      <c r="AA4" s="4" t="str" cm="1">
        <f t="array" ref="AA4">_xlfn._xlws.FILTER(Spelerslijst!$R:$R,Spelerslijst!$Q:$Q=W$2,"")</f>
        <v/>
      </c>
      <c r="AB4" s="5" t="str" cm="1">
        <f t="array" ref="AB4">_xlfn._xlws.FILTER(Spelerslijst!$N:$N,Spelerslijst!$Q:$Q=W$2,"")</f>
        <v/>
      </c>
    </row>
    <row r="5" spans="1:28">
      <c r="A5" s="103"/>
      <c r="B5" s="6" t="str">
        <v>Demi van Dijk</v>
      </c>
      <c r="C5" s="2" t="str">
        <v>S2</v>
      </c>
      <c r="D5" s="7">
        <v>22</v>
      </c>
      <c r="E5" s="6" t="str">
        <v>Bob Mans</v>
      </c>
      <c r="F5" s="2" t="str">
        <v>S2</v>
      </c>
      <c r="G5" s="7">
        <v>27</v>
      </c>
      <c r="I5" s="6" t="str">
        <v>Carlijn Lievaart</v>
      </c>
      <c r="J5" s="2" t="str">
        <v>A2</v>
      </c>
      <c r="K5" s="7">
        <v>19</v>
      </c>
      <c r="L5" s="6" t="str">
        <v>Ché Kooper</v>
      </c>
      <c r="M5" s="2" t="str">
        <v>S7</v>
      </c>
      <c r="N5" s="7">
        <v>21</v>
      </c>
      <c r="P5" s="6"/>
      <c r="Q5" s="2"/>
      <c r="R5" s="7"/>
      <c r="S5" s="6"/>
      <c r="T5" s="2"/>
      <c r="U5" s="7"/>
      <c r="W5" s="6"/>
      <c r="X5" s="2"/>
      <c r="Y5" s="7"/>
      <c r="Z5" s="6"/>
      <c r="AA5" s="2"/>
      <c r="AB5" s="7"/>
    </row>
    <row r="6" spans="1:28">
      <c r="A6" s="103"/>
      <c r="B6" s="6" t="str">
        <v>Djuna Seevinck</v>
      </c>
      <c r="C6" s="2" t="str">
        <v>S1</v>
      </c>
      <c r="D6" s="7">
        <v>22</v>
      </c>
      <c r="E6" s="6" t="str">
        <v>Daniel den Uijl</v>
      </c>
      <c r="F6" s="2" t="str">
        <v>S5</v>
      </c>
      <c r="G6" s="7">
        <v>20</v>
      </c>
      <c r="I6" s="6" t="str">
        <v>Jany Lacroes</v>
      </c>
      <c r="J6" s="2" t="str">
        <v>S5</v>
      </c>
      <c r="K6" s="7">
        <v>25</v>
      </c>
      <c r="L6" s="6" t="str">
        <v>David Kuijper</v>
      </c>
      <c r="M6" s="2" t="str">
        <v>S6</v>
      </c>
      <c r="N6" s="7">
        <v>20</v>
      </c>
      <c r="P6" s="6"/>
      <c r="Q6" s="2"/>
      <c r="R6" s="7"/>
      <c r="S6" s="6"/>
      <c r="T6" s="2"/>
      <c r="U6" s="7"/>
      <c r="W6" s="6"/>
      <c r="X6" s="2"/>
      <c r="Y6" s="7"/>
      <c r="Z6" s="6"/>
      <c r="AA6" s="2"/>
      <c r="AB6" s="7"/>
    </row>
    <row r="7" spans="1:28">
      <c r="A7" s="103"/>
      <c r="B7" s="6" t="str">
        <v>Eva Teerds</v>
      </c>
      <c r="C7" s="2" t="str">
        <v>S2</v>
      </c>
      <c r="D7" s="7">
        <v>21</v>
      </c>
      <c r="E7" s="6" t="str">
        <v>Jaimy van Arkel</v>
      </c>
      <c r="F7" s="2" t="str">
        <v>*</v>
      </c>
      <c r="G7" s="7">
        <v>23</v>
      </c>
      <c r="I7" s="6" t="str">
        <v>Jennifer Herremans</v>
      </c>
      <c r="J7" s="2" t="str">
        <v>S6</v>
      </c>
      <c r="K7" s="7">
        <v>20</v>
      </c>
      <c r="L7" s="6" t="str">
        <v>Jens de Vlaming</v>
      </c>
      <c r="M7" s="2" t="str">
        <v>S6</v>
      </c>
      <c r="N7" s="7">
        <v>20</v>
      </c>
      <c r="P7" s="6"/>
      <c r="Q7" s="2"/>
      <c r="R7" s="7"/>
      <c r="S7" s="6"/>
      <c r="T7" s="2"/>
      <c r="U7" s="7"/>
      <c r="W7" s="6"/>
      <c r="X7" s="2"/>
      <c r="Y7" s="7"/>
      <c r="Z7" s="6"/>
      <c r="AA7" s="2"/>
      <c r="AB7" s="7"/>
    </row>
    <row r="8" spans="1:28">
      <c r="A8" s="103"/>
      <c r="B8" s="6" t="str">
        <v>Kim Dommisse</v>
      </c>
      <c r="C8" s="2" t="str">
        <v>S5</v>
      </c>
      <c r="D8" s="7">
        <v>22</v>
      </c>
      <c r="E8" s="6" t="str">
        <v>Joeri van Dijk</v>
      </c>
      <c r="F8" s="2" t="str">
        <v>S2</v>
      </c>
      <c r="G8" s="7">
        <v>25</v>
      </c>
      <c r="I8" s="6" t="str">
        <v>Kimberley Witman</v>
      </c>
      <c r="J8" s="2" t="str">
        <v>S6</v>
      </c>
      <c r="K8" s="7">
        <v>19</v>
      </c>
      <c r="L8" s="6" t="str">
        <v>Luuk Baars</v>
      </c>
      <c r="M8" s="2" t="str">
        <v>S5</v>
      </c>
      <c r="N8" s="7">
        <v>22</v>
      </c>
      <c r="P8" s="6"/>
      <c r="Q8" s="2"/>
      <c r="R8" s="7"/>
      <c r="S8" s="6"/>
      <c r="T8" s="2"/>
      <c r="U8" s="7"/>
      <c r="W8" s="6"/>
      <c r="X8" s="2"/>
      <c r="Y8" s="7"/>
      <c r="Z8" s="6"/>
      <c r="AA8" s="2"/>
      <c r="AB8" s="7"/>
    </row>
    <row r="9" spans="1:28">
      <c r="A9" s="103"/>
      <c r="B9" s="6" t="str">
        <v>Loïs Fernhout</v>
      </c>
      <c r="C9" s="2" t="str">
        <v>S5</v>
      </c>
      <c r="D9" s="7">
        <v>20</v>
      </c>
      <c r="E9" s="6" t="str">
        <v>Jordan Timmer</v>
      </c>
      <c r="F9" s="2" t="str">
        <v>A1</v>
      </c>
      <c r="G9" s="7">
        <v>19</v>
      </c>
      <c r="I9" s="6" t="str">
        <v>Lara Schram</v>
      </c>
      <c r="J9" s="2" t="str">
        <v>S5</v>
      </c>
      <c r="K9" s="7">
        <v>23</v>
      </c>
      <c r="L9" s="6" t="str">
        <v>Quinten van Driel</v>
      </c>
      <c r="M9" s="2" t="str">
        <v>S5</v>
      </c>
      <c r="N9" s="7">
        <v>23</v>
      </c>
      <c r="P9" s="6"/>
      <c r="Q9" s="2"/>
      <c r="R9" s="7"/>
      <c r="S9" s="6"/>
      <c r="T9" s="2"/>
      <c r="U9" s="7"/>
      <c r="W9" s="6"/>
      <c r="X9" s="2"/>
      <c r="Y9" s="7"/>
      <c r="Z9" s="6"/>
      <c r="AA9" s="2"/>
      <c r="AB9" s="7"/>
    </row>
    <row r="10" spans="1:28">
      <c r="A10" s="103"/>
      <c r="B10" s="6" t="str">
        <v>Milou Oppe</v>
      </c>
      <c r="C10" s="2" t="str">
        <v>S2</v>
      </c>
      <c r="D10" s="7">
        <v>21</v>
      </c>
      <c r="E10" s="6" t="str">
        <v>Marijn Klink</v>
      </c>
      <c r="F10" s="2" t="str">
        <v>S1</v>
      </c>
      <c r="G10" s="7">
        <v>26</v>
      </c>
      <c r="I10" s="6" t="str">
        <v>Sanne Dubbeld</v>
      </c>
      <c r="J10" s="2" t="str">
        <v>S6</v>
      </c>
      <c r="K10" s="7">
        <v>21</v>
      </c>
      <c r="L10" s="6" t="str">
        <v>Ruben Dubbeld</v>
      </c>
      <c r="M10" s="2" t="str">
        <v>S6</v>
      </c>
      <c r="N10" s="7">
        <v>23</v>
      </c>
      <c r="P10" s="6"/>
      <c r="Q10" s="2"/>
      <c r="R10" s="7"/>
      <c r="S10" s="6"/>
      <c r="T10" s="2"/>
      <c r="U10" s="7"/>
      <c r="W10" s="6"/>
      <c r="X10" s="2"/>
      <c r="Y10" s="7"/>
      <c r="Z10" s="6"/>
      <c r="AA10" s="2"/>
      <c r="AB10" s="7"/>
    </row>
    <row r="11" spans="1:28">
      <c r="A11" s="103"/>
      <c r="B11" s="6" t="str">
        <v>Renske Visser</v>
      </c>
      <c r="C11" s="2" t="str">
        <v>S2</v>
      </c>
      <c r="D11" s="7">
        <v>25</v>
      </c>
      <c r="E11" s="6" t="str">
        <v>Olivier Klink</v>
      </c>
      <c r="F11" s="2" t="str">
        <v>AR</v>
      </c>
      <c r="G11" s="7">
        <v>25</v>
      </c>
      <c r="I11" s="6" t="str">
        <v>Tessa Dubbeld</v>
      </c>
      <c r="J11" s="2" t="str">
        <v>S6</v>
      </c>
      <c r="K11" s="7">
        <v>23</v>
      </c>
      <c r="L11" s="6" t="str">
        <v>Thijs Boon</v>
      </c>
      <c r="M11" s="2" t="str">
        <v>S6</v>
      </c>
      <c r="N11" s="7">
        <v>20</v>
      </c>
      <c r="P11" s="6"/>
      <c r="Q11" s="2"/>
      <c r="R11" s="7"/>
      <c r="S11" s="6"/>
      <c r="T11" s="2"/>
      <c r="U11" s="7"/>
      <c r="W11" s="6"/>
      <c r="X11" s="2"/>
      <c r="Y11" s="7"/>
      <c r="Z11" s="6"/>
      <c r="AA11" s="2"/>
      <c r="AB11" s="7"/>
    </row>
    <row r="12" spans="1:28">
      <c r="A12" s="103"/>
      <c r="B12" s="6" t="str">
        <v>Robin Dommisse</v>
      </c>
      <c r="C12" s="2" t="str">
        <v>S2</v>
      </c>
      <c r="D12" s="7">
        <v>25</v>
      </c>
      <c r="E12" s="6" t="str">
        <v>Robin van Kalkeren</v>
      </c>
      <c r="F12" s="2" t="str">
        <v>S1</v>
      </c>
      <c r="G12" s="7">
        <v>27</v>
      </c>
      <c r="I12" s="6"/>
      <c r="J12" s="2"/>
      <c r="K12" s="7"/>
      <c r="L12" s="6" t="str">
        <v>Tijmen Fasbender</v>
      </c>
      <c r="M12" s="2" t="str">
        <v>S5</v>
      </c>
      <c r="N12" s="7">
        <v>20</v>
      </c>
      <c r="P12" s="6"/>
      <c r="Q12" s="2"/>
      <c r="R12" s="7"/>
      <c r="S12" s="6"/>
      <c r="T12" s="2"/>
      <c r="U12" s="7"/>
      <c r="W12" s="6"/>
      <c r="X12" s="2"/>
      <c r="Y12" s="7"/>
      <c r="Z12" s="6"/>
      <c r="AA12" s="2"/>
      <c r="AB12" s="7"/>
    </row>
    <row r="13" spans="1:28">
      <c r="A13" s="103"/>
      <c r="B13" s="6" t="str">
        <v>Vera Klootwijk</v>
      </c>
      <c r="C13" s="2" t="str">
        <v>*</v>
      </c>
      <c r="D13" s="7">
        <v>23</v>
      </c>
      <c r="E13" s="6" t="str">
        <v>Stefan Naaktgeboren</v>
      </c>
      <c r="F13" s="2" t="str">
        <v>S2</v>
      </c>
      <c r="G13" s="7">
        <v>32</v>
      </c>
      <c r="I13" s="6"/>
      <c r="J13" s="2"/>
      <c r="K13" s="7"/>
      <c r="L13" s="6"/>
      <c r="M13" s="2"/>
      <c r="N13" s="7"/>
      <c r="P13" s="6"/>
      <c r="Q13" s="2"/>
      <c r="R13" s="7"/>
      <c r="S13" s="6"/>
      <c r="T13" s="2"/>
      <c r="U13" s="7"/>
      <c r="W13" s="6"/>
      <c r="X13" s="2"/>
      <c r="Y13" s="7"/>
      <c r="Z13" s="6"/>
      <c r="AA13" s="2"/>
      <c r="AB13" s="7"/>
    </row>
    <row r="14" spans="1:28">
      <c r="A14" s="103"/>
      <c r="B14" s="6" t="str">
        <v>Xanne Klink</v>
      </c>
      <c r="C14" s="2" t="str">
        <v>S1</v>
      </c>
      <c r="D14" s="7">
        <v>28</v>
      </c>
      <c r="E14" s="6" t="str">
        <v>Tim van Gent</v>
      </c>
      <c r="F14" s="2" t="str">
        <v>S2</v>
      </c>
      <c r="G14" s="7">
        <v>23</v>
      </c>
      <c r="I14" s="6"/>
      <c r="J14" s="2"/>
      <c r="K14" s="7"/>
      <c r="L14" s="6"/>
      <c r="M14" s="2"/>
      <c r="N14" s="7"/>
      <c r="P14" s="6"/>
      <c r="Q14" s="2"/>
      <c r="R14" s="7"/>
      <c r="S14" s="6"/>
      <c r="T14" s="2"/>
      <c r="U14" s="7"/>
      <c r="W14" s="6"/>
      <c r="X14" s="2"/>
      <c r="Y14" s="7"/>
      <c r="Z14" s="6"/>
      <c r="AA14" s="2"/>
      <c r="AB14" s="7"/>
    </row>
    <row r="15" spans="1:28">
      <c r="A15" s="103"/>
      <c r="B15" s="6"/>
      <c r="C15" s="2"/>
      <c r="D15" s="7"/>
      <c r="E15" s="6"/>
      <c r="F15" s="2"/>
      <c r="G15" s="7"/>
      <c r="I15" s="6"/>
      <c r="J15" s="2"/>
      <c r="K15" s="7"/>
      <c r="L15" s="6"/>
      <c r="M15" s="2"/>
      <c r="N15" s="7"/>
      <c r="P15" s="6"/>
      <c r="Q15" s="2"/>
      <c r="R15" s="7"/>
      <c r="S15" s="6"/>
      <c r="T15" s="2"/>
      <c r="U15" s="7"/>
      <c r="W15" s="6"/>
      <c r="X15" s="2"/>
      <c r="Y15" s="7"/>
      <c r="Z15" s="6"/>
      <c r="AA15" s="2"/>
      <c r="AB15" s="7"/>
    </row>
    <row r="16" spans="1:28" ht="15.75" thickBot="1">
      <c r="A16" s="103"/>
      <c r="B16" s="6"/>
      <c r="C16" s="2"/>
      <c r="D16" s="7"/>
      <c r="E16" s="6"/>
      <c r="F16" s="2"/>
      <c r="G16" s="7"/>
      <c r="I16" s="6"/>
      <c r="J16" s="2"/>
      <c r="K16" s="7"/>
      <c r="L16" s="6"/>
      <c r="M16" s="2"/>
      <c r="N16" s="7"/>
      <c r="P16" s="6"/>
      <c r="Q16" s="2"/>
      <c r="R16" s="7"/>
      <c r="S16" s="6"/>
      <c r="T16" s="2"/>
      <c r="U16" s="7"/>
      <c r="W16" s="6"/>
      <c r="X16" s="2"/>
      <c r="Y16" s="7"/>
      <c r="Z16" s="6"/>
      <c r="AA16" s="2"/>
      <c r="AB16" s="7"/>
    </row>
    <row r="17" spans="1:56">
      <c r="A17" s="103"/>
      <c r="B17" s="12" t="str" cm="1">
        <f t="array" ref="B17:B24">_xlfn._xlws.FILTER(Staf!$C:$C,Staf!$B:$B=Teams!B2,"")</f>
        <v>Analist S1</v>
      </c>
      <c r="C17" s="13" t="str" cm="1">
        <f t="array" ref="C17:C24">_xlfn._xlws.FILTER(Staf!$A:$A,Staf!$B:$B=Teams!B2,"")</f>
        <v>Joris van den Neucker</v>
      </c>
      <c r="D17" s="13"/>
      <c r="E17" s="13"/>
      <c r="F17" s="13"/>
      <c r="G17" s="14"/>
      <c r="I17" s="12" t="str" cm="1">
        <f t="array" ref="I17">_xlfn._xlws.FILTER(Staf!$C:$C,Staf!$B:$B=Teams!I2,"")</f>
        <v>Trainer/Coach S5</v>
      </c>
      <c r="J17" s="13" t="str" cm="1">
        <f t="array" ref="J17">_xlfn._xlws.FILTER(Staf!$A:$A,Staf!$B:$B=Teams!I2,"")</f>
        <v>Robin Dommisse</v>
      </c>
      <c r="K17" s="13"/>
      <c r="L17" s="13"/>
      <c r="M17" s="13"/>
      <c r="N17" s="14"/>
      <c r="P17" s="12" t="str" cm="1">
        <f t="array" ref="P17">_xlfn._xlws.FILTER(Staf!$C:$C,Staf!$B:$B=Teams!P2,"")</f>
        <v>Trainer/Coach A1</v>
      </c>
      <c r="Q17" s="13" t="str" cm="1">
        <f t="array" ref="Q17">_xlfn._xlws.FILTER(Staf!$A:$A,Staf!$B:$B=Teams!P2,"")</f>
        <v>Rob van Dongen</v>
      </c>
      <c r="R17" s="13"/>
      <c r="S17" s="13"/>
      <c r="T17" s="13"/>
      <c r="U17" s="14"/>
      <c r="W17" s="12" t="str" cm="1">
        <f t="array" ref="W17">_xlfn._xlws.FILTER(Staf!$C:$C,Staf!$B:$B=Teams!W2,"")</f>
        <v/>
      </c>
      <c r="X17" s="13" t="str" cm="1">
        <f t="array" ref="X17">_xlfn._xlws.FILTER(Staf!$A:$A,Staf!$B:$B=Teams!W2,"")</f>
        <v/>
      </c>
      <c r="Y17" s="13"/>
      <c r="Z17" s="13"/>
      <c r="AA17" s="13"/>
      <c r="AB17" s="14"/>
    </row>
    <row r="18" spans="1:56">
      <c r="A18" s="103"/>
      <c r="B18" s="15" t="str">
        <v>Teambegeleider S1</v>
      </c>
      <c r="C18" s="16" t="str">
        <v>Dionne Broere</v>
      </c>
      <c r="D18" s="16"/>
      <c r="E18" s="16"/>
      <c r="F18" s="16"/>
      <c r="G18" s="17"/>
      <c r="I18" s="15"/>
      <c r="J18" s="16"/>
      <c r="K18" s="16"/>
      <c r="L18" s="16"/>
      <c r="M18" s="16"/>
      <c r="N18" s="17"/>
      <c r="P18" s="15"/>
      <c r="Q18" s="16"/>
      <c r="R18" s="16"/>
      <c r="S18" s="16"/>
      <c r="T18" s="16"/>
      <c r="U18" s="17"/>
      <c r="W18" s="15"/>
      <c r="X18" s="16"/>
      <c r="Y18" s="16"/>
      <c r="Z18" s="16"/>
      <c r="AA18" s="16"/>
      <c r="AB18" s="17"/>
    </row>
    <row r="19" spans="1:56">
      <c r="A19" s="103"/>
      <c r="B19" s="15" t="str">
        <v>Teambegeleider S2</v>
      </c>
      <c r="C19" s="16" t="str">
        <v>Sandra Kerklaan</v>
      </c>
      <c r="D19" s="16"/>
      <c r="E19" s="16"/>
      <c r="F19" s="16"/>
      <c r="G19" s="17"/>
      <c r="I19" s="15"/>
      <c r="J19" s="16"/>
      <c r="K19" s="16"/>
      <c r="L19" s="16"/>
      <c r="M19" s="16"/>
      <c r="N19" s="17"/>
      <c r="P19" s="15"/>
      <c r="Q19" s="16"/>
      <c r="R19" s="16"/>
      <c r="S19" s="16"/>
      <c r="T19" s="16"/>
      <c r="U19" s="17"/>
      <c r="W19" s="15"/>
      <c r="X19" s="16"/>
      <c r="Y19" s="16"/>
      <c r="Z19" s="16"/>
      <c r="AA19" s="16"/>
      <c r="AB19" s="17"/>
    </row>
    <row r="20" spans="1:56">
      <c r="A20" s="103"/>
      <c r="B20" s="15" t="str">
        <v>Fysio</v>
      </c>
      <c r="C20" s="16" t="str">
        <v>Ruben Kamerbeek</v>
      </c>
      <c r="D20" s="16"/>
      <c r="E20" s="16"/>
      <c r="F20" s="16"/>
      <c r="G20" s="17"/>
      <c r="I20" s="15"/>
      <c r="J20" s="16"/>
      <c r="K20" s="16"/>
      <c r="L20" s="16"/>
      <c r="M20" s="16"/>
      <c r="N20" s="17"/>
      <c r="P20" s="15"/>
      <c r="Q20" s="16"/>
      <c r="R20" s="16"/>
      <c r="S20" s="16"/>
      <c r="T20" s="16"/>
      <c r="U20" s="17"/>
      <c r="W20" s="15"/>
      <c r="X20" s="16"/>
      <c r="Y20" s="16"/>
      <c r="Z20" s="16"/>
      <c r="AA20" s="16"/>
      <c r="AB20" s="17"/>
    </row>
    <row r="21" spans="1:56">
      <c r="A21" s="103"/>
      <c r="B21" s="15" t="str">
        <v>Verzorger</v>
      </c>
      <c r="C21" s="16" t="str">
        <v>Theo Anrochte</v>
      </c>
      <c r="D21" s="16"/>
      <c r="E21" s="16"/>
      <c r="F21" s="16"/>
      <c r="G21" s="17"/>
      <c r="I21" s="15"/>
      <c r="J21" s="16"/>
      <c r="K21" s="16"/>
      <c r="L21" s="16"/>
      <c r="M21" s="16"/>
      <c r="N21" s="17"/>
      <c r="P21" s="15"/>
      <c r="Q21" s="16"/>
      <c r="R21" s="16"/>
      <c r="S21" s="16"/>
      <c r="T21" s="16"/>
      <c r="U21" s="17"/>
      <c r="W21" s="15"/>
      <c r="X21" s="16"/>
      <c r="Y21" s="16"/>
      <c r="Z21" s="16"/>
      <c r="AA21" s="16"/>
      <c r="AB21" s="17"/>
    </row>
    <row r="22" spans="1:56">
      <c r="A22" s="103"/>
      <c r="B22" s="15" t="str">
        <v>Coach S2</v>
      </c>
      <c r="C22" s="16" t="str">
        <v>Arthyn Muller</v>
      </c>
      <c r="D22" s="16"/>
      <c r="E22" s="16"/>
      <c r="F22" s="16"/>
      <c r="G22" s="17"/>
      <c r="I22" s="15"/>
      <c r="J22" s="16"/>
      <c r="K22" s="16"/>
      <c r="L22" s="16"/>
      <c r="M22" s="16"/>
      <c r="N22" s="17"/>
      <c r="P22" s="15"/>
      <c r="Q22" s="16"/>
      <c r="R22" s="16"/>
      <c r="S22" s="16"/>
      <c r="T22" s="16"/>
      <c r="U22" s="17"/>
      <c r="W22" s="15"/>
      <c r="X22" s="16"/>
      <c r="Y22" s="16"/>
      <c r="Z22" s="16"/>
      <c r="AA22" s="16"/>
      <c r="AB22" s="17"/>
    </row>
    <row r="23" spans="1:56">
      <c r="A23" s="103"/>
      <c r="B23" s="15" t="str">
        <v>Coach S2</v>
      </c>
      <c r="C23" s="16" t="str">
        <v>Jeroen de Kruif</v>
      </c>
      <c r="D23" s="16"/>
      <c r="E23" s="16"/>
      <c r="F23" s="16"/>
      <c r="G23" s="17"/>
      <c r="I23" s="15"/>
      <c r="J23" s="16"/>
      <c r="K23" s="16"/>
      <c r="L23" s="16"/>
      <c r="M23" s="16"/>
      <c r="N23" s="17"/>
      <c r="P23" s="15"/>
      <c r="Q23" s="16"/>
      <c r="R23" s="16"/>
      <c r="S23" s="16"/>
      <c r="T23" s="16"/>
      <c r="U23" s="17"/>
      <c r="W23" s="15"/>
      <c r="X23" s="16"/>
      <c r="Y23" s="16"/>
      <c r="Z23" s="16"/>
      <c r="AA23" s="16"/>
      <c r="AB23" s="17"/>
    </row>
    <row r="24" spans="1:56" ht="15.75" thickBot="1">
      <c r="A24" s="103"/>
      <c r="B24" s="18" t="str">
        <v>Coach S1</v>
      </c>
      <c r="C24" s="19" t="str">
        <v>Bo van Hoof</v>
      </c>
      <c r="D24" s="19"/>
      <c r="E24" s="19"/>
      <c r="F24" s="19"/>
      <c r="G24" s="20"/>
      <c r="I24" s="18"/>
      <c r="J24" s="19"/>
      <c r="K24" s="19"/>
      <c r="L24" s="19"/>
      <c r="M24" s="19"/>
      <c r="N24" s="20"/>
      <c r="P24" s="18"/>
      <c r="Q24" s="19"/>
      <c r="R24" s="19"/>
      <c r="S24" s="19"/>
      <c r="T24" s="19"/>
      <c r="U24" s="20"/>
      <c r="W24" s="18"/>
      <c r="X24" s="19"/>
      <c r="Y24" s="19"/>
      <c r="Z24" s="19"/>
      <c r="AA24" s="19"/>
      <c r="AB24" s="20"/>
    </row>
    <row r="25" spans="1:56" ht="15.75" thickBot="1"/>
    <row r="26" spans="1:56" ht="15.75" thickBot="1">
      <c r="A26" s="103" t="s">
        <v>5</v>
      </c>
      <c r="B26" s="21" t="s">
        <v>6</v>
      </c>
      <c r="C26" s="21"/>
      <c r="D26" s="21"/>
      <c r="E26" s="21"/>
      <c r="F26" s="21"/>
      <c r="G26" s="22" t="e">
        <f>AVERAGE(D28:D37,G28:G37)</f>
        <v>#DIV/0!</v>
      </c>
      <c r="I26" s="21" t="s">
        <v>7</v>
      </c>
      <c r="J26" s="21"/>
      <c r="K26" s="21"/>
      <c r="L26" s="21"/>
      <c r="M26" s="21"/>
      <c r="N26" s="22" t="e">
        <f>AVERAGE(K28:K37,N28:N37)</f>
        <v>#DIV/0!</v>
      </c>
      <c r="P26" s="21" t="s">
        <v>8</v>
      </c>
      <c r="Q26" s="21"/>
      <c r="R26" s="21"/>
      <c r="S26" s="21"/>
      <c r="T26" s="21"/>
      <c r="U26" s="22">
        <f>AVERAGE(R28:R37,U28:U37)</f>
        <v>31.5</v>
      </c>
      <c r="W26" s="21" t="s">
        <v>9</v>
      </c>
      <c r="X26" s="21"/>
      <c r="Y26" s="21"/>
      <c r="Z26" s="21"/>
      <c r="AA26" s="21"/>
      <c r="AB26" s="22">
        <f>AVERAGE(Y28:Y37,AB28:AB37)</f>
        <v>38.6</v>
      </c>
      <c r="AD26" s="21" t="s">
        <v>10</v>
      </c>
      <c r="AE26" s="21"/>
      <c r="AF26" s="21"/>
      <c r="AG26" s="21"/>
      <c r="AH26" s="21"/>
      <c r="AI26" s="22" t="e">
        <f>AVERAGE(AF28:AF37,AI28:AI37)</f>
        <v>#DIV/0!</v>
      </c>
      <c r="AK26" s="21" t="s">
        <v>11</v>
      </c>
      <c r="AL26" s="21"/>
      <c r="AM26" s="21"/>
      <c r="AN26" s="21"/>
      <c r="AO26" s="21"/>
      <c r="AP26" s="22" t="e">
        <f>AVERAGE(AM28:AM37,AP28:AP37)</f>
        <v>#DIV/0!</v>
      </c>
      <c r="AR26" s="21" t="s">
        <v>12</v>
      </c>
      <c r="AS26" s="21"/>
      <c r="AT26" s="21"/>
      <c r="AU26" s="21"/>
      <c r="AV26" s="21"/>
      <c r="AW26" s="22">
        <f>AVERAGE(AT28:AT37,AW28:AW37)</f>
        <v>21.75</v>
      </c>
      <c r="AY26" s="21" t="s">
        <v>13</v>
      </c>
      <c r="AZ26" s="21"/>
      <c r="BA26" s="21"/>
      <c r="BB26" s="21"/>
      <c r="BC26" s="21"/>
      <c r="BD26" s="22">
        <f>AVERAGE(BA28:BA37,BD28:BD37)</f>
        <v>39</v>
      </c>
    </row>
    <row r="27" spans="1:56" ht="15.75" thickBot="1">
      <c r="A27" s="103"/>
      <c r="B27" s="8" t="str">
        <f>CONCATENATE("Dames (",COUNTA(C28:C35),")")</f>
        <v>Dames (1)</v>
      </c>
      <c r="C27" s="9"/>
      <c r="D27" s="10"/>
      <c r="E27" s="8" t="str">
        <f>CONCATENATE("Heren (",COUNTA(F28:F35),")")</f>
        <v>Heren (1)</v>
      </c>
      <c r="F27" s="9"/>
      <c r="G27" s="10"/>
      <c r="I27" s="8" t="str">
        <f>CONCATENATE("Dames (",COUNTA(J28:J35),")")</f>
        <v>Dames (1)</v>
      </c>
      <c r="J27" s="9"/>
      <c r="K27" s="10"/>
      <c r="L27" s="8" t="str">
        <f>CONCATENATE("Heren (",COUNTA(M28:M35),")")</f>
        <v>Heren (1)</v>
      </c>
      <c r="M27" s="9"/>
      <c r="N27" s="10"/>
      <c r="P27" s="8" t="str">
        <f>CONCATENATE("Dames (",COUNTA(Q28:Q35),")")</f>
        <v>Dames (7)</v>
      </c>
      <c r="Q27" s="9"/>
      <c r="R27" s="10"/>
      <c r="S27" s="8" t="str">
        <f>CONCATENATE("Heren (",COUNTA(T28:T35),")")</f>
        <v>Heren (5)</v>
      </c>
      <c r="T27" s="9"/>
      <c r="U27" s="10"/>
      <c r="W27" s="8" t="str">
        <f>CONCATENATE("Dames (",COUNTA(X28:X35),")")</f>
        <v>Dames (5)</v>
      </c>
      <c r="X27" s="9"/>
      <c r="Y27" s="10"/>
      <c r="Z27" s="8" t="str">
        <f>CONCATENATE("Heren (",COUNTA(AA28:AA35),")")</f>
        <v>Heren (5)</v>
      </c>
      <c r="AA27" s="9"/>
      <c r="AB27" s="10"/>
      <c r="AD27" s="8" t="str">
        <f>CONCATENATE("Dames (",COUNTA(AE28:AE35),")")</f>
        <v>Dames (1)</v>
      </c>
      <c r="AE27" s="9"/>
      <c r="AF27" s="10"/>
      <c r="AG27" s="8" t="str">
        <f>CONCATENATE("Heren (",COUNTA(AH28:AH35),")")</f>
        <v>Heren (1)</v>
      </c>
      <c r="AH27" s="9"/>
      <c r="AI27" s="10"/>
      <c r="AK27" s="8" t="str">
        <f>CONCATENATE("Dames (",COUNTA(AL28:AL35),")")</f>
        <v>Dames (1)</v>
      </c>
      <c r="AL27" s="9"/>
      <c r="AM27" s="10"/>
      <c r="AN27" s="8" t="str">
        <f>CONCATENATE("Heren (",COUNTA(AO28:AO35),")")</f>
        <v>Heren (1)</v>
      </c>
      <c r="AO27" s="9"/>
      <c r="AP27" s="10"/>
      <c r="AR27" s="8" t="str">
        <f>CONCATENATE("Dames (",COUNTA(AS28:AS35),")")</f>
        <v>Dames (5)</v>
      </c>
      <c r="AS27" s="9"/>
      <c r="AT27" s="10"/>
      <c r="AU27" s="8" t="str">
        <f>CONCATENATE("Heren (",COUNTA(AV28:AV35),")")</f>
        <v>Heren (3)</v>
      </c>
      <c r="AV27" s="9"/>
      <c r="AW27" s="10"/>
      <c r="AY27" s="8" t="str">
        <f>CONCATENATE("Dames (",COUNTA(AZ28:AZ35),")")</f>
        <v>Dames (7)</v>
      </c>
      <c r="AZ27" s="9"/>
      <c r="BA27" s="10"/>
      <c r="BB27" s="8" t="str">
        <f>CONCATENATE("Heren (",COUNTA(BC28:BC35),")")</f>
        <v>Heren (6)</v>
      </c>
      <c r="BC27" s="9"/>
      <c r="BD27" s="10"/>
    </row>
    <row r="28" spans="1:56">
      <c r="A28" s="103"/>
      <c r="B28" s="3" t="str" cm="1">
        <f t="array" ref="B28">_xlfn._xlws.FILTER(Spelerslijst!$B:$B,Spelerslijst!$G:$G=B$26,"")</f>
        <v/>
      </c>
      <c r="C28" s="4" t="str" cm="1">
        <f t="array" ref="C28">_xlfn._xlws.FILTER(Spelerslijst!$H:$H,Spelerslijst!$G:$G=B$26,"")</f>
        <v/>
      </c>
      <c r="D28" s="5" t="str" cm="1">
        <f t="array" ref="D28">_xlfn._xlws.FILTER(Spelerslijst!$D:$D,Spelerslijst!$G:$G=B$26,"")</f>
        <v/>
      </c>
      <c r="E28" s="3" t="str" cm="1">
        <f t="array" ref="E28">_xlfn._xlws.FILTER(Spelerslijst!$L:$L,Spelerslijst!$Q:$Q=B$26,"")</f>
        <v/>
      </c>
      <c r="F28" s="4" t="str" cm="1">
        <f t="array" ref="F28">_xlfn._xlws.FILTER(Spelerslijst!$R:$R,Spelerslijst!$Q:$Q=B$26,"")</f>
        <v/>
      </c>
      <c r="G28" s="5" t="str" cm="1">
        <f t="array" ref="G28">_xlfn._xlws.FILTER(Spelerslijst!$N:$N,Spelerslijst!$Q:$Q=B$26,"")</f>
        <v/>
      </c>
      <c r="I28" s="3" t="str" cm="1">
        <f t="array" ref="I28">_xlfn._xlws.FILTER(Spelerslijst!$B:$B,Spelerslijst!$G:$G=I$26,"")</f>
        <v/>
      </c>
      <c r="J28" s="4" t="str" cm="1">
        <f t="array" ref="J28">_xlfn._xlws.FILTER(Spelerslijst!$H:$H,Spelerslijst!$G:$G=I$26,"")</f>
        <v/>
      </c>
      <c r="K28" s="5" t="str" cm="1">
        <f t="array" ref="K28">_xlfn._xlws.FILTER(Spelerslijst!$D:$D,Spelerslijst!$G:$G=I$26,"")</f>
        <v/>
      </c>
      <c r="L28" s="3" t="str" cm="1">
        <f t="array" ref="L28">_xlfn._xlws.FILTER(Spelerslijst!$L:$L,Spelerslijst!$Q:$Q=I$26,"")</f>
        <v/>
      </c>
      <c r="M28" s="4" t="str" cm="1">
        <f t="array" ref="M28">_xlfn._xlws.FILTER(Spelerslijst!$R:$R,Spelerslijst!$Q:$Q=I$26,"")</f>
        <v/>
      </c>
      <c r="N28" s="5" t="str" cm="1">
        <f t="array" ref="N28">_xlfn._xlws.FILTER(Spelerslijst!$N:$N,Spelerslijst!$Q:$Q=I$26,"")</f>
        <v/>
      </c>
      <c r="P28" s="3" t="str" cm="1">
        <f t="array" ref="P28:P34">_xlfn._xlws.FILTER(Spelerslijst!$B:$B,Spelerslijst!$G:$G=P$26,"")</f>
        <v>Esther Ardon</v>
      </c>
      <c r="Q28" s="4" t="str" cm="1">
        <f t="array" ref="Q28:Q34">_xlfn._xlws.FILTER(Spelerslijst!$H:$H,Spelerslijst!$G:$G=P$26,"")</f>
        <v>S3</v>
      </c>
      <c r="R28" s="5" cm="1">
        <f t="array" ref="R28:R34">_xlfn._xlws.FILTER(Spelerslijst!$D:$D,Spelerslijst!$G:$G=P$26,"")</f>
        <v>27</v>
      </c>
      <c r="S28" s="3" t="str" cm="1">
        <f t="array" ref="S28:S32">_xlfn._xlws.FILTER(Spelerslijst!$L:$L,Spelerslijst!$Q:$Q=P$26,"")</f>
        <v>Emiel Houwerzijl</v>
      </c>
      <c r="T28" s="4" t="str" cm="1">
        <f t="array" ref="T28:T32">_xlfn._xlws.FILTER(Spelerslijst!$R:$R,Spelerslijst!$Q:$Q=P$26,"")</f>
        <v>S3</v>
      </c>
      <c r="U28" s="5" cm="1">
        <f t="array" ref="U28:U32">_xlfn._xlws.FILTER(Spelerslijst!$N:$N,Spelerslijst!$Q:$Q=P$26,"")</f>
        <v>29</v>
      </c>
      <c r="W28" s="3" t="str" cm="1">
        <f t="array" ref="W28:W32">_xlfn._xlws.FILTER(Spelerslijst!$B:$B,Spelerslijst!$G:$G=W$26,"")</f>
        <v>Barbara Camphens-Moerman</v>
      </c>
      <c r="X28" s="4" t="str" cm="1">
        <f t="array" ref="X28:X32">_xlfn._xlws.FILTER(Spelerslijst!$H:$H,Spelerslijst!$G:$G=W$26,"")</f>
        <v>MW1</v>
      </c>
      <c r="Y28" s="5" cm="1">
        <f t="array" ref="Y28:Y32">_xlfn._xlws.FILTER(Spelerslijst!$D:$D,Spelerslijst!$G:$G=W$26,"")</f>
        <v>42</v>
      </c>
      <c r="Z28" s="3" t="str" cm="1">
        <f t="array" ref="Z28:Z32">_xlfn._xlws.FILTER(Spelerslijst!$L:$L,Spelerslijst!$Q:$Q=W$26,"")</f>
        <v>Antjan Laban</v>
      </c>
      <c r="AA28" s="4" t="str" cm="1">
        <f t="array" ref="AA28:AA32">_xlfn._xlws.FILTER(Spelerslijst!$R:$R,Spelerslijst!$Q:$Q=W$26,"")</f>
        <v>S4</v>
      </c>
      <c r="AB28" s="5" cm="1">
        <f t="array" ref="AB28:AB32">_xlfn._xlws.FILTER(Spelerslijst!$N:$N,Spelerslijst!$Q:$Q=W$26,"")</f>
        <v>43</v>
      </c>
      <c r="AD28" s="3" t="str" cm="1">
        <f t="array" ref="AD28">_xlfn._xlws.FILTER(Spelerslijst!$B:$B,Spelerslijst!$G:$G=AD$26,"")</f>
        <v/>
      </c>
      <c r="AE28" s="4" t="str" cm="1">
        <f t="array" ref="AE28">_xlfn._xlws.FILTER(Spelerslijst!$H:$H,Spelerslijst!$G:$G=AD$26,"")</f>
        <v/>
      </c>
      <c r="AF28" s="5" t="str" cm="1">
        <f t="array" ref="AF28">_xlfn._xlws.FILTER(Spelerslijst!$D:$D,Spelerslijst!$G:$G=AD$26,"")</f>
        <v/>
      </c>
      <c r="AG28" s="3" t="str" cm="1">
        <f t="array" ref="AG28">_xlfn._xlws.FILTER(Spelerslijst!$L:$L,Spelerslijst!$Q:$Q=AD$26,"")</f>
        <v/>
      </c>
      <c r="AH28" s="4" t="str" cm="1">
        <f t="array" ref="AH28">_xlfn._xlws.FILTER(Spelerslijst!$R:$R,Spelerslijst!$Q:$Q=AD$26,"")</f>
        <v/>
      </c>
      <c r="AI28" s="5" t="str" cm="1">
        <f t="array" ref="AI28">_xlfn._xlws.FILTER(Spelerslijst!$N:$N,Spelerslijst!$Q:$Q=AD$26,"")</f>
        <v/>
      </c>
      <c r="AK28" s="3" t="str" cm="1">
        <f t="array" ref="AK28">_xlfn._xlws.FILTER(Spelerslijst!$B:$B,Spelerslijst!$G:$G=AK$26,"")</f>
        <v/>
      </c>
      <c r="AL28" s="4" t="str" cm="1">
        <f t="array" ref="AL28">_xlfn._xlws.FILTER(Spelerslijst!$H:$H,Spelerslijst!$G:$G=AK$26,"")</f>
        <v/>
      </c>
      <c r="AM28" s="5" t="str" cm="1">
        <f t="array" ref="AM28">_xlfn._xlws.FILTER(Spelerslijst!$D:$D,Spelerslijst!$G:$G=AK$26,"")</f>
        <v/>
      </c>
      <c r="AN28" s="3" t="str" cm="1">
        <f t="array" ref="AN28">_xlfn._xlws.FILTER(Spelerslijst!$L:$L,Spelerslijst!$Q:$Q=AK$26,"")</f>
        <v/>
      </c>
      <c r="AO28" s="4" t="str" cm="1">
        <f t="array" ref="AO28">_xlfn._xlws.FILTER(Spelerslijst!$R:$R,Spelerslijst!$Q:$Q=AK$26,"")</f>
        <v/>
      </c>
      <c r="AP28" s="5" t="str" cm="1">
        <f t="array" ref="AP28">_xlfn._xlws.FILTER(Spelerslijst!$N:$N,Spelerslijst!$Q:$Q=AK$26,"")</f>
        <v/>
      </c>
      <c r="AR28" s="3" t="str" cm="1">
        <f t="array" ref="AR28:AR32">_xlfn._xlws.FILTER(Spelerslijst!$B:$B,Spelerslijst!$G:$G=AR$26,"")</f>
        <v>Anniek Pierse</v>
      </c>
      <c r="AS28" s="4" t="str" cm="1">
        <f t="array" ref="AS28:AS32">_xlfn._xlws.FILTER(Spelerslijst!$H:$H,Spelerslijst!$G:$G=AR$26,"")</f>
        <v>S7</v>
      </c>
      <c r="AT28" s="5" cm="1">
        <f t="array" ref="AT28:AT32">_xlfn._xlws.FILTER(Spelerslijst!$D:$D,Spelerslijst!$G:$G=AR$26,"")</f>
        <v>21</v>
      </c>
      <c r="AU28" s="3" t="str" cm="1">
        <f t="array" ref="AU28:AU30">_xlfn._xlws.FILTER(Spelerslijst!$L:$L,Spelerslijst!$Q:$Q=AR$26,"")</f>
        <v>Joram Flach</v>
      </c>
      <c r="AV28" s="4" t="str" cm="1">
        <f t="array" ref="AV28:AV30">_xlfn._xlws.FILTER(Spelerslijst!$R:$R,Spelerslijst!$Q:$Q=AR$26,"")</f>
        <v>S7</v>
      </c>
      <c r="AW28" s="5" cm="1">
        <f t="array" ref="AW28:AW30">_xlfn._xlws.FILTER(Spelerslijst!$N:$N,Spelerslijst!$Q:$Q=AR$26,"")</f>
        <v>24</v>
      </c>
      <c r="AY28" s="3" t="str" cm="1">
        <f t="array" ref="AY28:AY34">_xlfn._xlws.FILTER(Spelerslijst!$B:$B,Spelerslijst!$G:$G=AY$26,"")</f>
        <v>Dorien in 't Veld</v>
      </c>
      <c r="AZ28" s="4" t="str" cm="1">
        <f t="array" ref="AZ28:AZ34">_xlfn._xlws.FILTER(Spelerslijst!$H:$H,Spelerslijst!$G:$G=AY$26,"")</f>
        <v>MW1</v>
      </c>
      <c r="BA28" s="5" cm="1">
        <f t="array" ref="BA28:BA34">_xlfn._xlws.FILTER(Spelerslijst!$D:$D,Spelerslijst!$G:$G=AY$26,"")</f>
        <v>38</v>
      </c>
      <c r="BB28" s="3" t="str" cm="1">
        <f t="array" ref="BB28:BB33">_xlfn._xlws.FILTER(Spelerslijst!$L:$L,Spelerslijst!$Q:$Q=AY$26,"")</f>
        <v>Hans Ploeg</v>
      </c>
      <c r="BC28" s="4" t="str" cm="1">
        <f t="array" ref="BC28:BC33">_xlfn._xlws.FILTER(Spelerslijst!$R:$R,Spelerslijst!$Q:$Q=AY$26,"")</f>
        <v>*</v>
      </c>
      <c r="BD28" s="5" cm="1">
        <f t="array" ref="BD28:BD33">_xlfn._xlws.FILTER(Spelerslijst!$N:$N,Spelerslijst!$Q:$Q=AY$26,"")</f>
        <v>38</v>
      </c>
    </row>
    <row r="29" spans="1:56">
      <c r="A29" s="103"/>
      <c r="B29" s="6"/>
      <c r="C29" s="2"/>
      <c r="D29" s="7"/>
      <c r="E29" s="6"/>
      <c r="F29" s="2"/>
      <c r="G29" s="7"/>
      <c r="I29" s="6"/>
      <c r="J29" s="2"/>
      <c r="K29" s="7"/>
      <c r="L29" s="6"/>
      <c r="M29" s="2"/>
      <c r="N29" s="7"/>
      <c r="P29" s="6" t="str">
        <v>Hanneke Batenburg</v>
      </c>
      <c r="Q29" s="2" t="str">
        <v>S3</v>
      </c>
      <c r="R29" s="7">
        <v>36</v>
      </c>
      <c r="S29" s="6" t="str">
        <v>Jan Booy</v>
      </c>
      <c r="T29" s="2" t="str">
        <v>S3</v>
      </c>
      <c r="U29" s="7">
        <v>33</v>
      </c>
      <c r="W29" s="6" t="str">
        <v>Diana Visser-Michelsen</v>
      </c>
      <c r="X29" s="2" t="str">
        <v>S4</v>
      </c>
      <c r="Y29" s="7">
        <v>31</v>
      </c>
      <c r="Z29" s="6" t="str">
        <v>Arjan Noels</v>
      </c>
      <c r="AA29" s="2" t="str">
        <v>S4</v>
      </c>
      <c r="AB29" s="7">
        <v>43</v>
      </c>
      <c r="AD29" s="6"/>
      <c r="AE29" s="2"/>
      <c r="AF29" s="7"/>
      <c r="AG29" s="6"/>
      <c r="AH29" s="2"/>
      <c r="AI29" s="7"/>
      <c r="AK29" s="6"/>
      <c r="AL29" s="2"/>
      <c r="AM29" s="7"/>
      <c r="AN29" s="6"/>
      <c r="AO29" s="2"/>
      <c r="AP29" s="7"/>
      <c r="AR29" s="6" t="str">
        <v>Laura Koote</v>
      </c>
      <c r="AS29" s="2" t="str">
        <v>S7</v>
      </c>
      <c r="AT29" s="7">
        <v>21</v>
      </c>
      <c r="AU29" s="6" t="str">
        <v>Mark Schindler</v>
      </c>
      <c r="AV29" s="2" t="str">
        <v>S7</v>
      </c>
      <c r="AW29" s="7">
        <v>24</v>
      </c>
      <c r="AY29" s="6" t="str">
        <v>Kim Heesterbeek</v>
      </c>
      <c r="AZ29" s="2" t="str">
        <v>*</v>
      </c>
      <c r="BA29" s="7">
        <v>36</v>
      </c>
      <c r="BB29" s="6" t="str">
        <v>Michiel 't Jong</v>
      </c>
      <c r="BC29" s="2" t="str">
        <v>MW1</v>
      </c>
      <c r="BD29" s="7">
        <v>42</v>
      </c>
    </row>
    <row r="30" spans="1:56">
      <c r="A30" s="103"/>
      <c r="B30" s="6"/>
      <c r="C30" s="2"/>
      <c r="D30" s="7"/>
      <c r="E30" s="6"/>
      <c r="F30" s="2"/>
      <c r="G30" s="7"/>
      <c r="I30" s="6"/>
      <c r="J30" s="2"/>
      <c r="K30" s="7"/>
      <c r="L30" s="6"/>
      <c r="M30" s="2"/>
      <c r="N30" s="7"/>
      <c r="P30" s="6" t="str">
        <v>Linda Ardon</v>
      </c>
      <c r="Q30" s="2" t="str">
        <v>S3</v>
      </c>
      <c r="R30" s="7">
        <v>31</v>
      </c>
      <c r="S30" s="6" t="str">
        <v>Lex van Gent</v>
      </c>
      <c r="T30" s="2" t="str">
        <v>S1</v>
      </c>
      <c r="U30" s="7">
        <v>28</v>
      </c>
      <c r="W30" s="6" t="str">
        <v>Esther Wibbens</v>
      </c>
      <c r="X30" s="2" t="str">
        <v>S4</v>
      </c>
      <c r="Y30" s="7">
        <v>31</v>
      </c>
      <c r="Z30" s="6" t="str">
        <v>Bart de Wit</v>
      </c>
      <c r="AA30" s="2" t="str">
        <v>S4</v>
      </c>
      <c r="AB30" s="7">
        <v>44</v>
      </c>
      <c r="AD30" s="6"/>
      <c r="AE30" s="2"/>
      <c r="AF30" s="7"/>
      <c r="AG30" s="6"/>
      <c r="AH30" s="2"/>
      <c r="AI30" s="7"/>
      <c r="AK30" s="60"/>
      <c r="AL30" s="2"/>
      <c r="AM30" s="7"/>
      <c r="AN30" s="6"/>
      <c r="AO30" s="2"/>
      <c r="AP30" s="7"/>
      <c r="AR30" s="6" t="str">
        <v>Marlies Valk</v>
      </c>
      <c r="AS30" s="2" t="str">
        <v>S7</v>
      </c>
      <c r="AT30" s="7">
        <v>20</v>
      </c>
      <c r="AU30" s="6" t="str">
        <v>Rick van de Wijgaart</v>
      </c>
      <c r="AV30" s="2" t="str">
        <v>S7</v>
      </c>
      <c r="AW30" s="7">
        <v>20</v>
      </c>
      <c r="AY30" s="6" t="str">
        <v>Kim Scheurwater</v>
      </c>
      <c r="AZ30" s="2" t="str">
        <v>*</v>
      </c>
      <c r="BA30" s="7">
        <v>35</v>
      </c>
      <c r="BB30" s="6" t="str">
        <v>Peter Batenburg</v>
      </c>
      <c r="BC30" s="2" t="str">
        <v>*</v>
      </c>
      <c r="BD30" s="7">
        <v>41</v>
      </c>
    </row>
    <row r="31" spans="1:56">
      <c r="A31" s="103"/>
      <c r="B31" s="6"/>
      <c r="C31" s="2"/>
      <c r="D31" s="7"/>
      <c r="E31" s="6"/>
      <c r="F31" s="2"/>
      <c r="G31" s="7"/>
      <c r="I31" s="6"/>
      <c r="J31" s="2"/>
      <c r="K31" s="7"/>
      <c r="L31" s="6"/>
      <c r="M31" s="2"/>
      <c r="N31" s="7"/>
      <c r="P31" s="6" t="str">
        <v>Merel van Gurp</v>
      </c>
      <c r="Q31" s="2" t="str">
        <v>S3</v>
      </c>
      <c r="R31" s="7">
        <v>31</v>
      </c>
      <c r="S31" s="6" t="str">
        <v>Roy de Vlaming</v>
      </c>
      <c r="T31" s="2" t="str">
        <v>S3</v>
      </c>
      <c r="U31" s="7">
        <v>39</v>
      </c>
      <c r="W31" s="6" t="str">
        <v>Lieke Ploeg</v>
      </c>
      <c r="X31" s="2" t="str">
        <v>S4</v>
      </c>
      <c r="Y31" s="7">
        <v>37</v>
      </c>
      <c r="Z31" s="6" t="str">
        <v>Bas de Jong</v>
      </c>
      <c r="AA31" s="2" t="str">
        <v>S4</v>
      </c>
      <c r="AB31" s="7">
        <v>33</v>
      </c>
      <c r="AD31" s="6"/>
      <c r="AE31" s="2"/>
      <c r="AF31" s="7"/>
      <c r="AG31" s="6"/>
      <c r="AH31" s="2"/>
      <c r="AI31" s="7"/>
      <c r="AK31" s="6"/>
      <c r="AL31" s="2"/>
      <c r="AM31" s="7"/>
      <c r="AN31" s="6"/>
      <c r="AO31" s="2"/>
      <c r="AP31" s="7"/>
      <c r="AR31" s="6" t="str">
        <v>Nadia de Wit</v>
      </c>
      <c r="AS31" s="2" t="str">
        <v>S7</v>
      </c>
      <c r="AT31" s="7">
        <v>22</v>
      </c>
      <c r="AU31" s="6"/>
      <c r="AV31" s="2"/>
      <c r="AW31" s="7"/>
      <c r="AY31" s="6" t="str">
        <v>Liesbeth Brand</v>
      </c>
      <c r="AZ31" s="2" t="str">
        <v>*</v>
      </c>
      <c r="BA31" s="7">
        <v>33</v>
      </c>
      <c r="BB31" s="6" t="str">
        <v>Ronald Riet</v>
      </c>
      <c r="BC31" s="2" t="str">
        <v>MW1</v>
      </c>
      <c r="BD31" s="7">
        <v>40</v>
      </c>
    </row>
    <row r="32" spans="1:56">
      <c r="A32" s="103"/>
      <c r="B32" s="6"/>
      <c r="C32" s="2"/>
      <c r="D32" s="7"/>
      <c r="E32" s="6"/>
      <c r="F32" s="2"/>
      <c r="G32" s="7"/>
      <c r="I32" s="6"/>
      <c r="J32" s="2"/>
      <c r="K32" s="7"/>
      <c r="L32" s="6"/>
      <c r="M32" s="2"/>
      <c r="N32" s="7"/>
      <c r="P32" s="6" t="str">
        <v>Nada Hussein</v>
      </c>
      <c r="Q32" s="2" t="str">
        <v>S3</v>
      </c>
      <c r="R32" s="7">
        <v>33</v>
      </c>
      <c r="S32" s="6" t="str">
        <v>Thomas Isarin</v>
      </c>
      <c r="T32" s="2" t="str">
        <v>S3</v>
      </c>
      <c r="U32" s="7">
        <v>35</v>
      </c>
      <c r="W32" s="6" t="str">
        <v>Petra Verheijde</v>
      </c>
      <c r="X32" s="2" t="str">
        <v>S4</v>
      </c>
      <c r="Y32" s="7">
        <v>49</v>
      </c>
      <c r="Z32" s="6" t="str">
        <v>Steven Kuperus</v>
      </c>
      <c r="AA32" s="2" t="str">
        <v>S4</v>
      </c>
      <c r="AB32" s="7">
        <v>33</v>
      </c>
      <c r="AD32" s="6"/>
      <c r="AE32" s="2"/>
      <c r="AF32" s="7"/>
      <c r="AG32" s="6"/>
      <c r="AH32" s="2"/>
      <c r="AI32" s="7"/>
      <c r="AK32" s="6"/>
      <c r="AL32" s="2"/>
      <c r="AM32" s="7"/>
      <c r="AN32" s="6"/>
      <c r="AO32" s="2"/>
      <c r="AP32" s="7"/>
      <c r="AR32" s="6" t="str">
        <v>Syrah de Wit</v>
      </c>
      <c r="AS32" s="2" t="str">
        <v>S7</v>
      </c>
      <c r="AT32" s="7">
        <v>22</v>
      </c>
      <c r="AU32" s="6"/>
      <c r="AV32" s="2"/>
      <c r="AW32" s="7"/>
      <c r="AY32" s="6" t="str">
        <v>Mirjam de Wit</v>
      </c>
      <c r="AZ32" s="2" t="str">
        <v>MW1</v>
      </c>
      <c r="BA32" s="7">
        <v>43</v>
      </c>
      <c r="BB32" s="6" t="str">
        <v>Sebastiaan Belder</v>
      </c>
      <c r="BC32" s="2" t="str">
        <v>*</v>
      </c>
      <c r="BD32" s="7">
        <v>43</v>
      </c>
    </row>
    <row r="33" spans="1:56">
      <c r="A33" s="103"/>
      <c r="B33" s="6"/>
      <c r="C33" s="2"/>
      <c r="D33" s="7"/>
      <c r="E33" s="6"/>
      <c r="F33" s="2"/>
      <c r="G33" s="7"/>
      <c r="I33" s="6"/>
      <c r="J33" s="2"/>
      <c r="K33" s="7"/>
      <c r="L33" s="6"/>
      <c r="M33" s="2"/>
      <c r="N33" s="7"/>
      <c r="P33" s="6" t="str">
        <v>Robin Leijdsman</v>
      </c>
      <c r="Q33" s="2" t="str">
        <v>S3</v>
      </c>
      <c r="R33" s="7">
        <v>27</v>
      </c>
      <c r="S33" s="6"/>
      <c r="T33" s="2"/>
      <c r="U33" s="7"/>
      <c r="W33" s="6"/>
      <c r="X33" s="2"/>
      <c r="Y33" s="7"/>
      <c r="Z33" s="6"/>
      <c r="AA33" s="2"/>
      <c r="AB33" s="7"/>
      <c r="AD33" s="6"/>
      <c r="AE33" s="2"/>
      <c r="AF33" s="7"/>
      <c r="AG33" s="6"/>
      <c r="AH33" s="2"/>
      <c r="AI33" s="7"/>
      <c r="AK33" s="6"/>
      <c r="AL33" s="2"/>
      <c r="AM33" s="7"/>
      <c r="AN33" s="6"/>
      <c r="AO33" s="2"/>
      <c r="AP33" s="7"/>
      <c r="AR33" s="6"/>
      <c r="AS33" s="2"/>
      <c r="AT33" s="7"/>
      <c r="AU33" s="6"/>
      <c r="AV33" s="2"/>
      <c r="AW33" s="7"/>
      <c r="AY33" s="6" t="str">
        <v>Sanne van Andel</v>
      </c>
      <c r="AZ33" s="2" t="str">
        <v>*</v>
      </c>
      <c r="BA33" s="7">
        <v>35</v>
      </c>
      <c r="BB33" s="6" t="str">
        <v>Wilco Kooij</v>
      </c>
      <c r="BC33" s="2" t="str">
        <v>MW1</v>
      </c>
      <c r="BD33" s="7">
        <v>48</v>
      </c>
    </row>
    <row r="34" spans="1:56">
      <c r="A34" s="103"/>
      <c r="B34" s="6"/>
      <c r="C34" s="2"/>
      <c r="D34" s="7"/>
      <c r="E34" s="6"/>
      <c r="F34" s="2"/>
      <c r="G34" s="7"/>
      <c r="I34" s="6"/>
      <c r="J34" s="2"/>
      <c r="K34" s="7"/>
      <c r="L34" s="6"/>
      <c r="M34" s="2"/>
      <c r="N34" s="7"/>
      <c r="P34" s="6" t="str">
        <v>Simone van Zwoll</v>
      </c>
      <c r="Q34" s="2" t="str">
        <v>S3</v>
      </c>
      <c r="R34" s="7">
        <v>29</v>
      </c>
      <c r="S34" s="6"/>
      <c r="T34" s="2"/>
      <c r="U34" s="7"/>
      <c r="W34" s="6"/>
      <c r="X34" s="2"/>
      <c r="Y34" s="7"/>
      <c r="Z34" s="6"/>
      <c r="AA34" s="2"/>
      <c r="AB34" s="7"/>
      <c r="AD34" s="6"/>
      <c r="AE34" s="2"/>
      <c r="AF34" s="7"/>
      <c r="AG34" s="6"/>
      <c r="AH34" s="2"/>
      <c r="AI34" s="7"/>
      <c r="AK34" s="6"/>
      <c r="AL34" s="2"/>
      <c r="AM34" s="7"/>
      <c r="AN34" s="6"/>
      <c r="AO34" s="2"/>
      <c r="AP34" s="7"/>
      <c r="AR34" s="6"/>
      <c r="AS34" s="2"/>
      <c r="AT34" s="7"/>
      <c r="AU34" s="6"/>
      <c r="AV34" s="2"/>
      <c r="AW34" s="7"/>
      <c r="AY34" s="6" t="str">
        <v>Tamara van Opstal-Haksteen</v>
      </c>
      <c r="AZ34" s="2" t="str">
        <v>MW1</v>
      </c>
      <c r="BA34" s="7">
        <v>35</v>
      </c>
      <c r="BB34" s="6"/>
      <c r="BC34" s="2"/>
      <c r="BD34" s="7"/>
    </row>
    <row r="35" spans="1:56" ht="15.75" thickBot="1">
      <c r="A35" s="103"/>
      <c r="B35" s="6"/>
      <c r="C35" s="2"/>
      <c r="D35" s="7"/>
      <c r="E35" s="6"/>
      <c r="F35" s="2"/>
      <c r="G35" s="7"/>
      <c r="I35" s="6"/>
      <c r="J35" s="2"/>
      <c r="K35" s="7"/>
      <c r="L35" s="6"/>
      <c r="M35" s="2"/>
      <c r="N35" s="7"/>
      <c r="P35" s="6"/>
      <c r="Q35" s="2"/>
      <c r="R35" s="7"/>
      <c r="S35" s="6"/>
      <c r="T35" s="2"/>
      <c r="U35" s="7"/>
      <c r="W35" s="6"/>
      <c r="X35" s="2"/>
      <c r="Y35" s="7"/>
      <c r="Z35" s="6"/>
      <c r="AA35" s="2"/>
      <c r="AB35" s="7"/>
      <c r="AD35" s="6"/>
      <c r="AE35" s="2"/>
      <c r="AF35" s="7"/>
      <c r="AG35" s="6"/>
      <c r="AH35" s="2"/>
      <c r="AI35" s="7"/>
      <c r="AK35" s="6"/>
      <c r="AL35" s="2"/>
      <c r="AM35" s="7"/>
      <c r="AN35" s="6"/>
      <c r="AO35" s="2"/>
      <c r="AP35" s="7"/>
      <c r="AR35" s="6"/>
      <c r="AS35" s="2"/>
      <c r="AT35" s="7"/>
      <c r="AU35" s="6"/>
      <c r="AV35" s="2"/>
      <c r="AW35" s="7"/>
      <c r="AY35" s="6"/>
      <c r="AZ35" s="2"/>
      <c r="BA35" s="7"/>
      <c r="BB35" s="6"/>
      <c r="BC35" s="2"/>
      <c r="BD35" s="7"/>
    </row>
    <row r="36" spans="1:56">
      <c r="A36" s="103"/>
      <c r="B36" s="12" t="str" cm="1">
        <f t="array" ref="B36">_xlfn._xlws.FILTER(Staf!$C:$C,Staf!$B:$B=Teams!B26,"")</f>
        <v/>
      </c>
      <c r="C36" s="13" t="str" cm="1">
        <f t="array" ref="C36">_xlfn._xlws.FILTER(Staf!$A:$A,Staf!$B:$B=Teams!B26,"")</f>
        <v/>
      </c>
      <c r="D36" s="13"/>
      <c r="E36" s="13"/>
      <c r="F36" s="13"/>
      <c r="G36" s="14"/>
      <c r="I36" s="12" t="str" cm="1">
        <f t="array" ref="I36">_xlfn._xlws.FILTER(Staf!$C:$C,Staf!$B:$B=Teams!I26,"")</f>
        <v/>
      </c>
      <c r="J36" s="13" t="str" cm="1">
        <f t="array" ref="J36">_xlfn._xlws.FILTER(Staf!$A:$A,Staf!$B:$B=Teams!I26,"")</f>
        <v/>
      </c>
      <c r="K36" s="13"/>
      <c r="L36" s="13"/>
      <c r="M36" s="13"/>
      <c r="N36" s="14"/>
      <c r="P36" s="12" t="str" cm="1">
        <f t="array" ref="P36">_xlfn._xlws.FILTER(Staf!$C:$C,Staf!$B:$B=Teams!P26,"")</f>
        <v>Begeleider</v>
      </c>
      <c r="Q36" s="13" t="str" cm="1">
        <f t="array" ref="Q36">_xlfn._xlws.FILTER(Staf!$A:$A,Staf!$B:$B=Teams!P26,"")</f>
        <v>Kim Ardon</v>
      </c>
      <c r="R36" s="13"/>
      <c r="S36" s="13"/>
      <c r="T36" s="13"/>
      <c r="U36" s="14"/>
      <c r="W36" s="12" t="str" cm="1">
        <f t="array" ref="W36">_xlfn._xlws.FILTER(Staf!$C:$C,Staf!$B:$B=Teams!W26,"")</f>
        <v>Thuiscoach</v>
      </c>
      <c r="X36" s="13" t="str" cm="1">
        <f t="array" ref="X36">_xlfn._xlws.FILTER(Staf!$A:$A,Staf!$B:$B=Teams!W26,"")</f>
        <v>Marco van Kalkeren</v>
      </c>
      <c r="Y36" s="13"/>
      <c r="Z36" s="13"/>
      <c r="AA36" s="13"/>
      <c r="AB36" s="14"/>
      <c r="AD36" s="12" t="str" cm="1">
        <f t="array" ref="AD36">_xlfn._xlws.FILTER(Staf!$C:$C,Staf!$B:$B=Teams!AD26,"")</f>
        <v/>
      </c>
      <c r="AE36" s="13" t="str" cm="1">
        <f t="array" ref="AE36">_xlfn._xlws.FILTER(Staf!$A:$A,Staf!$B:$B=Teams!AD26,"")</f>
        <v/>
      </c>
      <c r="AF36" s="13"/>
      <c r="AG36" s="13"/>
      <c r="AH36" s="13"/>
      <c r="AI36" s="14"/>
      <c r="AK36" s="12" t="str" cm="1">
        <f t="array" ref="AK36">_xlfn._xlws.FILTER(Staf!$C:$C,Staf!$B:$B=Teams!AK26,"")</f>
        <v/>
      </c>
      <c r="AL36" s="13" t="str" cm="1">
        <f t="array" ref="AL36">_xlfn._xlws.FILTER(Staf!$A:$A,Staf!$B:$B=Teams!AK26,"")</f>
        <v/>
      </c>
      <c r="AM36" s="13"/>
      <c r="AN36" s="13"/>
      <c r="AO36" s="13"/>
      <c r="AP36" s="14"/>
      <c r="AR36" s="12" t="str" cm="1">
        <f t="array" ref="AR36">_xlfn._xlws.FILTER(Staf!$C:$C,Staf!$B:$B=Teams!AR26,"")</f>
        <v/>
      </c>
      <c r="AS36" s="13" t="str" cm="1">
        <f t="array" ref="AS36">_xlfn._xlws.FILTER(Staf!$A:$A,Staf!$B:$B=Teams!AR26,"")</f>
        <v/>
      </c>
      <c r="AT36" s="13"/>
      <c r="AU36" s="13"/>
      <c r="AV36" s="13"/>
      <c r="AW36" s="14"/>
      <c r="AY36" s="12" t="str" cm="1">
        <f t="array" ref="AY36">_xlfn._xlws.FILTER(Staf!$C:$C,Staf!$B:$B=Teams!AY26,"")</f>
        <v/>
      </c>
      <c r="AZ36" s="13" t="str" cm="1">
        <f t="array" ref="AZ36">_xlfn._xlws.FILTER(Staf!$A:$A,Staf!$B:$B=Teams!AY26,"")</f>
        <v/>
      </c>
      <c r="BA36" s="13"/>
      <c r="BB36" s="13"/>
      <c r="BC36" s="13"/>
      <c r="BD36" s="14"/>
    </row>
    <row r="37" spans="1:56">
      <c r="A37" s="103"/>
      <c r="B37" s="15"/>
      <c r="C37" s="16"/>
      <c r="D37" s="16"/>
      <c r="E37" s="16"/>
      <c r="F37" s="16"/>
      <c r="G37" s="17"/>
      <c r="I37" s="15"/>
      <c r="J37" s="16"/>
      <c r="K37" s="16"/>
      <c r="L37" s="16"/>
      <c r="M37" s="16"/>
      <c r="N37" s="17"/>
      <c r="P37" s="15"/>
      <c r="Q37" s="16"/>
      <c r="R37" s="16"/>
      <c r="S37" s="16"/>
      <c r="T37" s="16"/>
      <c r="U37" s="17"/>
      <c r="W37" s="15"/>
      <c r="X37" s="16"/>
      <c r="Y37" s="16"/>
      <c r="Z37" s="16"/>
      <c r="AA37" s="16"/>
      <c r="AB37" s="17"/>
      <c r="AD37" s="15"/>
      <c r="AE37" s="16"/>
      <c r="AF37" s="16"/>
      <c r="AG37" s="16"/>
      <c r="AH37" s="16"/>
      <c r="AI37" s="17"/>
      <c r="AK37" s="15"/>
      <c r="AL37" s="16"/>
      <c r="AM37" s="16"/>
      <c r="AN37" s="16"/>
      <c r="AO37" s="16"/>
      <c r="AP37" s="17"/>
      <c r="AR37" s="15"/>
      <c r="AS37" s="16"/>
      <c r="AT37" s="16"/>
      <c r="AU37" s="16"/>
      <c r="AV37" s="16"/>
      <c r="AW37" s="17"/>
      <c r="AY37" s="15"/>
      <c r="AZ37" s="16"/>
      <c r="BA37" s="16"/>
      <c r="BB37" s="16"/>
      <c r="BC37" s="16"/>
      <c r="BD37" s="17"/>
    </row>
    <row r="38" spans="1:56" ht="15.75" thickBot="1">
      <c r="A38" s="103"/>
      <c r="B38" s="18"/>
      <c r="C38" s="19"/>
      <c r="D38" s="19"/>
      <c r="E38" s="19"/>
      <c r="F38" s="19"/>
      <c r="G38" s="20"/>
      <c r="I38" s="18"/>
      <c r="J38" s="19"/>
      <c r="K38" s="19"/>
      <c r="L38" s="19"/>
      <c r="M38" s="19"/>
      <c r="N38" s="20"/>
      <c r="P38" s="18"/>
      <c r="Q38" s="19"/>
      <c r="R38" s="19"/>
      <c r="S38" s="19"/>
      <c r="T38" s="19"/>
      <c r="U38" s="20"/>
      <c r="W38" s="18"/>
      <c r="X38" s="19"/>
      <c r="Y38" s="19"/>
      <c r="Z38" s="19"/>
      <c r="AA38" s="19"/>
      <c r="AB38" s="20"/>
      <c r="AD38" s="18"/>
      <c r="AE38" s="19"/>
      <c r="AF38" s="19"/>
      <c r="AG38" s="19"/>
      <c r="AH38" s="19"/>
      <c r="AI38" s="20"/>
      <c r="AK38" s="18"/>
      <c r="AL38" s="19"/>
      <c r="AM38" s="19"/>
      <c r="AN38" s="19"/>
      <c r="AO38" s="19"/>
      <c r="AP38" s="20"/>
      <c r="AR38" s="18"/>
      <c r="AS38" s="19"/>
      <c r="AT38" s="19"/>
      <c r="AU38" s="19"/>
      <c r="AV38" s="19"/>
      <c r="AW38" s="20"/>
      <c r="AY38" s="18"/>
      <c r="AZ38" s="19"/>
      <c r="BA38" s="19"/>
      <c r="BB38" s="19"/>
      <c r="BC38" s="19"/>
      <c r="BD38" s="20"/>
    </row>
    <row r="39" spans="1:56" ht="15.75" thickBot="1"/>
    <row r="40" spans="1:56" ht="15.75" thickBot="1">
      <c r="A40" s="103" t="s">
        <v>14</v>
      </c>
      <c r="B40" s="21" t="s">
        <v>15</v>
      </c>
      <c r="C40" s="21"/>
      <c r="D40" s="21"/>
      <c r="E40" s="21"/>
      <c r="F40" s="21"/>
      <c r="G40" s="22">
        <f>AVERAGE(D42:D52,G42:G52)</f>
        <v>16.899999999999999</v>
      </c>
      <c r="I40" s="21" t="s">
        <v>16</v>
      </c>
      <c r="J40" s="21"/>
      <c r="K40" s="21"/>
      <c r="L40" s="21"/>
      <c r="M40" s="21"/>
      <c r="N40" s="22">
        <f>AVERAGE(K42:K52,N42:N52)</f>
        <v>17.3</v>
      </c>
      <c r="P40" s="21" t="s">
        <v>17</v>
      </c>
      <c r="Q40" s="21"/>
      <c r="R40" s="21"/>
      <c r="S40" s="21"/>
      <c r="T40" s="21"/>
      <c r="U40" s="22">
        <f>AVERAGE(R42:R52,U42:U52)</f>
        <v>15.454545454545455</v>
      </c>
      <c r="W40" s="21" t="s">
        <v>18</v>
      </c>
      <c r="X40" s="21"/>
      <c r="Y40" s="21"/>
      <c r="Z40" s="21"/>
      <c r="AA40" s="21"/>
      <c r="AB40" s="22" t="e">
        <f>AVERAGE(Y42:Y52,AB42:AB52)</f>
        <v>#DIV/0!</v>
      </c>
      <c r="AD40" s="21" t="s">
        <v>19</v>
      </c>
      <c r="AE40" s="21"/>
      <c r="AF40" s="21"/>
      <c r="AG40" s="21"/>
      <c r="AH40" s="21"/>
      <c r="AI40" s="22" t="e">
        <f>AVERAGE(AF42:AF52,AI42:AI52)</f>
        <v>#DIV/0!</v>
      </c>
    </row>
    <row r="41" spans="1:56" ht="15.75" thickBot="1">
      <c r="A41" s="103"/>
      <c r="B41" s="8" t="str">
        <f>CONCATENATE("Dames (",COUNTA(C42:C50),")")</f>
        <v>Dames (5)</v>
      </c>
      <c r="C41" s="9"/>
      <c r="D41" s="10"/>
      <c r="E41" s="8" t="str">
        <f>CONCATENATE("Heren (",COUNTA(F42:F50),")")</f>
        <v>Heren (5)</v>
      </c>
      <c r="F41" s="9"/>
      <c r="G41" s="10"/>
      <c r="I41" s="8" t="str">
        <f>CONCATENATE("Dames (",COUNTA(J42:J50),")")</f>
        <v>Dames (5)</v>
      </c>
      <c r="J41" s="9"/>
      <c r="K41" s="10"/>
      <c r="L41" s="8" t="str">
        <f>CONCATENATE("Heren (",COUNTA(M42:M50),")")</f>
        <v>Heren (5)</v>
      </c>
      <c r="M41" s="9"/>
      <c r="N41" s="10"/>
      <c r="P41" s="8" t="str">
        <f>CONCATENATE("Dames (",COUNTA(Q42:Q50),")")</f>
        <v>Dames (7)</v>
      </c>
      <c r="Q41" s="9"/>
      <c r="R41" s="10"/>
      <c r="S41" s="8" t="str">
        <f>CONCATENATE("Heren (",COUNTA(T42:T50),")")</f>
        <v>Heren (4)</v>
      </c>
      <c r="T41" s="9"/>
      <c r="U41" s="10"/>
      <c r="W41" s="8" t="str">
        <f>CONCATENATE("Dames (",COUNTA(X42:X50),")")</f>
        <v>Dames (1)</v>
      </c>
      <c r="X41" s="9"/>
      <c r="Y41" s="10"/>
      <c r="Z41" s="8" t="str">
        <f>CONCATENATE("Heren (",COUNTA(AA42:AA50),")")</f>
        <v>Heren (1)</v>
      </c>
      <c r="AA41" s="9"/>
      <c r="AB41" s="10"/>
      <c r="AD41" s="8" t="str">
        <f>CONCATENATE("Dames (",COUNTA(AE42:AE50),")")</f>
        <v>Dames (1)</v>
      </c>
      <c r="AE41" s="9"/>
      <c r="AF41" s="10"/>
      <c r="AG41" s="8" t="str">
        <f>CONCATENATE("Heren (",COUNTA(AH42:AH50),")")</f>
        <v>Heren (1)</v>
      </c>
      <c r="AH41" s="9"/>
      <c r="AI41" s="10"/>
    </row>
    <row r="42" spans="1:56">
      <c r="A42" s="103"/>
      <c r="B42" s="3" t="str" cm="1">
        <f t="array" ref="B42:B46">_xlfn._xlws.FILTER(Spelerslijst!$B:$B,Spelerslijst!$G:$G=B$40,"")</f>
        <v>Amber de Haas</v>
      </c>
      <c r="C42" s="4" t="str" cm="1">
        <f t="array" ref="C42:C46">_xlfn._xlws.FILTER(Spelerslijst!$H:$H,Spelerslijst!$G:$G=B$40,"")</f>
        <v>B1</v>
      </c>
      <c r="D42" s="5" cm="1">
        <f t="array" ref="D42:D46">_xlfn._xlws.FILTER(Spelerslijst!$D:$D,Spelerslijst!$G:$G=B$40,"")</f>
        <v>16</v>
      </c>
      <c r="E42" s="3" t="str" cm="1">
        <f t="array" ref="E42:E46">_xlfn._xlws.FILTER(Spelerslijst!$L:$L,Spelerslijst!$Q:$Q=B$40,"")</f>
        <v>Jack Zwanenburg</v>
      </c>
      <c r="F42" s="4" t="str" cm="1">
        <f t="array" ref="F42:F46">_xlfn._xlws.FILTER(Spelerslijst!$R:$R,Spelerslijst!$Q:$Q=B$40,"")</f>
        <v>B1</v>
      </c>
      <c r="G42" s="5" cm="1">
        <f t="array" ref="G42:G46">_xlfn._xlws.FILTER(Spelerslijst!$N:$N,Spelerslijst!$Q:$Q=B$40,"")</f>
        <v>16</v>
      </c>
      <c r="I42" s="3" t="str" cm="1">
        <f t="array" ref="I42:I46">_xlfn._xlws.FILTER(Spelerslijst!$B:$B,Spelerslijst!$G:$G=I$40,"")</f>
        <v>Anouk de Jongh</v>
      </c>
      <c r="J42" s="4" t="str" cm="1">
        <f t="array" ref="J42:J46">_xlfn._xlws.FILTER(Spelerslijst!$H:$H,Spelerslijst!$G:$G=I$40,"")</f>
        <v>A2</v>
      </c>
      <c r="K42" s="5" cm="1">
        <f t="array" ref="K42:K46">_xlfn._xlws.FILTER(Spelerslijst!$D:$D,Spelerslijst!$G:$G=I$40,"")</f>
        <v>18</v>
      </c>
      <c r="L42" s="3" t="str" cm="1">
        <f t="array" ref="L42:L46">_xlfn._xlws.FILTER(Spelerslijst!$L:$L,Spelerslijst!$Q:$Q=I$40,"")</f>
        <v>Freek van Dongen</v>
      </c>
      <c r="M42" s="4" t="str" cm="1">
        <f t="array" ref="M42:M46">_xlfn._xlws.FILTER(Spelerslijst!$R:$R,Spelerslijst!$Q:$Q=I$40,"")</f>
        <v>B2</v>
      </c>
      <c r="N42" s="5" cm="1">
        <f t="array" ref="N42:N46">_xlfn._xlws.FILTER(Spelerslijst!$N:$N,Spelerslijst!$Q:$Q=I$40,"")</f>
        <v>16</v>
      </c>
      <c r="P42" s="3" t="str" cm="1">
        <f t="array" ref="P42:P48">_xlfn._xlws.FILTER(Spelerslijst!$B:$B,Spelerslijst!$G:$G=P$40,"")</f>
        <v>Amber Boeije</v>
      </c>
      <c r="Q42" s="4" t="str" cm="1">
        <f t="array" ref="Q42:Q48">_xlfn._xlws.FILTER(Spelerslijst!$H:$H,Spelerslijst!$G:$G=P$40,"")</f>
        <v>A3</v>
      </c>
      <c r="R42" s="5" cm="1">
        <f t="array" ref="R42:R48">_xlfn._xlws.FILTER(Spelerslijst!$D:$D,Spelerslijst!$G:$G=P$40,"")</f>
        <v>18</v>
      </c>
      <c r="S42" s="3" t="str" cm="1">
        <f t="array" ref="S42:S45">_xlfn._xlws.FILTER(Spelerslijst!$L:$L,Spelerslijst!$Q:$Q=P$40,"")</f>
        <v>Laurens Verhagen</v>
      </c>
      <c r="T42" s="4" t="str" cm="1">
        <f t="array" ref="T42:T45">_xlfn._xlws.FILTER(Spelerslijst!$R:$R,Spelerslijst!$Q:$Q=P$40,"")</f>
        <v>A3</v>
      </c>
      <c r="U42" s="5" cm="1">
        <f t="array" ref="U42:U45">_xlfn._xlws.FILTER(Spelerslijst!$N:$N,Spelerslijst!$Q:$Q=P$40,"")</f>
        <v>19</v>
      </c>
      <c r="W42" s="3" t="str" cm="1">
        <f t="array" ref="W42">_xlfn._xlws.FILTER(Spelerslijst!$B:$B,Spelerslijst!$G:$G=W$40,"")</f>
        <v/>
      </c>
      <c r="X42" s="4" t="str" cm="1">
        <f t="array" ref="X42">_xlfn._xlws.FILTER(Spelerslijst!$H:$H,Spelerslijst!$G:$G=W$40,"")</f>
        <v/>
      </c>
      <c r="Y42" s="5" t="str" cm="1">
        <f t="array" ref="Y42">_xlfn._xlws.FILTER(Spelerslijst!$D:$D,Spelerslijst!$G:$G=W$40,"")</f>
        <v/>
      </c>
      <c r="Z42" s="3" t="str" cm="1">
        <f t="array" ref="Z42">_xlfn._xlws.FILTER(Spelerslijst!$L:$L,Spelerslijst!$Q:$Q=W$40,"")</f>
        <v/>
      </c>
      <c r="AA42" s="4" t="str" cm="1">
        <f t="array" ref="AA42">_xlfn._xlws.FILTER(Spelerslijst!$R:$R,Spelerslijst!$Q:$Q=W$40,"")</f>
        <v/>
      </c>
      <c r="AB42" s="5" t="str" cm="1">
        <f t="array" ref="AB42">_xlfn._xlws.FILTER(Spelerslijst!$N:$N,Spelerslijst!$Q:$Q=W$40,"")</f>
        <v/>
      </c>
      <c r="AD42" s="3" t="str" cm="1">
        <f t="array" ref="AD42">_xlfn._xlws.FILTER(Spelerslijst!$B:$B,Spelerslijst!$G:$G=AD$40,"")</f>
        <v/>
      </c>
      <c r="AE42" s="4" t="str" cm="1">
        <f t="array" ref="AE42">_xlfn._xlws.FILTER(Spelerslijst!$H:$H,Spelerslijst!$G:$G=AD$40,"")</f>
        <v/>
      </c>
      <c r="AF42" s="5" t="str" cm="1">
        <f t="array" ref="AF42">_xlfn._xlws.FILTER(Spelerslijst!$D:$D,Spelerslijst!$G:$G=AD$40,"")</f>
        <v/>
      </c>
      <c r="AG42" s="3" t="str" cm="1">
        <f t="array" ref="AG42">_xlfn._xlws.FILTER(Spelerslijst!$L:$L,Spelerslijst!$Q:$Q=AD$40,"")</f>
        <v/>
      </c>
      <c r="AH42" s="4" t="str" cm="1">
        <f t="array" ref="AH42">_xlfn._xlws.FILTER(Spelerslijst!$R:$R,Spelerslijst!$Q:$Q=AD$40,"")</f>
        <v/>
      </c>
      <c r="AI42" s="5" t="str" cm="1">
        <f t="array" ref="AI42">_xlfn._xlws.FILTER(Spelerslijst!$N:$N,Spelerslijst!$Q:$Q=AD$40,"")</f>
        <v/>
      </c>
    </row>
    <row r="43" spans="1:56">
      <c r="A43" s="103"/>
      <c r="B43" s="6" t="str">
        <v>Iza Wolleswinkel</v>
      </c>
      <c r="C43" s="2" t="str">
        <v>B1</v>
      </c>
      <c r="D43" s="7">
        <v>16</v>
      </c>
      <c r="E43" s="6" t="str">
        <v>Jarno Valk</v>
      </c>
      <c r="F43" s="2" t="str">
        <v>B1</v>
      </c>
      <c r="G43" s="7">
        <v>16</v>
      </c>
      <c r="I43" s="6" t="str">
        <v>Elena Quarré</v>
      </c>
      <c r="J43" s="2" t="str">
        <v>A2</v>
      </c>
      <c r="K43" s="7">
        <v>18</v>
      </c>
      <c r="L43" s="6" t="str">
        <v>Joël Wietses</v>
      </c>
      <c r="M43" s="2" t="str">
        <v>A2</v>
      </c>
      <c r="N43" s="7">
        <v>18</v>
      </c>
      <c r="P43" s="6" t="str">
        <v>Bente van Wijngaarden</v>
      </c>
      <c r="Q43" s="2" t="str">
        <v>A3</v>
      </c>
      <c r="R43" s="7">
        <v>17</v>
      </c>
      <c r="S43" s="6" t="str">
        <v>Matthijs de Jongh</v>
      </c>
      <c r="T43" s="2" t="str">
        <v>B4</v>
      </c>
      <c r="U43" s="7">
        <v>16</v>
      </c>
      <c r="W43" s="6"/>
      <c r="X43" s="2"/>
      <c r="Y43" s="7"/>
      <c r="Z43" s="6"/>
      <c r="AA43" s="2"/>
      <c r="AB43" s="7"/>
      <c r="AD43" s="6"/>
      <c r="AE43" s="2"/>
      <c r="AF43" s="7"/>
      <c r="AG43" s="6"/>
      <c r="AH43" s="2"/>
      <c r="AI43" s="7"/>
    </row>
    <row r="44" spans="1:56">
      <c r="A44" s="103"/>
      <c r="B44" s="6" t="str">
        <v>Merel Manduapessy</v>
      </c>
      <c r="C44" s="2" t="str">
        <v>B1</v>
      </c>
      <c r="D44" s="7">
        <v>16</v>
      </c>
      <c r="E44" s="6" t="str">
        <v>Jens Lohuis</v>
      </c>
      <c r="F44" s="2" t="str">
        <v>A1</v>
      </c>
      <c r="G44" s="7">
        <v>18</v>
      </c>
      <c r="I44" s="6" t="str">
        <v>Lindi Fasbender</v>
      </c>
      <c r="J44" s="2" t="str">
        <v>A2</v>
      </c>
      <c r="K44" s="7">
        <v>18</v>
      </c>
      <c r="L44" s="6" t="str">
        <v>Seth van de Burgt</v>
      </c>
      <c r="M44" s="2" t="str">
        <v>B2</v>
      </c>
      <c r="N44" s="7">
        <v>17</v>
      </c>
      <c r="P44" s="6" t="str">
        <v>Flore Steenks</v>
      </c>
      <c r="Q44" s="2" t="str">
        <v>A3</v>
      </c>
      <c r="R44" s="7">
        <v>19</v>
      </c>
      <c r="S44" s="6" t="str">
        <v>Menno Pille</v>
      </c>
      <c r="T44" s="2" t="str">
        <v>B4</v>
      </c>
      <c r="U44" s="7">
        <v>16</v>
      </c>
      <c r="W44" s="6"/>
      <c r="X44" s="2"/>
      <c r="Y44" s="7"/>
      <c r="Z44" s="6"/>
      <c r="AA44" s="2"/>
      <c r="AB44" s="7"/>
      <c r="AD44" s="6"/>
      <c r="AE44" s="2"/>
      <c r="AF44" s="7"/>
      <c r="AG44" s="6"/>
      <c r="AH44" s="2"/>
      <c r="AI44" s="7"/>
    </row>
    <row r="45" spans="1:56">
      <c r="A45" s="103"/>
      <c r="B45" s="6" t="str">
        <v>Roos Groeneweg</v>
      </c>
      <c r="C45" s="2" t="str">
        <v>A1</v>
      </c>
      <c r="D45" s="7">
        <v>18</v>
      </c>
      <c r="E45" s="6" t="str">
        <v>Jordi Vaartmans</v>
      </c>
      <c r="F45" s="2" t="str">
        <v>B1</v>
      </c>
      <c r="G45" s="7">
        <v>17</v>
      </c>
      <c r="I45" s="6" t="str">
        <v>Maud van Wensen</v>
      </c>
      <c r="J45" s="2" t="str">
        <v>A1</v>
      </c>
      <c r="K45" s="7">
        <v>18</v>
      </c>
      <c r="L45" s="6" t="str">
        <v>Tijn Bäcker</v>
      </c>
      <c r="M45" s="2" t="str">
        <v>B1</v>
      </c>
      <c r="N45" s="7">
        <v>16</v>
      </c>
      <c r="P45" s="6" t="str">
        <v>Julia Bozuwa</v>
      </c>
      <c r="Q45" s="2" t="str">
        <v>A3</v>
      </c>
      <c r="R45" s="7">
        <v>16</v>
      </c>
      <c r="S45" s="6" t="str">
        <v>Tommie Koornneef</v>
      </c>
      <c r="T45" s="2" t="str">
        <v>B4</v>
      </c>
      <c r="U45" s="7">
        <v>16</v>
      </c>
      <c r="W45" s="6"/>
      <c r="X45" s="2"/>
      <c r="Y45" s="7"/>
      <c r="Z45" s="6"/>
      <c r="AA45" s="2"/>
      <c r="AB45" s="7"/>
      <c r="AD45" s="6"/>
      <c r="AE45" s="2"/>
      <c r="AF45" s="7"/>
      <c r="AG45" s="6"/>
      <c r="AH45" s="2"/>
      <c r="AI45" s="7"/>
    </row>
    <row r="46" spans="1:56">
      <c r="A46" s="103"/>
      <c r="B46" s="6" t="str">
        <v>Sara Boshoven</v>
      </c>
      <c r="C46" s="2" t="str">
        <v>A1</v>
      </c>
      <c r="D46" s="7">
        <v>18</v>
      </c>
      <c r="E46" s="6" t="str">
        <v>Senne Koster</v>
      </c>
      <c r="F46" s="2" t="str">
        <v>A1</v>
      </c>
      <c r="G46" s="7">
        <v>18</v>
      </c>
      <c r="I46" s="6" t="str">
        <v>Mila de Wit</v>
      </c>
      <c r="J46" s="2" t="str">
        <v>B2</v>
      </c>
      <c r="K46" s="7">
        <v>16</v>
      </c>
      <c r="L46" s="6" t="str">
        <v>Wouter Koornneef</v>
      </c>
      <c r="M46" s="2" t="str">
        <v>A2</v>
      </c>
      <c r="N46" s="7">
        <v>18</v>
      </c>
      <c r="P46" s="6" t="str">
        <v>Lianne Bouwknegt</v>
      </c>
      <c r="Q46" s="2" t="str">
        <v>A3</v>
      </c>
      <c r="R46" s="7">
        <v>16</v>
      </c>
      <c r="S46" s="6"/>
      <c r="T46" s="2"/>
      <c r="U46" s="7"/>
      <c r="W46" s="6"/>
      <c r="X46" s="2"/>
      <c r="Y46" s="7"/>
      <c r="Z46" s="6"/>
      <c r="AA46" s="2"/>
      <c r="AB46" s="7"/>
      <c r="AD46" s="6"/>
      <c r="AE46" s="2"/>
      <c r="AF46" s="7"/>
      <c r="AG46" s="6"/>
      <c r="AH46" s="2"/>
      <c r="AI46" s="7"/>
    </row>
    <row r="47" spans="1:56">
      <c r="A47" s="103"/>
      <c r="B47" s="6"/>
      <c r="C47" s="2"/>
      <c r="D47" s="7"/>
      <c r="E47" s="6"/>
      <c r="F47" s="2"/>
      <c r="G47" s="7"/>
      <c r="I47" s="6"/>
      <c r="J47" s="2"/>
      <c r="K47" s="7"/>
      <c r="L47" s="6"/>
      <c r="M47" s="2"/>
      <c r="N47" s="7"/>
      <c r="P47" s="6" t="str">
        <v>Tessa van Everdingen</v>
      </c>
      <c r="Q47" s="2" t="str">
        <v>A3</v>
      </c>
      <c r="R47" s="7">
        <v>17</v>
      </c>
      <c r="S47" s="6"/>
      <c r="T47" s="2"/>
      <c r="U47" s="7"/>
      <c r="W47" s="6"/>
      <c r="X47" s="2"/>
      <c r="Y47" s="7"/>
      <c r="Z47" s="6"/>
      <c r="AA47" s="2"/>
      <c r="AB47" s="7"/>
      <c r="AD47" s="6"/>
      <c r="AE47" s="2"/>
      <c r="AF47" s="7"/>
      <c r="AG47" s="6"/>
      <c r="AH47" s="2"/>
      <c r="AI47" s="7"/>
    </row>
    <row r="48" spans="1:56">
      <c r="A48" s="103"/>
      <c r="B48" s="6"/>
      <c r="C48" s="2"/>
      <c r="D48" s="7"/>
      <c r="E48" s="6"/>
      <c r="F48" s="2"/>
      <c r="G48" s="7"/>
      <c r="I48" s="6"/>
      <c r="J48" s="2"/>
      <c r="K48" s="7"/>
      <c r="L48" s="6"/>
      <c r="M48" s="2"/>
      <c r="N48" s="7"/>
      <c r="P48" s="6" t="str">
        <v>Vivienne Versnel</v>
      </c>
      <c r="Q48" s="2" t="str">
        <v>*</v>
      </c>
      <c r="R48" s="7">
        <v>0</v>
      </c>
      <c r="S48" s="6"/>
      <c r="T48" s="2"/>
      <c r="U48" s="7"/>
      <c r="W48" s="6"/>
      <c r="X48" s="2"/>
      <c r="Y48" s="7"/>
      <c r="Z48" s="6"/>
      <c r="AA48" s="2"/>
      <c r="AB48" s="7"/>
      <c r="AD48" s="6"/>
      <c r="AE48" s="2"/>
      <c r="AF48" s="7"/>
      <c r="AG48" s="6"/>
      <c r="AH48" s="2"/>
      <c r="AI48" s="7"/>
    </row>
    <row r="49" spans="1:35">
      <c r="A49" s="103"/>
      <c r="B49" s="6"/>
      <c r="C49" s="2"/>
      <c r="D49" s="7"/>
      <c r="E49" s="6"/>
      <c r="F49" s="2"/>
      <c r="G49" s="7"/>
      <c r="I49" s="6"/>
      <c r="J49" s="2"/>
      <c r="K49" s="7"/>
      <c r="L49" s="6"/>
      <c r="M49" s="2"/>
      <c r="N49" s="7"/>
      <c r="P49" s="6"/>
      <c r="Q49" s="2"/>
      <c r="R49" s="7"/>
      <c r="S49" s="6"/>
      <c r="T49" s="2"/>
      <c r="U49" s="7"/>
      <c r="W49" s="6"/>
      <c r="X49" s="2"/>
      <c r="Y49" s="7"/>
      <c r="Z49" s="6"/>
      <c r="AA49" s="2"/>
      <c r="AB49" s="7"/>
      <c r="AD49" s="6"/>
      <c r="AE49" s="2"/>
      <c r="AF49" s="7"/>
      <c r="AG49" s="6"/>
      <c r="AH49" s="2"/>
      <c r="AI49" s="7"/>
    </row>
    <row r="50" spans="1:35" ht="15.75" thickBot="1">
      <c r="A50" s="103"/>
      <c r="B50" s="6"/>
      <c r="C50" s="2"/>
      <c r="D50" s="7"/>
      <c r="E50" s="6"/>
      <c r="F50" s="2"/>
      <c r="G50" s="7"/>
      <c r="I50" s="6"/>
      <c r="J50" s="2"/>
      <c r="K50" s="7"/>
      <c r="L50" s="6"/>
      <c r="M50" s="2"/>
      <c r="N50" s="7"/>
      <c r="P50" s="6"/>
      <c r="Q50" s="2"/>
      <c r="R50" s="7"/>
      <c r="S50" s="6"/>
      <c r="T50" s="2"/>
      <c r="U50" s="7"/>
      <c r="W50" s="6"/>
      <c r="X50" s="2"/>
      <c r="Y50" s="7"/>
      <c r="Z50" s="6"/>
      <c r="AA50" s="2"/>
      <c r="AB50" s="7"/>
      <c r="AD50" s="6"/>
      <c r="AE50" s="2"/>
      <c r="AF50" s="7"/>
      <c r="AG50" s="6"/>
      <c r="AH50" s="2"/>
      <c r="AI50" s="7"/>
    </row>
    <row r="51" spans="1:35">
      <c r="A51" s="103"/>
      <c r="B51" s="12" t="str" cm="1">
        <f t="array" ref="B51:B52">_xlfn._xlws.FILTER(Staf!$C:$C,Staf!$B:$B=Teams!B40,"")</f>
        <v>Trainer/Coach A1</v>
      </c>
      <c r="C51" s="13" t="str" cm="1">
        <f t="array" ref="C51:C52">_xlfn._xlws.FILTER(Staf!$A:$A,Staf!$B:$B=Teams!B40,"")</f>
        <v>Ruben Blokland</v>
      </c>
      <c r="D51" s="13"/>
      <c r="E51" s="13"/>
      <c r="F51" s="13"/>
      <c r="G51" s="14"/>
      <c r="I51" s="12" t="str" cm="1">
        <f t="array" ref="I51:I52">_xlfn._xlws.FILTER(Staf!$C:$C,Staf!$B:$B=Teams!I40,"")</f>
        <v>Trainer/Coach A2</v>
      </c>
      <c r="J51" s="13" t="str" cm="1">
        <f t="array" ref="J51:J52">_xlfn._xlws.FILTER(Staf!$A:$A,Staf!$B:$B=Teams!I40,"")</f>
        <v>Tim van Gent</v>
      </c>
      <c r="K51" s="13"/>
      <c r="L51" s="13"/>
      <c r="M51" s="13"/>
      <c r="N51" s="14"/>
      <c r="P51" s="12" t="str" cm="1">
        <f t="array" ref="P51:P53">_xlfn._xlws.FILTER(Staf!$C:$C,Staf!$B:$B=Teams!P40,"")</f>
        <v>Trainer/Coach</v>
      </c>
      <c r="Q51" s="13" t="str" cm="1">
        <f t="array" ref="Q51:Q53">_xlfn._xlws.FILTER(Staf!$A:$A,Staf!$B:$B=Teams!P40,"")</f>
        <v>Team 6</v>
      </c>
      <c r="R51" s="13"/>
      <c r="S51" s="13"/>
      <c r="T51" s="13"/>
      <c r="U51" s="14"/>
      <c r="W51" s="12" t="str" cm="1">
        <f t="array" ref="W51">_xlfn._xlws.FILTER(Staf!$C:$C,Staf!$B:$B=Teams!W40,"")</f>
        <v/>
      </c>
      <c r="X51" s="13" t="str" cm="1">
        <f t="array" ref="X51">_xlfn._xlws.FILTER(Staf!$A:$A,Staf!$B:$B=Teams!W40,"")</f>
        <v/>
      </c>
      <c r="Y51" s="13"/>
      <c r="Z51" s="13"/>
      <c r="AA51" s="13"/>
      <c r="AB51" s="14"/>
      <c r="AD51" s="12" t="str" cm="1">
        <f t="array" ref="AD51">_xlfn._xlws.FILTER(Staf!$C:$C,Staf!$B:$B=Teams!AD40,"")</f>
        <v/>
      </c>
      <c r="AE51" s="13" t="str" cm="1">
        <f t="array" ref="AE51">_xlfn._xlws.FILTER(Staf!$A:$A,Staf!$B:$B=Teams!AD40,"")</f>
        <v/>
      </c>
      <c r="AF51" s="13"/>
      <c r="AG51" s="13"/>
      <c r="AH51" s="13"/>
      <c r="AI51" s="14"/>
    </row>
    <row r="52" spans="1:35">
      <c r="A52" s="103"/>
      <c r="B52" s="15" t="str">
        <v>Trainer/Coach A1</v>
      </c>
      <c r="C52" s="16" t="str">
        <v>Rob van Dongen</v>
      </c>
      <c r="D52" s="16"/>
      <c r="E52" s="16"/>
      <c r="F52" s="16"/>
      <c r="G52" s="17"/>
      <c r="I52" s="15" t="str">
        <v>Trainer/Coach A2</v>
      </c>
      <c r="J52" s="16" t="str">
        <v>Olivier Klink</v>
      </c>
      <c r="K52" s="16"/>
      <c r="L52" s="16"/>
      <c r="M52" s="16"/>
      <c r="N52" s="17"/>
      <c r="P52" s="15">
        <v>0</v>
      </c>
      <c r="Q52" s="16" t="str">
        <v>o.a. Kimberley Witman &amp; Angela Friebel</v>
      </c>
      <c r="R52" s="16"/>
      <c r="S52" s="16"/>
      <c r="T52" s="16"/>
      <c r="U52" s="17"/>
      <c r="W52" s="15"/>
      <c r="X52" s="16"/>
      <c r="Y52" s="16"/>
      <c r="Z52" s="16"/>
      <c r="AA52" s="16"/>
      <c r="AB52" s="17"/>
      <c r="AD52" s="15"/>
      <c r="AE52" s="16"/>
      <c r="AF52" s="16"/>
      <c r="AG52" s="16"/>
      <c r="AH52" s="16"/>
      <c r="AI52" s="17"/>
    </row>
    <row r="53" spans="1:35" ht="15.75" thickBot="1">
      <c r="A53" s="103"/>
      <c r="B53" s="18"/>
      <c r="C53" s="19"/>
      <c r="D53" s="19"/>
      <c r="E53" s="19"/>
      <c r="F53" s="19"/>
      <c r="G53" s="20"/>
      <c r="I53" s="18"/>
      <c r="J53" s="19"/>
      <c r="K53" s="19"/>
      <c r="L53" s="19"/>
      <c r="M53" s="19"/>
      <c r="N53" s="20"/>
      <c r="P53" s="18">
        <v>0</v>
      </c>
      <c r="Q53" s="19" t="str">
        <v>o.a. Ruben Dubbeld &amp; David Kuijper</v>
      </c>
      <c r="R53" s="19"/>
      <c r="S53" s="19"/>
      <c r="T53" s="19"/>
      <c r="U53" s="20"/>
      <c r="W53" s="18"/>
      <c r="X53" s="19"/>
      <c r="Y53" s="19"/>
      <c r="Z53" s="19"/>
      <c r="AA53" s="19"/>
      <c r="AB53" s="20"/>
      <c r="AD53" s="18"/>
      <c r="AE53" s="19"/>
      <c r="AF53" s="19"/>
      <c r="AG53" s="19"/>
      <c r="AH53" s="19"/>
      <c r="AI53" s="20"/>
    </row>
    <row r="54" spans="1:35" ht="15.75" thickBot="1"/>
    <row r="55" spans="1:35" ht="15.75" thickBot="1">
      <c r="A55" s="103" t="s">
        <v>20</v>
      </c>
      <c r="B55" s="21" t="s">
        <v>21</v>
      </c>
      <c r="C55" s="21"/>
      <c r="D55" s="21"/>
      <c r="E55" s="21"/>
      <c r="F55" s="21"/>
      <c r="G55" s="22">
        <f>AVERAGE(D57:D66,G57:G66)</f>
        <v>14.857142857142858</v>
      </c>
      <c r="I55" s="21" t="s">
        <v>22</v>
      </c>
      <c r="J55" s="21"/>
      <c r="K55" s="21"/>
      <c r="L55" s="21"/>
      <c r="M55" s="21"/>
      <c r="N55" s="22">
        <f>AVERAGE(K57:K66,N57:N66)</f>
        <v>14.636363636363637</v>
      </c>
      <c r="P55" s="21" t="s">
        <v>23</v>
      </c>
      <c r="Q55" s="21"/>
      <c r="R55" s="21"/>
      <c r="S55" s="21"/>
      <c r="T55" s="21"/>
      <c r="U55" s="22">
        <f>AVERAGE(R57:R66,U57:U66)</f>
        <v>14</v>
      </c>
      <c r="W55" s="21" t="s">
        <v>24</v>
      </c>
      <c r="X55" s="21"/>
      <c r="Y55" s="21"/>
      <c r="Z55" s="21"/>
      <c r="AA55" s="21"/>
      <c r="AB55" s="22" t="e">
        <f>AVERAGE(Y57:Y66,AB57:AB66)</f>
        <v>#DIV/0!</v>
      </c>
      <c r="AD55" s="21" t="s">
        <v>25</v>
      </c>
      <c r="AE55" s="21"/>
      <c r="AF55" s="21"/>
      <c r="AG55" s="21"/>
      <c r="AH55" s="21" t="s">
        <v>25</v>
      </c>
      <c r="AI55" s="22" t="e">
        <f>AVERAGE(AF57:AF66,AI57:AI66)</f>
        <v>#DIV/0!</v>
      </c>
    </row>
    <row r="56" spans="1:35" ht="15.75" thickBot="1">
      <c r="A56" s="103"/>
      <c r="B56" s="8" t="str">
        <f>CONCATENATE("Dames (",COUNTA(C57:C64),")")</f>
        <v>Dames (4)</v>
      </c>
      <c r="C56" s="9"/>
      <c r="D56" s="10"/>
      <c r="E56" s="8" t="str">
        <f>CONCATENATE("Heren (",COUNTA(F57:F64),")")</f>
        <v>Heren (3)</v>
      </c>
      <c r="F56" s="9"/>
      <c r="G56" s="10"/>
      <c r="I56" s="8" t="str">
        <f>CONCATENATE("Dames (",COUNTA(J57:J64),")")</f>
        <v>Dames (5)</v>
      </c>
      <c r="J56" s="9"/>
      <c r="K56" s="10"/>
      <c r="L56" s="8" t="str">
        <f>CONCATENATE("Heren (",COUNTA(M57:M64),")")</f>
        <v>Heren (6)</v>
      </c>
      <c r="M56" s="9"/>
      <c r="N56" s="10"/>
      <c r="P56" s="8" t="str">
        <f>CONCATENATE("Dames (",COUNTA(Q57:Q64),")")</f>
        <v>Dames (5)</v>
      </c>
      <c r="Q56" s="9"/>
      <c r="R56" s="10"/>
      <c r="S56" s="8" t="str">
        <f>CONCATENATE("Heren (",COUNTA(T57:T64),")")</f>
        <v>Heren (5)</v>
      </c>
      <c r="T56" s="9"/>
      <c r="U56" s="10"/>
      <c r="W56" s="8" t="str">
        <f>CONCATENATE("Dames (",COUNTA(X57:X64),")")</f>
        <v>Dames (1)</v>
      </c>
      <c r="X56" s="9"/>
      <c r="Y56" s="10"/>
      <c r="Z56" s="8" t="str">
        <f>CONCATENATE("Heren (",COUNTA(AA57:AA64),")")</f>
        <v>Heren (1)</v>
      </c>
      <c r="AA56" s="9"/>
      <c r="AB56" s="10"/>
      <c r="AD56" s="8" t="str">
        <f>CONCATENATE("Dames (",COUNTA(AE57:AE64),")")</f>
        <v>Dames (1)</v>
      </c>
      <c r="AE56" s="9"/>
      <c r="AF56" s="10"/>
      <c r="AG56" s="8" t="str">
        <f>CONCATENATE("Heren (",COUNTA(AH57:AH64),")")</f>
        <v>Heren (1)</v>
      </c>
      <c r="AH56" s="9"/>
      <c r="AI56" s="10"/>
    </row>
    <row r="57" spans="1:35">
      <c r="A57" s="103"/>
      <c r="B57" s="3" t="str" cm="1">
        <f t="array" ref="B57:B60">_xlfn._xlws.FILTER(Spelerslijst!$B:$B,Spelerslijst!$G:$G=B$55,"")</f>
        <v>Carmen van der Klooster</v>
      </c>
      <c r="C57" s="4" t="str" cm="1">
        <f t="array" ref="C57:C60">_xlfn._xlws.FILTER(Spelerslijst!$H:$H,Spelerslijst!$G:$G=B$55,"")</f>
        <v>B1</v>
      </c>
      <c r="D57" s="5" cm="1">
        <f t="array" ref="D57:D60">_xlfn._xlws.FILTER(Spelerslijst!$D:$D,Spelerslijst!$G:$G=B$55,"")</f>
        <v>15</v>
      </c>
      <c r="E57" s="3" t="str" cm="1">
        <f t="array" ref="E57:E59">_xlfn._xlws.FILTER(Spelerslijst!$L:$L,Spelerslijst!$Q:$Q=B$55,"")</f>
        <v>Maarten Sas</v>
      </c>
      <c r="F57" s="4" t="str" cm="1">
        <f t="array" ref="F57:F59">_xlfn._xlws.FILTER(Spelerslijst!$R:$R,Spelerslijst!$Q:$Q=B$55,"")</f>
        <v>B1</v>
      </c>
      <c r="G57" s="5" cm="1">
        <f t="array" ref="G57:G59">_xlfn._xlws.FILTER(Spelerslijst!$N:$N,Spelerslijst!$Q:$Q=B$55,"")</f>
        <v>15</v>
      </c>
      <c r="I57" s="3" t="str" cm="1">
        <f t="array" ref="I57:I61">_xlfn._xlws.FILTER(Spelerslijst!$B:$B,Spelerslijst!$G:$G=I$55,"")</f>
        <v>Benthe van der Linden</v>
      </c>
      <c r="J57" s="4" t="str" cm="1">
        <f t="array" ref="J57:J61">_xlfn._xlws.FILTER(Spelerslijst!$H:$H,Spelerslijst!$G:$G=I$55,"")</f>
        <v>B2</v>
      </c>
      <c r="K57" s="5" cm="1">
        <f t="array" ref="K57:K61">_xlfn._xlws.FILTER(Spelerslijst!$D:$D,Spelerslijst!$G:$G=I$55,"")</f>
        <v>15</v>
      </c>
      <c r="L57" s="3" t="str" cm="1">
        <f t="array" ref="L57:L62">_xlfn._xlws.FILTER(Spelerslijst!$L:$L,Spelerslijst!$Q:$Q=I$55,"")</f>
        <v>Tycho Vliet</v>
      </c>
      <c r="M57" s="4" t="str" cm="1">
        <f t="array" ref="M57:M62">_xlfn._xlws.FILTER(Spelerslijst!$R:$R,Spelerslijst!$Q:$Q=I$55,"")</f>
        <v>B2</v>
      </c>
      <c r="N57" s="5" cm="1">
        <f t="array" ref="N57:N62">_xlfn._xlws.FILTER(Spelerslijst!$N:$N,Spelerslijst!$Q:$Q=I$55,"")</f>
        <v>16</v>
      </c>
      <c r="P57" s="3" t="str" cm="1">
        <f t="array" ref="P57:P61">_xlfn._xlws.FILTER(Spelerslijst!$B:$B,Spelerslijst!$G:$G=P$55,"")</f>
        <v>Floortje Jongkind</v>
      </c>
      <c r="Q57" s="4" t="str" cm="1">
        <f t="array" ref="Q57:Q61">_xlfn._xlws.FILTER(Spelerslijst!$H:$H,Spelerslijst!$G:$G=P$55,"")</f>
        <v>C3</v>
      </c>
      <c r="R57" s="5" cm="1">
        <f t="array" ref="R57:R61">_xlfn._xlws.FILTER(Spelerslijst!$D:$D,Spelerslijst!$G:$G=P$55,"")</f>
        <v>13</v>
      </c>
      <c r="S57" s="3" t="str" cm="1">
        <f t="array" ref="S57:S61">_xlfn._xlws.FILTER(Spelerslijst!$L:$L,Spelerslijst!$Q:$Q=P$55,"")</f>
        <v>Casper Boshoven</v>
      </c>
      <c r="T57" s="4" t="str" cm="1">
        <f t="array" ref="T57:T61">_xlfn._xlws.FILTER(Spelerslijst!$R:$R,Spelerslijst!$Q:$Q=P$55,"")</f>
        <v>B4</v>
      </c>
      <c r="U57" s="5" cm="1">
        <f t="array" ref="U57:U61">_xlfn._xlws.FILTER(Spelerslijst!$N:$N,Spelerslijst!$Q:$Q=P$55,"")</f>
        <v>15</v>
      </c>
      <c r="W57" s="3" t="str" cm="1">
        <f t="array" ref="W57">_xlfn._xlws.FILTER(Spelerslijst!$B:$B,Spelerslijst!$G:$G=W$55,"")</f>
        <v/>
      </c>
      <c r="X57" s="4" t="str" cm="1">
        <f t="array" ref="X57">_xlfn._xlws.FILTER(Spelerslijst!$H:$H,Spelerslijst!$G:$G=W$55,"")</f>
        <v/>
      </c>
      <c r="Y57" s="5" t="str" cm="1">
        <f t="array" ref="Y57">_xlfn._xlws.FILTER(Spelerslijst!$D:$D,Spelerslijst!$G:$G=W$55,"")</f>
        <v/>
      </c>
      <c r="Z57" s="3" t="str" cm="1">
        <f t="array" ref="Z57">_xlfn._xlws.FILTER(Spelerslijst!$L:$L,Spelerslijst!$Q:$Q=W$55,"")</f>
        <v/>
      </c>
      <c r="AA57" s="4" t="str" cm="1">
        <f t="array" ref="AA57">_xlfn._xlws.FILTER(Spelerslijst!$R:$R,Spelerslijst!$Q:$Q=W$55,"")</f>
        <v/>
      </c>
      <c r="AB57" s="5" t="str" cm="1">
        <f t="array" ref="AB57">_xlfn._xlws.FILTER(Spelerslijst!$N:$N,Spelerslijst!$Q:$Q=W$55,"")</f>
        <v/>
      </c>
      <c r="AD57" s="3" t="str" cm="1">
        <f t="array" ref="AD57">_xlfn._xlws.FILTER(Spelerslijst!$B:$B,Spelerslijst!$G:$G=AH$55,"")</f>
        <v/>
      </c>
      <c r="AE57" s="4" t="str" cm="1">
        <f t="array" ref="AE57">_xlfn._xlws.FILTER(Spelerslijst!$H:$H,Spelerslijst!$G:$G=AH$55,"")</f>
        <v/>
      </c>
      <c r="AF57" s="5" t="str" cm="1">
        <f t="array" ref="AF57">_xlfn._xlws.FILTER(Spelerslijst!$D:$D,Spelerslijst!$G:$G=AH$55,"")</f>
        <v/>
      </c>
      <c r="AG57" s="3" t="str" cm="1">
        <f t="array" ref="AG57">_xlfn._xlws.FILTER(Spelerslijst!$L:$L,Spelerslijst!$Q:$Q=AH$55,"")</f>
        <v/>
      </c>
      <c r="AH57" s="4" t="str" cm="1">
        <f t="array" ref="AH57">_xlfn._xlws.FILTER(Spelerslijst!$R:$R,Spelerslijst!$Q:$Q=AH$55,"")</f>
        <v/>
      </c>
      <c r="AI57" s="5" t="str" cm="1">
        <f t="array" ref="AI57">_xlfn._xlws.FILTER(Spelerslijst!$N:$N,Spelerslijst!$Q:$Q=AH$55,"")</f>
        <v/>
      </c>
    </row>
    <row r="58" spans="1:35">
      <c r="A58" s="103"/>
      <c r="B58" s="6" t="str">
        <v>Doeska Voorbij</v>
      </c>
      <c r="C58" s="2" t="str">
        <v>B2</v>
      </c>
      <c r="D58" s="7">
        <v>15</v>
      </c>
      <c r="E58" s="6" t="str">
        <v>Niek Driesprong</v>
      </c>
      <c r="F58" s="2" t="str">
        <v>B2</v>
      </c>
      <c r="G58" s="7">
        <v>15</v>
      </c>
      <c r="I58" s="6" t="str">
        <v>Elize van de Burgt</v>
      </c>
      <c r="J58" s="2" t="str">
        <v>B2</v>
      </c>
      <c r="K58" s="7">
        <v>15</v>
      </c>
      <c r="L58" s="6" t="str">
        <v>Dani Heersping</v>
      </c>
      <c r="M58" s="2" t="str">
        <v>B3</v>
      </c>
      <c r="N58" s="7">
        <v>15</v>
      </c>
      <c r="P58" s="6" t="str">
        <v>Madelief van Dongen</v>
      </c>
      <c r="Q58" s="2" t="str">
        <v>C3</v>
      </c>
      <c r="R58" s="7">
        <v>14</v>
      </c>
      <c r="S58" s="6" t="str">
        <v>Justin Vos</v>
      </c>
      <c r="T58" s="2" t="str">
        <v>B3</v>
      </c>
      <c r="U58" s="7">
        <v>14</v>
      </c>
      <c r="W58" s="6"/>
      <c r="X58" s="2"/>
      <c r="Y58" s="7"/>
      <c r="Z58" s="6"/>
      <c r="AA58" s="2"/>
      <c r="AB58" s="7"/>
      <c r="AD58" s="6"/>
      <c r="AE58" s="2"/>
      <c r="AF58" s="7"/>
      <c r="AG58" s="6"/>
      <c r="AH58" s="2"/>
      <c r="AI58" s="7"/>
    </row>
    <row r="59" spans="1:35">
      <c r="A59" s="103"/>
      <c r="B59" s="6" t="str">
        <v>Lisa Reuvers</v>
      </c>
      <c r="C59" s="2" t="str">
        <v>C1</v>
      </c>
      <c r="D59" s="7">
        <v>14</v>
      </c>
      <c r="E59" s="6" t="str">
        <v>Onno den Dekker</v>
      </c>
      <c r="F59" s="2" t="str">
        <v>C1</v>
      </c>
      <c r="G59" s="7">
        <v>15</v>
      </c>
      <c r="I59" s="6" t="str">
        <v>Floor Lohuis</v>
      </c>
      <c r="J59" s="2" t="str">
        <v>C2</v>
      </c>
      <c r="K59" s="7">
        <v>14</v>
      </c>
      <c r="L59" s="6" t="str">
        <v>Jarno Bemer</v>
      </c>
      <c r="M59" s="2" t="str">
        <v>C1</v>
      </c>
      <c r="N59" s="7">
        <v>14</v>
      </c>
      <c r="P59" s="6" t="str">
        <v>Marit van den Bergh</v>
      </c>
      <c r="Q59" s="2" t="str">
        <v>C4</v>
      </c>
      <c r="R59" s="7">
        <v>13</v>
      </c>
      <c r="S59" s="6" t="str">
        <v>Raoul Kuijper</v>
      </c>
      <c r="T59" s="2" t="str">
        <v>B3</v>
      </c>
      <c r="U59" s="7">
        <v>15</v>
      </c>
      <c r="W59" s="6"/>
      <c r="X59" s="2"/>
      <c r="Y59" s="7"/>
      <c r="Z59" s="6"/>
      <c r="AA59" s="2"/>
      <c r="AB59" s="7"/>
      <c r="AD59" s="6"/>
      <c r="AE59" s="2"/>
      <c r="AF59" s="7"/>
      <c r="AG59" s="6"/>
      <c r="AH59" s="2"/>
      <c r="AI59" s="7"/>
    </row>
    <row r="60" spans="1:35">
      <c r="A60" s="103"/>
      <c r="B60" s="6" t="str">
        <v>Sophie Kilsdonk</v>
      </c>
      <c r="C60" s="2" t="str">
        <v>B2</v>
      </c>
      <c r="D60" s="7">
        <v>15</v>
      </c>
      <c r="E60" s="6" t="s">
        <v>26</v>
      </c>
      <c r="F60" s="2"/>
      <c r="G60" s="7"/>
      <c r="I60" s="6" t="str">
        <v>Githa Bemer</v>
      </c>
      <c r="J60" s="2" t="str">
        <v>C1</v>
      </c>
      <c r="K60" s="7">
        <v>14</v>
      </c>
      <c r="L60" s="6" t="str">
        <v>Jasper Sempel</v>
      </c>
      <c r="M60" s="2" t="str">
        <v>C2</v>
      </c>
      <c r="N60" s="7">
        <v>14</v>
      </c>
      <c r="P60" s="6" t="str">
        <v>Robin Zwanenburg</v>
      </c>
      <c r="Q60" s="2" t="str">
        <v>B3</v>
      </c>
      <c r="R60" s="7">
        <v>14</v>
      </c>
      <c r="S60" s="6" t="str">
        <v>Stephan Quarre</v>
      </c>
      <c r="T60" s="2" t="str">
        <v>C3</v>
      </c>
      <c r="U60" s="7">
        <v>14</v>
      </c>
      <c r="W60" s="6"/>
      <c r="X60" s="2"/>
      <c r="Y60" s="7"/>
      <c r="Z60" s="6"/>
      <c r="AA60" s="2"/>
      <c r="AB60" s="7"/>
      <c r="AD60" s="6"/>
      <c r="AE60" s="2"/>
      <c r="AF60" s="7"/>
      <c r="AG60" s="6"/>
      <c r="AH60" s="2"/>
      <c r="AI60" s="7"/>
    </row>
    <row r="61" spans="1:35">
      <c r="A61" s="103"/>
      <c r="B61" s="6"/>
      <c r="C61" s="2"/>
      <c r="D61" s="7"/>
      <c r="E61" s="6"/>
      <c r="F61" s="2"/>
      <c r="G61" s="7"/>
      <c r="I61" s="6" t="str">
        <v>Stella Verboom</v>
      </c>
      <c r="J61" s="2" t="str">
        <v>B3</v>
      </c>
      <c r="K61" s="7">
        <v>15</v>
      </c>
      <c r="L61" s="6" t="str">
        <v>Kian Vliet</v>
      </c>
      <c r="M61" s="2" t="str">
        <v>C2</v>
      </c>
      <c r="N61" s="7">
        <v>14</v>
      </c>
      <c r="P61" s="6" t="str">
        <v>Zoë Kamerman</v>
      </c>
      <c r="Q61" s="2" t="str">
        <v>B3</v>
      </c>
      <c r="R61" s="7">
        <v>14</v>
      </c>
      <c r="S61" s="6" t="str">
        <v>Timo Pichel</v>
      </c>
      <c r="T61" s="2" t="str">
        <v>B3</v>
      </c>
      <c r="U61" s="7">
        <v>14</v>
      </c>
      <c r="W61" s="6"/>
      <c r="X61" s="2"/>
      <c r="Y61" s="7"/>
      <c r="Z61" s="6"/>
      <c r="AA61" s="2"/>
      <c r="AB61" s="7"/>
      <c r="AD61" s="6"/>
      <c r="AE61" s="2"/>
      <c r="AF61" s="7"/>
      <c r="AG61" s="6"/>
      <c r="AH61" s="2"/>
      <c r="AI61" s="7"/>
    </row>
    <row r="62" spans="1:35">
      <c r="A62" s="103"/>
      <c r="B62" s="6"/>
      <c r="C62" s="2"/>
      <c r="D62" s="7"/>
      <c r="E62" s="6"/>
      <c r="F62" s="2"/>
      <c r="G62" s="7"/>
      <c r="I62" s="6"/>
      <c r="J62" s="2"/>
      <c r="K62" s="7"/>
      <c r="L62" s="6" t="str">
        <v>Tijn Camphens</v>
      </c>
      <c r="M62" s="2" t="str">
        <v>B2</v>
      </c>
      <c r="N62" s="7">
        <v>15</v>
      </c>
      <c r="P62" s="6"/>
      <c r="Q62" s="2"/>
      <c r="R62" s="7"/>
      <c r="S62" s="6"/>
      <c r="T62" s="2"/>
      <c r="U62" s="7"/>
      <c r="W62" s="6"/>
      <c r="X62" s="2"/>
      <c r="Y62" s="7"/>
      <c r="Z62" s="6"/>
      <c r="AA62" s="2"/>
      <c r="AB62" s="7"/>
      <c r="AD62" s="6"/>
      <c r="AE62" s="2"/>
      <c r="AF62" s="7"/>
      <c r="AG62" s="6"/>
      <c r="AH62" s="2"/>
      <c r="AI62" s="7"/>
    </row>
    <row r="63" spans="1:35">
      <c r="A63" s="103"/>
      <c r="B63" s="6"/>
      <c r="C63" s="2"/>
      <c r="D63" s="7"/>
      <c r="E63" s="6"/>
      <c r="F63" s="2"/>
      <c r="G63" s="7"/>
      <c r="I63" s="6"/>
      <c r="J63" s="2"/>
      <c r="K63" s="7"/>
      <c r="L63" s="6"/>
      <c r="M63" s="2"/>
      <c r="N63" s="7"/>
      <c r="P63" s="6"/>
      <c r="Q63" s="2"/>
      <c r="R63" s="7"/>
      <c r="S63" s="6"/>
      <c r="T63" s="2"/>
      <c r="U63" s="7"/>
      <c r="W63" s="6"/>
      <c r="X63" s="2"/>
      <c r="Y63" s="7"/>
      <c r="Z63" s="6"/>
      <c r="AA63" s="2"/>
      <c r="AB63" s="7"/>
      <c r="AD63" s="6"/>
      <c r="AE63" s="2"/>
      <c r="AF63" s="7"/>
      <c r="AG63" s="6"/>
      <c r="AH63" s="2"/>
      <c r="AI63" s="7"/>
    </row>
    <row r="64" spans="1:35" ht="15.75" thickBot="1">
      <c r="A64" s="103"/>
      <c r="B64" s="6"/>
      <c r="C64" s="2"/>
      <c r="D64" s="7"/>
      <c r="E64" s="6"/>
      <c r="F64" s="2"/>
      <c r="G64" s="7"/>
      <c r="I64" s="6"/>
      <c r="J64" s="2"/>
      <c r="K64" s="7"/>
      <c r="L64" s="6"/>
      <c r="M64" s="2"/>
      <c r="N64" s="7"/>
      <c r="P64" s="6"/>
      <c r="Q64" s="2"/>
      <c r="R64" s="7"/>
      <c r="S64" s="6"/>
      <c r="T64" s="2"/>
      <c r="U64" s="7"/>
      <c r="W64" s="6"/>
      <c r="X64" s="2"/>
      <c r="Y64" s="7"/>
      <c r="Z64" s="6"/>
      <c r="AA64" s="2"/>
      <c r="AB64" s="7"/>
      <c r="AD64" s="6"/>
      <c r="AE64" s="2"/>
      <c r="AF64" s="7"/>
      <c r="AG64" s="6"/>
      <c r="AH64" s="2"/>
      <c r="AI64" s="7"/>
    </row>
    <row r="65" spans="1:35">
      <c r="A65" s="103"/>
      <c r="B65" s="12" t="str" cm="1">
        <f t="array" ref="B65:B67">_xlfn._xlws.FILTER(Staf!$C:$C,Staf!$B:$B=Teams!B55,"")</f>
        <v>Trainer/Coach</v>
      </c>
      <c r="C65" s="13" t="str" cm="1">
        <f t="array" ref="C65:C67">_xlfn._xlws.FILTER(Staf!$A:$A,Staf!$B:$B=Teams!B55,"")</f>
        <v>Milou Oppe</v>
      </c>
      <c r="D65" s="13"/>
      <c r="E65" s="13"/>
      <c r="F65" s="13"/>
      <c r="G65" s="14"/>
      <c r="I65" s="12" t="str" cm="1">
        <f t="array" ref="I65:I66">_xlfn._xlws.FILTER(Staf!$C:$C,Staf!$B:$B=Teams!I55,"")</f>
        <v>Trainer/Coach</v>
      </c>
      <c r="J65" s="13" t="str" cm="1">
        <f t="array" ref="J65:J66">_xlfn._xlws.FILTER(Staf!$A:$A,Staf!$B:$B=Teams!I55,"")</f>
        <v>Daniel den Uijl</v>
      </c>
      <c r="K65" s="13"/>
      <c r="L65" s="13"/>
      <c r="M65" s="13"/>
      <c r="N65" s="14"/>
      <c r="P65" s="12" t="str" cm="1">
        <f t="array" ref="P65:P67">_xlfn._xlws.FILTER(Staf!$C:$C,Staf!$B:$B=Teams!P55,"")</f>
        <v>Trainer/Coach</v>
      </c>
      <c r="Q65" s="13" t="str" cm="1">
        <f t="array" ref="Q65:Q67">_xlfn._xlws.FILTER(Staf!$A:$A,Staf!$B:$B=Teams!P55,"")</f>
        <v>Maud van Wensen</v>
      </c>
      <c r="R65" s="13"/>
      <c r="S65" s="13"/>
      <c r="T65" s="13"/>
      <c r="U65" s="14"/>
      <c r="W65" s="12" t="str" cm="1">
        <f t="array" ref="W65">_xlfn._xlws.FILTER(Staf!$C:$C,Staf!$B:$B=Teams!W55,"")</f>
        <v/>
      </c>
      <c r="X65" s="13" t="str" cm="1">
        <f t="array" ref="X65">_xlfn._xlws.FILTER(Staf!$A:$A,Staf!$B:$B=Teams!W55,"")</f>
        <v/>
      </c>
      <c r="Y65" s="13"/>
      <c r="Z65" s="13"/>
      <c r="AA65" s="13"/>
      <c r="AB65" s="14"/>
      <c r="AD65" s="12" t="str" cm="1">
        <f t="array" ref="AD65">_xlfn._xlws.FILTER(Staf!$C:$C,Staf!$B:$B=Teams!AD55,"")</f>
        <v/>
      </c>
      <c r="AE65" s="13" t="str" cm="1">
        <f t="array" ref="AE65">_xlfn._xlws.FILTER(Staf!$A:$A,Staf!$B:$B=Teams!AD55,"")</f>
        <v/>
      </c>
      <c r="AF65" s="13"/>
      <c r="AG65" s="13"/>
      <c r="AH65" s="13"/>
      <c r="AI65" s="14"/>
    </row>
    <row r="66" spans="1:35">
      <c r="A66" s="103"/>
      <c r="B66" s="15" t="str">
        <v>Trainer/Coach</v>
      </c>
      <c r="C66" s="16" t="str">
        <v>Stephan Ligtmans</v>
      </c>
      <c r="D66" s="16"/>
      <c r="E66" s="16"/>
      <c r="F66" s="16"/>
      <c r="G66" s="17"/>
      <c r="I66" s="15" t="str">
        <v>Trainer/Coach</v>
      </c>
      <c r="J66" s="16" t="str">
        <v>Eva Teerds</v>
      </c>
      <c r="K66" s="16"/>
      <c r="L66" s="16"/>
      <c r="M66" s="16"/>
      <c r="N66" s="17"/>
      <c r="P66" s="15" t="str">
        <v>Trainer/Coach</v>
      </c>
      <c r="Q66" s="16" t="str">
        <v xml:space="preserve">Laura Mol </v>
      </c>
      <c r="R66" s="16"/>
      <c r="S66" s="16"/>
      <c r="T66" s="16"/>
      <c r="U66" s="17"/>
      <c r="W66" s="15"/>
      <c r="X66" s="16"/>
      <c r="Y66" s="16"/>
      <c r="Z66" s="16"/>
      <c r="AA66" s="16"/>
      <c r="AB66" s="17"/>
      <c r="AD66" s="15"/>
      <c r="AE66" s="16"/>
      <c r="AF66" s="16"/>
      <c r="AG66" s="16"/>
      <c r="AH66" s="16"/>
      <c r="AI66" s="17"/>
    </row>
    <row r="67" spans="1:35" ht="15.75" thickBot="1">
      <c r="A67" s="103"/>
      <c r="B67" s="18" t="str">
        <v>Teambegeleider</v>
      </c>
      <c r="C67" s="19" t="str">
        <v>Michel Sas</v>
      </c>
      <c r="D67" s="19"/>
      <c r="E67" s="19"/>
      <c r="F67" s="19"/>
      <c r="G67" s="20"/>
      <c r="I67" s="18"/>
      <c r="J67" s="19"/>
      <c r="K67" s="19"/>
      <c r="L67" s="19"/>
      <c r="M67" s="19"/>
      <c r="N67" s="20"/>
      <c r="P67" s="18" t="str">
        <v>Trainer/Coach</v>
      </c>
      <c r="Q67" s="19" t="str">
        <v>Robert Koster</v>
      </c>
      <c r="R67" s="19"/>
      <c r="S67" s="19"/>
      <c r="T67" s="19"/>
      <c r="U67" s="20"/>
      <c r="W67" s="18"/>
      <c r="X67" s="19"/>
      <c r="Y67" s="19"/>
      <c r="Z67" s="19"/>
      <c r="AA67" s="19"/>
      <c r="AB67" s="20"/>
      <c r="AD67" s="18"/>
      <c r="AE67" s="19"/>
      <c r="AF67" s="19"/>
      <c r="AG67" s="19"/>
      <c r="AH67" s="19"/>
      <c r="AI67" s="20"/>
    </row>
    <row r="68" spans="1:35" ht="15.75" thickBot="1"/>
    <row r="69" spans="1:35" ht="15.75" thickBot="1">
      <c r="A69" s="103" t="s">
        <v>27</v>
      </c>
      <c r="B69" s="21" t="s">
        <v>28</v>
      </c>
      <c r="C69" s="21"/>
      <c r="D69" s="21"/>
      <c r="E69" s="21"/>
      <c r="F69" s="21"/>
      <c r="G69" s="22">
        <f>AVERAGE(D71:D82,G71:G82)</f>
        <v>12.777777777777779</v>
      </c>
      <c r="I69" s="21" t="s">
        <v>29</v>
      </c>
      <c r="J69" s="21"/>
      <c r="K69" s="21"/>
      <c r="L69" s="21"/>
      <c r="M69" s="21"/>
      <c r="N69" s="22">
        <f>AVERAGE(K71:K82,N71:N82)</f>
        <v>12.444444444444445</v>
      </c>
      <c r="P69" s="21" t="s">
        <v>30</v>
      </c>
      <c r="Q69" s="21"/>
      <c r="R69" s="21"/>
      <c r="S69" s="21"/>
      <c r="T69" s="21"/>
      <c r="U69" s="22">
        <f>AVERAGE(R71:R82,U71:U82)</f>
        <v>14.7</v>
      </c>
      <c r="W69" s="101" t="s">
        <v>31</v>
      </c>
      <c r="X69" s="21"/>
      <c r="Y69" s="21"/>
      <c r="Z69" s="21"/>
      <c r="AA69" s="21"/>
      <c r="AB69" s="22">
        <f>AVERAGE(Y71:Y82,AB71:AB82)</f>
        <v>12.833333333333334</v>
      </c>
      <c r="AD69" s="21" t="s">
        <v>32</v>
      </c>
      <c r="AE69" s="21"/>
      <c r="AF69" s="21"/>
      <c r="AG69" s="21"/>
      <c r="AH69" s="21"/>
      <c r="AI69" s="22" t="e">
        <f>AVERAGE(AF71:AF82,AI71:AI82)</f>
        <v>#DIV/0!</v>
      </c>
    </row>
    <row r="70" spans="1:35" ht="15.75" thickBot="1">
      <c r="A70" s="103"/>
      <c r="B70" s="8" t="str">
        <f>CONCATENATE("Dames (",COUNTA(C71:C80),")")</f>
        <v>Dames (5)</v>
      </c>
      <c r="C70" s="9"/>
      <c r="D70" s="10"/>
      <c r="E70" s="8" t="str">
        <f>CONCATENATE("Heren (",COUNTA(F71:F80),")")</f>
        <v>Heren (4)</v>
      </c>
      <c r="F70" s="9"/>
      <c r="G70" s="10"/>
      <c r="I70" s="8" t="str">
        <f>CONCATENATE("Dames (",COUNTA(J71:J80),")")</f>
        <v>Dames (5)</v>
      </c>
      <c r="J70" s="9"/>
      <c r="K70" s="10"/>
      <c r="L70" s="8" t="str">
        <f>CONCATENATE("Heren (",COUNTA(M71:M80),")")</f>
        <v>Heren (4)</v>
      </c>
      <c r="M70" s="9"/>
      <c r="N70" s="10"/>
      <c r="P70" s="8" t="str">
        <f>CONCATENATE("Dames (",COUNTA(Q71:Q80),")")</f>
        <v>Dames (6)</v>
      </c>
      <c r="Q70" s="9"/>
      <c r="R70" s="10"/>
      <c r="S70" s="8" t="str">
        <f>CONCATENATE("Heren (",COUNTA(T71:T80),")")</f>
        <v>Heren (4)</v>
      </c>
      <c r="T70" s="9"/>
      <c r="U70" s="10"/>
      <c r="W70" s="8" t="str">
        <f>CONCATENATE("Dames (",COUNTA(X71:X80),")")</f>
        <v>Dames (7)</v>
      </c>
      <c r="X70" s="9"/>
      <c r="Y70" s="10"/>
      <c r="Z70" s="8" t="str">
        <f>CONCATENATE("Heren (",COUNTA(AA71:AA80),")")</f>
        <v>Heren (5)</v>
      </c>
      <c r="AA70" s="9"/>
      <c r="AB70" s="10"/>
      <c r="AD70" s="8" t="str">
        <f>CONCATENATE("Dames (",COUNTA(AE71:AE80),")")</f>
        <v>Dames (1)</v>
      </c>
      <c r="AE70" s="9"/>
      <c r="AF70" s="10"/>
      <c r="AG70" s="8" t="str">
        <f>CONCATENATE("Heren (",COUNTA(AH71:AH80),")")</f>
        <v>Heren (1)</v>
      </c>
      <c r="AH70" s="9"/>
      <c r="AI70" s="10"/>
    </row>
    <row r="71" spans="1:35">
      <c r="A71" s="103"/>
      <c r="B71" s="3" t="str" cm="1">
        <f t="array" ref="B71:B75">_xlfn._xlws.FILTER(Spelerslijst!$B:$B,Spelerslijst!$G:$G=B$69,"")</f>
        <v>Danique van der Klooster</v>
      </c>
      <c r="C71" s="4" t="str" cm="1">
        <f t="array" ref="C71:C75">_xlfn._xlws.FILTER(Spelerslijst!$H:$H,Spelerslijst!$G:$G=B$69,"")</f>
        <v>C1</v>
      </c>
      <c r="D71" s="5" cm="1">
        <f t="array" ref="D71:D75">_xlfn._xlws.FILTER(Spelerslijst!$D:$D,Spelerslijst!$G:$G=B$69,"")</f>
        <v>13</v>
      </c>
      <c r="E71" s="3" t="str" cm="1">
        <f t="array" ref="E71:E74">_xlfn._xlws.FILTER(Spelerslijst!$L:$L,Spelerslijst!$Q:$Q=B$69,"")</f>
        <v>Lenn Belder</v>
      </c>
      <c r="F71" s="4" t="str" cm="1">
        <f t="array" ref="F71:F74">_xlfn._xlws.FILTER(Spelerslijst!$R:$R,Spelerslijst!$Q:$Q=B$69,"")</f>
        <v>D1</v>
      </c>
      <c r="G71" s="5" cm="1">
        <f t="array" ref="G71:G74">_xlfn._xlws.FILTER(Spelerslijst!$N:$N,Spelerslijst!$Q:$Q=B$69,"")</f>
        <v>12</v>
      </c>
      <c r="I71" s="3" t="str" cm="1">
        <f t="array" ref="I71:I75">_xlfn._xlws.FILTER(Spelerslijst!$B:$B,Spelerslijst!$G:$G=I$69,"")</f>
        <v>Esmée de Boer</v>
      </c>
      <c r="J71" s="4" t="str" cm="1">
        <f t="array" ref="J71:J75">_xlfn._xlws.FILTER(Spelerslijst!$H:$H,Spelerslijst!$G:$G=I$69,"")</f>
        <v>C2</v>
      </c>
      <c r="K71" s="5" cm="1">
        <f t="array" ref="K71:K75">_xlfn._xlws.FILTER(Spelerslijst!$D:$D,Spelerslijst!$G:$G=I$69,"")</f>
        <v>13</v>
      </c>
      <c r="L71" s="3" t="str" cm="1">
        <f t="array" ref="L71:L74">_xlfn._xlws.FILTER(Spelerslijst!$L:$L,Spelerslijst!$Q:$Q=I$69,"")</f>
        <v>Diederik Hovestadt</v>
      </c>
      <c r="M71" s="4" t="str" cm="1">
        <f t="array" ref="M71:M74">_xlfn._xlws.FILTER(Spelerslijst!$R:$R,Spelerslijst!$Q:$Q=I$69,"")</f>
        <v>C3</v>
      </c>
      <c r="N71" s="5" cm="1">
        <f t="array" ref="N71:N74">_xlfn._xlws.FILTER(Spelerslijst!$N:$N,Spelerslijst!$Q:$Q=I$69,"")</f>
        <v>14</v>
      </c>
      <c r="P71" s="3" t="str" cm="1">
        <f t="array" ref="P71:P76">_xlfn._xlws.FILTER(Spelerslijst!$B:$B,Spelerslijst!$G:$G=P$69,"")</f>
        <v>Danique van der Wiel</v>
      </c>
      <c r="Q71" s="4" t="str" cm="1">
        <f t="array" ref="Q71:Q76">_xlfn._xlws.FILTER(Spelerslijst!$H:$H,Spelerslijst!$G:$G=P$69,"")</f>
        <v>C3</v>
      </c>
      <c r="R71" s="5" cm="1">
        <f t="array" ref="R71:R76">_xlfn._xlws.FILTER(Spelerslijst!$D:$D,Spelerslijst!$G:$G=P$69,"")</f>
        <v>13</v>
      </c>
      <c r="S71" s="3" t="str" cm="1">
        <f t="array" ref="S71:S74">_xlfn._xlws.FILTER(Spelerslijst!$L:$L,Spelerslijst!$Q:$Q=P$69,"")</f>
        <v>Joaz Post</v>
      </c>
      <c r="T71" s="4" t="str" cm="1">
        <f t="array" ref="T71:T74">_xlfn._xlws.FILTER(Spelerslijst!$R:$R,Spelerslijst!$Q:$Q=P$69,"")</f>
        <v>C3</v>
      </c>
      <c r="U71" s="5" cm="1">
        <f t="array" ref="U71:U74">_xlfn._xlws.FILTER(Spelerslijst!$N:$N,Spelerslijst!$Q:$Q=P$69,"")</f>
        <v>13</v>
      </c>
      <c r="W71" s="3" t="str" cm="1">
        <f t="array" ref="W71:W77">_xlfn._xlws.FILTER(Spelerslijst!$B:$B,Spelerslijst!$G:$G=W$69,"")</f>
        <v>Bryanna Bos</v>
      </c>
      <c r="X71" s="4" t="str" cm="1">
        <f t="array" ref="X71:X77">_xlfn._xlws.FILTER(Spelerslijst!$H:$H,Spelerslijst!$G:$G=W$69,"")</f>
        <v>C4</v>
      </c>
      <c r="Y71" s="5" cm="1">
        <f t="array" ref="Y71:Y77">_xlfn._xlws.FILTER(Spelerslijst!$D:$D,Spelerslijst!$G:$G=W$69,"")</f>
        <v>13</v>
      </c>
      <c r="Z71" s="3" t="str" cm="1">
        <f t="array" ref="Z71:Z75">_xlfn._xlws.FILTER(Spelerslijst!$L:$L,Spelerslijst!$Q:$Q=W$69,"")</f>
        <v>Djess van Heeren</v>
      </c>
      <c r="AA71" s="4" t="str" cm="1">
        <f t="array" ref="AA71:AA75">_xlfn._xlws.FILTER(Spelerslijst!$R:$R,Spelerslijst!$Q:$Q=W$69,"")</f>
        <v>C4</v>
      </c>
      <c r="AB71" s="5" cm="1">
        <f t="array" ref="AB71:AB75">_xlfn._xlws.FILTER(Spelerslijst!$N:$N,Spelerslijst!$Q:$Q=W$69,"")</f>
        <v>13</v>
      </c>
      <c r="AD71" s="3" t="str" cm="1">
        <f t="array" ref="AD71">_xlfn._xlws.FILTER(Spelerslijst!$B:$B,Spelerslijst!$G:$G=AD$69,"")</f>
        <v/>
      </c>
      <c r="AE71" s="4" t="str" cm="1">
        <f t="array" ref="AE71">_xlfn._xlws.FILTER(Spelerslijst!$H:$H,Spelerslijst!$G:$G=AD$69,"")</f>
        <v/>
      </c>
      <c r="AF71" s="5" t="str" cm="1">
        <f t="array" ref="AF71">_xlfn._xlws.FILTER(Spelerslijst!$D:$D,Spelerslijst!$G:$G=AD$69,"")</f>
        <v/>
      </c>
      <c r="AG71" s="3" t="str" cm="1">
        <f t="array" ref="AG71">_xlfn._xlws.FILTER(Spelerslijst!$L:$L,Spelerslijst!$Q:$Q=AD$69,"")</f>
        <v/>
      </c>
      <c r="AH71" s="4" t="str" cm="1">
        <f t="array" ref="AH71">_xlfn._xlws.FILTER(Spelerslijst!$R:$R,Spelerslijst!$Q:$Q=AD$69,"")</f>
        <v/>
      </c>
      <c r="AI71" s="5" t="str" cm="1">
        <f t="array" ref="AI71">_xlfn._xlws.FILTER(Spelerslijst!$N:$N,Spelerslijst!$Q:$Q=AD$69,"")</f>
        <v/>
      </c>
    </row>
    <row r="72" spans="1:35">
      <c r="A72" s="103"/>
      <c r="B72" s="6" t="str">
        <v>Demi Engelfriet</v>
      </c>
      <c r="C72" s="2" t="str">
        <v>C2</v>
      </c>
      <c r="D72" s="7">
        <v>13</v>
      </c>
      <c r="E72" s="6" t="str">
        <v>Niek Sas</v>
      </c>
      <c r="F72" s="2" t="str">
        <v>C1</v>
      </c>
      <c r="G72" s="7">
        <v>13</v>
      </c>
      <c r="I72" s="6" t="str">
        <v>Eva van Rooij</v>
      </c>
      <c r="J72" s="2" t="str">
        <v>D1</v>
      </c>
      <c r="K72" s="7">
        <v>11</v>
      </c>
      <c r="L72" s="6" t="str">
        <v>Freek Laban</v>
      </c>
      <c r="M72" s="2" t="str">
        <v>D1</v>
      </c>
      <c r="N72" s="7">
        <v>11</v>
      </c>
      <c r="P72" s="6" t="str">
        <v>Enora Bouwknegt</v>
      </c>
      <c r="Q72" s="2" t="str">
        <v>D2</v>
      </c>
      <c r="R72" s="7">
        <v>13</v>
      </c>
      <c r="S72" s="6" t="str">
        <v>Maarten Rutten</v>
      </c>
      <c r="T72" s="2" t="str">
        <v>C3</v>
      </c>
      <c r="U72" s="7">
        <v>13</v>
      </c>
      <c r="W72" s="6" t="str">
        <v>Eline Veenendaal</v>
      </c>
      <c r="X72" s="2" t="str">
        <v>C4</v>
      </c>
      <c r="Y72" s="7">
        <v>14</v>
      </c>
      <c r="Z72" s="6" t="str">
        <v>Jurre van der Linden</v>
      </c>
      <c r="AA72" s="2" t="str">
        <v>C4</v>
      </c>
      <c r="AB72" s="7">
        <v>13</v>
      </c>
      <c r="AD72" s="6"/>
      <c r="AE72" s="2"/>
      <c r="AF72" s="7"/>
      <c r="AG72" s="6"/>
      <c r="AH72" s="2"/>
      <c r="AI72" s="7"/>
    </row>
    <row r="73" spans="1:35">
      <c r="A73" s="103"/>
      <c r="B73" s="6" t="str">
        <v>Demi Lindhout</v>
      </c>
      <c r="C73" s="2" t="str">
        <v>C1</v>
      </c>
      <c r="D73" s="7">
        <v>13</v>
      </c>
      <c r="E73" s="6" t="str">
        <v>Thomas Vos</v>
      </c>
      <c r="F73" s="2" t="str">
        <v>C1</v>
      </c>
      <c r="G73" s="7">
        <v>13</v>
      </c>
      <c r="I73" s="6" t="str">
        <v>Feline van de Burgt</v>
      </c>
      <c r="J73" s="2" t="str">
        <v>C2</v>
      </c>
      <c r="K73" s="7">
        <v>13</v>
      </c>
      <c r="L73" s="6" t="str">
        <v>Jonas van de Ven</v>
      </c>
      <c r="M73" s="2" t="str">
        <v>C2</v>
      </c>
      <c r="N73" s="7">
        <v>13</v>
      </c>
      <c r="P73" s="6" t="str">
        <v>Famke Nijman</v>
      </c>
      <c r="Q73" s="2" t="str">
        <v>D2</v>
      </c>
      <c r="R73" s="7">
        <v>12</v>
      </c>
      <c r="S73" s="6" t="str">
        <v>Thijs Vos</v>
      </c>
      <c r="T73" s="2" t="str">
        <v>D2</v>
      </c>
      <c r="U73" s="7">
        <v>12</v>
      </c>
      <c r="W73" s="6" t="str">
        <v>Evie Groen</v>
      </c>
      <c r="X73" s="2" t="str">
        <v>C4</v>
      </c>
      <c r="Y73" s="7">
        <v>13</v>
      </c>
      <c r="Z73" s="6" t="str">
        <v>Levi Molendijk</v>
      </c>
      <c r="AA73" s="2" t="str">
        <v>D2</v>
      </c>
      <c r="AB73" s="7">
        <v>12</v>
      </c>
      <c r="AD73" s="6"/>
      <c r="AE73" s="2"/>
      <c r="AF73" s="7"/>
      <c r="AG73" s="6"/>
      <c r="AH73" s="2"/>
      <c r="AI73" s="7"/>
    </row>
    <row r="74" spans="1:35">
      <c r="A74" s="103"/>
      <c r="B74" s="6" t="str">
        <v>Julia Kleingeld</v>
      </c>
      <c r="C74" s="2" t="str">
        <v>C2</v>
      </c>
      <c r="D74" s="7">
        <v>13</v>
      </c>
      <c r="E74" s="6" t="str">
        <v>Tiemen den Dekker</v>
      </c>
      <c r="F74" s="2" t="str">
        <v>D1</v>
      </c>
      <c r="G74" s="7">
        <v>12</v>
      </c>
      <c r="I74" s="6" t="str">
        <v>Saar Camphens</v>
      </c>
      <c r="J74" s="2" t="str">
        <v>D1</v>
      </c>
      <c r="K74" s="7">
        <v>12</v>
      </c>
      <c r="L74" s="6" t="str">
        <v>Sander Heerspring</v>
      </c>
      <c r="M74" s="2" t="str">
        <v>D1</v>
      </c>
      <c r="N74" s="7">
        <v>12</v>
      </c>
      <c r="P74" s="6" t="str">
        <v>Femke Bakker</v>
      </c>
      <c r="Q74" s="2" t="str">
        <v>C3</v>
      </c>
      <c r="R74" s="7">
        <v>13</v>
      </c>
      <c r="S74" s="6" t="str">
        <v>Xavi Jacobs</v>
      </c>
      <c r="T74" s="2" t="str">
        <v>D2</v>
      </c>
      <c r="U74" s="7">
        <v>12</v>
      </c>
      <c r="W74" s="6" t="str">
        <v>Manon Barbaroux</v>
      </c>
      <c r="X74" s="2" t="str">
        <v>C4</v>
      </c>
      <c r="Y74" s="7">
        <v>12</v>
      </c>
      <c r="Z74" s="6" t="str">
        <v>Mika Kerschkamp</v>
      </c>
      <c r="AA74" s="2" t="str">
        <v>D2</v>
      </c>
      <c r="AB74" s="7">
        <v>12</v>
      </c>
      <c r="AD74" s="6"/>
      <c r="AE74" s="2"/>
      <c r="AF74" s="7"/>
      <c r="AG74" s="6"/>
      <c r="AH74" s="2"/>
      <c r="AI74" s="7"/>
    </row>
    <row r="75" spans="1:35">
      <c r="A75" s="103"/>
      <c r="B75" s="6" t="str">
        <v>Noa Stomp</v>
      </c>
      <c r="C75" s="2" t="str">
        <v>C2</v>
      </c>
      <c r="D75" s="7">
        <v>13</v>
      </c>
      <c r="E75" s="6"/>
      <c r="F75" s="2"/>
      <c r="G75" s="7"/>
      <c r="I75" s="6" t="str">
        <v>Tess Volker</v>
      </c>
      <c r="J75" s="2" t="str">
        <v>C2</v>
      </c>
      <c r="K75" s="7">
        <v>13</v>
      </c>
      <c r="L75" s="6"/>
      <c r="M75" s="2"/>
      <c r="N75" s="7"/>
      <c r="P75" s="6" t="str">
        <v>Nikki Baas</v>
      </c>
      <c r="Q75" s="2" t="str">
        <v>C3</v>
      </c>
      <c r="R75" s="7">
        <v>13</v>
      </c>
      <c r="S75" s="6"/>
      <c r="T75" s="2"/>
      <c r="U75" s="7"/>
      <c r="W75" s="102" t="str">
        <v>Noortje Vercouteren</v>
      </c>
      <c r="X75" s="2" t="str">
        <v>C4</v>
      </c>
      <c r="Y75" s="7">
        <v>13</v>
      </c>
      <c r="Z75" s="6" t="str">
        <v>Parham Afsharbegloe</v>
      </c>
      <c r="AA75" s="2" t="str">
        <v>C4</v>
      </c>
      <c r="AB75" s="7">
        <v>14</v>
      </c>
      <c r="AD75" s="6"/>
      <c r="AE75" s="2"/>
      <c r="AF75" s="7"/>
      <c r="AG75" s="6"/>
      <c r="AH75" s="2"/>
      <c r="AI75" s="7"/>
    </row>
    <row r="76" spans="1:35">
      <c r="A76" s="103"/>
      <c r="B76" s="6"/>
      <c r="C76" s="2"/>
      <c r="D76" s="7"/>
      <c r="E76" s="6"/>
      <c r="F76" s="2"/>
      <c r="G76" s="7"/>
      <c r="I76" s="6"/>
      <c r="J76" s="2"/>
      <c r="K76" s="7"/>
      <c r="L76" s="6"/>
      <c r="M76" s="2"/>
      <c r="N76" s="7"/>
      <c r="P76" s="6" t="str">
        <v>Sanne van Driel</v>
      </c>
      <c r="Q76" s="2" t="str">
        <v>D2</v>
      </c>
      <c r="R76" s="7">
        <v>33</v>
      </c>
      <c r="S76" s="6"/>
      <c r="T76" s="2"/>
      <c r="U76" s="7"/>
      <c r="W76" s="6" t="str">
        <v>Pippa Jongkind</v>
      </c>
      <c r="X76" s="2" t="str">
        <v>C4</v>
      </c>
      <c r="Y76" s="7">
        <v>12</v>
      </c>
      <c r="Z76" s="6"/>
      <c r="AA76" s="2"/>
      <c r="AB76" s="7"/>
      <c r="AD76" s="6"/>
      <c r="AE76" s="2"/>
      <c r="AF76" s="7"/>
      <c r="AG76" s="6"/>
      <c r="AH76" s="2"/>
      <c r="AI76" s="7"/>
    </row>
    <row r="77" spans="1:35">
      <c r="A77" s="103"/>
      <c r="B77" s="6"/>
      <c r="C77" s="2"/>
      <c r="D77" s="7"/>
      <c r="E77" s="6"/>
      <c r="F77" s="2"/>
      <c r="G77" s="7"/>
      <c r="I77" s="6"/>
      <c r="J77" s="2"/>
      <c r="K77" s="7"/>
      <c r="L77" s="6"/>
      <c r="M77" s="2"/>
      <c r="N77" s="7"/>
      <c r="P77" s="6"/>
      <c r="Q77" s="2"/>
      <c r="R77" s="7"/>
      <c r="S77" s="6"/>
      <c r="T77" s="2"/>
      <c r="U77" s="7"/>
      <c r="W77" s="6" t="str">
        <v>Sanne Peters</v>
      </c>
      <c r="X77" s="2" t="str">
        <v>C4</v>
      </c>
      <c r="Y77" s="7">
        <v>13</v>
      </c>
      <c r="Z77" s="6"/>
      <c r="AA77" s="2"/>
      <c r="AB77" s="7"/>
      <c r="AD77" s="6"/>
      <c r="AE77" s="2"/>
      <c r="AF77" s="7"/>
      <c r="AG77" s="6"/>
      <c r="AH77" s="2"/>
      <c r="AI77" s="7"/>
    </row>
    <row r="78" spans="1:35">
      <c r="A78" s="103"/>
      <c r="B78" s="6"/>
      <c r="C78" s="2"/>
      <c r="D78" s="7"/>
      <c r="E78" s="6"/>
      <c r="F78" s="2"/>
      <c r="G78" s="7"/>
      <c r="I78" s="6"/>
      <c r="J78" s="2"/>
      <c r="K78" s="7"/>
      <c r="L78" s="6"/>
      <c r="M78" s="2"/>
      <c r="N78" s="7"/>
      <c r="P78" s="6"/>
      <c r="Q78" s="2"/>
      <c r="R78" s="7"/>
      <c r="S78" s="6"/>
      <c r="T78" s="2"/>
      <c r="U78" s="7"/>
      <c r="W78" s="6"/>
      <c r="X78" s="2"/>
      <c r="Y78" s="7"/>
      <c r="Z78" s="6"/>
      <c r="AA78" s="2"/>
      <c r="AB78" s="7"/>
      <c r="AD78" s="6"/>
      <c r="AE78" s="2"/>
      <c r="AF78" s="7"/>
      <c r="AG78" s="6"/>
      <c r="AH78" s="2"/>
      <c r="AI78" s="7"/>
    </row>
    <row r="79" spans="1:35">
      <c r="A79" s="103"/>
      <c r="B79" s="6"/>
      <c r="C79" s="2"/>
      <c r="D79" s="7"/>
      <c r="E79" s="6"/>
      <c r="F79" s="2"/>
      <c r="G79" s="7"/>
      <c r="I79" s="6"/>
      <c r="J79" s="2"/>
      <c r="K79" s="7"/>
      <c r="L79" s="6"/>
      <c r="M79" s="2"/>
      <c r="N79" s="7"/>
      <c r="P79" s="6"/>
      <c r="Q79" s="2"/>
      <c r="R79" s="7"/>
      <c r="S79" s="6"/>
      <c r="T79" s="2"/>
      <c r="U79" s="7"/>
      <c r="W79" s="6"/>
      <c r="X79" s="2"/>
      <c r="Y79" s="7"/>
      <c r="Z79" s="6"/>
      <c r="AA79" s="2"/>
      <c r="AB79" s="7"/>
      <c r="AD79" s="6"/>
      <c r="AE79" s="2"/>
      <c r="AF79" s="7"/>
      <c r="AG79" s="6"/>
      <c r="AH79" s="2"/>
      <c r="AI79" s="7"/>
    </row>
    <row r="80" spans="1:35" ht="15.75" thickBot="1">
      <c r="A80" s="103"/>
      <c r="B80" s="6"/>
      <c r="C80" s="2"/>
      <c r="D80" s="7"/>
      <c r="E80" s="6"/>
      <c r="F80" s="2"/>
      <c r="G80" s="7"/>
      <c r="I80" s="6"/>
      <c r="J80" s="2"/>
      <c r="K80" s="7"/>
      <c r="L80" s="6"/>
      <c r="M80" s="2"/>
      <c r="N80" s="7"/>
      <c r="P80" s="6"/>
      <c r="Q80" s="2"/>
      <c r="R80" s="7"/>
      <c r="S80" s="6"/>
      <c r="T80" s="2"/>
      <c r="U80" s="7"/>
      <c r="W80" s="6"/>
      <c r="X80" s="2"/>
      <c r="Y80" s="7"/>
      <c r="Z80" s="6"/>
      <c r="AA80" s="2"/>
      <c r="AB80" s="7"/>
      <c r="AD80" s="6"/>
      <c r="AE80" s="2"/>
      <c r="AF80" s="7"/>
      <c r="AG80" s="6"/>
      <c r="AH80" s="2"/>
      <c r="AI80" s="7"/>
    </row>
    <row r="81" spans="1:35">
      <c r="A81" s="103"/>
      <c r="B81" s="12" t="str" cm="1">
        <f t="array" ref="B81:B82">_xlfn._xlws.FILTER(Staf!$C:$C,Staf!$B:$B=Teams!B69,"")</f>
        <v>Trainer/Coach</v>
      </c>
      <c r="C81" s="13" t="str" cm="1">
        <f t="array" ref="C81:C82">_xlfn._xlws.FILTER(Staf!$A:$A,Staf!$B:$B=Teams!B69,"")</f>
        <v>Mees Oppe</v>
      </c>
      <c r="D81" s="13"/>
      <c r="E81" s="13"/>
      <c r="F81" s="13"/>
      <c r="G81" s="14"/>
      <c r="I81" s="12" t="str" cm="1">
        <f t="array" ref="I81:I82">_xlfn._xlws.FILTER(Staf!$C:$C,Staf!$B:$B=Teams!I69,"")</f>
        <v>Trainer/Coach</v>
      </c>
      <c r="J81" s="13" t="str" cm="1">
        <f t="array" ref="J81:J82">_xlfn._xlws.FILTER(Staf!$A:$A,Staf!$B:$B=Teams!I69,"")</f>
        <v>Antjan Laban</v>
      </c>
      <c r="K81" s="13"/>
      <c r="L81" s="13"/>
      <c r="M81" s="13"/>
      <c r="N81" s="14"/>
      <c r="P81" s="12" t="str" cm="1">
        <f t="array" ref="P81:P82">_xlfn._xlws.FILTER(Staf!$C:$C,Staf!$B:$B=Teams!P69,"")</f>
        <v>Trainer/Coach</v>
      </c>
      <c r="Q81" s="13" t="str" cm="1">
        <f t="array" ref="Q81:Q82">_xlfn._xlws.FILTER(Staf!$A:$A,Staf!$B:$B=Teams!P69,"")</f>
        <v>Kimberly Jacobs</v>
      </c>
      <c r="R81" s="13"/>
      <c r="S81" s="13"/>
      <c r="T81" s="13"/>
      <c r="U81" s="14"/>
      <c r="W81" s="12" t="str" cm="1">
        <f t="array" ref="W81:W82">_xlfn._xlws.FILTER(Staf!$C:$C,Staf!$B:$B=Teams!W69,"")</f>
        <v>Trainer/Coach</v>
      </c>
      <c r="X81" s="13" t="str" cm="1">
        <f t="array" ref="X81:X82">_xlfn._xlws.FILTER(Staf!$A:$A,Staf!$B:$B=Teams!W69,"")</f>
        <v>Syrah de Wit</v>
      </c>
      <c r="Y81" s="13"/>
      <c r="Z81" s="13"/>
      <c r="AA81" s="13"/>
      <c r="AB81" s="14"/>
      <c r="AD81" s="12" t="str" cm="1">
        <f t="array" ref="AD81">_xlfn._xlws.FILTER(Staf!$C:$C,Staf!$B:$B=Teams!AD69,"")</f>
        <v/>
      </c>
      <c r="AE81" s="13" t="str" cm="1">
        <f t="array" ref="AE81">_xlfn._xlws.FILTER(Staf!$A:$A,Staf!$B:$B=Teams!AD69,"")</f>
        <v/>
      </c>
      <c r="AF81" s="13"/>
      <c r="AG81" s="13"/>
      <c r="AH81" s="13"/>
      <c r="AI81" s="14"/>
    </row>
    <row r="82" spans="1:35">
      <c r="A82" s="103"/>
      <c r="B82" s="15" t="str">
        <v>Trainer/Coach</v>
      </c>
      <c r="C82" s="16" t="str">
        <v>Jasper Kleingeld</v>
      </c>
      <c r="D82" s="16"/>
      <c r="E82" s="16"/>
      <c r="F82" s="16"/>
      <c r="G82" s="17"/>
      <c r="I82" s="15" t="str">
        <v>Trainer/Coach</v>
      </c>
      <c r="J82" s="16" t="str">
        <v>Tessa Dubbeld</v>
      </c>
      <c r="K82" s="16"/>
      <c r="L82" s="16"/>
      <c r="M82" s="16"/>
      <c r="N82" s="17"/>
      <c r="P82" s="15" t="str">
        <v>Trainer/Coach</v>
      </c>
      <c r="Q82" s="16" t="str">
        <v>Martijn van der Wiel</v>
      </c>
      <c r="R82" s="16"/>
      <c r="S82" s="16"/>
      <c r="T82" s="16"/>
      <c r="U82" s="17"/>
      <c r="W82" s="15" t="str">
        <v>Trainer/Coach</v>
      </c>
      <c r="X82" s="16" t="str">
        <v>Nadia de Wit</v>
      </c>
      <c r="Y82" s="16"/>
      <c r="Z82" s="16"/>
      <c r="AA82" s="16"/>
      <c r="AB82" s="17"/>
      <c r="AD82" s="15"/>
      <c r="AE82" s="16"/>
      <c r="AF82" s="16"/>
      <c r="AG82" s="16"/>
      <c r="AH82" s="16"/>
      <c r="AI82" s="17"/>
    </row>
    <row r="83" spans="1:35" ht="15.75" thickBot="1">
      <c r="A83" s="103"/>
      <c r="B83" s="18"/>
      <c r="C83" s="19"/>
      <c r="D83" s="19"/>
      <c r="E83" s="19"/>
      <c r="F83" s="19"/>
      <c r="G83" s="20"/>
      <c r="I83" s="18"/>
      <c r="J83" s="19"/>
      <c r="K83" s="19"/>
      <c r="L83" s="19"/>
      <c r="M83" s="19"/>
      <c r="N83" s="20"/>
      <c r="P83" s="18"/>
      <c r="Q83" s="19"/>
      <c r="R83" s="19"/>
      <c r="S83" s="19"/>
      <c r="T83" s="19"/>
      <c r="U83" s="20"/>
      <c r="W83" s="18"/>
      <c r="X83" s="19"/>
      <c r="Y83" s="19"/>
      <c r="Z83" s="19"/>
      <c r="AA83" s="19"/>
      <c r="AB83" s="20"/>
      <c r="AD83" s="18"/>
      <c r="AE83" s="19"/>
      <c r="AF83" s="19"/>
      <c r="AG83" s="19"/>
      <c r="AH83" s="19"/>
      <c r="AI83" s="20"/>
    </row>
    <row r="84" spans="1:35" ht="15.75" thickBot="1"/>
    <row r="85" spans="1:35" ht="15.75" thickBot="1">
      <c r="A85" s="103" t="s">
        <v>33</v>
      </c>
      <c r="B85" s="21" t="s">
        <v>34</v>
      </c>
      <c r="C85" s="21"/>
      <c r="D85" s="21"/>
      <c r="E85" s="21"/>
      <c r="F85" s="21"/>
      <c r="G85" s="22">
        <f>AVERAGE(D87:D96,G87:G96)</f>
        <v>10.9</v>
      </c>
      <c r="I85" s="21" t="s">
        <v>35</v>
      </c>
      <c r="J85" s="21"/>
      <c r="K85" s="21"/>
      <c r="L85" s="21"/>
      <c r="M85" s="21"/>
      <c r="N85" s="22">
        <f>AVERAGE(K87:K96,N87:N96)</f>
        <v>10.1</v>
      </c>
      <c r="P85" s="21" t="s">
        <v>36</v>
      </c>
      <c r="Q85" s="21"/>
      <c r="R85" s="21"/>
      <c r="S85" s="21"/>
      <c r="T85" s="21"/>
      <c r="U85" s="22">
        <f>AVERAGE(R87:R96,U87:U96)</f>
        <v>10.272727272727273</v>
      </c>
      <c r="W85" s="21" t="s">
        <v>37</v>
      </c>
      <c r="X85" s="21"/>
      <c r="Y85" s="21"/>
      <c r="Z85" s="21"/>
      <c r="AA85" s="21"/>
      <c r="AB85" s="22" t="e">
        <f>AVERAGE(Y87:Y96,AB87:AB96)</f>
        <v>#DIV/0!</v>
      </c>
      <c r="AD85" s="21" t="s">
        <v>38</v>
      </c>
      <c r="AE85" s="21"/>
      <c r="AF85" s="21"/>
      <c r="AG85" s="21"/>
      <c r="AH85" s="21"/>
      <c r="AI85" s="22" t="e">
        <f>AVERAGE(AF87:AF96,AI87:AI96)</f>
        <v>#DIV/0!</v>
      </c>
    </row>
    <row r="86" spans="1:35" ht="15.75" thickBot="1">
      <c r="A86" s="103"/>
      <c r="B86" s="8" t="str">
        <f>CONCATENATE("Dames (",COUNTA(C87:C94),")")</f>
        <v>Dames (6)</v>
      </c>
      <c r="C86" s="9"/>
      <c r="D86" s="10"/>
      <c r="E86" s="8" t="str">
        <f>CONCATENATE("Heren (",COUNTA(F87:F94),")")</f>
        <v>Heren (4)</v>
      </c>
      <c r="F86" s="9"/>
      <c r="G86" s="10"/>
      <c r="I86" s="8" t="str">
        <f>CONCATENATE("Dames (",COUNTA(J87:J94),")")</f>
        <v>Dames (6)</v>
      </c>
      <c r="J86" s="9"/>
      <c r="K86" s="10"/>
      <c r="L86" s="8" t="str">
        <f>CONCATENATE("Heren (",COUNTA(M87:M94),")")</f>
        <v>Heren (4)</v>
      </c>
      <c r="M86" s="9"/>
      <c r="N86" s="10"/>
      <c r="P86" s="8" t="str">
        <f>CONCATENATE("Dames (",COUNTA(Q87:Q93),")")</f>
        <v>Dames (7)</v>
      </c>
      <c r="Q86" s="9"/>
      <c r="R86" s="10"/>
      <c r="S86" s="8" t="str">
        <f>CONCATENATE("Heren (",COUNTA(T87:T94),")")</f>
        <v>Heren (4)</v>
      </c>
      <c r="T86" s="9"/>
      <c r="U86" s="10"/>
      <c r="W86" s="8" t="str">
        <f>CONCATENATE("Dames (",COUNTA(X87:X94),")")</f>
        <v>Dames (1)</v>
      </c>
      <c r="X86" s="9"/>
      <c r="Y86" s="10"/>
      <c r="Z86" s="8" t="str">
        <f>CONCATENATE("Heren (",COUNTA(AA87:AA94),")")</f>
        <v>Heren (1)</v>
      </c>
      <c r="AA86" s="9"/>
      <c r="AB86" s="10"/>
      <c r="AD86" s="8" t="str">
        <f>CONCATENATE("Dames (",COUNTA(AE87:AE94),")")</f>
        <v>Dames (1)</v>
      </c>
      <c r="AE86" s="9"/>
      <c r="AF86" s="10"/>
      <c r="AG86" s="8" t="str">
        <f>CONCATENATE("Heren (",COUNTA(AH87:AH94),")")</f>
        <v>Heren (1)</v>
      </c>
      <c r="AH86" s="9"/>
      <c r="AI86" s="10"/>
    </row>
    <row r="87" spans="1:35">
      <c r="A87" s="103"/>
      <c r="B87" s="3" t="str" cm="1">
        <f t="array" ref="B87:B92">_xlfn._xlws.FILTER(Spelerslijst!$B:$B,Spelerslijst!$G:$G=B$85,"")</f>
        <v>Anouk Bakker</v>
      </c>
      <c r="C87" s="4" t="str" cm="1">
        <f t="array" ref="C87:C92">_xlfn._xlws.FILTER(Spelerslijst!$H:$H,Spelerslijst!$G:$G=B$85,"")</f>
        <v>D3</v>
      </c>
      <c r="D87" s="5" cm="1">
        <f t="array" ref="D87:D92">_xlfn._xlws.FILTER(Spelerslijst!$D:$D,Spelerslijst!$G:$G=B$85,"")</f>
        <v>11</v>
      </c>
      <c r="E87" s="3" t="str" cm="1">
        <f t="array" ref="E87:E90">_xlfn._xlws.FILTER(Spelerslijst!$L:$L,Spelerslijst!$Q:$Q=B$85,"")</f>
        <v>Finn Verboom</v>
      </c>
      <c r="F87" s="4" t="str" cm="1">
        <f t="array" ref="F87:F90">_xlfn._xlws.FILTER(Spelerslijst!R:R,Spelerslijst!$Q:$Q=B$85,"")</f>
        <v>D3</v>
      </c>
      <c r="G87" s="5" cm="1">
        <f t="array" ref="G87:G90">_xlfn._xlws.FILTER(Spelerslijst!$N:$N,Spelerslijst!$Q:$Q=B$85,"")</f>
        <v>11</v>
      </c>
      <c r="I87" s="3" t="str" cm="1">
        <f t="array" ref="I87:I92">_xlfn._xlws.FILTER(Spelerslijst!$B:$B,Spelerslijst!$G:$G=I$85,"")</f>
        <v>Evi Kleingeld</v>
      </c>
      <c r="J87" s="4" t="str" cm="1">
        <f t="array" ref="J87:J92">_xlfn._xlws.FILTER(Spelerslijst!$H:$H,Spelerslijst!$G:$G=I$85,"")</f>
        <v>E1</v>
      </c>
      <c r="K87" s="5" cm="1">
        <f t="array" ref="K87:K92">_xlfn._xlws.FILTER(Spelerslijst!$D:$D,Spelerslijst!$G:$G=I$85,"")</f>
        <v>10</v>
      </c>
      <c r="L87" s="3" t="str" cm="1">
        <f t="array" ref="L87:L90">_xlfn._xlws.FILTER(Spelerslijst!$L:$L,Spelerslijst!$Q:$Q=I$85,"")</f>
        <v>Abel van de Ven</v>
      </c>
      <c r="M87" s="4" t="str" cm="1">
        <f t="array" ref="M87:M90">_xlfn._xlws.FILTER(Spelerslijst!$R:$R,Spelerslijst!$Q:$Q=I$85,"")</f>
        <v>E3</v>
      </c>
      <c r="N87" s="5" cm="1">
        <f t="array" ref="N87:N90">_xlfn._xlws.FILTER(Spelerslijst!$N:$N,Spelerslijst!$Q:$Q=I$85,"")</f>
        <v>9</v>
      </c>
      <c r="P87" s="3" t="str" cm="1">
        <f t="array" ref="P87:P93">_xlfn._xlws.FILTER(Spelerslijst!$B:$B,Spelerslijst!$G:$G=P$85,"")</f>
        <v>Esther Oosse</v>
      </c>
      <c r="Q87" s="4" t="str" cm="1">
        <f t="array" ref="Q87:Q93">_xlfn._xlws.FILTER(Spelerslijst!$H:$H,Spelerslijst!$G:$G=P$85,"")</f>
        <v>E2</v>
      </c>
      <c r="R87" s="5" cm="1">
        <f t="array" ref="R87:R93">_xlfn._xlws.FILTER(Spelerslijst!$D:$D,Spelerslijst!$G:$G=P$85,"")</f>
        <v>10</v>
      </c>
      <c r="S87" s="3" t="str" cm="1">
        <f t="array" ref="S87:S90">_xlfn._xlws.FILTER(Spelerslijst!$L:$L,Spelerslijst!$Q:$Q=P$85,"")</f>
        <v>Cas Uljee</v>
      </c>
      <c r="T87" s="4" t="str" cm="1">
        <f t="array" ref="T87:T90">_xlfn._xlws.FILTER(Spelerslijst!$R:$R,Spelerslijst!$Q:$Q=P$85,"")</f>
        <v>E3</v>
      </c>
      <c r="U87" s="5" cm="1">
        <f t="array" ref="U87:U90">_xlfn._xlws.FILTER(Spelerslijst!$N:$N,Spelerslijst!$Q:$Q=P$85,"")</f>
        <v>10</v>
      </c>
      <c r="W87" s="3" t="str" cm="1">
        <f t="array" ref="W87">_xlfn._xlws.FILTER(Spelerslijst!$B:$B,Spelerslijst!$G:$G=W$85,"")</f>
        <v/>
      </c>
      <c r="X87" s="4" t="str" cm="1">
        <f t="array" ref="X87">_xlfn._xlws.FILTER(Spelerslijst!$H:$H,Spelerslijst!$G:$G=W$85,"")</f>
        <v/>
      </c>
      <c r="Y87" s="5" t="str" cm="1">
        <f t="array" ref="Y87">_xlfn._xlws.FILTER(Spelerslijst!$D:$D,Spelerslijst!$G:$G=W$85,"")</f>
        <v/>
      </c>
      <c r="Z87" s="3" t="str" cm="1">
        <f t="array" ref="Z87">_xlfn._xlws.FILTER(Spelerslijst!$L:$L,Spelerslijst!$Q:$Q=W$85,"")</f>
        <v/>
      </c>
      <c r="AA87" s="4" t="str" cm="1">
        <f t="array" ref="AA87">_xlfn._xlws.FILTER(Spelerslijst!$R:$R,Spelerslijst!$Q:$Q=W$85,"")</f>
        <v/>
      </c>
      <c r="AB87" s="5" t="str" cm="1">
        <f t="array" ref="AB87">_xlfn._xlws.FILTER(Spelerslijst!$N:$N,Spelerslijst!$Q:$Q=W$85,"")</f>
        <v/>
      </c>
      <c r="AD87" s="3" t="str" cm="1">
        <f t="array" ref="AD87">_xlfn._xlws.FILTER(Spelerslijst!$B:$B,Spelerslijst!$G:$G=AD$85,"")</f>
        <v/>
      </c>
      <c r="AE87" s="4" t="str" cm="1">
        <f t="array" ref="AE87">_xlfn._xlws.FILTER(Spelerslijst!$H:$H,Spelerslijst!$G:$G=AD$85,"")</f>
        <v/>
      </c>
      <c r="AF87" s="5" t="str" cm="1">
        <f t="array" ref="AF87">_xlfn._xlws.FILTER(Spelerslijst!$D:$D,Spelerslijst!$G:$G=AD$85,"")</f>
        <v/>
      </c>
      <c r="AG87" s="3" t="str" cm="1">
        <f t="array" ref="AG87">_xlfn._xlws.FILTER(Spelerslijst!$L:$L,Spelerslijst!$Q:$Q=AD$85,"")</f>
        <v/>
      </c>
      <c r="AH87" s="4" t="str" cm="1">
        <f t="array" ref="AH87">_xlfn._xlws.FILTER(Spelerslijst!$R:$R,Spelerslijst!$Q:$Q=AD$85,"")</f>
        <v/>
      </c>
      <c r="AI87" s="5" t="str" cm="1">
        <f t="array" ref="AI87">_xlfn._xlws.FILTER(Spelerslijst!$N:$N,Spelerslijst!$Q:$Q=AD$85,"")</f>
        <v/>
      </c>
    </row>
    <row r="88" spans="1:35">
      <c r="A88" s="103"/>
      <c r="B88" s="6" t="str">
        <v>Davina Moniz</v>
      </c>
      <c r="C88" s="2" t="str">
        <v>E2</v>
      </c>
      <c r="D88" s="7">
        <v>10</v>
      </c>
      <c r="E88" s="6" t="str">
        <v>Joep van Ameijden</v>
      </c>
      <c r="F88" s="2" t="str">
        <v>D3</v>
      </c>
      <c r="G88" s="7">
        <v>11</v>
      </c>
      <c r="I88" s="6" t="str">
        <v>Fay Tims</v>
      </c>
      <c r="J88" s="2" t="str">
        <v>E1</v>
      </c>
      <c r="K88" s="7">
        <v>10</v>
      </c>
      <c r="L88" s="6" t="str">
        <v>Falco Bemer</v>
      </c>
      <c r="M88" s="2" t="str">
        <v>E1</v>
      </c>
      <c r="N88" s="7">
        <v>10</v>
      </c>
      <c r="P88" s="6" t="str">
        <v>Feline Littooij</v>
      </c>
      <c r="Q88" s="2" t="str">
        <v>D3</v>
      </c>
      <c r="R88" s="7">
        <v>11</v>
      </c>
      <c r="S88" s="6" t="str">
        <v>Fynn Kuling</v>
      </c>
      <c r="T88" s="2" t="str">
        <v>E2</v>
      </c>
      <c r="U88" s="7">
        <v>10</v>
      </c>
      <c r="W88" s="6"/>
      <c r="X88" s="2"/>
      <c r="Y88" s="7"/>
      <c r="Z88" s="6"/>
      <c r="AA88" s="2"/>
      <c r="AB88" s="7"/>
      <c r="AD88" s="6"/>
      <c r="AE88" s="2"/>
      <c r="AF88" s="7"/>
      <c r="AG88" s="6"/>
      <c r="AH88" s="2"/>
      <c r="AI88" s="7"/>
    </row>
    <row r="89" spans="1:35">
      <c r="A89" s="103"/>
      <c r="B89" s="6" t="str">
        <v>Eva Bezemer</v>
      </c>
      <c r="C89" s="2" t="str">
        <v>D3</v>
      </c>
      <c r="D89" s="7">
        <v>11</v>
      </c>
      <c r="E89" s="6" t="str">
        <v>Juda Vos</v>
      </c>
      <c r="F89" s="2" t="str">
        <v>D3</v>
      </c>
      <c r="G89" s="7">
        <v>11</v>
      </c>
      <c r="I89" s="6" t="str">
        <v>Fenna van Rijswijk</v>
      </c>
      <c r="J89" s="2" t="str">
        <v>D2</v>
      </c>
      <c r="K89" s="7">
        <v>11</v>
      </c>
      <c r="L89" s="6" t="str">
        <v>Nathan Verberkt</v>
      </c>
      <c r="M89" s="2" t="str">
        <v>E2</v>
      </c>
      <c r="N89" s="7">
        <v>10</v>
      </c>
      <c r="P89" s="6" t="str">
        <v>Jolijn van den Bergh</v>
      </c>
      <c r="Q89" s="2" t="str">
        <v>E5</v>
      </c>
      <c r="R89" s="7">
        <v>10</v>
      </c>
      <c r="S89" s="6" t="str">
        <v>Martijn Veenendaal</v>
      </c>
      <c r="T89" s="2" t="str">
        <v>E3</v>
      </c>
      <c r="U89" s="7">
        <v>10</v>
      </c>
      <c r="W89" s="6"/>
      <c r="X89" s="2"/>
      <c r="Y89" s="7"/>
      <c r="Z89" s="6"/>
      <c r="AA89" s="2"/>
      <c r="AB89" s="7"/>
      <c r="AD89" s="6"/>
      <c r="AE89" s="2"/>
      <c r="AF89" s="7"/>
      <c r="AG89" s="6"/>
      <c r="AH89" s="2"/>
      <c r="AI89" s="7"/>
    </row>
    <row r="90" spans="1:35">
      <c r="A90" s="103"/>
      <c r="B90" s="6" t="str">
        <v>Imke van Geldrop</v>
      </c>
      <c r="C90" s="2" t="str">
        <v>E2</v>
      </c>
      <c r="D90" s="7">
        <v>10</v>
      </c>
      <c r="E90" s="6" t="str">
        <v>Matthijs de Reus</v>
      </c>
      <c r="F90" s="2" t="str">
        <v>D3</v>
      </c>
      <c r="G90" s="7">
        <v>12</v>
      </c>
      <c r="I90" s="6" t="str">
        <v>Jenna Ehmila</v>
      </c>
      <c r="J90" s="2" t="str">
        <v>D3</v>
      </c>
      <c r="K90" s="7">
        <v>11</v>
      </c>
      <c r="L90" s="6" t="str">
        <v>Tygo Bemer</v>
      </c>
      <c r="M90" s="2" t="str">
        <v>E1</v>
      </c>
      <c r="N90" s="7">
        <v>10</v>
      </c>
      <c r="P90" s="6" t="str">
        <v>Lenthe van den Boogaart</v>
      </c>
      <c r="Q90" s="2" t="str">
        <v>E2</v>
      </c>
      <c r="R90" s="7">
        <v>10</v>
      </c>
      <c r="S90" s="6" t="str">
        <v>Vince van der Hoeven</v>
      </c>
      <c r="T90" s="2" t="str">
        <v>E5</v>
      </c>
      <c r="U90" s="7">
        <v>11</v>
      </c>
      <c r="W90" s="6"/>
      <c r="X90" s="2"/>
      <c r="Y90" s="7"/>
      <c r="Z90" s="6"/>
      <c r="AA90" s="2"/>
      <c r="AB90" s="7"/>
      <c r="AD90" s="6"/>
      <c r="AE90" s="2"/>
      <c r="AF90" s="7"/>
      <c r="AG90" s="6"/>
      <c r="AH90" s="2"/>
      <c r="AI90" s="7"/>
    </row>
    <row r="91" spans="1:35">
      <c r="A91" s="103"/>
      <c r="B91" t="str">
        <v>Laura Exalto</v>
      </c>
      <c r="C91" s="2" t="str">
        <v>D3</v>
      </c>
      <c r="D91" s="7">
        <v>11</v>
      </c>
      <c r="E91" s="6"/>
      <c r="F91" s="2"/>
      <c r="G91" s="7"/>
      <c r="I91" s="6" t="str">
        <v>Layla de Boer</v>
      </c>
      <c r="J91" s="2" t="str">
        <v>E1</v>
      </c>
      <c r="K91" s="7">
        <v>10</v>
      </c>
      <c r="L91" s="6"/>
      <c r="M91" s="2"/>
      <c r="N91" s="7"/>
      <c r="P91" s="6" t="str">
        <v>Lisanne Naeije</v>
      </c>
      <c r="Q91" s="2" t="str">
        <v>D3</v>
      </c>
      <c r="R91" s="7">
        <v>11</v>
      </c>
      <c r="S91" s="6"/>
      <c r="T91" s="2"/>
      <c r="U91" s="7"/>
      <c r="W91" s="6"/>
      <c r="X91" s="2"/>
      <c r="Y91" s="7"/>
      <c r="Z91" s="6"/>
      <c r="AA91" s="2"/>
      <c r="AB91" s="7"/>
      <c r="AD91" s="6"/>
      <c r="AE91" s="2"/>
      <c r="AF91" s="7"/>
      <c r="AG91" s="6"/>
      <c r="AH91" s="2"/>
      <c r="AI91" s="7"/>
    </row>
    <row r="92" spans="1:35">
      <c r="A92" s="103"/>
      <c r="B92" s="6" t="str">
        <v>Olivia de Waard</v>
      </c>
      <c r="C92" s="2" t="str">
        <v>D3</v>
      </c>
      <c r="D92" s="7">
        <v>11</v>
      </c>
      <c r="E92" s="6"/>
      <c r="F92" s="2"/>
      <c r="G92" s="7"/>
      <c r="I92" s="6" t="str">
        <v>Yara van der Wiel</v>
      </c>
      <c r="J92" s="2" t="str">
        <v>E1</v>
      </c>
      <c r="K92" s="7">
        <v>10</v>
      </c>
      <c r="L92" s="6"/>
      <c r="M92" s="2"/>
      <c r="N92" s="7"/>
      <c r="P92" s="6" t="str">
        <v>Noor Brouwer</v>
      </c>
      <c r="Q92" s="2" t="str">
        <v>E4</v>
      </c>
      <c r="R92" s="7">
        <v>10</v>
      </c>
      <c r="S92" s="6"/>
      <c r="T92" s="2"/>
      <c r="U92" s="7"/>
      <c r="W92" s="6"/>
      <c r="X92" s="2"/>
      <c r="Y92" s="7"/>
      <c r="Z92" s="6"/>
      <c r="AA92" s="2"/>
      <c r="AB92" s="7"/>
      <c r="AD92" s="6"/>
      <c r="AE92" s="2"/>
      <c r="AF92" s="7"/>
      <c r="AG92" s="6"/>
      <c r="AH92" s="2"/>
      <c r="AI92" s="7"/>
    </row>
    <row r="93" spans="1:35">
      <c r="A93" s="103"/>
      <c r="B93" s="6"/>
      <c r="C93" s="2"/>
      <c r="D93" s="7"/>
      <c r="E93" s="6"/>
      <c r="F93" s="2"/>
      <c r="G93" s="7"/>
      <c r="I93" s="6"/>
      <c r="J93" s="2"/>
      <c r="K93" s="7"/>
      <c r="L93" s="6"/>
      <c r="M93" s="2"/>
      <c r="N93" s="7"/>
      <c r="P93" s="6" t="str">
        <v>Tess Uljee</v>
      </c>
      <c r="Q93" s="2" t="str">
        <v>E4</v>
      </c>
      <c r="R93" s="7">
        <v>10</v>
      </c>
      <c r="S93" s="6"/>
      <c r="T93" s="2"/>
      <c r="U93" s="7"/>
      <c r="W93" s="6"/>
      <c r="X93" s="2"/>
      <c r="Y93" s="7"/>
      <c r="Z93" s="6"/>
      <c r="AA93" s="2"/>
      <c r="AB93" s="7"/>
      <c r="AD93" s="6"/>
      <c r="AE93" s="2"/>
      <c r="AF93" s="7"/>
      <c r="AG93" s="6"/>
      <c r="AH93" s="2"/>
      <c r="AI93" s="7"/>
    </row>
    <row r="94" spans="1:35" ht="15.75" thickBot="1">
      <c r="A94" s="103"/>
      <c r="B94" s="6"/>
      <c r="C94" s="2"/>
      <c r="D94" s="7"/>
      <c r="E94" s="6"/>
      <c r="F94" s="2"/>
      <c r="G94" s="7"/>
      <c r="I94" s="6"/>
      <c r="J94" s="2"/>
      <c r="K94" s="7"/>
      <c r="L94" s="6"/>
      <c r="M94" s="2"/>
      <c r="N94" s="7"/>
      <c r="P94" s="6"/>
      <c r="R94" s="7"/>
      <c r="S94" s="6"/>
      <c r="T94" s="2"/>
      <c r="U94" s="7"/>
      <c r="W94" s="6"/>
      <c r="X94" s="2"/>
      <c r="Y94" s="7"/>
      <c r="Z94" s="6"/>
      <c r="AA94" s="2"/>
      <c r="AB94" s="7"/>
      <c r="AD94" s="6"/>
      <c r="AE94" s="2"/>
      <c r="AF94" s="7"/>
      <c r="AG94" s="6"/>
      <c r="AH94" s="2"/>
      <c r="AI94" s="7"/>
    </row>
    <row r="95" spans="1:35">
      <c r="A95" s="103"/>
      <c r="B95" s="12" t="str" cm="1">
        <f t="array" ref="B95:B97">_xlfn._xlws.FILTER(Staf!$C:$C,Staf!$B:$B=Teams!B85,"")</f>
        <v>Trainer/Coach</v>
      </c>
      <c r="C95" s="13" t="str" cm="1">
        <f t="array" ref="C95:C97">_xlfn._xlws.FILTER(Staf!$A:$A,Staf!$B:$B=Teams!B85,"")</f>
        <v>Joram Flach</v>
      </c>
      <c r="D95" s="13"/>
      <c r="E95" s="13"/>
      <c r="F95" s="13"/>
      <c r="G95" s="14"/>
      <c r="I95" s="12" t="str" cm="1">
        <f t="array" ref="I95:I97">_xlfn._xlws.FILTER(Staf!$C:$C,Staf!$B:$B=Teams!I85,"")</f>
        <v>Trainer/Coach</v>
      </c>
      <c r="J95" s="13" t="str" cm="1">
        <f t="array" ref="J95:J97">_xlfn._xlws.FILTER(Staf!$A:$A,Staf!$B:$B=Teams!I85,"")</f>
        <v>Marcel St. Nicolaas</v>
      </c>
      <c r="K95" s="13"/>
      <c r="L95" s="13"/>
      <c r="M95" s="13"/>
      <c r="N95" s="14"/>
      <c r="P95" s="12" t="str" cm="1">
        <f t="array" ref="P95:P97">_xlfn._xlws.FILTER(Staf!$C:$C,Staf!$B:$B=Teams!P85,"")</f>
        <v>Trainer/Coach</v>
      </c>
      <c r="Q95" s="13" t="str" cm="1">
        <f t="array" ref="Q95:Q97">_xlfn._xlws.FILTER(Staf!$A:$A,Staf!$B:$B=Teams!P85,"")</f>
        <v>Mark Schindler</v>
      </c>
      <c r="R95" s="13"/>
      <c r="S95" s="13"/>
      <c r="T95" s="13"/>
      <c r="U95" s="14"/>
      <c r="W95" s="12" t="str" cm="1">
        <f t="array" ref="W95">_xlfn._xlws.FILTER(Staf!$C:$C,Staf!$B:$B=Teams!W85,"")</f>
        <v/>
      </c>
      <c r="X95" s="13" t="str" cm="1">
        <f t="array" ref="X95">_xlfn._xlws.FILTER(Staf!$A:$A,Staf!$B:$B=Teams!W85,"")</f>
        <v/>
      </c>
      <c r="Y95" s="13"/>
      <c r="Z95" s="13"/>
      <c r="AA95" s="13"/>
      <c r="AB95" s="14"/>
      <c r="AD95" s="12" t="str" cm="1">
        <f t="array" ref="AD95">_xlfn._xlws.FILTER(Staf!$C:$C,Staf!$B:$B=Teams!AD85,"")</f>
        <v/>
      </c>
      <c r="AE95" s="13" t="str" cm="1">
        <f t="array" ref="AE95">_xlfn._xlws.FILTER(Staf!$A:$A,Staf!$B:$B=Teams!AD85,"")</f>
        <v/>
      </c>
      <c r="AF95" s="13"/>
      <c r="AG95" s="13"/>
      <c r="AH95" s="13"/>
      <c r="AI95" s="14"/>
    </row>
    <row r="96" spans="1:35">
      <c r="A96" s="103"/>
      <c r="B96" s="15" t="str">
        <v>Trainer/Coach</v>
      </c>
      <c r="C96" s="16" t="str">
        <v>Marlies Valk</v>
      </c>
      <c r="D96" s="16"/>
      <c r="E96" s="16"/>
      <c r="F96" s="16"/>
      <c r="G96" s="17"/>
      <c r="I96" s="15" t="str">
        <v>Trainer/Coach</v>
      </c>
      <c r="J96" s="16" t="str">
        <v>Tom van de Ven</v>
      </c>
      <c r="K96" s="16"/>
      <c r="L96" s="16"/>
      <c r="M96" s="16"/>
      <c r="N96" s="17"/>
      <c r="P96" s="15" t="str">
        <v>Trainer/Coach</v>
      </c>
      <c r="Q96" s="16" t="str">
        <v>Rick van de Wijgaart</v>
      </c>
      <c r="R96" s="16"/>
      <c r="S96" s="16"/>
      <c r="T96" s="16"/>
      <c r="U96" s="17"/>
      <c r="W96" s="15"/>
      <c r="X96" s="16"/>
      <c r="Y96" s="16"/>
      <c r="Z96" s="16"/>
      <c r="AA96" s="16"/>
      <c r="AB96" s="17"/>
      <c r="AD96" s="15"/>
      <c r="AE96" s="16"/>
      <c r="AF96" s="16"/>
      <c r="AG96" s="16"/>
      <c r="AH96" s="16"/>
      <c r="AI96" s="17"/>
    </row>
    <row r="97" spans="1:49" ht="15.75" thickBot="1">
      <c r="A97" s="103"/>
      <c r="B97" s="18" t="str">
        <v>Assistent-trainer</v>
      </c>
      <c r="C97" s="19" t="str">
        <v>Egbert Vos</v>
      </c>
      <c r="D97" s="19"/>
      <c r="E97" s="19"/>
      <c r="F97" s="19"/>
      <c r="G97" s="20"/>
      <c r="I97" s="18" t="str">
        <v>Assistent-trainer</v>
      </c>
      <c r="J97" s="19" t="str">
        <v>Alex de Boer</v>
      </c>
      <c r="K97" s="19"/>
      <c r="L97" s="19"/>
      <c r="M97" s="19"/>
      <c r="N97" s="20"/>
      <c r="P97" s="18" t="str">
        <v>Trainer/Coach</v>
      </c>
      <c r="Q97" s="19" t="str">
        <v>Jarno Valk</v>
      </c>
      <c r="R97" s="19"/>
      <c r="S97" s="19"/>
      <c r="T97" s="19"/>
      <c r="U97" s="20"/>
      <c r="W97" s="18"/>
      <c r="X97" s="19"/>
      <c r="Y97" s="19"/>
      <c r="Z97" s="19"/>
      <c r="AA97" s="19"/>
      <c r="AB97" s="20"/>
      <c r="AD97" s="18"/>
      <c r="AE97" s="19"/>
      <c r="AF97" s="19"/>
      <c r="AG97" s="19"/>
      <c r="AH97" s="19"/>
      <c r="AI97" s="20"/>
    </row>
    <row r="98" spans="1:49" ht="15.75" thickBot="1"/>
    <row r="99" spans="1:49" ht="15.75" thickBot="1">
      <c r="A99" s="103" t="s">
        <v>39</v>
      </c>
      <c r="B99" s="21" t="s">
        <v>40</v>
      </c>
      <c r="C99" s="21"/>
      <c r="D99" s="21"/>
      <c r="E99" s="21"/>
      <c r="F99" s="21"/>
      <c r="G99" s="22">
        <f>AVERAGE(D101:D108,G101:G108)</f>
        <v>9</v>
      </c>
      <c r="I99" s="21" t="s">
        <v>41</v>
      </c>
      <c r="J99" s="21"/>
      <c r="K99" s="21"/>
      <c r="L99" s="21"/>
      <c r="M99" s="21"/>
      <c r="N99" s="22">
        <f>AVERAGE(K101:K108,N101:N108)</f>
        <v>9</v>
      </c>
      <c r="P99" s="21" t="s">
        <v>42</v>
      </c>
      <c r="Q99" s="21"/>
      <c r="R99" s="21"/>
      <c r="S99" s="21"/>
      <c r="T99" s="21"/>
      <c r="U99" s="22">
        <f>AVERAGE(R101:R108,U101:U108)</f>
        <v>8.8333333333333339</v>
      </c>
      <c r="W99" s="21" t="s">
        <v>43</v>
      </c>
      <c r="X99" s="21"/>
      <c r="Y99" s="21"/>
      <c r="Z99" s="21"/>
      <c r="AA99" s="21"/>
      <c r="AB99" s="22">
        <f>AVERAGE(Y101:Y108,AB101:AB108)</f>
        <v>8.1666666666666661</v>
      </c>
      <c r="AD99" s="21" t="s">
        <v>44</v>
      </c>
      <c r="AE99" s="21"/>
      <c r="AF99" s="21"/>
      <c r="AG99" s="21"/>
      <c r="AH99" s="21"/>
      <c r="AI99" s="22">
        <f>AVERAGE(AF101:AF108,AI101:AI108)</f>
        <v>6.833333333333333</v>
      </c>
      <c r="AK99" s="21" t="s">
        <v>45</v>
      </c>
      <c r="AL99" s="21"/>
      <c r="AM99" s="21"/>
      <c r="AN99" s="21"/>
      <c r="AO99" s="21"/>
      <c r="AP99" s="22" t="e">
        <f>AVERAGE(AM101:AM108,AP101:AP108)</f>
        <v>#DIV/0!</v>
      </c>
      <c r="AR99" s="21" t="s">
        <v>46</v>
      </c>
      <c r="AS99" s="21"/>
      <c r="AT99" s="21"/>
      <c r="AU99" s="21"/>
      <c r="AV99" s="21"/>
      <c r="AW99" s="22" t="e">
        <f>AVERAGE(AT101:AT108,AW101:AW108)</f>
        <v>#DIV/0!</v>
      </c>
    </row>
    <row r="100" spans="1:49" ht="15.75" thickBot="1">
      <c r="A100" s="103"/>
      <c r="B100" s="8" t="str">
        <f>CONCATENATE("Dames (",COUNTA(C101:C106),")")</f>
        <v>Dames (2)</v>
      </c>
      <c r="C100" s="9"/>
      <c r="D100" s="10"/>
      <c r="E100" s="8" t="str">
        <f>CONCATENATE("Heren (",COUNTA(F101:F106),")")</f>
        <v>Heren (3)</v>
      </c>
      <c r="F100" s="9"/>
      <c r="G100" s="10"/>
      <c r="I100" s="8" t="str">
        <f>CONCATENATE("Dames (",COUNTA(J101:J106),")")</f>
        <v>Dames (2)</v>
      </c>
      <c r="J100" s="9"/>
      <c r="K100" s="10"/>
      <c r="L100" s="8" t="str">
        <f>CONCATENATE("Heren (",COUNTA(M101:M106),")")</f>
        <v>Heren (4)</v>
      </c>
      <c r="M100" s="9"/>
      <c r="N100" s="10"/>
      <c r="P100" s="8" t="str">
        <f>CONCATENATE("Dames (",COUNTA(Q101:Q106),")")</f>
        <v>Dames (3)</v>
      </c>
      <c r="Q100" s="9"/>
      <c r="R100" s="10"/>
      <c r="S100" s="8" t="str">
        <f>CONCATENATE("Heren (",COUNTA(T101:T106),")")</f>
        <v>Heren (3)</v>
      </c>
      <c r="T100" s="9"/>
      <c r="U100" s="10"/>
      <c r="W100" s="8" t="str">
        <f>CONCATENATE("Dames (",COUNTA(X101:X106),")")</f>
        <v>Dames (3)</v>
      </c>
      <c r="X100" s="9"/>
      <c r="Y100" s="10"/>
      <c r="Z100" s="8" t="str">
        <f>CONCATENATE("Heren (",COUNTA(AA101:AA106),")")</f>
        <v>Heren (3)</v>
      </c>
      <c r="AA100" s="9"/>
      <c r="AB100" s="10"/>
      <c r="AD100" s="8" t="str">
        <f>CONCATENATE("Dames (",COUNTA(AE101:AE106),")")</f>
        <v>Dames (4)</v>
      </c>
      <c r="AE100" s="9"/>
      <c r="AF100" s="10"/>
      <c r="AG100" s="8" t="str">
        <f>CONCATENATE("Heren (",COUNTA(AH101:AH106),")")</f>
        <v>Heren (2)</v>
      </c>
      <c r="AH100" s="9"/>
      <c r="AI100" s="10"/>
      <c r="AK100" s="8" t="str">
        <f>CONCATENATE("Dames (",COUNTA(AL101:AL106),")")</f>
        <v>Dames (1)</v>
      </c>
      <c r="AL100" s="9"/>
      <c r="AM100" s="10"/>
      <c r="AN100" s="8" t="str">
        <f>CONCATENATE("Heren (",COUNTA(AO101:AO106),")")</f>
        <v>Heren (1)</v>
      </c>
      <c r="AO100" s="9"/>
      <c r="AP100" s="10"/>
      <c r="AR100" s="8" t="str">
        <f>CONCATENATE("Dames (",COUNTA(AS101:AS106),")")</f>
        <v>Dames (1)</v>
      </c>
      <c r="AS100" s="9"/>
      <c r="AT100" s="10"/>
      <c r="AU100" s="8" t="str">
        <f>CONCATENATE("Heren (",COUNTA(AV101:AV106),")")</f>
        <v>Heren (1)</v>
      </c>
      <c r="AV100" s="9"/>
      <c r="AW100" s="10"/>
    </row>
    <row r="101" spans="1:49">
      <c r="A101" s="103"/>
      <c r="B101" s="3" t="str" cm="1">
        <f t="array" ref="B101:B102">_xlfn._xlws.FILTER(Spelerslijst!$B:$B,Spelerslijst!$G:$G=B$99,"")</f>
        <v>Jeslynn Vos</v>
      </c>
      <c r="C101" s="4" t="str" cm="1">
        <f t="array" ref="C101:C102">_xlfn._xlws.FILTER(Spelerslijst!$H:$H,Spelerslijst!$G:$G=B$99,"")</f>
        <v>E3</v>
      </c>
      <c r="D101" s="5" cm="1">
        <f t="array" ref="D101:D102">_xlfn._xlws.FILTER(Spelerslijst!$D:$D,Spelerslijst!$G:$G=B$99,"")</f>
        <v>9</v>
      </c>
      <c r="E101" s="3" t="str" cm="1">
        <f t="array" ref="E101:E103">_xlfn._xlws.FILTER(Spelerslijst!$L:$L,Spelerslijst!$Q:$Q=B$99,"")</f>
        <v>Ayden van den Bosch</v>
      </c>
      <c r="F101" s="4" t="str" cm="1">
        <f t="array" ref="F101:F103">_xlfn._xlws.FILTER(Spelerslijst!$R:$R,Spelerslijst!$Q:$Q=B$99,"")</f>
        <v>E6</v>
      </c>
      <c r="G101" s="5" cm="1">
        <f t="array" ref="G101:G103">_xlfn._xlws.FILTER(Spelerslijst!$N:$N,Spelerslijst!$Q:$Q=B$99,"")</f>
        <v>9</v>
      </c>
      <c r="I101" s="99" t="str" cm="1">
        <f t="array" ref="I101:I102">_xlfn._xlws.FILTER(Spelerslijst!$B:$B,Spelerslijst!$G:$G=I$99,"")</f>
        <v>Ize van der Linden</v>
      </c>
      <c r="J101" s="4" t="str" cm="1">
        <f t="array" ref="J101:J102">_xlfn._xlws.FILTER(Spelerslijst!$H:$H,Spelerslijst!$G:$G=I$99,"")</f>
        <v>E3</v>
      </c>
      <c r="K101" s="5" cm="1">
        <f t="array" ref="K101:K102">_xlfn._xlws.FILTER(Spelerslijst!$D:$D,Spelerslijst!$G:$G=I$99,"")</f>
        <v>9</v>
      </c>
      <c r="L101" s="99" t="str" cm="1">
        <f t="array" ref="L101:L104">_xlfn._xlws.FILTER(Spelerslijst!$L:$L,Spelerslijst!$Q:$Q=I$99,"")</f>
        <v>Jorn den Dekker</v>
      </c>
      <c r="M101" s="4" t="str" cm="1">
        <f t="array" ref="M101:M104">_xlfn._xlws.FILTER(Spelerslijst!$R:$R,Spelerslijst!$Q:$Q=I$99,"")</f>
        <v>E5</v>
      </c>
      <c r="N101" s="5" cm="1">
        <f t="array" ref="N101:N104">_xlfn._xlws.FILTER(Spelerslijst!$N:$N,Spelerslijst!$Q:$Q=I$99,"")</f>
        <v>9</v>
      </c>
      <c r="P101" s="3" t="str" cm="1">
        <f t="array" ref="P101:P103">_xlfn._xlws.FILTER(Spelerslijst!$B:$B,Spelerslijst!$G:$G=P$99,"")</f>
        <v>Emma Schot</v>
      </c>
      <c r="Q101" s="4" t="str" cm="1">
        <f t="array" ref="Q101:Q103">_xlfn._xlws.FILTER(Spelerslijst!$H:$H,Spelerslijst!$G:$G=P$99,"")</f>
        <v>E7</v>
      </c>
      <c r="R101" s="5" cm="1">
        <f t="array" ref="R101:R103">_xlfn._xlws.FILTER(Spelerslijst!$D:$D,Spelerslijst!$G:$G=P$99,"")</f>
        <v>10</v>
      </c>
      <c r="S101" s="3" t="str" cm="1">
        <f t="array" ref="S101:S103">_xlfn._xlws.FILTER(Spelerslijst!$L:$L,Spelerslijst!$Q:$Q=P$99,"")</f>
        <v>Lucas van de Rest</v>
      </c>
      <c r="T101" s="4" t="str" cm="1">
        <f t="array" ref="T101:T103">_xlfn._xlws.FILTER(Spelerslijst!$R:$R,Spelerslijst!$Q:$Q=P$99,"")</f>
        <v>E7</v>
      </c>
      <c r="U101" s="5" cm="1">
        <f t="array" ref="U101:U103">_xlfn._xlws.FILTER(Spelerslijst!$N:$N,Spelerslijst!$Q:$Q=P$99,"")</f>
        <v>9</v>
      </c>
      <c r="W101" s="3" t="str" cm="1">
        <f t="array" ref="W101:W103">_xlfn._xlws.FILTER(Spelerslijst!$B:$B,Spelerslijst!$G:$G=W$99,"")</f>
        <v>Maartje Laban</v>
      </c>
      <c r="X101" s="4" t="str" cm="1">
        <f t="array" ref="X101:X103">_xlfn._xlws.FILTER(Spelerslijst!$H:$H,Spelerslijst!$G:$G=W$99,"")</f>
        <v>F1</v>
      </c>
      <c r="Y101" s="5" cm="1">
        <f t="array" ref="Y101:Y103">_xlfn._xlws.FILTER(Spelerslijst!$D:$D,Spelerslijst!$G:$G=W$99,"")</f>
        <v>8</v>
      </c>
      <c r="Z101" s="3" t="str" cm="1">
        <f t="array" ref="Z101:Z103">_xlfn._xlws.FILTER(Spelerslijst!$L:$L,Spelerslijst!$Q:$Q=W$99,"")</f>
        <v>Joep Jongkind</v>
      </c>
      <c r="AA101" s="4" t="str" cm="1">
        <f t="array" ref="AA101:AA103">_xlfn._xlws.FILTER(Spelerslijst!$R:$R,Spelerslijst!$Q:$Q=W$99,"")</f>
        <v>E7</v>
      </c>
      <c r="AB101" s="5" cm="1">
        <f t="array" ref="AB101:AB103">_xlfn._xlws.FILTER(Spelerslijst!$N:$N,Spelerslijst!$Q:$Q=W$99,"")</f>
        <v>9</v>
      </c>
      <c r="AD101" s="3" t="str" cm="1">
        <f t="array" ref="AD101:AD104">_xlfn._xlws.FILTER(Spelerslijst!$B:$B,Spelerslijst!$G:$G=AD$99,"")</f>
        <v>Aniek van den Bergh</v>
      </c>
      <c r="AE101" s="4" t="str" cm="1">
        <f t="array" ref="AE101:AE104">_xlfn._xlws.FILTER(Spelerslijst!$H:$H,Spelerslijst!$G:$G=AD$99,"")</f>
        <v>F2</v>
      </c>
      <c r="AF101" s="5" cm="1">
        <f t="array" ref="AF101:AF104">_xlfn._xlws.FILTER(Spelerslijst!$D:$D,Spelerslijst!$G:$G=AD$99,"")</f>
        <v>8</v>
      </c>
      <c r="AG101" s="3" t="str" cm="1">
        <f t="array" ref="AG101:AG102">_xlfn._xlws.FILTER(Spelerslijst!$L:$L,Spelerslijst!$Q:$Q=AD$99,"")</f>
        <v>Gideon Verberkt</v>
      </c>
      <c r="AH101" s="4" t="str" cm="1">
        <f t="array" ref="AH101:AH102">_xlfn._xlws.FILTER(Spelerslijst!$R:$R,Spelerslijst!$Q:$Q=AD$99,"")</f>
        <v>*</v>
      </c>
      <c r="AI101" s="5" cm="1">
        <f t="array" ref="AI101:AI102">_xlfn._xlws.FILTER(Spelerslijst!$N:$N,Spelerslijst!$Q:$Q=AD$99,"")</f>
        <v>9</v>
      </c>
      <c r="AK101" s="3" t="str" cm="1">
        <f t="array" ref="AK101">_xlfn._xlws.FILTER(Spelerslijst!$B:$B,Spelerslijst!$G:$G=AK$99,"")</f>
        <v/>
      </c>
      <c r="AL101" s="4" t="str" cm="1">
        <f t="array" ref="AL101">_xlfn._xlws.FILTER(Spelerslijst!$H:$H,Spelerslijst!$G:$G=AK$99,"")</f>
        <v/>
      </c>
      <c r="AM101" s="5" t="str" cm="1">
        <f t="array" ref="AM101">_xlfn._xlws.FILTER(Spelerslijst!$D:$D,Spelerslijst!$G:$G=AK$99,"")</f>
        <v/>
      </c>
      <c r="AN101" s="3" t="str" cm="1">
        <f t="array" ref="AN101">_xlfn._xlws.FILTER(Spelerslijst!$L:$L,Spelerslijst!$Q:$Q=AK$99,"")</f>
        <v/>
      </c>
      <c r="AO101" s="4" t="str" cm="1">
        <f t="array" ref="AO101">_xlfn._xlws.FILTER(Spelerslijst!$R:$R,Spelerslijst!$Q:$Q=AK$99,"")</f>
        <v/>
      </c>
      <c r="AP101" s="5" t="str" cm="1">
        <f t="array" ref="AP101">_xlfn._xlws.FILTER(Spelerslijst!$N:$N,Spelerslijst!$Q:$Q=AK$99,"")</f>
        <v/>
      </c>
      <c r="AR101" s="3" t="str" cm="1">
        <f t="array" ref="AR101">_xlfn._xlws.FILTER(Spelerslijst!$B:$B,Spelerslijst!$G:$G=AR$99,"")</f>
        <v/>
      </c>
      <c r="AS101" s="4" t="str" cm="1">
        <f t="array" ref="AS101">_xlfn._xlws.FILTER(Spelerslijst!$H:$H,Spelerslijst!$G:$G=AR$99,"")</f>
        <v/>
      </c>
      <c r="AT101" s="5" t="str" cm="1">
        <f t="array" ref="AT101">_xlfn._xlws.FILTER(Spelerslijst!$D:$D,Spelerslijst!$G:$G=AR$99,"")</f>
        <v/>
      </c>
      <c r="AU101" s="3" t="str" cm="1">
        <f t="array" ref="AU101">_xlfn._xlws.FILTER(Spelerslijst!$L:$L,Spelerslijst!$Q:$Q=AR$99,"")</f>
        <v/>
      </c>
      <c r="AV101" s="4" t="str" cm="1">
        <f t="array" ref="AV101">_xlfn._xlws.FILTER(Spelerslijst!$R:$R,Spelerslijst!$Q:$Q=AR$99,"")</f>
        <v/>
      </c>
      <c r="AW101" s="5" t="str" cm="1">
        <f t="array" ref="AW101">_xlfn._xlws.FILTER(Spelerslijst!$N:$N,Spelerslijst!$Q:$Q=AR$99,"")</f>
        <v/>
      </c>
    </row>
    <row r="102" spans="1:49">
      <c r="A102" s="103"/>
      <c r="B102" s="6" t="str">
        <v>Pien van Dongen</v>
      </c>
      <c r="C102" s="2" t="str">
        <v>E6</v>
      </c>
      <c r="D102" s="7">
        <v>9</v>
      </c>
      <c r="E102" s="6" t="str">
        <v>Levi Everaarts</v>
      </c>
      <c r="F102" s="2" t="str">
        <v>E6</v>
      </c>
      <c r="G102" s="7">
        <v>9</v>
      </c>
      <c r="I102" s="6" t="str">
        <v>Lisa Exalto</v>
      </c>
      <c r="J102" s="2" t="str">
        <v>E5</v>
      </c>
      <c r="K102" s="7">
        <v>9</v>
      </c>
      <c r="L102" s="6" t="str">
        <v>Lars Winter</v>
      </c>
      <c r="M102" s="2" t="str">
        <v>E6</v>
      </c>
      <c r="N102" s="7">
        <v>9</v>
      </c>
      <c r="P102" s="6" t="str">
        <v>Suze Maaskant</v>
      </c>
      <c r="Q102" s="2" t="str">
        <v>F2</v>
      </c>
      <c r="R102" s="7">
        <v>8</v>
      </c>
      <c r="S102" s="6" t="str">
        <v>Ralf Dijkstra</v>
      </c>
      <c r="T102" s="2" t="str">
        <v>*</v>
      </c>
      <c r="U102" s="7">
        <v>9</v>
      </c>
      <c r="W102" s="6" t="str">
        <v>Robin Mans</v>
      </c>
      <c r="X102" s="2" t="str">
        <v>F1</v>
      </c>
      <c r="Y102" s="7">
        <v>8</v>
      </c>
      <c r="Z102" s="6" t="str">
        <v>Koen Ploeg</v>
      </c>
      <c r="AA102" s="2" t="str">
        <v>F1</v>
      </c>
      <c r="AB102" s="7">
        <v>8</v>
      </c>
      <c r="AD102" s="6" t="str">
        <v>Feliz Lanser</v>
      </c>
      <c r="AE102" s="2" t="str">
        <v>F2</v>
      </c>
      <c r="AF102" s="7">
        <v>8</v>
      </c>
      <c r="AG102" s="6" t="str">
        <v>Timo van der Sijde</v>
      </c>
      <c r="AH102" s="2" t="str">
        <v>*</v>
      </c>
      <c r="AI102" s="7">
        <v>8</v>
      </c>
      <c r="AK102" s="6"/>
      <c r="AL102" s="2"/>
      <c r="AM102" s="7"/>
      <c r="AN102" s="6"/>
      <c r="AO102" s="2"/>
      <c r="AP102" s="7"/>
      <c r="AR102" s="6"/>
      <c r="AS102" s="2"/>
      <c r="AT102" s="7"/>
      <c r="AU102" s="6"/>
      <c r="AV102" s="2"/>
      <c r="AW102" s="7"/>
    </row>
    <row r="103" spans="1:49">
      <c r="A103" s="103"/>
      <c r="B103" s="6"/>
      <c r="C103" s="2"/>
      <c r="D103" s="7"/>
      <c r="E103" s="6" t="str">
        <v>Merlijn de Wit</v>
      </c>
      <c r="F103" s="2" t="str">
        <v>E4</v>
      </c>
      <c r="G103" s="7">
        <v>9</v>
      </c>
      <c r="I103" s="6"/>
      <c r="J103" s="2"/>
      <c r="K103" s="7"/>
      <c r="L103" s="6" t="str">
        <v>Morris van Ameijden</v>
      </c>
      <c r="M103" s="2" t="str">
        <v>E5</v>
      </c>
      <c r="N103" s="7">
        <v>9</v>
      </c>
      <c r="P103" s="6" t="str">
        <v>Tess Rebollo</v>
      </c>
      <c r="Q103" s="2" t="str">
        <v>F2</v>
      </c>
      <c r="R103" s="7">
        <v>8</v>
      </c>
      <c r="S103" s="6" t="str">
        <v>Sepp Jongkind</v>
      </c>
      <c r="T103" s="2" t="str">
        <v>E7</v>
      </c>
      <c r="U103" s="7">
        <v>9</v>
      </c>
      <c r="W103" s="6" t="str">
        <v>Sofie Kleingeld</v>
      </c>
      <c r="X103" s="2" t="str">
        <v>F1</v>
      </c>
      <c r="Y103" s="7">
        <v>8</v>
      </c>
      <c r="Z103" s="6" t="str">
        <v>Rens Boekee</v>
      </c>
      <c r="AA103" s="2" t="str">
        <v>F1</v>
      </c>
      <c r="AB103" s="7">
        <v>8</v>
      </c>
      <c r="AD103" s="6" t="str">
        <v>Julia van Twist</v>
      </c>
      <c r="AE103" s="2" t="str">
        <v>F2</v>
      </c>
      <c r="AF103" s="7">
        <v>8</v>
      </c>
      <c r="AG103" s="6"/>
      <c r="AH103" s="2"/>
      <c r="AI103" s="7"/>
      <c r="AK103" s="6"/>
      <c r="AL103" s="2"/>
      <c r="AM103" s="7"/>
      <c r="AN103" s="6"/>
      <c r="AO103" s="2"/>
      <c r="AP103" s="7"/>
      <c r="AR103" s="6"/>
      <c r="AS103" s="2"/>
      <c r="AT103" s="7"/>
      <c r="AU103" s="6"/>
      <c r="AV103" s="2"/>
      <c r="AW103" s="7"/>
    </row>
    <row r="104" spans="1:49">
      <c r="A104" s="103"/>
      <c r="B104" s="6"/>
      <c r="C104" s="2"/>
      <c r="D104" s="7"/>
      <c r="E104" s="6"/>
      <c r="F104" s="2"/>
      <c r="G104" s="7"/>
      <c r="I104" s="6"/>
      <c r="J104" s="2"/>
      <c r="K104" s="7"/>
      <c r="L104" s="6" t="str">
        <v>Tobias Hoedelmans</v>
      </c>
      <c r="M104" s="2" t="str">
        <v>E4</v>
      </c>
      <c r="N104" s="7">
        <v>9</v>
      </c>
      <c r="P104" s="6"/>
      <c r="Q104" s="2"/>
      <c r="R104" s="7"/>
      <c r="S104" s="6"/>
      <c r="T104" s="2"/>
      <c r="U104" s="7"/>
      <c r="W104" s="6"/>
      <c r="X104" s="2"/>
      <c r="Y104" s="7"/>
      <c r="Z104" s="6"/>
      <c r="AA104" s="2"/>
      <c r="AB104" s="7"/>
      <c r="AD104" s="6" t="str">
        <v>Sanae</v>
      </c>
      <c r="AE104" s="2" t="str">
        <v>*</v>
      </c>
      <c r="AF104" s="7">
        <v>0</v>
      </c>
      <c r="AG104" s="6"/>
      <c r="AH104" s="2"/>
      <c r="AI104" s="7"/>
      <c r="AK104" s="6"/>
      <c r="AL104" s="2"/>
      <c r="AM104" s="7"/>
      <c r="AN104" s="6"/>
      <c r="AO104" s="2"/>
      <c r="AP104" s="7"/>
      <c r="AR104" s="6"/>
      <c r="AS104" s="2"/>
      <c r="AT104" s="7"/>
      <c r="AU104" s="6"/>
      <c r="AV104" s="2"/>
      <c r="AW104" s="7"/>
    </row>
    <row r="105" spans="1:49">
      <c r="A105" s="103"/>
      <c r="B105" s="6"/>
      <c r="C105" s="2"/>
      <c r="D105" s="7"/>
      <c r="E105" s="6"/>
      <c r="F105" s="2"/>
      <c r="G105" s="7"/>
      <c r="I105" s="6"/>
      <c r="J105" s="2"/>
      <c r="K105" s="7"/>
      <c r="L105" s="6"/>
      <c r="M105" s="2"/>
      <c r="N105" s="7"/>
      <c r="P105" s="6"/>
      <c r="Q105" s="2"/>
      <c r="R105" s="7"/>
      <c r="S105" s="6"/>
      <c r="T105" s="2"/>
      <c r="U105" s="7"/>
      <c r="W105" s="6"/>
      <c r="X105" s="2"/>
      <c r="Y105" s="7"/>
      <c r="Z105" s="6"/>
      <c r="AA105" s="2"/>
      <c r="AB105" s="7"/>
      <c r="AD105" s="6"/>
      <c r="AE105" s="2"/>
      <c r="AF105" s="7"/>
      <c r="AG105" s="6"/>
      <c r="AH105" s="2"/>
      <c r="AI105" s="7"/>
      <c r="AK105" s="6"/>
      <c r="AL105" s="2"/>
      <c r="AM105" s="7"/>
      <c r="AN105" s="6"/>
      <c r="AO105" s="2"/>
      <c r="AP105" s="7"/>
      <c r="AR105" s="6"/>
      <c r="AS105" s="2"/>
      <c r="AT105" s="7"/>
      <c r="AU105" s="6"/>
      <c r="AV105" s="2"/>
      <c r="AW105" s="7"/>
    </row>
    <row r="106" spans="1:49" ht="15.75" thickBot="1">
      <c r="A106" s="103"/>
      <c r="B106" s="6"/>
      <c r="C106" s="2"/>
      <c r="D106" s="7"/>
      <c r="E106" s="6"/>
      <c r="F106" s="2"/>
      <c r="G106" s="7"/>
      <c r="I106" s="6"/>
      <c r="J106" s="2"/>
      <c r="K106" s="7"/>
      <c r="L106" s="6"/>
      <c r="M106" s="2"/>
      <c r="N106" s="7"/>
      <c r="P106" s="6"/>
      <c r="Q106" s="2"/>
      <c r="R106" s="7"/>
      <c r="S106" s="6"/>
      <c r="T106" s="2"/>
      <c r="U106" s="7"/>
      <c r="W106" s="6"/>
      <c r="X106" s="2"/>
      <c r="Y106" s="7"/>
      <c r="Z106" s="6"/>
      <c r="AA106" s="2"/>
      <c r="AB106" s="7"/>
      <c r="AD106" s="6"/>
      <c r="AE106" s="2"/>
      <c r="AF106" s="7"/>
      <c r="AG106" s="6"/>
      <c r="AH106" s="2"/>
      <c r="AI106" s="7"/>
      <c r="AK106" s="6"/>
      <c r="AL106" s="2"/>
      <c r="AM106" s="7"/>
      <c r="AN106" s="6"/>
      <c r="AO106" s="2"/>
      <c r="AP106" s="7"/>
      <c r="AR106" s="6"/>
      <c r="AS106" s="2"/>
      <c r="AT106" s="7"/>
      <c r="AU106" s="6"/>
      <c r="AV106" s="2"/>
      <c r="AW106" s="7"/>
    </row>
    <row r="107" spans="1:49">
      <c r="A107" s="103"/>
      <c r="B107" s="12" t="str" cm="1">
        <f t="array" ref="B107">_xlfn._xlws.FILTER(Staf!$C:$C,Staf!$B:$B=Teams!B99,"")</f>
        <v>Trainer/Coach</v>
      </c>
      <c r="C107" s="13" t="str" cm="1">
        <f t="array" ref="C107">_xlfn._xlws.FILTER(Staf!$A:$A,Staf!$B:$B=Teams!B99,"")</f>
        <v>Bart de Wit</v>
      </c>
      <c r="D107" s="13"/>
      <c r="E107" s="13"/>
      <c r="F107" s="13"/>
      <c r="G107" s="14"/>
      <c r="I107" s="12" t="str" cm="1">
        <f t="array" ref="I107:I108">_xlfn._xlws.FILTER(Staf!$C:$C,Staf!$B:$B=Teams!I99,"")</f>
        <v>Trainer/Coach</v>
      </c>
      <c r="J107" s="13" t="str" cm="1">
        <f t="array" ref="J107:J108">_xlfn._xlws.FILTER(Staf!$A:$A,Staf!$B:$B=Teams!I99,"")</f>
        <v>Anouk de Jongh</v>
      </c>
      <c r="K107" s="13"/>
      <c r="L107" s="13"/>
      <c r="M107" s="13"/>
      <c r="N107" s="14"/>
      <c r="P107" s="12" t="e" cm="1" vm="1">
        <f t="array" aca="1" ref="P107" ca="1">_xlfn._xlws.FILTER(Staf!$C:$C,Staf!$B:$B=Teams!P99,"")</f>
        <v>#VALUE!</v>
      </c>
      <c r="Q107" s="13" t="str" cm="1">
        <f t="array" ref="Q107:Q111">_xlfn._xlws.FILTER(Staf!$A:$A,Staf!$B:$B=Teams!P99,"")</f>
        <v>Jack Zwanenburg</v>
      </c>
      <c r="R107" s="13"/>
      <c r="S107" s="13"/>
      <c r="T107" s="13"/>
      <c r="U107" s="14"/>
      <c r="W107" s="12" t="str" cm="1">
        <f t="array" ref="W107:W109">_xlfn._xlws.FILTER(Staf!$C:$C,Staf!$B:$B=Teams!W99,"")</f>
        <v>Trainer/Coach</v>
      </c>
      <c r="X107" s="13" t="str" cm="1">
        <f t="array" ref="X107:X109">_xlfn._xlws.FILTER(Staf!$A:$A,Staf!$B:$B=Teams!W99,"")</f>
        <v>Monique te Witt</v>
      </c>
      <c r="Y107" s="13"/>
      <c r="Z107" s="13"/>
      <c r="AA107" s="13"/>
      <c r="AB107" s="14"/>
      <c r="AD107" s="12" t="str" cm="1">
        <f t="array" ref="AD107:AD109">_xlfn._xlws.FILTER(Staf!$C:$C,Staf!$B:$B=Teams!AD99,"")</f>
        <v>Ondersteuning</v>
      </c>
      <c r="AE107" s="13" t="str" cm="1">
        <f t="array" ref="AE107:AE109">_xlfn._xlws.FILTER(Staf!$A:$A,Staf!$B:$B=Teams!AD99,"")</f>
        <v>Lenny van den Bergh</v>
      </c>
      <c r="AF107" s="13"/>
      <c r="AG107" s="13"/>
      <c r="AH107" s="13"/>
      <c r="AI107" s="14"/>
      <c r="AK107" s="12" t="str" cm="1">
        <f t="array" ref="AK107">_xlfn._xlws.FILTER(Staf!$C:$C,Staf!$B:$B=Teams!AK99,"")</f>
        <v/>
      </c>
      <c r="AL107" s="13" t="str" cm="1">
        <f t="array" ref="AL107">_xlfn._xlws.FILTER(Staf!$A:$A,Staf!$B:$B=Teams!AK99,"")</f>
        <v/>
      </c>
      <c r="AM107" s="13"/>
      <c r="AN107" s="13"/>
      <c r="AO107" s="13"/>
      <c r="AP107" s="14"/>
      <c r="AR107" s="12" t="str" cm="1">
        <f t="array" ref="AR107">_xlfn._xlws.FILTER(Staf!$C:$C,Staf!$B:$B=Teams!AR99,"")</f>
        <v/>
      </c>
      <c r="AS107" s="13" t="str" cm="1">
        <f t="array" ref="AS107">_xlfn._xlws.FILTER(Staf!$A:$A,Staf!$B:$B=Teams!AR99,"")</f>
        <v/>
      </c>
      <c r="AT107" s="13"/>
      <c r="AU107" s="13"/>
      <c r="AV107" s="13"/>
      <c r="AW107" s="14"/>
    </row>
    <row r="108" spans="1:49">
      <c r="A108" s="103"/>
      <c r="B108" s="15"/>
      <c r="C108" s="16"/>
      <c r="D108" s="16"/>
      <c r="E108" s="16"/>
      <c r="F108" s="16"/>
      <c r="G108" s="17"/>
      <c r="I108" s="15" t="str">
        <v>Trainer/Coach</v>
      </c>
      <c r="J108" s="16" t="str">
        <v>Sjoerd van Ameijden</v>
      </c>
      <c r="K108" s="16"/>
      <c r="L108" s="16"/>
      <c r="M108" s="16"/>
      <c r="N108" s="17"/>
      <c r="P108" s="15"/>
      <c r="Q108" s="16" t="str">
        <v xml:space="preserve">Vacature </v>
      </c>
      <c r="R108" s="16"/>
      <c r="S108" s="16"/>
      <c r="T108" s="16"/>
      <c r="U108" s="17"/>
      <c r="W108" s="15" t="str">
        <v>Assistent-trainer</v>
      </c>
      <c r="X108" s="16" t="str">
        <v>Gertjan Ploeg</v>
      </c>
      <c r="Y108" s="16"/>
      <c r="Z108" s="16"/>
      <c r="AA108" s="16"/>
      <c r="AB108" s="17"/>
      <c r="AD108" s="15" t="str">
        <v>Trainer/Coach</v>
      </c>
      <c r="AE108" s="16" t="str">
        <v xml:space="preserve">Vacature </v>
      </c>
      <c r="AF108" s="16"/>
      <c r="AG108" s="16"/>
      <c r="AH108" s="16"/>
      <c r="AI108" s="17"/>
      <c r="AK108" s="15"/>
      <c r="AL108" s="16"/>
      <c r="AM108" s="16"/>
      <c r="AN108" s="16"/>
      <c r="AO108" s="16"/>
      <c r="AP108" s="17"/>
      <c r="AR108" s="15"/>
      <c r="AS108" s="16"/>
      <c r="AT108" s="16"/>
      <c r="AU108" s="16"/>
      <c r="AV108" s="16"/>
      <c r="AW108" s="17"/>
    </row>
    <row r="109" spans="1:49" ht="15.75" thickBot="1">
      <c r="A109" s="103"/>
      <c r="B109" s="18"/>
      <c r="C109" s="19"/>
      <c r="D109" s="19"/>
      <c r="E109" s="19"/>
      <c r="F109" s="19"/>
      <c r="G109" s="20"/>
      <c r="I109" s="18"/>
      <c r="J109" s="19"/>
      <c r="K109" s="19"/>
      <c r="L109" s="19"/>
      <c r="M109" s="19"/>
      <c r="N109" s="20"/>
      <c r="P109" s="18"/>
      <c r="Q109" s="19" t="str">
        <v xml:space="preserve">Vacature </v>
      </c>
      <c r="R109" s="19"/>
      <c r="S109" s="19"/>
      <c r="T109" s="19"/>
      <c r="U109" s="20"/>
      <c r="W109" s="18" t="str">
        <v>Trainer/Coach</v>
      </c>
      <c r="X109" s="19" t="str">
        <v>Liesbeth Wibbens</v>
      </c>
      <c r="Y109" s="19"/>
      <c r="Z109" s="19"/>
      <c r="AA109" s="19"/>
      <c r="AB109" s="20"/>
      <c r="AD109" s="18" t="str">
        <v>Trainer/Coach</v>
      </c>
      <c r="AE109" s="19" t="str">
        <v xml:space="preserve">Vacature </v>
      </c>
      <c r="AF109" s="19"/>
      <c r="AG109" s="19"/>
      <c r="AH109" s="19"/>
      <c r="AI109" s="20"/>
      <c r="AK109" s="18"/>
      <c r="AL109" s="19"/>
      <c r="AM109" s="19"/>
      <c r="AN109" s="19"/>
      <c r="AO109" s="19"/>
      <c r="AP109" s="20"/>
      <c r="AR109" s="18"/>
      <c r="AS109" s="19"/>
      <c r="AT109" s="19"/>
      <c r="AU109" s="19"/>
      <c r="AV109" s="19"/>
      <c r="AW109" s="20"/>
    </row>
    <row r="110" spans="1:49" ht="15.75" thickBot="1">
      <c r="Q110" t="str">
        <v>Jens Lohuis</v>
      </c>
    </row>
    <row r="111" spans="1:49" ht="15.75" thickBot="1">
      <c r="A111" s="103" t="s">
        <v>47</v>
      </c>
      <c r="B111" s="21" t="s">
        <v>48</v>
      </c>
      <c r="C111" s="21"/>
      <c r="D111" s="21"/>
      <c r="E111" s="21"/>
      <c r="F111" s="21"/>
      <c r="G111" s="22">
        <f>AVERAGE(D113:D121,G113:G121)</f>
        <v>6.2</v>
      </c>
      <c r="I111" s="21" t="s">
        <v>49</v>
      </c>
      <c r="J111" s="21"/>
      <c r="K111" s="21"/>
      <c r="L111" s="21"/>
      <c r="M111" s="21"/>
      <c r="N111" s="22">
        <f>AVERAGE(K113:K121,N113:N121)</f>
        <v>6.166666666666667</v>
      </c>
      <c r="P111" s="21" t="s">
        <v>50</v>
      </c>
      <c r="Q111" s="21" t="str">
        <v>Joël Wietses</v>
      </c>
      <c r="R111" s="21"/>
      <c r="S111" s="21"/>
      <c r="T111" s="21"/>
      <c r="U111" s="22" t="e">
        <f>AVERAGE(R113:R121,U113:U121)</f>
        <v>#DIV/0!</v>
      </c>
      <c r="W111" s="21" t="s">
        <v>51</v>
      </c>
      <c r="X111" s="21"/>
      <c r="Y111" s="21"/>
      <c r="Z111" s="21"/>
      <c r="AA111" s="21"/>
      <c r="AB111" s="22" t="e">
        <f>AVERAGE(Y113:Y121,AB113:AB121)</f>
        <v>#DIV/0!</v>
      </c>
      <c r="AD111" s="21" t="s">
        <v>52</v>
      </c>
      <c r="AE111" s="21"/>
      <c r="AF111" s="21"/>
      <c r="AG111" s="21"/>
      <c r="AH111" s="21"/>
      <c r="AI111" s="22" t="e">
        <f>AVERAGE(AF113:AF121,AI113:AI121)</f>
        <v>#DIV/0!</v>
      </c>
    </row>
    <row r="112" spans="1:49" ht="15.75" thickBot="1">
      <c r="A112" s="103"/>
      <c r="B112" s="8" t="str">
        <f>CONCATENATE("Dames (",COUNTA(C113:C118),")")</f>
        <v>Dames (4)</v>
      </c>
      <c r="C112" s="9"/>
      <c r="D112" s="10"/>
      <c r="E112" s="8" t="str">
        <f>CONCATENATE("Heren (",COUNTA(F113:F118),")")</f>
        <v>Heren (1)</v>
      </c>
      <c r="F112" s="9"/>
      <c r="G112" s="10"/>
      <c r="I112" s="8" t="str">
        <f>CONCATENATE("Dames (",COUNTA(J113:J118),")")</f>
        <v>Dames (4)</v>
      </c>
      <c r="J112" s="9"/>
      <c r="K112" s="10"/>
      <c r="L112" s="8" t="str">
        <f>CONCATENATE("Heren (",COUNTA(M113:M118),")")</f>
        <v>Heren (2)</v>
      </c>
      <c r="M112" s="9"/>
      <c r="N112" s="10"/>
      <c r="P112" s="8" t="str">
        <f>CONCATENATE("Dames (",COUNTA(Q113:Q118),")")</f>
        <v>Dames (1)</v>
      </c>
      <c r="Q112" s="9"/>
      <c r="R112" s="10"/>
      <c r="S112" s="8" t="str">
        <f>CONCATENATE("Heren (",COUNTA(T113:T118),")")</f>
        <v>Heren (1)</v>
      </c>
      <c r="T112" s="9"/>
      <c r="U112" s="10"/>
      <c r="W112" s="8" t="str">
        <f>CONCATENATE("Dames (",COUNTA(X113:X118),")")</f>
        <v>Dames (1)</v>
      </c>
      <c r="X112" s="9"/>
      <c r="Y112" s="10"/>
      <c r="Z112" s="8" t="str">
        <f>CONCATENATE("Heren (",COUNTA(AA113:AA118),")")</f>
        <v>Heren (1)</v>
      </c>
      <c r="AA112" s="9"/>
      <c r="AB112" s="10"/>
      <c r="AD112" s="8" t="str">
        <f>CONCATENATE("Dames (",COUNTA(AE113:AE118),")")</f>
        <v>Dames (1)</v>
      </c>
      <c r="AE112" s="9"/>
      <c r="AF112" s="10"/>
      <c r="AG112" s="8" t="str">
        <f>CONCATENATE("Heren (",COUNTA(AH113:AH118),")")</f>
        <v>Heren (1)</v>
      </c>
      <c r="AH112" s="9"/>
      <c r="AI112" s="10"/>
    </row>
    <row r="113" spans="1:35">
      <c r="A113" s="103"/>
      <c r="B113" s="3" t="str" cm="1">
        <f t="array" ref="B113:B116">_xlfn._xlws.FILTER(Spelerslijst!$B:$B,Spelerslijst!$G:$G=B$111,"")</f>
        <v>Alisa Stomp</v>
      </c>
      <c r="C113" s="4" t="str" cm="1">
        <f t="array" ref="C113:C116">_xlfn._xlws.FILTER(Spelerslijst!$H:$H,Spelerslijst!$G:$G=B$111,"")</f>
        <v>*</v>
      </c>
      <c r="D113" s="5" cm="1">
        <f t="array" ref="D113:D116">_xlfn._xlws.FILTER(Spelerslijst!$D:$D,Spelerslijst!$G:$G=B$111,"")</f>
        <v>6</v>
      </c>
      <c r="E113" s="3" t="str" cm="1">
        <f t="array" ref="E113">_xlfn._xlws.FILTER(Spelerslijst!$L:$L,Spelerslijst!$Q:$Q=B$111,"")</f>
        <v>Amos Alberts</v>
      </c>
      <c r="F113" s="4" t="str" cm="1">
        <f t="array" ref="F113">_xlfn._xlws.FILTER(Spelerslijst!$R:$R,Spelerslijst!$Q:$Q=B$111,"")</f>
        <v>*</v>
      </c>
      <c r="G113" s="5" cm="1">
        <f t="array" ref="G113">_xlfn._xlws.FILTER(Spelerslijst!$N:$N,Spelerslijst!$Q:$Q=B$111,"")</f>
        <v>6</v>
      </c>
      <c r="I113" s="3" t="str" cm="1">
        <f t="array" ref="I113:I116">_xlfn._xlws.FILTER(Spelerslijst!$B:$B,Spelerslijst!$G:$G=I$111,"")</f>
        <v>Livia van de Burgt</v>
      </c>
      <c r="J113" s="4" t="str" cm="1">
        <f t="array" ref="J113:J116">_xlfn._xlws.FILTER(Spelerslijst!$H:$H,Spelerslijst!$G:$G=I$111,"")</f>
        <v>*</v>
      </c>
      <c r="K113" s="5" cm="1">
        <f t="array" ref="K113:K116">_xlfn._xlws.FILTER(Spelerslijst!$D:$D,Spelerslijst!$G:$G=I$111,"")</f>
        <v>6</v>
      </c>
      <c r="L113" s="3" t="str" cm="1">
        <f t="array" ref="L113:L114">_xlfn._xlws.FILTER(Spelerslijst!$L:$L,Spelerslijst!$Q:$Q=I$111,"")</f>
        <v>Art Malschaert</v>
      </c>
      <c r="M113" s="4" t="str" cm="1">
        <f t="array" ref="M113:M114">_xlfn._xlws.FILTER(Spelerslijst!$R:$R,Spelerslijst!$Q:$Q=I$111,"")</f>
        <v>*</v>
      </c>
      <c r="N113" s="5" cm="1">
        <f t="array" ref="N113:N114">_xlfn._xlws.FILTER(Spelerslijst!$N:$N,Spelerslijst!$Q:$Q=I$111,"")</f>
        <v>6</v>
      </c>
      <c r="P113" s="3" t="str" cm="1">
        <f t="array" ref="P113">_xlfn._xlws.FILTER(Spelerslijst!$B:$B,Spelerslijst!$G:$G=P$111,"")</f>
        <v/>
      </c>
      <c r="Q113" s="4" t="str" cm="1">
        <f t="array" ref="Q113">_xlfn._xlws.FILTER(Spelerslijst!$H:$H,Spelerslijst!$G:$G=P$111,"")</f>
        <v/>
      </c>
      <c r="R113" s="5" t="str" cm="1">
        <f t="array" ref="R113">_xlfn._xlws.FILTER(Spelerslijst!$D:$D,Spelerslijst!$G:$G=P$111,"")</f>
        <v/>
      </c>
      <c r="S113" s="3" t="str" cm="1">
        <f t="array" ref="S113">_xlfn._xlws.FILTER(Spelerslijst!$L:$L,Spelerslijst!$Q:$Q=P$111,"")</f>
        <v/>
      </c>
      <c r="T113" s="4" t="str" cm="1">
        <f t="array" ref="T113">_xlfn._xlws.FILTER(Spelerslijst!$R:$R,Spelerslijst!$Q:$Q=P$111,"")</f>
        <v/>
      </c>
      <c r="U113" s="5" t="str" cm="1">
        <f t="array" ref="U113">_xlfn._xlws.FILTER(Spelerslijst!$N:$N,Spelerslijst!$Q:$Q=P$111,"")</f>
        <v/>
      </c>
      <c r="W113" s="3" t="str" cm="1">
        <f t="array" ref="W113">_xlfn._xlws.FILTER(Spelerslijst!$B:$B,Spelerslijst!$G:$G=W$111,"")</f>
        <v/>
      </c>
      <c r="X113" s="4" t="str" cm="1">
        <f t="array" ref="X113">_xlfn._xlws.FILTER(Spelerslijst!$H:$H,Spelerslijst!$G:$G=W$111,"")</f>
        <v/>
      </c>
      <c r="Y113" s="5" t="str" cm="1">
        <f t="array" ref="Y113">_xlfn._xlws.FILTER(Spelerslijst!$D:$D,Spelerslijst!$G:$G=W$111,"")</f>
        <v/>
      </c>
      <c r="Z113" s="3" t="str" cm="1">
        <f t="array" ref="Z113">_xlfn._xlws.FILTER(Spelerslijst!$L:$L,Spelerslijst!$Q:$Q=W$111,"")</f>
        <v/>
      </c>
      <c r="AA113" s="4" t="str" cm="1">
        <f t="array" ref="AA113">_xlfn._xlws.FILTER(Spelerslijst!$R:$R,Spelerslijst!$Q:$Q=W$111,"")</f>
        <v/>
      </c>
      <c r="AB113" s="5" t="str" cm="1">
        <f t="array" ref="AB113">_xlfn._xlws.FILTER(Spelerslijst!$N:$N,Spelerslijst!$Q:$Q=W$111,"")</f>
        <v/>
      </c>
      <c r="AD113" s="3" t="str" cm="1">
        <f t="array" ref="AD113">_xlfn._xlws.FILTER(Spelerslijst!$B:$B,Spelerslijst!$G:$G=AD$111,"")</f>
        <v/>
      </c>
      <c r="AE113" s="4" t="str" cm="1">
        <f t="array" ref="AE113">_xlfn._xlws.FILTER(Spelerslijst!$H:$H,Spelerslijst!$G:$G=AD$111,"")</f>
        <v/>
      </c>
      <c r="AF113" s="5" t="str" cm="1">
        <f t="array" ref="AF113">_xlfn._xlws.FILTER(Spelerslijst!$D:$D,Spelerslijst!$G:$G=AD$111,"")</f>
        <v/>
      </c>
      <c r="AG113" s="3" t="str" cm="1">
        <f t="array" ref="AG113">_xlfn._xlws.FILTER(Spelerslijst!$L:$L,Spelerslijst!$Q:$Q=AD$111,"")</f>
        <v/>
      </c>
      <c r="AH113" s="4" t="str" cm="1">
        <f t="array" ref="AH113">_xlfn._xlws.FILTER(Spelerslijst!$R:$R,Spelerslijst!$Q:$Q=AD$111,"")</f>
        <v/>
      </c>
      <c r="AI113" s="5" t="str" cm="1">
        <f t="array" ref="AI113">_xlfn._xlws.FILTER(Spelerslijst!$N:$N,Spelerslijst!$Q:$Q=AD$111,"")</f>
        <v/>
      </c>
    </row>
    <row r="114" spans="1:35">
      <c r="A114" s="103"/>
      <c r="B114" s="6" t="str">
        <v>Imme Bouman</v>
      </c>
      <c r="C114" s="2" t="str">
        <v>F2</v>
      </c>
      <c r="D114" s="7">
        <v>7</v>
      </c>
      <c r="E114" s="6"/>
      <c r="F114" s="2"/>
      <c r="G114" s="7"/>
      <c r="I114" s="6" t="str">
        <v>Sanna de Lange</v>
      </c>
      <c r="J114" s="2" t="str">
        <v>K</v>
      </c>
      <c r="K114" s="7">
        <v>6</v>
      </c>
      <c r="L114" s="6" t="str">
        <v>Sem van de Wiel</v>
      </c>
      <c r="M114" s="2" t="str">
        <v>*</v>
      </c>
      <c r="N114" s="7">
        <v>6</v>
      </c>
      <c r="P114" s="6"/>
      <c r="Q114" s="2"/>
      <c r="R114" s="7"/>
      <c r="S114" s="6"/>
      <c r="T114" s="2"/>
      <c r="U114" s="7"/>
      <c r="W114" s="6"/>
      <c r="X114" s="2"/>
      <c r="Y114" s="7"/>
      <c r="Z114" s="6"/>
      <c r="AA114" s="2"/>
      <c r="AB114" s="7"/>
      <c r="AD114" s="6"/>
      <c r="AE114" s="2"/>
      <c r="AF114" s="7"/>
      <c r="AG114" s="6"/>
      <c r="AH114" s="2"/>
      <c r="AI114" s="7"/>
    </row>
    <row r="115" spans="1:35">
      <c r="A115" s="103"/>
      <c r="B115" s="6" t="str">
        <v>Karlijn Bakker</v>
      </c>
      <c r="C115" s="2" t="str">
        <v>F2</v>
      </c>
      <c r="D115" s="7">
        <v>7</v>
      </c>
      <c r="E115" s="6"/>
      <c r="F115" s="2"/>
      <c r="G115" s="7"/>
      <c r="I115" s="6" t="str">
        <v>Vive Jacobs</v>
      </c>
      <c r="J115" s="2" t="str">
        <v>F2</v>
      </c>
      <c r="K115" s="7">
        <v>6</v>
      </c>
      <c r="L115" s="6"/>
      <c r="M115" s="2"/>
      <c r="N115" s="7"/>
      <c r="P115" s="6"/>
      <c r="Q115" s="2"/>
      <c r="R115" s="7"/>
      <c r="S115" s="6"/>
      <c r="T115" s="2"/>
      <c r="U115" s="7"/>
      <c r="W115" s="6"/>
      <c r="X115" s="2"/>
      <c r="Y115" s="7"/>
      <c r="Z115" s="6"/>
      <c r="AA115" s="2"/>
      <c r="AB115" s="7"/>
      <c r="AD115" s="6"/>
      <c r="AE115" s="2"/>
      <c r="AF115" s="7"/>
      <c r="AG115" s="6"/>
      <c r="AH115" s="2"/>
      <c r="AI115" s="7"/>
    </row>
    <row r="116" spans="1:35">
      <c r="A116" s="103"/>
      <c r="B116" s="6" t="str">
        <v>Lara Mans</v>
      </c>
      <c r="C116" s="2" t="str">
        <v>*</v>
      </c>
      <c r="D116" s="7">
        <v>5</v>
      </c>
      <c r="E116" s="6"/>
      <c r="F116" s="2"/>
      <c r="G116" s="7"/>
      <c r="I116" s="6" t="str">
        <v>Wies van den Berg</v>
      </c>
      <c r="J116" s="2" t="str">
        <v>*</v>
      </c>
      <c r="K116" s="7">
        <v>7</v>
      </c>
      <c r="L116" s="6"/>
      <c r="M116" s="2"/>
      <c r="N116" s="7"/>
      <c r="P116" s="6"/>
      <c r="Q116" s="2"/>
      <c r="R116" s="7"/>
      <c r="S116" s="6"/>
      <c r="T116" s="2"/>
      <c r="U116" s="7"/>
      <c r="W116" s="6"/>
      <c r="X116" s="2"/>
      <c r="Y116" s="7"/>
      <c r="Z116" s="6"/>
      <c r="AA116" s="2"/>
      <c r="AB116" s="7"/>
      <c r="AD116" s="6"/>
      <c r="AE116" s="2"/>
      <c r="AF116" s="7"/>
      <c r="AG116" s="6"/>
      <c r="AH116" s="2"/>
      <c r="AI116" s="7"/>
    </row>
    <row r="117" spans="1:35">
      <c r="A117" s="103"/>
      <c r="B117" s="6"/>
      <c r="C117" s="2"/>
      <c r="D117" s="7"/>
      <c r="E117" s="6"/>
      <c r="F117" s="2"/>
      <c r="G117" s="7"/>
      <c r="I117" s="6"/>
      <c r="J117" s="2"/>
      <c r="K117" s="7"/>
      <c r="L117" s="6"/>
      <c r="M117" s="2"/>
      <c r="N117" s="7"/>
      <c r="P117" s="6"/>
      <c r="Q117" s="2"/>
      <c r="R117" s="7"/>
      <c r="S117" s="6"/>
      <c r="T117" s="2"/>
      <c r="U117" s="7"/>
      <c r="W117" s="6"/>
      <c r="X117" s="2"/>
      <c r="Y117" s="7"/>
      <c r="Z117" s="6"/>
      <c r="AA117" s="2"/>
      <c r="AB117" s="7"/>
      <c r="AD117" s="6"/>
      <c r="AE117" s="2"/>
      <c r="AF117" s="7"/>
      <c r="AG117" s="6"/>
      <c r="AH117" s="2"/>
      <c r="AI117" s="7"/>
    </row>
    <row r="118" spans="1:35" ht="15.75" thickBot="1">
      <c r="A118" s="103"/>
      <c r="B118" s="6"/>
      <c r="C118" s="2"/>
      <c r="D118" s="7"/>
      <c r="E118" s="6"/>
      <c r="F118" s="2"/>
      <c r="G118" s="7"/>
      <c r="I118" s="6"/>
      <c r="J118" s="2"/>
      <c r="K118" s="7"/>
      <c r="L118" s="6"/>
      <c r="M118" s="2"/>
      <c r="N118" s="7"/>
      <c r="P118" s="6"/>
      <c r="Q118" s="2"/>
      <c r="R118" s="7"/>
      <c r="S118" s="6"/>
      <c r="T118" s="2"/>
      <c r="U118" s="7"/>
      <c r="W118" s="6"/>
      <c r="X118" s="2"/>
      <c r="Y118" s="7"/>
      <c r="Z118" s="6"/>
      <c r="AA118" s="2"/>
      <c r="AB118" s="7"/>
      <c r="AD118" s="6"/>
      <c r="AE118" s="2"/>
      <c r="AF118" s="7"/>
      <c r="AG118" s="6"/>
      <c r="AH118" s="2"/>
      <c r="AI118" s="7"/>
    </row>
    <row r="119" spans="1:35">
      <c r="A119" s="103"/>
      <c r="B119" s="12" t="str" cm="1">
        <f t="array" ref="B119:B120">_xlfn._xlws.FILTER(Staf!$C:$C,Staf!$B:$B=Teams!B111,"")</f>
        <v>Trainer/Coach</v>
      </c>
      <c r="C119" s="13" t="str" cm="1">
        <f t="array" ref="C119:C120">_xlfn._xlws.FILTER(Staf!$A:$A,Staf!$B:$B=Teams!B111,"")</f>
        <v>Lianne Stomp - vd Burgt</v>
      </c>
      <c r="D119" s="13"/>
      <c r="E119" s="13"/>
      <c r="F119" s="13"/>
      <c r="G119" s="14"/>
      <c r="I119" s="12" t="str" cm="1">
        <f t="array" ref="I119:I122">_xlfn._xlws.FILTER(Staf!$C:$C,Staf!$B:$B=Teams!I111,"")</f>
        <v>Trainer/Coach</v>
      </c>
      <c r="J119" s="13" t="str" cm="1">
        <f t="array" ref="J119:J122">_xlfn._xlws.FILTER(Staf!$A:$A,Staf!$B:$B=Teams!I111,"")</f>
        <v>Seth vd Burgt</v>
      </c>
      <c r="K119" s="13"/>
      <c r="L119" s="13"/>
      <c r="M119" s="13"/>
      <c r="N119" s="14"/>
      <c r="P119" s="12" t="str" cm="1">
        <f t="array" ref="P119">_xlfn._xlws.FILTER(Staf!$C:$C,Staf!$B:$B=Teams!P111,"")</f>
        <v/>
      </c>
      <c r="Q119" s="13" t="str" cm="1">
        <f t="array" ref="Q119">_xlfn._xlws.FILTER(Staf!$A:$A,Staf!$B:$B=Teams!P111,"")</f>
        <v/>
      </c>
      <c r="R119" s="13"/>
      <c r="S119" s="13"/>
      <c r="T119" s="13"/>
      <c r="U119" s="14"/>
      <c r="W119" s="12" t="str" cm="1">
        <f t="array" ref="W119">_xlfn._xlws.FILTER(Staf!$C:$C,Staf!$B:$B=Teams!W111,"")</f>
        <v/>
      </c>
      <c r="X119" s="13" t="str" cm="1">
        <f t="array" ref="X119">_xlfn._xlws.FILTER(Staf!$A:$A,Staf!$B:$B=Teams!W111,"")</f>
        <v/>
      </c>
      <c r="Y119" s="13"/>
      <c r="Z119" s="13"/>
      <c r="AA119" s="13"/>
      <c r="AB119" s="14"/>
      <c r="AD119" s="12" t="str" cm="1">
        <f t="array" ref="AD119">_xlfn._xlws.FILTER(Staf!$C:$C,Staf!$B:$B=Teams!AD111,"")</f>
        <v/>
      </c>
      <c r="AE119" s="13" t="str" cm="1">
        <f t="array" ref="AE119">_xlfn._xlws.FILTER(Staf!$A:$A,Staf!$B:$B=Teams!AD111,"")</f>
        <v/>
      </c>
      <c r="AF119" s="13"/>
      <c r="AG119" s="13"/>
      <c r="AH119" s="13"/>
      <c r="AI119" s="14"/>
    </row>
    <row r="120" spans="1:35">
      <c r="A120" s="103"/>
      <c r="B120" s="15" t="str">
        <v>Trainer/Coach</v>
      </c>
      <c r="C120" s="16" t="str">
        <v>Noa Stomp</v>
      </c>
      <c r="D120" s="16"/>
      <c r="E120" s="16"/>
      <c r="F120" s="16"/>
      <c r="G120" s="17"/>
      <c r="I120" s="15" t="str">
        <v>Trainer/Coach</v>
      </c>
      <c r="J120" s="16" t="str">
        <v>Sophie Kilsdonk</v>
      </c>
      <c r="K120" s="16"/>
      <c r="L120" s="16"/>
      <c r="M120" s="16"/>
      <c r="N120" s="17"/>
      <c r="P120" s="15"/>
      <c r="Q120" s="16"/>
      <c r="R120" s="16"/>
      <c r="S120" s="16"/>
      <c r="T120" s="16"/>
      <c r="U120" s="17"/>
      <c r="W120" s="15"/>
      <c r="X120" s="16"/>
      <c r="Y120" s="16"/>
      <c r="Z120" s="16"/>
      <c r="AA120" s="16"/>
      <c r="AB120" s="17"/>
      <c r="AD120" s="15"/>
      <c r="AE120" s="16"/>
      <c r="AF120" s="16"/>
      <c r="AG120" s="16"/>
      <c r="AH120" s="16"/>
      <c r="AI120" s="17"/>
    </row>
    <row r="121" spans="1:35">
      <c r="A121" s="103"/>
      <c r="B121" s="15"/>
      <c r="C121" s="16"/>
      <c r="D121" s="16"/>
      <c r="E121" s="16"/>
      <c r="F121" s="16"/>
      <c r="G121" s="17"/>
      <c r="I121" s="15" t="str">
        <v>Trainer/Coach</v>
      </c>
      <c r="J121" s="16" t="str">
        <v>Jet van Trooijen</v>
      </c>
      <c r="K121" s="16"/>
      <c r="L121" s="16"/>
      <c r="M121" s="16"/>
      <c r="N121" s="17"/>
      <c r="P121" s="15"/>
      <c r="Q121" s="16"/>
      <c r="R121" s="16"/>
      <c r="S121" s="16"/>
      <c r="T121" s="16"/>
      <c r="U121" s="17"/>
      <c r="W121" s="15"/>
      <c r="X121" s="16"/>
      <c r="Y121" s="16"/>
      <c r="Z121" s="16"/>
      <c r="AA121" s="16"/>
      <c r="AB121" s="17"/>
      <c r="AD121" s="15"/>
      <c r="AE121" s="16"/>
      <c r="AF121" s="16"/>
      <c r="AG121" s="16"/>
      <c r="AH121" s="16"/>
      <c r="AI121" s="17"/>
    </row>
    <row r="122" spans="1:35" ht="15.75" thickBot="1">
      <c r="A122" s="103"/>
      <c r="B122" s="18"/>
      <c r="C122" s="19"/>
      <c r="D122" s="19"/>
      <c r="E122" s="19"/>
      <c r="F122" s="19"/>
      <c r="G122" s="20"/>
      <c r="I122" s="18" t="str">
        <v>Trainer/Coach</v>
      </c>
      <c r="J122" s="19" t="str">
        <v>Kimberly Jacobs</v>
      </c>
      <c r="K122" s="19"/>
      <c r="L122" s="19"/>
      <c r="M122" s="19"/>
      <c r="N122" s="20"/>
      <c r="P122" s="18"/>
      <c r="Q122" s="19"/>
      <c r="R122" s="19"/>
      <c r="S122" s="19"/>
      <c r="T122" s="19"/>
      <c r="U122" s="20"/>
      <c r="W122" s="18"/>
      <c r="X122" s="19"/>
      <c r="Y122" s="19"/>
      <c r="Z122" s="19"/>
      <c r="AA122" s="19"/>
      <c r="AB122" s="20"/>
      <c r="AD122" s="18"/>
      <c r="AE122" s="19"/>
      <c r="AF122" s="19"/>
      <c r="AG122" s="19"/>
      <c r="AH122" s="19"/>
      <c r="AI122" s="20"/>
    </row>
    <row r="123" spans="1:35" ht="15.75" thickBot="1"/>
    <row r="124" spans="1:35" ht="15.75" thickBot="1">
      <c r="A124" s="103" t="s">
        <v>53</v>
      </c>
      <c r="B124" s="21" t="s">
        <v>54</v>
      </c>
      <c r="C124" s="21"/>
      <c r="D124" s="21"/>
      <c r="E124" s="21"/>
      <c r="F124" s="21"/>
      <c r="G124" s="22">
        <f>AVERAGE(D126:D135,G126:G135)</f>
        <v>5</v>
      </c>
    </row>
    <row r="125" spans="1:35" ht="15.75" thickBot="1">
      <c r="A125" s="103"/>
      <c r="B125" s="8" t="str">
        <f>CONCATENATE("Dames (",COUNTA(C126:C133),")")</f>
        <v>Dames (1)</v>
      </c>
      <c r="C125" s="9"/>
      <c r="D125" s="10"/>
      <c r="E125" s="8" t="str">
        <f>CONCATENATE("Heren (",COUNTA(F126:F133),")")</f>
        <v>Heren (1)</v>
      </c>
      <c r="F125" s="9"/>
      <c r="G125" s="10"/>
    </row>
    <row r="126" spans="1:35">
      <c r="A126" s="103"/>
      <c r="B126" s="3" t="str" cm="1">
        <f t="array" ref="B126">_xlfn._xlws.FILTER(Spelerslijst!$B:$B,Spelerslijst!$G:$G=B$124,"")</f>
        <v>Diede van den Boogaart</v>
      </c>
      <c r="C126" s="4" t="str" cm="1">
        <f t="array" ref="C126">_xlfn._xlws.FILTER(Spelerslijst!$H:$H,Spelerslijst!$G:$G=B$124,"")</f>
        <v>K</v>
      </c>
      <c r="D126" s="5" cm="1">
        <f t="array" ref="D126">_xlfn._xlws.FILTER(Spelerslijst!$D:$D,Spelerslijst!$G:$G=B$124,"")</f>
        <v>5</v>
      </c>
      <c r="E126" s="3" t="str" cm="1">
        <f t="array" ref="E126">_xlfn._xlws.FILTER(Spelerslijst!$L:$L,Spelerslijst!$Q:$Q=B$124,"")</f>
        <v/>
      </c>
      <c r="F126" s="4" t="str" cm="1">
        <f t="array" ref="F126">_xlfn._xlws.FILTER(Spelerslijst!$R:$R,Spelerslijst!$Q:$Q=B$124,"")</f>
        <v/>
      </c>
      <c r="G126" s="5" t="str" cm="1">
        <f t="array" ref="G126">_xlfn._xlws.FILTER(Spelerslijst!$N:$N,Spelerslijst!$Q:$Q=B$124,"")</f>
        <v/>
      </c>
    </row>
    <row r="127" spans="1:35">
      <c r="A127" s="103"/>
      <c r="B127" s="6"/>
      <c r="C127" s="2"/>
      <c r="D127" s="7"/>
      <c r="E127" s="6"/>
      <c r="F127" s="2"/>
      <c r="G127" s="7"/>
    </row>
    <row r="128" spans="1:35">
      <c r="A128" s="103"/>
      <c r="B128" s="6"/>
      <c r="C128" s="2"/>
      <c r="D128" s="7"/>
      <c r="E128" s="6"/>
      <c r="F128" s="2"/>
      <c r="G128" s="7"/>
    </row>
    <row r="129" spans="1:7">
      <c r="A129" s="103"/>
      <c r="B129" s="6"/>
      <c r="C129" s="2"/>
      <c r="D129" s="7"/>
      <c r="E129" s="6"/>
      <c r="F129" s="2"/>
      <c r="G129" s="7"/>
    </row>
    <row r="130" spans="1:7">
      <c r="A130" s="103"/>
      <c r="B130" s="6"/>
      <c r="C130" s="2"/>
      <c r="D130" s="7"/>
      <c r="E130" s="6"/>
      <c r="F130" s="2"/>
      <c r="G130" s="7"/>
    </row>
    <row r="131" spans="1:7">
      <c r="A131" s="103"/>
      <c r="B131" s="6"/>
      <c r="C131" s="2"/>
      <c r="D131" s="7"/>
      <c r="E131" s="6"/>
      <c r="F131" s="2"/>
      <c r="G131" s="7"/>
    </row>
    <row r="132" spans="1:7">
      <c r="A132" s="103"/>
      <c r="B132" s="6"/>
      <c r="C132" s="2"/>
      <c r="D132" s="7"/>
      <c r="E132" s="6"/>
      <c r="F132" s="2"/>
      <c r="G132" s="7"/>
    </row>
    <row r="133" spans="1:7" ht="15.75" thickBot="1">
      <c r="A133" s="103"/>
      <c r="B133" s="6"/>
      <c r="C133" s="2"/>
      <c r="D133" s="7"/>
      <c r="E133" s="6"/>
      <c r="F133" s="2"/>
      <c r="G133" s="7"/>
    </row>
    <row r="134" spans="1:7">
      <c r="A134" s="103"/>
      <c r="B134" s="12" t="str" cm="1">
        <f t="array" ref="B134">_xlfn._xlws.FILTER(Staf!$C:$C,Staf!$B:$B=Teams!B124,"")</f>
        <v/>
      </c>
      <c r="C134" s="13" t="str" cm="1">
        <f t="array" ref="C134">_xlfn._xlws.FILTER(Staf!$A:$A,Staf!$B:$B=Teams!B124,"")</f>
        <v/>
      </c>
      <c r="D134" s="13"/>
      <c r="E134" s="13"/>
      <c r="F134" s="13"/>
      <c r="G134" s="14"/>
    </row>
    <row r="135" spans="1:7">
      <c r="A135" s="103"/>
      <c r="B135" s="15"/>
      <c r="C135" s="16"/>
      <c r="D135" s="16"/>
      <c r="E135" s="16"/>
      <c r="F135" s="16"/>
      <c r="G135" s="17"/>
    </row>
    <row r="136" spans="1:7" ht="15.75" thickBot="1">
      <c r="A136" s="103"/>
      <c r="B136" s="18"/>
      <c r="C136" s="19"/>
      <c r="D136" s="19"/>
      <c r="E136" s="19"/>
      <c r="F136" s="19"/>
      <c r="G136" s="20"/>
    </row>
  </sheetData>
  <mergeCells count="9">
    <mergeCell ref="A2:A24"/>
    <mergeCell ref="A111:A122"/>
    <mergeCell ref="A124:A136"/>
    <mergeCell ref="A26:A38"/>
    <mergeCell ref="A40:A53"/>
    <mergeCell ref="A55:A67"/>
    <mergeCell ref="A69:A83"/>
    <mergeCell ref="A85:A97"/>
    <mergeCell ref="A99:A10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4351E-45EC-4006-8418-92B03096BD68}">
  <sheetPr>
    <tabColor theme="3"/>
  </sheetPr>
  <dimension ref="A1:S175"/>
  <sheetViews>
    <sheetView tabSelected="1" topLeftCell="A121" zoomScale="115" zoomScaleNormal="115" workbookViewId="0">
      <selection activeCell="A155" sqref="A155"/>
    </sheetView>
  </sheetViews>
  <sheetFormatPr defaultColWidth="8.7109375" defaultRowHeight="15"/>
  <cols>
    <col min="1" max="1" width="11" style="31" bestFit="1" customWidth="1"/>
    <col min="2" max="2" width="24.42578125" style="31" bestFit="1" customWidth="1"/>
    <col min="3" max="3" width="11.28515625" style="31" customWidth="1"/>
    <col min="4" max="4" width="11.42578125" style="33" customWidth="1"/>
    <col min="5" max="5" width="11.7109375" style="48" customWidth="1"/>
    <col min="6" max="6" width="11.140625" style="33" customWidth="1"/>
    <col min="7" max="7" width="16.140625" style="31" customWidth="1"/>
    <col min="8" max="8" width="14.7109375" style="31" customWidth="1"/>
    <col min="9" max="9" width="4.7109375" style="31" customWidth="1"/>
    <col min="10" max="10" width="2" customWidth="1"/>
    <col min="11" max="11" width="10.28515625" style="31" customWidth="1"/>
    <col min="12" max="12" width="19.7109375" style="31" bestFit="1" customWidth="1"/>
    <col min="13" max="13" width="11.28515625" style="31" customWidth="1"/>
    <col min="14" max="14" width="12.42578125" style="33" customWidth="1"/>
    <col min="15" max="15" width="11.7109375" style="32" customWidth="1"/>
    <col min="16" max="16" width="10.28515625" style="33" customWidth="1"/>
    <col min="17" max="17" width="12.140625" style="33" customWidth="1"/>
    <col min="18" max="18" width="12.28515625" style="33" customWidth="1"/>
    <col min="19" max="19" width="5.28515625" style="33" customWidth="1"/>
  </cols>
  <sheetData>
    <row r="1" spans="1:19" ht="30">
      <c r="A1" s="36" t="s">
        <v>55</v>
      </c>
      <c r="B1" s="37" t="s">
        <v>56</v>
      </c>
      <c r="C1" s="37" t="s">
        <v>57</v>
      </c>
      <c r="D1" s="38" t="s">
        <v>58</v>
      </c>
      <c r="E1" s="46" t="s">
        <v>59</v>
      </c>
      <c r="F1" s="38" t="s">
        <v>60</v>
      </c>
      <c r="G1" s="38" t="s">
        <v>61</v>
      </c>
      <c r="H1" s="44" t="s">
        <v>62</v>
      </c>
      <c r="I1" s="40" t="s">
        <v>63</v>
      </c>
      <c r="K1" s="36" t="s">
        <v>55</v>
      </c>
      <c r="L1" s="37" t="s">
        <v>64</v>
      </c>
      <c r="M1" s="37" t="s">
        <v>57</v>
      </c>
      <c r="N1" s="38" t="s">
        <v>58</v>
      </c>
      <c r="O1" s="39" t="s">
        <v>59</v>
      </c>
      <c r="P1" s="38" t="s">
        <v>60</v>
      </c>
      <c r="Q1" s="38" t="s">
        <v>61</v>
      </c>
      <c r="R1" s="44" t="s">
        <v>65</v>
      </c>
      <c r="S1" s="44" t="s">
        <v>63</v>
      </c>
    </row>
    <row r="2" spans="1:19">
      <c r="A2" s="41" t="s">
        <v>66</v>
      </c>
      <c r="B2" s="28" t="s">
        <v>67</v>
      </c>
      <c r="C2" s="28" t="s">
        <v>68</v>
      </c>
      <c r="D2" s="30">
        <f>VLOOKUP(YEAR(Tabel1[[#This Row],[Geb datum]]),Tabel8[#All],2,FALSE)</f>
        <v>16</v>
      </c>
      <c r="E2" s="47">
        <v>39114</v>
      </c>
      <c r="F2" s="30" t="str">
        <f>VLOOKUP(YEAR(Tabel1[[#This Row],[Geb datum]]),Tabel8[#All],3,FALSE)</f>
        <v>A</v>
      </c>
      <c r="G2" s="30" t="s">
        <v>15</v>
      </c>
      <c r="H2" s="30" t="s">
        <v>21</v>
      </c>
      <c r="I2" s="42"/>
      <c r="K2" s="41" t="s">
        <v>69</v>
      </c>
      <c r="L2" s="28" t="s">
        <v>70</v>
      </c>
      <c r="M2" s="28" t="s">
        <v>71</v>
      </c>
      <c r="N2" s="30">
        <f>VLOOKUP(YEAR(Tabel3[[#This Row],[Geb datum]]),Tabel8[#All],2,FALSE)</f>
        <v>16</v>
      </c>
      <c r="O2" s="29">
        <v>39196</v>
      </c>
      <c r="P2" s="30" t="str">
        <f>VLOOKUP(YEAR(Tabel3[[#This Row],[Geb datum]]),Tabel8[#All],3,FALSE)</f>
        <v>A</v>
      </c>
      <c r="Q2" s="30" t="s">
        <v>16</v>
      </c>
      <c r="R2" s="30" t="s">
        <v>22</v>
      </c>
      <c r="S2" s="43"/>
    </row>
    <row r="3" spans="1:19">
      <c r="A3" s="41" t="s">
        <v>72</v>
      </c>
      <c r="B3" s="28" t="s">
        <v>73</v>
      </c>
      <c r="C3" s="28" t="s">
        <v>74</v>
      </c>
      <c r="D3" s="30">
        <f>VLOOKUP(YEAR(Tabel1[[#This Row],[Geb datum]]),Tabel8[#All],2,FALSE)</f>
        <v>18</v>
      </c>
      <c r="E3" s="47">
        <v>38597</v>
      </c>
      <c r="F3" s="30" t="str">
        <f>VLOOKUP(YEAR(Tabel1[[#This Row],[Geb datum]]),Tabel8[#All],3,FALSE)</f>
        <v>A</v>
      </c>
      <c r="G3" s="30" t="s">
        <v>16</v>
      </c>
      <c r="H3" s="30" t="s">
        <v>16</v>
      </c>
      <c r="I3" s="42"/>
      <c r="K3" s="41" t="s">
        <v>75</v>
      </c>
      <c r="L3" s="28" t="s">
        <v>76</v>
      </c>
      <c r="M3" s="28" t="s">
        <v>77</v>
      </c>
      <c r="N3" s="30">
        <f>VLOOKUP(YEAR(Tabel3[[#This Row],[Geb datum]]),Tabel8[#All],2,FALSE)</f>
        <v>16</v>
      </c>
      <c r="O3" s="29">
        <v>39356</v>
      </c>
      <c r="P3" s="30" t="str">
        <f>VLOOKUP(YEAR(Tabel3[[#This Row],[Geb datum]]),Tabel8[#All],3,FALSE)</f>
        <v>A</v>
      </c>
      <c r="Q3" s="30" t="s">
        <v>15</v>
      </c>
      <c r="R3" s="30" t="s">
        <v>21</v>
      </c>
      <c r="S3" s="43"/>
    </row>
    <row r="4" spans="1:19">
      <c r="A4" s="41" t="s">
        <v>78</v>
      </c>
      <c r="B4" s="28" t="s">
        <v>79</v>
      </c>
      <c r="C4" s="28" t="s">
        <v>80</v>
      </c>
      <c r="D4" s="30">
        <f>VLOOKUP(YEAR(Tabel1[[#This Row],[Geb datum]]),Tabel8[#All],2,FALSE)</f>
        <v>18</v>
      </c>
      <c r="E4" s="47">
        <v>38509</v>
      </c>
      <c r="F4" s="30" t="str">
        <f>VLOOKUP(YEAR(Tabel1[[#This Row],[Geb datum]]),Tabel8[#All],3,FALSE)</f>
        <v>A</v>
      </c>
      <c r="G4" s="30" t="s">
        <v>16</v>
      </c>
      <c r="H4" s="30" t="s">
        <v>16</v>
      </c>
      <c r="I4" s="42"/>
      <c r="K4" s="41" t="s">
        <v>81</v>
      </c>
      <c r="L4" s="28" t="s">
        <v>82</v>
      </c>
      <c r="M4" s="28" t="s">
        <v>83</v>
      </c>
      <c r="N4" s="30">
        <f>VLOOKUP(YEAR(Tabel3[[#This Row],[Geb datum]]),Tabel8[#All],2,FALSE)</f>
        <v>16</v>
      </c>
      <c r="O4" s="29">
        <v>39367</v>
      </c>
      <c r="P4" s="30" t="str">
        <f>VLOOKUP(YEAR(Tabel3[[#This Row],[Geb datum]]),Tabel8[#All],3,FALSE)</f>
        <v>A</v>
      </c>
      <c r="Q4" s="30" t="s">
        <v>15</v>
      </c>
      <c r="R4" s="30" t="s">
        <v>21</v>
      </c>
      <c r="S4" s="43"/>
    </row>
    <row r="5" spans="1:19">
      <c r="A5" s="41" t="s">
        <v>84</v>
      </c>
      <c r="B5" s="28" t="s">
        <v>85</v>
      </c>
      <c r="C5" s="28" t="s">
        <v>86</v>
      </c>
      <c r="D5" s="30">
        <f>VLOOKUP(YEAR(Tabel1[[#This Row],[Geb datum]]),Tabel8[#All],2,FALSE)</f>
        <v>16</v>
      </c>
      <c r="E5" s="47">
        <v>39328</v>
      </c>
      <c r="F5" s="30" t="str">
        <f>VLOOKUP(YEAR(Tabel1[[#This Row],[Geb datum]]),Tabel8[#All],3,FALSE)</f>
        <v>A</v>
      </c>
      <c r="G5" s="30" t="s">
        <v>15</v>
      </c>
      <c r="H5" s="30" t="s">
        <v>21</v>
      </c>
      <c r="I5" s="42"/>
      <c r="K5" s="41" t="s">
        <v>87</v>
      </c>
      <c r="L5" s="28" t="s">
        <v>88</v>
      </c>
      <c r="M5" s="28" t="s">
        <v>89</v>
      </c>
      <c r="N5" s="30">
        <f>VLOOKUP(YEAR(Tabel3[[#This Row],[Geb datum]]),Tabel8[#All],2,FALSE)</f>
        <v>18</v>
      </c>
      <c r="O5" s="29">
        <v>38578</v>
      </c>
      <c r="P5" s="30" t="str">
        <f>VLOOKUP(YEAR(Tabel3[[#This Row],[Geb datum]]),Tabel8[#All],3,FALSE)</f>
        <v>A</v>
      </c>
      <c r="Q5" s="30" t="s">
        <v>15</v>
      </c>
      <c r="R5" s="30" t="s">
        <v>15</v>
      </c>
      <c r="S5" s="43"/>
    </row>
    <row r="6" spans="1:19">
      <c r="A6" s="41" t="s">
        <v>90</v>
      </c>
      <c r="B6" s="28" t="s">
        <v>91</v>
      </c>
      <c r="C6" s="28" t="s">
        <v>92</v>
      </c>
      <c r="D6" s="30">
        <f>VLOOKUP(YEAR(Tabel1[[#This Row],[Geb datum]]),Tabel8[#All],2,FALSE)</f>
        <v>18</v>
      </c>
      <c r="E6" s="47">
        <v>38656</v>
      </c>
      <c r="F6" s="30" t="str">
        <f>VLOOKUP(YEAR(Tabel1[[#This Row],[Geb datum]]),Tabel8[#All],3,FALSE)</f>
        <v>A</v>
      </c>
      <c r="G6" s="30" t="s">
        <v>16</v>
      </c>
      <c r="H6" s="30" t="s">
        <v>16</v>
      </c>
      <c r="I6" s="42"/>
      <c r="K6" s="41" t="s">
        <v>93</v>
      </c>
      <c r="L6" s="28" t="s">
        <v>94</v>
      </c>
      <c r="M6" s="28" t="s">
        <v>95</v>
      </c>
      <c r="N6" s="30">
        <f>VLOOKUP(YEAR(Tabel3[[#This Row],[Geb datum]]),Tabel8[#All],2,FALSE)</f>
        <v>18</v>
      </c>
      <c r="O6" s="29">
        <v>38617</v>
      </c>
      <c r="P6" s="30" t="str">
        <f>VLOOKUP(YEAR(Tabel3[[#This Row],[Geb datum]]),Tabel8[#All],3,FALSE)</f>
        <v>A</v>
      </c>
      <c r="Q6" s="30" t="s">
        <v>96</v>
      </c>
      <c r="R6" s="30" t="s">
        <v>16</v>
      </c>
      <c r="S6" s="43"/>
    </row>
    <row r="7" spans="1:19">
      <c r="A7" s="41" t="s">
        <v>97</v>
      </c>
      <c r="B7" s="28" t="s">
        <v>98</v>
      </c>
      <c r="C7" s="28" t="s">
        <v>99</v>
      </c>
      <c r="D7" s="30">
        <f>VLOOKUP(YEAR(Tabel1[[#This Row],[Geb datum]]),Tabel8[#All],2,FALSE)</f>
        <v>18</v>
      </c>
      <c r="E7" s="47">
        <v>38451</v>
      </c>
      <c r="F7" s="30" t="str">
        <f>VLOOKUP(YEAR(Tabel1[[#This Row],[Geb datum]]),Tabel8[#All],3,FALSE)</f>
        <v>A</v>
      </c>
      <c r="G7" s="43" t="s">
        <v>16</v>
      </c>
      <c r="H7" s="43" t="s">
        <v>15</v>
      </c>
      <c r="I7" s="42"/>
      <c r="K7" s="41" t="s">
        <v>100</v>
      </c>
      <c r="L7" s="28" t="s">
        <v>101</v>
      </c>
      <c r="M7" s="28" t="s">
        <v>102</v>
      </c>
      <c r="N7" s="30">
        <f>VLOOKUP(YEAR(Tabel3[[#This Row],[Geb datum]]),Tabel8[#All],2,FALSE)</f>
        <v>18</v>
      </c>
      <c r="O7" s="29">
        <v>38502</v>
      </c>
      <c r="P7" s="30" t="str">
        <f>VLOOKUP(YEAR(Tabel3[[#This Row],[Geb datum]]),Tabel8[#All],3,FALSE)</f>
        <v>A</v>
      </c>
      <c r="Q7" s="30" t="s">
        <v>16</v>
      </c>
      <c r="R7" s="30" t="s">
        <v>16</v>
      </c>
      <c r="S7" s="43"/>
    </row>
    <row r="8" spans="1:19">
      <c r="A8" s="41" t="s">
        <v>103</v>
      </c>
      <c r="B8" s="28" t="s">
        <v>104</v>
      </c>
      <c r="C8" s="28" t="s">
        <v>105</v>
      </c>
      <c r="D8" s="30">
        <f>VLOOKUP(YEAR(Tabel1[[#This Row],[Geb datum]]),Tabel8[#All],2,FALSE)</f>
        <v>16</v>
      </c>
      <c r="E8" s="47">
        <v>39324</v>
      </c>
      <c r="F8" s="30" t="str">
        <f>VLOOKUP(YEAR(Tabel1[[#This Row],[Geb datum]]),Tabel8[#All],3,FALSE)</f>
        <v>A</v>
      </c>
      <c r="G8" s="43" t="s">
        <v>15</v>
      </c>
      <c r="H8" s="43" t="s">
        <v>21</v>
      </c>
      <c r="I8" s="42"/>
      <c r="K8" s="41" t="s">
        <v>106</v>
      </c>
      <c r="L8" s="28" t="s">
        <v>107</v>
      </c>
      <c r="M8" s="28" t="s">
        <v>108</v>
      </c>
      <c r="N8" s="30">
        <f>VLOOKUP(YEAR(Tabel3[[#This Row],[Geb datum]]),Tabel8[#All],2,FALSE)</f>
        <v>17</v>
      </c>
      <c r="O8" s="29">
        <v>39069</v>
      </c>
      <c r="P8" s="30" t="str">
        <f>VLOOKUP(YEAR(Tabel3[[#This Row],[Geb datum]]),Tabel8[#All],3,FALSE)</f>
        <v>A</v>
      </c>
      <c r="Q8" s="30" t="s">
        <v>15</v>
      </c>
      <c r="R8" s="30" t="s">
        <v>21</v>
      </c>
      <c r="S8" s="43"/>
    </row>
    <row r="9" spans="1:19">
      <c r="A9" s="41" t="s">
        <v>109</v>
      </c>
      <c r="B9" s="28" t="s">
        <v>110</v>
      </c>
      <c r="C9" s="28" t="s">
        <v>111</v>
      </c>
      <c r="D9" s="30">
        <f>VLOOKUP(YEAR(Tabel1[[#This Row],[Geb datum]]),Tabel8[#All],2,FALSE)</f>
        <v>16</v>
      </c>
      <c r="E9" s="47">
        <v>39433</v>
      </c>
      <c r="F9" s="30" t="str">
        <f>VLOOKUP(YEAR(Tabel1[[#This Row],[Geb datum]]),Tabel8[#All],3,FALSE)</f>
        <v>A</v>
      </c>
      <c r="G9" s="43" t="s">
        <v>16</v>
      </c>
      <c r="H9" s="43" t="s">
        <v>22</v>
      </c>
      <c r="I9" s="42"/>
      <c r="K9" s="41" t="s">
        <v>112</v>
      </c>
      <c r="L9" s="28" t="s">
        <v>113</v>
      </c>
      <c r="M9" s="28" t="s">
        <v>114</v>
      </c>
      <c r="N9" s="30">
        <f>VLOOKUP(YEAR(Tabel3[[#This Row],[Geb datum]]),Tabel8[#All],2,FALSE)</f>
        <v>18</v>
      </c>
      <c r="O9" s="29">
        <v>38657</v>
      </c>
      <c r="P9" s="30" t="str">
        <f>VLOOKUP(YEAR(Tabel3[[#This Row],[Geb datum]]),Tabel8[#All],3,FALSE)</f>
        <v>A</v>
      </c>
      <c r="Q9" s="30" t="s">
        <v>15</v>
      </c>
      <c r="R9" s="30" t="s">
        <v>15</v>
      </c>
      <c r="S9" s="43"/>
    </row>
    <row r="10" spans="1:19">
      <c r="A10" s="41" t="s">
        <v>115</v>
      </c>
      <c r="B10" s="28" t="s">
        <v>116</v>
      </c>
      <c r="C10" s="28" t="s">
        <v>117</v>
      </c>
      <c r="D10" s="30">
        <f>VLOOKUP(YEAR(Tabel1[[#This Row],[Geb datum]]),Tabel8[#All],2,FALSE)</f>
        <v>18</v>
      </c>
      <c r="E10" s="47">
        <v>38432</v>
      </c>
      <c r="F10" s="30" t="str">
        <f>VLOOKUP(YEAR(Tabel1[[#This Row],[Geb datum]]),Tabel8[#All],3,FALSE)</f>
        <v>A</v>
      </c>
      <c r="G10" s="30" t="s">
        <v>15</v>
      </c>
      <c r="H10" s="30" t="s">
        <v>15</v>
      </c>
      <c r="I10" s="42"/>
      <c r="K10" s="41" t="s">
        <v>118</v>
      </c>
      <c r="L10" s="28" t="s">
        <v>119</v>
      </c>
      <c r="M10" s="28" t="s">
        <v>120</v>
      </c>
      <c r="N10" s="30">
        <f>VLOOKUP(YEAR(Tabel3[[#This Row],[Geb datum]]),Tabel8[#All],2,FALSE)</f>
        <v>17</v>
      </c>
      <c r="O10" s="29">
        <v>39018</v>
      </c>
      <c r="P10" s="30" t="str">
        <f>VLOOKUP(YEAR(Tabel3[[#This Row],[Geb datum]]),Tabel8[#All],3,FALSE)</f>
        <v>A</v>
      </c>
      <c r="Q10" s="30" t="s">
        <v>16</v>
      </c>
      <c r="R10" s="30" t="s">
        <v>22</v>
      </c>
      <c r="S10" s="43"/>
    </row>
    <row r="11" spans="1:19">
      <c r="A11" s="41" t="s">
        <v>121</v>
      </c>
      <c r="B11" s="28" t="s">
        <v>122</v>
      </c>
      <c r="C11" s="28" t="s">
        <v>123</v>
      </c>
      <c r="D11" s="30">
        <f>VLOOKUP(YEAR(Tabel1[[#This Row],[Geb datum]]),Tabel8[#All],2,FALSE)</f>
        <v>18</v>
      </c>
      <c r="E11" s="47">
        <v>38635</v>
      </c>
      <c r="F11" s="30" t="str">
        <f>VLOOKUP(YEAR(Tabel1[[#This Row],[Geb datum]]),Tabel8[#All],3,FALSE)</f>
        <v>A</v>
      </c>
      <c r="G11" s="43" t="s">
        <v>15</v>
      </c>
      <c r="H11" s="43" t="s">
        <v>15</v>
      </c>
      <c r="I11" s="42"/>
      <c r="K11" s="41" t="s">
        <v>124</v>
      </c>
      <c r="L11" s="28" t="s">
        <v>125</v>
      </c>
      <c r="M11" s="28" t="s">
        <v>126</v>
      </c>
      <c r="N11" s="30">
        <f>VLOOKUP(YEAR(Tabel3[[#This Row],[Geb datum]]),Tabel8[#All],2,FALSE)</f>
        <v>16</v>
      </c>
      <c r="O11" s="29">
        <v>39239</v>
      </c>
      <c r="P11" s="30" t="str">
        <f>VLOOKUP(YEAR(Tabel3[[#This Row],[Geb datum]]),Tabel8[#All],3,FALSE)</f>
        <v>A</v>
      </c>
      <c r="Q11" s="30" t="s">
        <v>16</v>
      </c>
      <c r="R11" s="30" t="s">
        <v>21</v>
      </c>
      <c r="S11" s="43"/>
    </row>
    <row r="12" spans="1:19">
      <c r="A12" s="41" t="s">
        <v>127</v>
      </c>
      <c r="B12" s="28" t="s">
        <v>128</v>
      </c>
      <c r="C12" s="28" t="s">
        <v>68</v>
      </c>
      <c r="D12" s="30">
        <f>VLOOKUP(YEAR(Tabel1[[#This Row],[Geb datum]]),Tabel8[#All],2,FALSE)</f>
        <v>18</v>
      </c>
      <c r="E12" s="47">
        <v>38480</v>
      </c>
      <c r="F12" s="30" t="str">
        <f>VLOOKUP(YEAR(Tabel1[[#This Row],[Geb datum]]),Tabel8[#All],3,FALSE)</f>
        <v>A</v>
      </c>
      <c r="G12" s="30" t="s">
        <v>17</v>
      </c>
      <c r="H12" s="30" t="s">
        <v>17</v>
      </c>
      <c r="I12" s="42"/>
      <c r="K12" s="41" t="s">
        <v>129</v>
      </c>
      <c r="L12" s="28" t="s">
        <v>130</v>
      </c>
      <c r="M12" s="28" t="s">
        <v>131</v>
      </c>
      <c r="N12" s="30">
        <f>VLOOKUP(YEAR(Tabel3[[#This Row],[Geb datum]]),Tabel8[#All],2,FALSE)</f>
        <v>16</v>
      </c>
      <c r="O12" s="29">
        <v>39346</v>
      </c>
      <c r="P12" s="30" t="str">
        <f>VLOOKUP(YEAR(Tabel3[[#This Row],[Geb datum]]),Tabel8[#All],3,FALSE)</f>
        <v>A</v>
      </c>
      <c r="Q12" s="30" t="s">
        <v>22</v>
      </c>
      <c r="R12" s="30" t="s">
        <v>22</v>
      </c>
      <c r="S12" s="43"/>
    </row>
    <row r="13" spans="1:19">
      <c r="A13" s="41" t="s">
        <v>132</v>
      </c>
      <c r="B13" s="28" t="s">
        <v>133</v>
      </c>
      <c r="C13" s="28" t="s">
        <v>134</v>
      </c>
      <c r="D13" s="30">
        <f>VLOOKUP(YEAR(Tabel1[[#This Row],[Geb datum]]),Tabel8[#All],2,FALSE)</f>
        <v>17</v>
      </c>
      <c r="E13" s="47">
        <v>38928</v>
      </c>
      <c r="F13" s="30" t="str">
        <f>VLOOKUP(YEAR(Tabel1[[#This Row],[Geb datum]]),Tabel8[#All],3,FALSE)</f>
        <v>A</v>
      </c>
      <c r="G13" s="43" t="s">
        <v>17</v>
      </c>
      <c r="H13" s="43" t="s">
        <v>17</v>
      </c>
      <c r="I13" s="42"/>
      <c r="K13" s="41" t="s">
        <v>135</v>
      </c>
      <c r="L13" s="28" t="s">
        <v>136</v>
      </c>
      <c r="M13" s="28" t="s">
        <v>137</v>
      </c>
      <c r="N13" s="30">
        <f>VLOOKUP(YEAR(Tabel3[[#This Row],[Geb datum]]),Tabel8[#All],2,FALSE)</f>
        <v>18</v>
      </c>
      <c r="O13" s="29">
        <v>38517</v>
      </c>
      <c r="P13" s="30" t="str">
        <f>VLOOKUP(YEAR(Tabel3[[#This Row],[Geb datum]]),Tabel8[#All],3,FALSE)</f>
        <v>A</v>
      </c>
      <c r="Q13" s="30" t="s">
        <v>16</v>
      </c>
      <c r="R13" s="30" t="s">
        <v>16</v>
      </c>
      <c r="S13" s="43"/>
    </row>
    <row r="14" spans="1:19">
      <c r="A14" s="41" t="s">
        <v>138</v>
      </c>
      <c r="B14" s="28" t="s">
        <v>139</v>
      </c>
      <c r="C14" s="28" t="s">
        <v>140</v>
      </c>
      <c r="D14" s="30">
        <f>VLOOKUP(YEAR(Tabel1[[#This Row],[Geb datum]]),Tabel8[#All],2,FALSE)</f>
        <v>19</v>
      </c>
      <c r="E14" s="47">
        <v>38263</v>
      </c>
      <c r="F14" s="30" t="str">
        <f>VLOOKUP(YEAR(Tabel1[[#This Row],[Geb datum]]),Tabel8[#All],3,FALSE)</f>
        <v>S</v>
      </c>
      <c r="G14" s="43" t="s">
        <v>17</v>
      </c>
      <c r="H14" s="43" t="s">
        <v>17</v>
      </c>
      <c r="I14" s="42"/>
      <c r="K14" s="41" t="s">
        <v>141</v>
      </c>
      <c r="L14" s="28" t="s">
        <v>142</v>
      </c>
      <c r="M14" s="28" t="s">
        <v>143</v>
      </c>
      <c r="N14" s="30">
        <f>VLOOKUP(YEAR(Tabel3[[#This Row],[Geb datum]]),Tabel8[#All],2,FALSE)</f>
        <v>19</v>
      </c>
      <c r="O14" s="29">
        <v>38090</v>
      </c>
      <c r="P14" s="30" t="str">
        <f>VLOOKUP(YEAR(Tabel3[[#This Row],[Geb datum]]),Tabel8[#All],3,FALSE)</f>
        <v>S</v>
      </c>
      <c r="Q14" s="30" t="s">
        <v>17</v>
      </c>
      <c r="R14" s="30" t="s">
        <v>17</v>
      </c>
      <c r="S14" s="43"/>
    </row>
    <row r="15" spans="1:19">
      <c r="A15" s="41" t="s">
        <v>144</v>
      </c>
      <c r="B15" s="28" t="s">
        <v>145</v>
      </c>
      <c r="C15" s="28" t="s">
        <v>146</v>
      </c>
      <c r="D15" s="30">
        <f>VLOOKUP(YEAR(Tabel1[[#This Row],[Geb datum]]),Tabel8[#All],2,FALSE)</f>
        <v>16</v>
      </c>
      <c r="E15" s="47">
        <v>39274</v>
      </c>
      <c r="F15" s="30" t="str">
        <f>VLOOKUP(YEAR(Tabel1[[#This Row],[Geb datum]]),Tabel8[#All],3,FALSE)</f>
        <v>A</v>
      </c>
      <c r="G15" s="43" t="s">
        <v>17</v>
      </c>
      <c r="H15" s="43" t="s">
        <v>17</v>
      </c>
      <c r="I15" s="42"/>
      <c r="K15" s="41" t="s">
        <v>147</v>
      </c>
      <c r="L15" s="28" t="s">
        <v>148</v>
      </c>
      <c r="M15" s="28" t="s">
        <v>149</v>
      </c>
      <c r="N15" s="30">
        <f>VLOOKUP(YEAR(Tabel3[[#This Row],[Geb datum]]),Tabel8[#All],2,FALSE)</f>
        <v>16</v>
      </c>
      <c r="O15" s="29">
        <v>39363</v>
      </c>
      <c r="P15" s="30" t="str">
        <f>VLOOKUP(YEAR(Tabel3[[#This Row],[Geb datum]]),Tabel8[#All],3,FALSE)</f>
        <v>A</v>
      </c>
      <c r="Q15" s="30" t="s">
        <v>17</v>
      </c>
      <c r="R15" s="30" t="s">
        <v>24</v>
      </c>
      <c r="S15" s="43"/>
    </row>
    <row r="16" spans="1:19">
      <c r="A16" s="41" t="s">
        <v>150</v>
      </c>
      <c r="B16" s="28" t="s">
        <v>151</v>
      </c>
      <c r="C16" s="28" t="s">
        <v>152</v>
      </c>
      <c r="D16" s="30">
        <f>VLOOKUP(YEAR(Tabel1[[#This Row],[Geb datum]]),Tabel8[#All],2,FALSE)</f>
        <v>16</v>
      </c>
      <c r="E16" s="47">
        <v>39199</v>
      </c>
      <c r="F16" s="30" t="str">
        <f>VLOOKUP(YEAR(Tabel1[[#This Row],[Geb datum]]),Tabel8[#All],3,FALSE)</f>
        <v>A</v>
      </c>
      <c r="G16" s="30" t="s">
        <v>17</v>
      </c>
      <c r="H16" s="30" t="s">
        <v>17</v>
      </c>
      <c r="I16" s="42"/>
      <c r="K16" s="41" t="s">
        <v>153</v>
      </c>
      <c r="L16" s="28" t="s">
        <v>154</v>
      </c>
      <c r="M16" s="28" t="s">
        <v>155</v>
      </c>
      <c r="N16" s="30">
        <f>VLOOKUP(YEAR(Tabel3[[#This Row],[Geb datum]]),Tabel8[#All],2,FALSE)</f>
        <v>16</v>
      </c>
      <c r="O16" s="29">
        <v>39187</v>
      </c>
      <c r="P16" s="30" t="str">
        <f>VLOOKUP(YEAR(Tabel3[[#This Row],[Geb datum]]),Tabel8[#All],3,FALSE)</f>
        <v>A</v>
      </c>
      <c r="Q16" s="30" t="s">
        <v>17</v>
      </c>
      <c r="R16" s="30" t="s">
        <v>24</v>
      </c>
      <c r="S16" s="43"/>
    </row>
    <row r="17" spans="1:19">
      <c r="A17" s="41" t="s">
        <v>156</v>
      </c>
      <c r="B17" s="28" t="s">
        <v>157</v>
      </c>
      <c r="C17" s="28" t="s">
        <v>158</v>
      </c>
      <c r="D17" s="30">
        <f>VLOOKUP(YEAR(Tabel1[[#This Row],[Geb datum]]),Tabel8[#All],2,FALSE)</f>
        <v>17</v>
      </c>
      <c r="E17" s="47">
        <v>38900</v>
      </c>
      <c r="F17" s="30" t="str">
        <f>VLOOKUP(YEAR(Tabel1[[#This Row],[Geb datum]]),Tabel8[#All],3,FALSE)</f>
        <v>A</v>
      </c>
      <c r="G17" s="30" t="s">
        <v>17</v>
      </c>
      <c r="H17" s="30" t="s">
        <v>17</v>
      </c>
      <c r="I17" s="42"/>
      <c r="K17" s="41" t="s">
        <v>159</v>
      </c>
      <c r="L17" s="28" t="s">
        <v>160</v>
      </c>
      <c r="M17" s="28" t="s">
        <v>161</v>
      </c>
      <c r="N17" s="30">
        <f>VLOOKUP(YEAR(Tabel3[[#This Row],[Geb datum]]),Tabel8[#All],2,FALSE)</f>
        <v>16</v>
      </c>
      <c r="O17" s="29">
        <v>39123</v>
      </c>
      <c r="P17" s="30" t="str">
        <f>VLOOKUP(YEAR(Tabel3[[#This Row],[Geb datum]]),Tabel8[#All],3,FALSE)</f>
        <v>A</v>
      </c>
      <c r="Q17" s="30" t="s">
        <v>17</v>
      </c>
      <c r="R17" s="30" t="s">
        <v>24</v>
      </c>
      <c r="S17" s="43"/>
    </row>
    <row r="18" spans="1:19">
      <c r="A18" s="41"/>
      <c r="B18" s="28" t="s">
        <v>162</v>
      </c>
      <c r="C18" s="28" t="s">
        <v>163</v>
      </c>
      <c r="D18" s="30"/>
      <c r="E18" s="47"/>
      <c r="F18" s="30"/>
      <c r="G18" s="30" t="s">
        <v>17</v>
      </c>
      <c r="H18" s="30" t="s">
        <v>164</v>
      </c>
      <c r="I18" s="42"/>
      <c r="K18" s="41" t="s">
        <v>165</v>
      </c>
      <c r="L18" s="28" t="s">
        <v>166</v>
      </c>
      <c r="M18" s="28" t="s">
        <v>167</v>
      </c>
      <c r="N18" s="30">
        <f>VLOOKUP(YEAR(Tabel3[[#This Row],[Geb datum]]),Tabel8[#All],2,FALSE)</f>
        <v>28</v>
      </c>
      <c r="O18" s="29">
        <v>34900</v>
      </c>
      <c r="P18" s="30" t="str">
        <f>VLOOKUP(YEAR(Tabel3[[#This Row],[Geb datum]]),Tabel8[#All],3,FALSE)</f>
        <v>S</v>
      </c>
      <c r="Q18" s="30" t="s">
        <v>63</v>
      </c>
      <c r="R18" s="30" t="s">
        <v>63</v>
      </c>
      <c r="S18" s="43"/>
    </row>
    <row r="19" spans="1:19">
      <c r="A19" s="41" t="s">
        <v>168</v>
      </c>
      <c r="B19" s="28" t="s">
        <v>169</v>
      </c>
      <c r="C19" s="28" t="s">
        <v>170</v>
      </c>
      <c r="D19" s="30">
        <f>VLOOKUP(YEAR(Tabel1[[#This Row],[Geb datum]]),Tabel8[#All],2,FALSE)</f>
        <v>23</v>
      </c>
      <c r="E19" s="47">
        <v>36727</v>
      </c>
      <c r="F19" s="30" t="str">
        <f>VLOOKUP(YEAR(Tabel1[[#This Row],[Geb datum]]),Tabel8[#All],3,FALSE)</f>
        <v>S</v>
      </c>
      <c r="G19" s="30" t="s">
        <v>63</v>
      </c>
      <c r="H19" s="30" t="s">
        <v>63</v>
      </c>
      <c r="I19" s="42"/>
      <c r="K19" s="41" t="s">
        <v>171</v>
      </c>
      <c r="L19" s="28" t="s">
        <v>172</v>
      </c>
      <c r="M19" s="28" t="s">
        <v>173</v>
      </c>
      <c r="N19" s="30">
        <f>VLOOKUP(YEAR(Tabel3[[#This Row],[Geb datum]]),Tabel8[#All],2,FALSE)</f>
        <v>62</v>
      </c>
      <c r="O19" s="59">
        <v>22358</v>
      </c>
      <c r="P19" s="30" t="str">
        <f>VLOOKUP(YEAR(Tabel3[[#This Row],[Geb datum]]),Tabel8[#All],3,FALSE)</f>
        <v>S</v>
      </c>
      <c r="Q19" s="30" t="s">
        <v>63</v>
      </c>
      <c r="R19" s="30" t="s">
        <v>63</v>
      </c>
      <c r="S19" s="43"/>
    </row>
    <row r="20" spans="1:19">
      <c r="A20" s="41" t="s">
        <v>174</v>
      </c>
      <c r="B20" s="28" t="s">
        <v>175</v>
      </c>
      <c r="C20" s="28" t="s">
        <v>176</v>
      </c>
      <c r="D20" s="30">
        <f>VLOOKUP(YEAR(Tabel1[[#This Row],[Geb datum]]),Tabel8[#All],2,FALSE)</f>
        <v>44</v>
      </c>
      <c r="E20" s="47">
        <v>28948</v>
      </c>
      <c r="F20" s="30" t="str">
        <f>VLOOKUP(YEAR(Tabel1[[#This Row],[Geb datum]]),Tabel8[#All],3,FALSE)</f>
        <v>S</v>
      </c>
      <c r="G20" s="30" t="s">
        <v>63</v>
      </c>
      <c r="H20" s="30" t="s">
        <v>63</v>
      </c>
      <c r="I20" s="42"/>
      <c r="K20" s="41" t="s">
        <v>177</v>
      </c>
      <c r="L20" s="28" t="s">
        <v>178</v>
      </c>
      <c r="M20" s="28" t="s">
        <v>71</v>
      </c>
      <c r="N20" s="30">
        <f>VLOOKUP(YEAR(Tabel3[[#This Row],[Geb datum]]),Tabel8[#All],2,FALSE)</f>
        <v>27</v>
      </c>
      <c r="O20" s="29">
        <v>35270</v>
      </c>
      <c r="P20" s="30" t="str">
        <f>VLOOKUP(YEAR(Tabel3[[#This Row],[Geb datum]]),Tabel8[#All],3,FALSE)</f>
        <v>S</v>
      </c>
      <c r="Q20" s="30" t="s">
        <v>63</v>
      </c>
      <c r="R20" s="30" t="s">
        <v>7</v>
      </c>
      <c r="S20" s="43"/>
    </row>
    <row r="21" spans="1:19">
      <c r="A21" s="41" t="s">
        <v>179</v>
      </c>
      <c r="B21" s="28" t="s">
        <v>180</v>
      </c>
      <c r="C21" s="28" t="s">
        <v>181</v>
      </c>
      <c r="D21" s="30">
        <f>VLOOKUP(YEAR(Tabel1[[#This Row],[Geb datum]]),Tabel8[#All],2,FALSE)</f>
        <v>33</v>
      </c>
      <c r="E21" s="47">
        <v>33146</v>
      </c>
      <c r="F21" s="30" t="str">
        <f>VLOOKUP(YEAR(Tabel1[[#This Row],[Geb datum]]),Tabel8[#All],3,FALSE)</f>
        <v>S</v>
      </c>
      <c r="G21" s="30" t="s">
        <v>63</v>
      </c>
      <c r="H21" s="30" t="s">
        <v>9</v>
      </c>
      <c r="I21" s="42"/>
      <c r="K21" s="41" t="s">
        <v>182</v>
      </c>
      <c r="L21" s="28" t="s">
        <v>183</v>
      </c>
      <c r="M21" s="28" t="s">
        <v>184</v>
      </c>
      <c r="N21" s="30">
        <f>VLOOKUP(YEAR(Tabel3[[#This Row],[Geb datum]]),Tabel8[#All],2,FALSE)</f>
        <v>38</v>
      </c>
      <c r="O21" s="59">
        <v>31083</v>
      </c>
      <c r="P21" s="30" t="str">
        <f>VLOOKUP(YEAR(Tabel3[[#This Row],[Geb datum]]),Tabel8[#All],3,FALSE)</f>
        <v>S</v>
      </c>
      <c r="Q21" s="30" t="s">
        <v>63</v>
      </c>
      <c r="R21" s="30" t="s">
        <v>63</v>
      </c>
      <c r="S21" s="43"/>
    </row>
    <row r="22" spans="1:19">
      <c r="A22" s="41" t="s">
        <v>185</v>
      </c>
      <c r="B22" s="28" t="s">
        <v>186</v>
      </c>
      <c r="C22" s="28" t="s">
        <v>105</v>
      </c>
      <c r="D22" s="30">
        <f>VLOOKUP(YEAR(Tabel1[[#This Row],[Geb datum]]),Tabel8[#All],2,FALSE)</f>
        <v>24</v>
      </c>
      <c r="E22" s="47">
        <v>36432</v>
      </c>
      <c r="F22" s="30" t="str">
        <f>VLOOKUP(YEAR(Tabel1[[#This Row],[Geb datum]]),Tabel8[#All],3,FALSE)</f>
        <v>S</v>
      </c>
      <c r="G22" s="30" t="s">
        <v>63</v>
      </c>
      <c r="H22" s="30" t="s">
        <v>7</v>
      </c>
      <c r="I22" s="42"/>
      <c r="K22" s="41" t="s">
        <v>187</v>
      </c>
      <c r="L22" s="28" t="s">
        <v>188</v>
      </c>
      <c r="M22" s="28" t="s">
        <v>189</v>
      </c>
      <c r="N22" s="30">
        <f>VLOOKUP(YEAR(Tabel3[[#This Row],[Geb datum]]),Tabel8[#All],2,FALSE)</f>
        <v>27</v>
      </c>
      <c r="O22" s="29">
        <v>35145</v>
      </c>
      <c r="P22" s="30" t="str">
        <f>VLOOKUP(YEAR(Tabel3[[#This Row],[Geb datum]]),Tabel8[#All],3,FALSE)</f>
        <v>S</v>
      </c>
      <c r="Q22" s="30" t="s">
        <v>63</v>
      </c>
      <c r="R22" s="30" t="s">
        <v>63</v>
      </c>
      <c r="S22" s="43"/>
    </row>
    <row r="23" spans="1:19">
      <c r="A23" s="41" t="s">
        <v>190</v>
      </c>
      <c r="B23" s="28" t="s">
        <v>191</v>
      </c>
      <c r="C23" s="28" t="s">
        <v>192</v>
      </c>
      <c r="D23" s="30">
        <f>VLOOKUP(YEAR(Tabel1[[#This Row],[Geb datum]]),Tabel8[#All],2,FALSE)</f>
        <v>36</v>
      </c>
      <c r="E23" s="47">
        <v>32119</v>
      </c>
      <c r="F23" s="30" t="str">
        <f>VLOOKUP(YEAR(Tabel1[[#This Row],[Geb datum]]),Tabel8[#All],3,FALSE)</f>
        <v>S</v>
      </c>
      <c r="G23" s="30" t="s">
        <v>63</v>
      </c>
      <c r="H23" s="30" t="s">
        <v>9</v>
      </c>
      <c r="I23" s="42"/>
      <c r="K23" s="41" t="s">
        <v>193</v>
      </c>
      <c r="L23" s="28" t="s">
        <v>194</v>
      </c>
      <c r="M23" s="28" t="s">
        <v>195</v>
      </c>
      <c r="N23" s="30">
        <f>VLOOKUP(YEAR(Tabel3[[#This Row],[Geb datum]]),Tabel8[#All],2,FALSE)</f>
        <v>58</v>
      </c>
      <c r="O23" s="29">
        <v>24003</v>
      </c>
      <c r="P23" s="30" t="str">
        <f>VLOOKUP(YEAR(Tabel3[[#This Row],[Geb datum]]),Tabel8[#All],3,FALSE)</f>
        <v>S</v>
      </c>
      <c r="Q23" s="30" t="s">
        <v>63</v>
      </c>
      <c r="R23" s="30" t="s">
        <v>63</v>
      </c>
      <c r="S23" s="43"/>
    </row>
    <row r="24" spans="1:19">
      <c r="A24" s="41" t="s">
        <v>196</v>
      </c>
      <c r="B24" s="28" t="s">
        <v>197</v>
      </c>
      <c r="C24" s="28" t="s">
        <v>198</v>
      </c>
      <c r="D24" s="30">
        <f>VLOOKUP(YEAR(Tabel1[[#This Row],[Geb datum]]),Tabel8[#All],2,FALSE)</f>
        <v>25</v>
      </c>
      <c r="E24" s="59">
        <v>35817</v>
      </c>
      <c r="F24" s="30" t="str">
        <f>VLOOKUP(YEAR(Tabel1[[#This Row],[Geb datum]]),Tabel8[#All],3,FALSE)</f>
        <v>S</v>
      </c>
      <c r="G24" s="30" t="s">
        <v>63</v>
      </c>
      <c r="H24" s="30" t="s">
        <v>63</v>
      </c>
      <c r="I24" s="42"/>
      <c r="K24" s="41" t="s">
        <v>199</v>
      </c>
      <c r="L24" s="28" t="s">
        <v>200</v>
      </c>
      <c r="M24" s="28" t="s">
        <v>201</v>
      </c>
      <c r="N24" s="30">
        <f>VLOOKUP(YEAR(Tabel3[[#This Row],[Geb datum]]),Tabel8[#All],2,FALSE)</f>
        <v>27</v>
      </c>
      <c r="O24" s="47">
        <v>35330</v>
      </c>
      <c r="P24" s="30" t="str">
        <f>VLOOKUP(YEAR(Tabel3[[#This Row],[Geb datum]]),Tabel8[#All],3,FALSE)</f>
        <v>S</v>
      </c>
      <c r="Q24" s="30" t="s">
        <v>63</v>
      </c>
      <c r="R24" s="30" t="s">
        <v>63</v>
      </c>
      <c r="S24" s="43"/>
    </row>
    <row r="25" spans="1:19">
      <c r="A25" s="41" t="s">
        <v>202</v>
      </c>
      <c r="B25" s="28" t="s">
        <v>203</v>
      </c>
      <c r="C25" s="28" t="s">
        <v>204</v>
      </c>
      <c r="D25" s="30">
        <f>VLOOKUP(YEAR(Tabel1[[#This Row],[Geb datum]]),Tabel8[#All],2,FALSE)</f>
        <v>14</v>
      </c>
      <c r="E25" s="47">
        <v>39961</v>
      </c>
      <c r="F25" s="30" t="str">
        <f>VLOOKUP(YEAR(Tabel1[[#This Row],[Geb datum]]),Tabel8[#All],3,FALSE)</f>
        <v>B</v>
      </c>
      <c r="G25" s="30" t="s">
        <v>96</v>
      </c>
      <c r="H25" s="30" t="s">
        <v>28</v>
      </c>
      <c r="I25" s="42"/>
      <c r="K25" s="41" t="s">
        <v>205</v>
      </c>
      <c r="L25" s="28" t="s">
        <v>206</v>
      </c>
      <c r="M25" s="28" t="s">
        <v>207</v>
      </c>
      <c r="N25" s="30">
        <f>VLOOKUP(YEAR(Tabel3[[#This Row],[Geb datum]]),Tabel8[#All],2,FALSE)</f>
        <v>56</v>
      </c>
      <c r="O25" s="59">
        <v>24583</v>
      </c>
      <c r="P25" s="30" t="str">
        <f>VLOOKUP(YEAR(Tabel3[[#This Row],[Geb datum]]),Tabel8[#All],3,FALSE)</f>
        <v>S</v>
      </c>
      <c r="Q25" s="30" t="s">
        <v>63</v>
      </c>
      <c r="R25" s="30" t="s">
        <v>63</v>
      </c>
      <c r="S25" s="43"/>
    </row>
    <row r="26" spans="1:19">
      <c r="A26" s="41" t="s">
        <v>208</v>
      </c>
      <c r="B26" s="28" t="s">
        <v>209</v>
      </c>
      <c r="C26" s="28" t="s">
        <v>210</v>
      </c>
      <c r="D26" s="30">
        <f>VLOOKUP(YEAR(Tabel1[[#This Row],[Geb datum]]),Tabel8[#All],2,FALSE)</f>
        <v>15</v>
      </c>
      <c r="E26" s="47">
        <v>39629</v>
      </c>
      <c r="F26" s="30" t="str">
        <f>VLOOKUP(YEAR(Tabel1[[#This Row],[Geb datum]]),Tabel8[#All],3,FALSE)</f>
        <v>B</v>
      </c>
      <c r="G26" s="30" t="s">
        <v>22</v>
      </c>
      <c r="H26" s="30" t="s">
        <v>22</v>
      </c>
      <c r="I26" s="42"/>
      <c r="K26" s="58" t="s">
        <v>211</v>
      </c>
      <c r="L26" s="68" t="s">
        <v>212</v>
      </c>
      <c r="M26" s="68" t="s">
        <v>213</v>
      </c>
      <c r="N26" s="30">
        <f>VLOOKUP(YEAR(Tabel3[[#This Row],[Geb datum]]),Tabel8[#All],2,FALSE)</f>
        <v>26</v>
      </c>
      <c r="O26" s="59">
        <v>35488</v>
      </c>
      <c r="P26" s="30" t="str">
        <f>VLOOKUP(YEAR(Tabel3[[#This Row],[Geb datum]]),Tabel8[#All],3,FALSE)</f>
        <v>S</v>
      </c>
      <c r="Q26" s="30" t="s">
        <v>63</v>
      </c>
      <c r="R26" s="30" t="s">
        <v>63</v>
      </c>
      <c r="S26" s="43"/>
    </row>
    <row r="27" spans="1:19">
      <c r="A27" s="41" t="s">
        <v>214</v>
      </c>
      <c r="B27" s="28" t="s">
        <v>215</v>
      </c>
      <c r="C27" s="28" t="s">
        <v>216</v>
      </c>
      <c r="D27" s="30">
        <f>VLOOKUP(YEAR(Tabel1[[#This Row],[Geb datum]]),Tabel8[#All],2,FALSE)</f>
        <v>15</v>
      </c>
      <c r="E27" s="47">
        <v>39760</v>
      </c>
      <c r="F27" s="30" t="str">
        <f>VLOOKUP(YEAR(Tabel1[[#This Row],[Geb datum]]),Tabel8[#All],3,FALSE)</f>
        <v>B</v>
      </c>
      <c r="G27" s="30" t="s">
        <v>21</v>
      </c>
      <c r="H27" s="30" t="s">
        <v>21</v>
      </c>
      <c r="I27" s="42"/>
      <c r="K27" s="58" t="s">
        <v>217</v>
      </c>
      <c r="L27" s="68" t="s">
        <v>218</v>
      </c>
      <c r="M27" s="68" t="s">
        <v>219</v>
      </c>
      <c r="N27" s="30">
        <f>VLOOKUP(YEAR(Tabel3[[#This Row],[Geb datum]]),Tabel8[#All],2,FALSE)</f>
        <v>33</v>
      </c>
      <c r="O27" s="59">
        <v>33211</v>
      </c>
      <c r="P27" s="30" t="str">
        <f>VLOOKUP(YEAR(Tabel3[[#This Row],[Geb datum]]),Tabel8[#All],3,FALSE)</f>
        <v>S</v>
      </c>
      <c r="Q27" s="30" t="s">
        <v>63</v>
      </c>
      <c r="R27" s="30" t="s">
        <v>63</v>
      </c>
      <c r="S27" s="43"/>
    </row>
    <row r="28" spans="1:19">
      <c r="A28" s="41" t="s">
        <v>220</v>
      </c>
      <c r="B28" s="28" t="s">
        <v>221</v>
      </c>
      <c r="C28" s="28" t="s">
        <v>222</v>
      </c>
      <c r="D28" s="30">
        <f>VLOOKUP(YEAR(Tabel1[[#This Row],[Geb datum]]),Tabel8[#All],2,FALSE)</f>
        <v>15</v>
      </c>
      <c r="E28" s="47">
        <v>39751</v>
      </c>
      <c r="F28" s="30" t="str">
        <f>VLOOKUP(YEAR(Tabel1[[#This Row],[Geb datum]]),Tabel8[#All],3,FALSE)</f>
        <v>B</v>
      </c>
      <c r="G28" s="30" t="s">
        <v>21</v>
      </c>
      <c r="H28" s="30" t="s">
        <v>22</v>
      </c>
      <c r="I28" s="42"/>
      <c r="K28" s="58" t="s">
        <v>223</v>
      </c>
      <c r="L28" s="68" t="s">
        <v>224</v>
      </c>
      <c r="M28" s="68" t="s">
        <v>225</v>
      </c>
      <c r="N28" s="30">
        <f>VLOOKUP(YEAR(Tabel3[[#This Row],[Geb datum]]),Tabel8[#All],2,FALSE)</f>
        <v>33</v>
      </c>
      <c r="O28" s="59">
        <v>32911</v>
      </c>
      <c r="P28" s="30" t="str">
        <f>VLOOKUP(YEAR(Tabel3[[#This Row],[Geb datum]]),Tabel8[#All],3,FALSE)</f>
        <v>S</v>
      </c>
      <c r="Q28" s="30" t="s">
        <v>63</v>
      </c>
      <c r="R28" s="30" t="s">
        <v>63</v>
      </c>
      <c r="S28" s="43"/>
    </row>
    <row r="29" spans="1:19">
      <c r="A29" s="41" t="s">
        <v>226</v>
      </c>
      <c r="B29" s="28" t="s">
        <v>227</v>
      </c>
      <c r="C29" s="28" t="s">
        <v>228</v>
      </c>
      <c r="D29" s="30">
        <f>VLOOKUP(YEAR(Tabel1[[#This Row],[Geb datum]]),Tabel8[#All],2,FALSE)</f>
        <v>15</v>
      </c>
      <c r="E29" s="47">
        <v>39804</v>
      </c>
      <c r="F29" s="30" t="str">
        <f>VLOOKUP(YEAR(Tabel1[[#This Row],[Geb datum]]),Tabel8[#All],3,FALSE)</f>
        <v>B</v>
      </c>
      <c r="G29" s="30" t="s">
        <v>22</v>
      </c>
      <c r="H29" s="30" t="s">
        <v>22</v>
      </c>
      <c r="I29" s="42"/>
      <c r="K29" s="41" t="s">
        <v>229</v>
      </c>
      <c r="L29" s="28" t="s">
        <v>230</v>
      </c>
      <c r="M29" s="28" t="s">
        <v>231</v>
      </c>
      <c r="N29" s="30">
        <f>VLOOKUP(YEAR(Tabel3[[#This Row],[Geb datum]]),Tabel8[#All],2,FALSE)</f>
        <v>22</v>
      </c>
      <c r="O29" s="29">
        <v>37246</v>
      </c>
      <c r="P29" s="30" t="str">
        <f>VLOOKUP(YEAR(Tabel3[[#This Row],[Geb datum]]),Tabel8[#All],3,FALSE)</f>
        <v>S</v>
      </c>
      <c r="Q29" s="45" t="s">
        <v>63</v>
      </c>
      <c r="R29" s="45" t="s">
        <v>7</v>
      </c>
      <c r="S29" s="43"/>
    </row>
    <row r="30" spans="1:19">
      <c r="A30" s="41" t="s">
        <v>232</v>
      </c>
      <c r="B30" s="28" t="s">
        <v>233</v>
      </c>
      <c r="C30" s="28" t="s">
        <v>234</v>
      </c>
      <c r="D30" s="30">
        <f>VLOOKUP(YEAR(Tabel1[[#This Row],[Geb datum]]),Tabel8[#All],2,FALSE)</f>
        <v>14</v>
      </c>
      <c r="E30" s="47">
        <v>39878</v>
      </c>
      <c r="F30" s="30" t="str">
        <f>VLOOKUP(YEAR(Tabel1[[#This Row],[Geb datum]]),Tabel8[#All],3,FALSE)</f>
        <v>B</v>
      </c>
      <c r="G30" s="30" t="s">
        <v>22</v>
      </c>
      <c r="H30" s="30" t="s">
        <v>29</v>
      </c>
      <c r="I30" s="42"/>
      <c r="K30" s="41" t="s">
        <v>235</v>
      </c>
      <c r="L30" s="28" t="s">
        <v>236</v>
      </c>
      <c r="M30" s="28" t="s">
        <v>237</v>
      </c>
      <c r="N30" s="30">
        <f>VLOOKUP(YEAR(Tabel3[[#This Row],[Geb datum]]),Tabel8[#All],2,FALSE)</f>
        <v>27</v>
      </c>
      <c r="O30" s="59">
        <v>35092</v>
      </c>
      <c r="P30" s="30" t="str">
        <f>VLOOKUP(YEAR(Tabel3[[#This Row],[Geb datum]]),Tabel8[#All],3,FALSE)</f>
        <v>S</v>
      </c>
      <c r="Q30" s="30" t="s">
        <v>63</v>
      </c>
      <c r="R30" s="30" t="s">
        <v>63</v>
      </c>
      <c r="S30" s="43"/>
    </row>
    <row r="31" spans="1:19">
      <c r="A31" s="41" t="s">
        <v>238</v>
      </c>
      <c r="B31" s="28" t="s">
        <v>239</v>
      </c>
      <c r="C31" s="28" t="s">
        <v>240</v>
      </c>
      <c r="D31" s="30">
        <f>VLOOKUP(YEAR(Tabel1[[#This Row],[Geb datum]]),Tabel8[#All],2,FALSE)</f>
        <v>14</v>
      </c>
      <c r="E31" s="47">
        <v>40169</v>
      </c>
      <c r="F31" s="30" t="str">
        <f>VLOOKUP(YEAR(Tabel1[[#This Row],[Geb datum]]),Tabel8[#All],3,FALSE)</f>
        <v>B</v>
      </c>
      <c r="G31" s="30" t="s">
        <v>22</v>
      </c>
      <c r="H31" s="30" t="s">
        <v>28</v>
      </c>
      <c r="I31" s="42"/>
      <c r="K31" s="41" t="s">
        <v>241</v>
      </c>
      <c r="L31" s="28" t="s">
        <v>242</v>
      </c>
      <c r="M31" s="28" t="s">
        <v>243</v>
      </c>
      <c r="N31" s="30">
        <f>VLOOKUP(YEAR(Tabel3[[#This Row],[Geb datum]]),Tabel8[#All],2,FALSE)</f>
        <v>15</v>
      </c>
      <c r="O31" s="29">
        <v>39753</v>
      </c>
      <c r="P31" s="30" t="str">
        <f>VLOOKUP(YEAR(Tabel3[[#This Row],[Geb datum]]),Tabel8[#All],3,FALSE)</f>
        <v>B</v>
      </c>
      <c r="Q31" s="30" t="s">
        <v>22</v>
      </c>
      <c r="R31" s="30" t="s">
        <v>23</v>
      </c>
      <c r="S31" s="43"/>
    </row>
    <row r="32" spans="1:19">
      <c r="A32" s="41" t="s">
        <v>244</v>
      </c>
      <c r="B32" s="28" t="s">
        <v>245</v>
      </c>
      <c r="C32" s="28" t="s">
        <v>246</v>
      </c>
      <c r="D32" s="30">
        <f>VLOOKUP(YEAR(Tabel1[[#This Row],[Geb datum]]),Tabel8[#All],2,FALSE)</f>
        <v>14</v>
      </c>
      <c r="E32" s="47">
        <v>39993</v>
      </c>
      <c r="F32" s="30" t="str">
        <f>VLOOKUP(YEAR(Tabel1[[#This Row],[Geb datum]]),Tabel8[#All],3,FALSE)</f>
        <v>B</v>
      </c>
      <c r="G32" s="30" t="s">
        <v>21</v>
      </c>
      <c r="H32" s="30" t="s">
        <v>28</v>
      </c>
      <c r="I32" s="42"/>
      <c r="K32" s="41" t="s">
        <v>247</v>
      </c>
      <c r="L32" s="28" t="s">
        <v>248</v>
      </c>
      <c r="M32" s="28" t="s">
        <v>83</v>
      </c>
      <c r="N32" s="30">
        <f>VLOOKUP(YEAR(Tabel3[[#This Row],[Geb datum]]),Tabel8[#All],2,FALSE)</f>
        <v>14</v>
      </c>
      <c r="O32" s="29">
        <v>40169</v>
      </c>
      <c r="P32" s="30" t="str">
        <f>VLOOKUP(YEAR(Tabel3[[#This Row],[Geb datum]]),Tabel8[#All],3,FALSE)</f>
        <v>B</v>
      </c>
      <c r="Q32" s="30" t="s">
        <v>22</v>
      </c>
      <c r="R32" s="30" t="s">
        <v>28</v>
      </c>
      <c r="S32" s="43"/>
    </row>
    <row r="33" spans="1:19">
      <c r="A33" s="41" t="s">
        <v>249</v>
      </c>
      <c r="B33" s="28" t="s">
        <v>250</v>
      </c>
      <c r="C33" s="28" t="s">
        <v>251</v>
      </c>
      <c r="D33" s="30">
        <f>VLOOKUP(YEAR(Tabel1[[#This Row],[Geb datum]]),Tabel8[#All],2,FALSE)</f>
        <v>15</v>
      </c>
      <c r="E33" s="47">
        <v>39538</v>
      </c>
      <c r="F33" s="30" t="str">
        <f>VLOOKUP(YEAR(Tabel1[[#This Row],[Geb datum]]),Tabel8[#All],3,FALSE)</f>
        <v>B</v>
      </c>
      <c r="G33" s="30" t="s">
        <v>21</v>
      </c>
      <c r="H33" s="30" t="s">
        <v>22</v>
      </c>
      <c r="I33" s="42"/>
      <c r="K33" s="41" t="s">
        <v>252</v>
      </c>
      <c r="L33" s="28" t="s">
        <v>253</v>
      </c>
      <c r="M33" s="28" t="s">
        <v>184</v>
      </c>
      <c r="N33" s="30">
        <f>VLOOKUP(YEAR(Tabel3[[#This Row],[Geb datum]]),Tabel8[#All],2,FALSE)</f>
        <v>14</v>
      </c>
      <c r="O33" s="29">
        <v>40100</v>
      </c>
      <c r="P33" s="30" t="str">
        <f>VLOOKUP(YEAR(Tabel3[[#This Row],[Geb datum]]),Tabel8[#All],3,FALSE)</f>
        <v>B</v>
      </c>
      <c r="Q33" s="30" t="s">
        <v>22</v>
      </c>
      <c r="R33" s="30" t="s">
        <v>29</v>
      </c>
      <c r="S33" s="43"/>
    </row>
    <row r="34" spans="1:19">
      <c r="A34" s="41" t="s">
        <v>254</v>
      </c>
      <c r="B34" s="28" t="s">
        <v>255</v>
      </c>
      <c r="C34" s="28" t="s">
        <v>256</v>
      </c>
      <c r="D34" s="30">
        <f>VLOOKUP(YEAR(Tabel1[[#This Row],[Geb datum]]),Tabel8[#All],2,FALSE)</f>
        <v>15</v>
      </c>
      <c r="E34" s="47">
        <v>39562</v>
      </c>
      <c r="F34" s="30" t="str">
        <f>VLOOKUP(YEAR(Tabel1[[#This Row],[Geb datum]]),Tabel8[#All],3,FALSE)</f>
        <v>B</v>
      </c>
      <c r="G34" s="30" t="s">
        <v>22</v>
      </c>
      <c r="H34" s="30" t="s">
        <v>23</v>
      </c>
      <c r="I34" s="42"/>
      <c r="K34" s="41" t="s">
        <v>257</v>
      </c>
      <c r="L34" s="28" t="s">
        <v>258</v>
      </c>
      <c r="M34" s="28" t="s">
        <v>259</v>
      </c>
      <c r="N34" s="30">
        <f>VLOOKUP(YEAR(Tabel3[[#This Row],[Geb datum]]),Tabel8[#All],2,FALSE)</f>
        <v>14</v>
      </c>
      <c r="O34" s="29">
        <v>40058</v>
      </c>
      <c r="P34" s="30" t="str">
        <f>VLOOKUP(YEAR(Tabel3[[#This Row],[Geb datum]]),Tabel8[#All],3,FALSE)</f>
        <v>B</v>
      </c>
      <c r="Q34" s="30" t="s">
        <v>22</v>
      </c>
      <c r="R34" s="30" t="s">
        <v>29</v>
      </c>
      <c r="S34" s="43"/>
    </row>
    <row r="35" spans="1:19">
      <c r="A35" s="41" t="s">
        <v>260</v>
      </c>
      <c r="B35" s="28" t="s">
        <v>261</v>
      </c>
      <c r="C35" s="28" t="s">
        <v>262</v>
      </c>
      <c r="D35" s="30">
        <f>VLOOKUP(YEAR(Tabel1[[#This Row],[Geb datum]]),Tabel8[#All],2,FALSE)</f>
        <v>13</v>
      </c>
      <c r="E35" s="47">
        <v>40243</v>
      </c>
      <c r="F35" s="30" t="str">
        <f>VLOOKUP(YEAR(Tabel1[[#This Row],[Geb datum]]),Tabel8[#All],3,FALSE)</f>
        <v>C</v>
      </c>
      <c r="G35" s="30" t="s">
        <v>23</v>
      </c>
      <c r="H35" s="30" t="s">
        <v>30</v>
      </c>
      <c r="I35" s="42"/>
      <c r="K35" s="41" t="s">
        <v>263</v>
      </c>
      <c r="L35" s="28" t="s">
        <v>264</v>
      </c>
      <c r="M35" s="28" t="s">
        <v>265</v>
      </c>
      <c r="N35" s="30">
        <f>VLOOKUP(YEAR(Tabel3[[#This Row],[Geb datum]]),Tabel8[#All],2,FALSE)</f>
        <v>15</v>
      </c>
      <c r="O35" s="29">
        <v>39686</v>
      </c>
      <c r="P35" s="30" t="str">
        <f>VLOOKUP(YEAR(Tabel3[[#This Row],[Geb datum]]),Tabel8[#All],3,FALSE)</f>
        <v>B</v>
      </c>
      <c r="Q35" s="30" t="s">
        <v>21</v>
      </c>
      <c r="R35" s="30" t="s">
        <v>21</v>
      </c>
      <c r="S35" s="43"/>
    </row>
    <row r="36" spans="1:19">
      <c r="A36" s="41" t="s">
        <v>266</v>
      </c>
      <c r="B36" s="28" t="s">
        <v>267</v>
      </c>
      <c r="C36" s="28" t="s">
        <v>268</v>
      </c>
      <c r="D36" s="30">
        <f>VLOOKUP(YEAR(Tabel1[[#This Row],[Geb datum]]),Tabel8[#All],2,FALSE)</f>
        <v>14</v>
      </c>
      <c r="E36" s="47">
        <v>40143</v>
      </c>
      <c r="F36" s="30" t="str">
        <f>VLOOKUP(YEAR(Tabel1[[#This Row],[Geb datum]]),Tabel8[#All],3,FALSE)</f>
        <v>B</v>
      </c>
      <c r="G36" s="30" t="s">
        <v>23</v>
      </c>
      <c r="H36" s="30" t="s">
        <v>30</v>
      </c>
      <c r="I36" s="42"/>
      <c r="K36" s="41" t="s">
        <v>269</v>
      </c>
      <c r="L36" s="28" t="s">
        <v>270</v>
      </c>
      <c r="M36" s="28" t="s">
        <v>271</v>
      </c>
      <c r="N36" s="30">
        <f>VLOOKUP(YEAR(Tabel3[[#This Row],[Geb datum]]),Tabel8[#All],2,FALSE)</f>
        <v>15</v>
      </c>
      <c r="O36" s="29">
        <v>39655</v>
      </c>
      <c r="P36" s="30" t="str">
        <f>VLOOKUP(YEAR(Tabel3[[#This Row],[Geb datum]]),Tabel8[#All],3,FALSE)</f>
        <v>B</v>
      </c>
      <c r="Q36" s="30" t="s">
        <v>21</v>
      </c>
      <c r="R36" s="30" t="s">
        <v>22</v>
      </c>
      <c r="S36" s="43"/>
    </row>
    <row r="37" spans="1:19">
      <c r="A37" s="41" t="s">
        <v>272</v>
      </c>
      <c r="B37" s="28" t="s">
        <v>273</v>
      </c>
      <c r="C37" s="28" t="s">
        <v>274</v>
      </c>
      <c r="D37" s="30">
        <f>VLOOKUP(YEAR(Tabel1[[#This Row],[Geb datum]]),Tabel8[#All],2,FALSE)</f>
        <v>13</v>
      </c>
      <c r="E37" s="47">
        <v>40541</v>
      </c>
      <c r="F37" s="30" t="str">
        <f>VLOOKUP(YEAR(Tabel1[[#This Row],[Geb datum]]),Tabel8[#All],3,FALSE)</f>
        <v>C</v>
      </c>
      <c r="G37" s="30" t="s">
        <v>23</v>
      </c>
      <c r="H37" s="30" t="s">
        <v>31</v>
      </c>
      <c r="I37" s="42"/>
      <c r="K37" s="41" t="s">
        <v>275</v>
      </c>
      <c r="L37" s="28" t="s">
        <v>276</v>
      </c>
      <c r="M37" s="28" t="s">
        <v>277</v>
      </c>
      <c r="N37" s="30">
        <f>VLOOKUP(YEAR(Tabel3[[#This Row],[Geb datum]]),Tabel8[#All],2,FALSE)</f>
        <v>15</v>
      </c>
      <c r="O37" s="29">
        <v>39623</v>
      </c>
      <c r="P37" s="30" t="str">
        <f>VLOOKUP(YEAR(Tabel3[[#This Row],[Geb datum]]),Tabel8[#All],3,FALSE)</f>
        <v>B</v>
      </c>
      <c r="Q37" s="30" t="s">
        <v>21</v>
      </c>
      <c r="R37" s="30" t="s">
        <v>28</v>
      </c>
      <c r="S37" s="43"/>
    </row>
    <row r="38" spans="1:19">
      <c r="A38" s="41" t="s">
        <v>278</v>
      </c>
      <c r="B38" s="28" t="s">
        <v>279</v>
      </c>
      <c r="C38" s="28" t="s">
        <v>280</v>
      </c>
      <c r="D38" s="30">
        <f>VLOOKUP(YEAR(Tabel1[[#This Row],[Geb datum]]),Tabel8[#All],2,FALSE)</f>
        <v>14</v>
      </c>
      <c r="E38" s="47">
        <v>40097</v>
      </c>
      <c r="F38" s="30" t="str">
        <f>VLOOKUP(YEAR(Tabel1[[#This Row],[Geb datum]]),Tabel8[#All],3,FALSE)</f>
        <v>B</v>
      </c>
      <c r="G38" s="30" t="s">
        <v>23</v>
      </c>
      <c r="H38" s="30" t="s">
        <v>23</v>
      </c>
      <c r="I38" s="42"/>
      <c r="K38" s="41" t="s">
        <v>281</v>
      </c>
      <c r="L38" s="28" t="s">
        <v>282</v>
      </c>
      <c r="M38" s="28" t="s">
        <v>126</v>
      </c>
      <c r="N38" s="30">
        <f>VLOOKUP(YEAR(Tabel3[[#This Row],[Geb datum]]),Tabel8[#All],2,FALSE)</f>
        <v>15</v>
      </c>
      <c r="O38" s="29">
        <v>39744</v>
      </c>
      <c r="P38" s="30" t="str">
        <f>VLOOKUP(YEAR(Tabel3[[#This Row],[Geb datum]]),Tabel8[#All],3,FALSE)</f>
        <v>B</v>
      </c>
      <c r="Q38" s="30" t="s">
        <v>22</v>
      </c>
      <c r="R38" s="30" t="s">
        <v>22</v>
      </c>
      <c r="S38" s="43"/>
    </row>
    <row r="39" spans="1:19">
      <c r="A39" s="41" t="s">
        <v>283</v>
      </c>
      <c r="B39" s="28" t="s">
        <v>284</v>
      </c>
      <c r="C39" s="28" t="s">
        <v>285</v>
      </c>
      <c r="D39" s="30">
        <f>VLOOKUP(YEAR(Tabel1[[#This Row],[Geb datum]]),Tabel8[#All],2,FALSE)</f>
        <v>14</v>
      </c>
      <c r="E39" s="47">
        <v>40015</v>
      </c>
      <c r="F39" s="30" t="str">
        <f>VLOOKUP(YEAR(Tabel1[[#This Row],[Geb datum]]),Tabel8[#All],3,FALSE)</f>
        <v>B</v>
      </c>
      <c r="G39" s="30" t="s">
        <v>23</v>
      </c>
      <c r="H39" s="30" t="s">
        <v>23</v>
      </c>
      <c r="I39" s="42"/>
      <c r="K39" s="41" t="s">
        <v>286</v>
      </c>
      <c r="L39" s="28" t="s">
        <v>287</v>
      </c>
      <c r="M39" s="28" t="s">
        <v>288</v>
      </c>
      <c r="N39" s="30">
        <f>VLOOKUP(YEAR(Tabel3[[#This Row],[Geb datum]]),Tabel8[#All],2,FALSE)</f>
        <v>15</v>
      </c>
      <c r="O39" s="29">
        <v>39676</v>
      </c>
      <c r="P39" s="30" t="str">
        <f>VLOOKUP(YEAR(Tabel3[[#This Row],[Geb datum]]),Tabel8[#All],3,FALSE)</f>
        <v>B</v>
      </c>
      <c r="Q39" s="30" t="s">
        <v>23</v>
      </c>
      <c r="R39" s="30" t="s">
        <v>24</v>
      </c>
      <c r="S39" s="43"/>
    </row>
    <row r="40" spans="1:19">
      <c r="A40" s="41" t="s">
        <v>289</v>
      </c>
      <c r="B40" s="28" t="s">
        <v>290</v>
      </c>
      <c r="C40" s="28" t="s">
        <v>291</v>
      </c>
      <c r="D40" s="30">
        <f>VLOOKUP(YEAR(Tabel1[[#This Row],[Geb datum]]),Tabel8[#All],2,FALSE)</f>
        <v>13</v>
      </c>
      <c r="E40" s="47">
        <v>40239</v>
      </c>
      <c r="F40" s="30" t="str">
        <f>VLOOKUP(YEAR(Tabel1[[#This Row],[Geb datum]]),Tabel8[#All],3,FALSE)</f>
        <v>C</v>
      </c>
      <c r="G40" s="30" t="s">
        <v>28</v>
      </c>
      <c r="H40" s="30" t="s">
        <v>28</v>
      </c>
      <c r="I40" s="42"/>
      <c r="K40" s="41" t="s">
        <v>292</v>
      </c>
      <c r="L40" s="28" t="s">
        <v>293</v>
      </c>
      <c r="M40" s="28" t="s">
        <v>294</v>
      </c>
      <c r="N40" s="30">
        <f>VLOOKUP(YEAR(Tabel3[[#This Row],[Geb datum]]),Tabel8[#All],2,FALSE)</f>
        <v>14</v>
      </c>
      <c r="O40" s="29">
        <v>39829</v>
      </c>
      <c r="P40" s="30" t="str">
        <f>VLOOKUP(YEAR(Tabel3[[#This Row],[Geb datum]]),Tabel8[#All],3,FALSE)</f>
        <v>B</v>
      </c>
      <c r="Q40" s="30" t="s">
        <v>23</v>
      </c>
      <c r="R40" s="30" t="s">
        <v>23</v>
      </c>
      <c r="S40" s="43"/>
    </row>
    <row r="41" spans="1:19">
      <c r="A41" s="41" t="s">
        <v>295</v>
      </c>
      <c r="B41" s="28" t="s">
        <v>296</v>
      </c>
      <c r="C41" s="28" t="s">
        <v>297</v>
      </c>
      <c r="D41" s="30">
        <f>VLOOKUP(YEAR(Tabel1[[#This Row],[Geb datum]]),Tabel8[#All],2,FALSE)</f>
        <v>13</v>
      </c>
      <c r="E41" s="47">
        <v>40327</v>
      </c>
      <c r="F41" s="30" t="str">
        <f>VLOOKUP(YEAR(Tabel1[[#This Row],[Geb datum]]),Tabel8[#All],3,FALSE)</f>
        <v>C</v>
      </c>
      <c r="G41" s="30" t="s">
        <v>28</v>
      </c>
      <c r="H41" s="30" t="s">
        <v>29</v>
      </c>
      <c r="I41" s="42"/>
      <c r="K41" s="41" t="s">
        <v>298</v>
      </c>
      <c r="L41" s="28" t="s">
        <v>299</v>
      </c>
      <c r="M41" s="28" t="s">
        <v>300</v>
      </c>
      <c r="N41" s="30">
        <f>VLOOKUP(YEAR(Tabel3[[#This Row],[Geb datum]]),Tabel8[#All],2,FALSE)</f>
        <v>15</v>
      </c>
      <c r="O41" s="29">
        <v>39629</v>
      </c>
      <c r="P41" s="30" t="str">
        <f>VLOOKUP(YEAR(Tabel3[[#This Row],[Geb datum]]),Tabel8[#All],3,FALSE)</f>
        <v>B</v>
      </c>
      <c r="Q41" s="30" t="s">
        <v>23</v>
      </c>
      <c r="R41" s="30" t="s">
        <v>23</v>
      </c>
      <c r="S41" s="43"/>
    </row>
    <row r="42" spans="1:19">
      <c r="A42" s="41" t="s">
        <v>301</v>
      </c>
      <c r="B42" s="28" t="s">
        <v>302</v>
      </c>
      <c r="C42" s="28" t="s">
        <v>297</v>
      </c>
      <c r="D42" s="30">
        <f>VLOOKUP(YEAR(Tabel1[[#This Row],[Geb datum]]),Tabel8[#All],2,FALSE)</f>
        <v>13</v>
      </c>
      <c r="E42" s="47">
        <v>40189</v>
      </c>
      <c r="F42" s="30" t="str">
        <f>VLOOKUP(YEAR(Tabel1[[#This Row],[Geb datum]]),Tabel8[#All],3,FALSE)</f>
        <v>C</v>
      </c>
      <c r="G42" s="30" t="s">
        <v>28</v>
      </c>
      <c r="H42" s="30" t="s">
        <v>28</v>
      </c>
      <c r="I42" s="42"/>
      <c r="K42" s="41" t="s">
        <v>303</v>
      </c>
      <c r="L42" s="28" t="s">
        <v>304</v>
      </c>
      <c r="M42" s="28" t="s">
        <v>305</v>
      </c>
      <c r="N42" s="30">
        <f>VLOOKUP(YEAR(Tabel3[[#This Row],[Geb datum]]),Tabel8[#All],2,FALSE)</f>
        <v>14</v>
      </c>
      <c r="O42" s="29">
        <v>39878</v>
      </c>
      <c r="P42" s="30" t="str">
        <f>VLOOKUP(YEAR(Tabel3[[#This Row],[Geb datum]]),Tabel8[#All],3,FALSE)</f>
        <v>B</v>
      </c>
      <c r="Q42" s="30" t="s">
        <v>23</v>
      </c>
      <c r="R42" s="30" t="s">
        <v>30</v>
      </c>
      <c r="S42" s="43"/>
    </row>
    <row r="43" spans="1:19">
      <c r="A43" s="41" t="s">
        <v>306</v>
      </c>
      <c r="B43" s="28" t="s">
        <v>307</v>
      </c>
      <c r="C43" s="28" t="s">
        <v>146</v>
      </c>
      <c r="D43" s="30">
        <f>VLOOKUP(YEAR(Tabel1[[#This Row],[Geb datum]]),Tabel8[#All],2,FALSE)</f>
        <v>13</v>
      </c>
      <c r="E43" s="47">
        <v>40446</v>
      </c>
      <c r="F43" s="30" t="str">
        <f>VLOOKUP(YEAR(Tabel1[[#This Row],[Geb datum]]),Tabel8[#All],3,FALSE)</f>
        <v>C</v>
      </c>
      <c r="G43" s="30" t="s">
        <v>28</v>
      </c>
      <c r="H43" s="30" t="s">
        <v>29</v>
      </c>
      <c r="I43" s="42"/>
      <c r="K43" s="41" t="s">
        <v>308</v>
      </c>
      <c r="L43" s="28" t="s">
        <v>309</v>
      </c>
      <c r="M43" s="28" t="s">
        <v>310</v>
      </c>
      <c r="N43" s="30">
        <f>VLOOKUP(YEAR(Tabel3[[#This Row],[Geb datum]]),Tabel8[#All],2,FALSE)</f>
        <v>14</v>
      </c>
      <c r="O43" s="29">
        <v>39996</v>
      </c>
      <c r="P43" s="30" t="str">
        <f>VLOOKUP(YEAR(Tabel3[[#This Row],[Geb datum]]),Tabel8[#All],3,FALSE)</f>
        <v>B</v>
      </c>
      <c r="Q43" s="30" t="s">
        <v>23</v>
      </c>
      <c r="R43" s="30" t="s">
        <v>23</v>
      </c>
      <c r="S43" s="43"/>
    </row>
    <row r="44" spans="1:19">
      <c r="A44" s="41" t="s">
        <v>311</v>
      </c>
      <c r="B44" s="28" t="s">
        <v>312</v>
      </c>
      <c r="C44" s="28" t="s">
        <v>313</v>
      </c>
      <c r="D44" s="30">
        <f>VLOOKUP(YEAR(Tabel1[[#This Row],[Geb datum]]),Tabel8[#All],2,FALSE)</f>
        <v>13</v>
      </c>
      <c r="E44" s="47">
        <v>40439</v>
      </c>
      <c r="F44" s="30" t="str">
        <f>VLOOKUP(YEAR(Tabel1[[#This Row],[Geb datum]]),Tabel8[#All],3,FALSE)</f>
        <v>C</v>
      </c>
      <c r="G44" s="30" t="s">
        <v>28</v>
      </c>
      <c r="H44" s="30" t="s">
        <v>29</v>
      </c>
      <c r="I44" s="42"/>
      <c r="K44" s="41" t="s">
        <v>314</v>
      </c>
      <c r="L44" s="28" t="s">
        <v>315</v>
      </c>
      <c r="M44" s="28" t="s">
        <v>316</v>
      </c>
      <c r="N44" s="30">
        <f>VLOOKUP(YEAR(Tabel3[[#This Row],[Geb datum]]),Tabel8[#All],2,FALSE)</f>
        <v>12</v>
      </c>
      <c r="O44" s="29">
        <v>40557</v>
      </c>
      <c r="P44" s="30" t="str">
        <f>VLOOKUP(YEAR(Tabel3[[#This Row],[Geb datum]]),Tabel8[#All],3,FALSE)</f>
        <v>C</v>
      </c>
      <c r="Q44" s="30" t="s">
        <v>28</v>
      </c>
      <c r="R44" s="30" t="s">
        <v>34</v>
      </c>
      <c r="S44" s="43"/>
    </row>
    <row r="45" spans="1:19">
      <c r="A45" s="41" t="s">
        <v>317</v>
      </c>
      <c r="B45" s="28" t="s">
        <v>318</v>
      </c>
      <c r="C45" s="28" t="s">
        <v>319</v>
      </c>
      <c r="D45" s="30">
        <f>VLOOKUP(YEAR(Tabel1[[#This Row],[Geb datum]]),Tabel8[#All],2,FALSE)</f>
        <v>13</v>
      </c>
      <c r="E45" s="47">
        <v>40328</v>
      </c>
      <c r="F45" s="30" t="str">
        <f>VLOOKUP(YEAR(Tabel1[[#This Row],[Geb datum]]),Tabel8[#All],3,FALSE)</f>
        <v>C</v>
      </c>
      <c r="G45" s="30" t="s">
        <v>29</v>
      </c>
      <c r="H45" s="30" t="s">
        <v>29</v>
      </c>
      <c r="I45" s="42"/>
      <c r="K45" s="41" t="s">
        <v>320</v>
      </c>
      <c r="L45" s="28" t="s">
        <v>321</v>
      </c>
      <c r="M45" s="28" t="s">
        <v>271</v>
      </c>
      <c r="N45" s="30">
        <f>VLOOKUP(YEAR(Tabel3[[#This Row],[Geb datum]]),Tabel8[#All],2,FALSE)</f>
        <v>13</v>
      </c>
      <c r="O45" s="29">
        <v>40381</v>
      </c>
      <c r="P45" s="30" t="str">
        <f>VLOOKUP(YEAR(Tabel3[[#This Row],[Geb datum]]),Tabel8[#All],3,FALSE)</f>
        <v>C</v>
      </c>
      <c r="Q45" s="30" t="s">
        <v>28</v>
      </c>
      <c r="R45" s="30" t="s">
        <v>28</v>
      </c>
      <c r="S45" s="43"/>
    </row>
    <row r="46" spans="1:19">
      <c r="A46" s="41" t="s">
        <v>322</v>
      </c>
      <c r="B46" s="28" t="s">
        <v>323</v>
      </c>
      <c r="C46" s="28" t="s">
        <v>324</v>
      </c>
      <c r="D46" s="30">
        <f>VLOOKUP(YEAR(Tabel1[[#This Row],[Geb datum]]),Tabel8[#All],2,FALSE)</f>
        <v>11</v>
      </c>
      <c r="E46" s="47">
        <v>41167</v>
      </c>
      <c r="F46" s="30" t="str">
        <f>VLOOKUP(YEAR(Tabel1[[#This Row],[Geb datum]]),Tabel8[#All],3,FALSE)</f>
        <v>D</v>
      </c>
      <c r="G46" s="30" t="s">
        <v>29</v>
      </c>
      <c r="H46" s="30" t="s">
        <v>34</v>
      </c>
      <c r="I46" s="42"/>
      <c r="K46" s="41" t="s">
        <v>325</v>
      </c>
      <c r="L46" s="28" t="s">
        <v>326</v>
      </c>
      <c r="M46" s="28" t="s">
        <v>327</v>
      </c>
      <c r="N46" s="30">
        <f>VLOOKUP(YEAR(Tabel3[[#This Row],[Geb datum]]),Tabel8[#All],2,FALSE)</f>
        <v>13</v>
      </c>
      <c r="O46" s="29">
        <v>40446</v>
      </c>
      <c r="P46" s="30" t="str">
        <f>VLOOKUP(YEAR(Tabel3[[#This Row],[Geb datum]]),Tabel8[#All],3,FALSE)</f>
        <v>C</v>
      </c>
      <c r="Q46" s="30" t="s">
        <v>28</v>
      </c>
      <c r="R46" s="30" t="s">
        <v>28</v>
      </c>
      <c r="S46" s="43"/>
    </row>
    <row r="47" spans="1:19">
      <c r="A47" s="41" t="s">
        <v>328</v>
      </c>
      <c r="B47" s="28" t="s">
        <v>329</v>
      </c>
      <c r="C47" s="28" t="s">
        <v>330</v>
      </c>
      <c r="D47" s="30">
        <f>VLOOKUP(YEAR(Tabel1[[#This Row],[Geb datum]]),Tabel8[#All],2,FALSE)</f>
        <v>13</v>
      </c>
      <c r="E47" s="47">
        <v>40429</v>
      </c>
      <c r="F47" s="30" t="str">
        <f>VLOOKUP(YEAR(Tabel1[[#This Row],[Geb datum]]),Tabel8[#All],3,FALSE)</f>
        <v>C</v>
      </c>
      <c r="G47" s="30" t="s">
        <v>29</v>
      </c>
      <c r="H47" s="30" t="s">
        <v>29</v>
      </c>
      <c r="I47" s="42"/>
      <c r="K47" s="41" t="s">
        <v>331</v>
      </c>
      <c r="L47" s="28" t="s">
        <v>332</v>
      </c>
      <c r="M47" s="28" t="s">
        <v>333</v>
      </c>
      <c r="N47" s="30">
        <f>VLOOKUP(YEAR(Tabel3[[#This Row],[Geb datum]]),Tabel8[#All],2,FALSE)</f>
        <v>12</v>
      </c>
      <c r="O47" s="29">
        <v>40626</v>
      </c>
      <c r="P47" s="30" t="str">
        <f>VLOOKUP(YEAR(Tabel3[[#This Row],[Geb datum]]),Tabel8[#All],3,FALSE)</f>
        <v>C</v>
      </c>
      <c r="Q47" s="30" t="s">
        <v>28</v>
      </c>
      <c r="R47" s="30" t="s">
        <v>34</v>
      </c>
      <c r="S47" s="43"/>
    </row>
    <row r="48" spans="1:19">
      <c r="A48" s="41" t="s">
        <v>334</v>
      </c>
      <c r="B48" s="28" t="s">
        <v>335</v>
      </c>
      <c r="C48" s="28" t="s">
        <v>336</v>
      </c>
      <c r="D48" s="30">
        <f>VLOOKUP(YEAR(Tabel1[[#This Row],[Geb datum]]),Tabel8[#All],2,FALSE)</f>
        <v>12</v>
      </c>
      <c r="E48" s="47">
        <v>40786</v>
      </c>
      <c r="F48" s="30" t="str">
        <f>VLOOKUP(YEAR(Tabel1[[#This Row],[Geb datum]]),Tabel8[#All],3,FALSE)</f>
        <v>C</v>
      </c>
      <c r="G48" s="30" t="s">
        <v>29</v>
      </c>
      <c r="H48" s="30" t="s">
        <v>34</v>
      </c>
      <c r="I48" s="42"/>
      <c r="K48" s="41" t="s">
        <v>337</v>
      </c>
      <c r="L48" s="28" t="s">
        <v>338</v>
      </c>
      <c r="M48" s="28" t="s">
        <v>339</v>
      </c>
      <c r="N48" s="30">
        <f>VLOOKUP(YEAR(Tabel3[[#This Row],[Geb datum]]),Tabel8[#All],2,FALSE)</f>
        <v>14</v>
      </c>
      <c r="O48" s="29">
        <v>40112</v>
      </c>
      <c r="P48" s="30" t="str">
        <f>VLOOKUP(YEAR(Tabel3[[#This Row],[Geb datum]]),Tabel8[#All],3,FALSE)</f>
        <v>B</v>
      </c>
      <c r="Q48" s="30" t="s">
        <v>29</v>
      </c>
      <c r="R48" s="30" t="s">
        <v>30</v>
      </c>
      <c r="S48" s="43"/>
    </row>
    <row r="49" spans="1:19">
      <c r="A49" s="41" t="s">
        <v>340</v>
      </c>
      <c r="B49" s="28" t="s">
        <v>341</v>
      </c>
      <c r="C49" s="28" t="s">
        <v>342</v>
      </c>
      <c r="D49" s="30">
        <f>VLOOKUP(YEAR(Tabel1[[#This Row],[Geb datum]]),Tabel8[#All],2,FALSE)</f>
        <v>13</v>
      </c>
      <c r="E49" s="47">
        <v>40227</v>
      </c>
      <c r="F49" s="30" t="str">
        <f>VLOOKUP(YEAR(Tabel1[[#This Row],[Geb datum]]),Tabel8[#All],3,FALSE)</f>
        <v>C</v>
      </c>
      <c r="G49" s="30" t="s">
        <v>29</v>
      </c>
      <c r="H49" s="30" t="s">
        <v>29</v>
      </c>
      <c r="I49" s="42"/>
      <c r="K49" s="41" t="s">
        <v>343</v>
      </c>
      <c r="L49" s="28" t="s">
        <v>344</v>
      </c>
      <c r="M49" s="28" t="s">
        <v>71</v>
      </c>
      <c r="N49" s="30">
        <f>VLOOKUP(YEAR(Tabel3[[#This Row],[Geb datum]]),Tabel8[#All],2,FALSE)</f>
        <v>11</v>
      </c>
      <c r="O49" s="29">
        <v>41044</v>
      </c>
      <c r="P49" s="30" t="str">
        <f>VLOOKUP(YEAR(Tabel3[[#This Row],[Geb datum]]),Tabel8[#All],3,FALSE)</f>
        <v>D</v>
      </c>
      <c r="Q49" s="30" t="s">
        <v>29</v>
      </c>
      <c r="R49" s="30" t="s">
        <v>34</v>
      </c>
      <c r="S49" s="43"/>
    </row>
    <row r="50" spans="1:19">
      <c r="A50" s="41" t="s">
        <v>345</v>
      </c>
      <c r="B50" s="28" t="s">
        <v>346</v>
      </c>
      <c r="C50" s="28" t="s">
        <v>291</v>
      </c>
      <c r="D50" s="30">
        <f>VLOOKUP(YEAR(Tabel1[[#This Row],[Geb datum]]),Tabel8[#All],2,FALSE)</f>
        <v>13</v>
      </c>
      <c r="E50" s="47">
        <v>40538</v>
      </c>
      <c r="F50" s="30" t="str">
        <f>VLOOKUP(YEAR(Tabel1[[#This Row],[Geb datum]]),Tabel8[#All],3,FALSE)</f>
        <v>C</v>
      </c>
      <c r="G50" s="30" t="s">
        <v>30</v>
      </c>
      <c r="H50" s="30" t="s">
        <v>30</v>
      </c>
      <c r="I50" s="42"/>
      <c r="K50" s="41" t="s">
        <v>347</v>
      </c>
      <c r="L50" s="28" t="s">
        <v>348</v>
      </c>
      <c r="M50" s="28" t="s">
        <v>349</v>
      </c>
      <c r="N50" s="30">
        <f>VLOOKUP(YEAR(Tabel3[[#This Row],[Geb datum]]),Tabel8[#All],2,FALSE)</f>
        <v>13</v>
      </c>
      <c r="O50" s="29">
        <v>40413</v>
      </c>
      <c r="P50" s="30" t="str">
        <f>VLOOKUP(YEAR(Tabel3[[#This Row],[Geb datum]]),Tabel8[#All],3,FALSE)</f>
        <v>C</v>
      </c>
      <c r="Q50" s="30" t="s">
        <v>29</v>
      </c>
      <c r="R50" s="30" t="s">
        <v>29</v>
      </c>
      <c r="S50" s="43"/>
    </row>
    <row r="51" spans="1:19">
      <c r="A51" s="41" t="s">
        <v>350</v>
      </c>
      <c r="B51" s="28" t="s">
        <v>351</v>
      </c>
      <c r="C51" s="28" t="s">
        <v>352</v>
      </c>
      <c r="D51" s="30">
        <f>VLOOKUP(YEAR(Tabel1[[#This Row],[Geb datum]]),Tabel8[#All],2,FALSE)</f>
        <v>13</v>
      </c>
      <c r="E51" s="47">
        <v>40512</v>
      </c>
      <c r="F51" s="30" t="str">
        <f>VLOOKUP(YEAR(Tabel1[[#This Row],[Geb datum]]),Tabel8[#All],3,FALSE)</f>
        <v>C</v>
      </c>
      <c r="G51" s="30" t="s">
        <v>30</v>
      </c>
      <c r="H51" s="30" t="s">
        <v>35</v>
      </c>
      <c r="I51" s="42"/>
      <c r="K51" s="41" t="s">
        <v>353</v>
      </c>
      <c r="L51" s="28" t="s">
        <v>354</v>
      </c>
      <c r="M51" s="28" t="s">
        <v>355</v>
      </c>
      <c r="N51" s="30">
        <f>VLOOKUP(YEAR(Tabel3[[#This Row],[Geb datum]]),Tabel8[#All],2,FALSE)</f>
        <v>12</v>
      </c>
      <c r="O51" s="29">
        <v>40806</v>
      </c>
      <c r="P51" s="30" t="str">
        <f>VLOOKUP(YEAR(Tabel3[[#This Row],[Geb datum]]),Tabel8[#All],3,FALSE)</f>
        <v>C</v>
      </c>
      <c r="Q51" s="30" t="s">
        <v>29</v>
      </c>
      <c r="R51" s="30" t="s">
        <v>34</v>
      </c>
      <c r="S51" s="43"/>
    </row>
    <row r="52" spans="1:19">
      <c r="A52" s="41" t="s">
        <v>356</v>
      </c>
      <c r="B52" s="28" t="s">
        <v>357</v>
      </c>
      <c r="C52" s="28" t="s">
        <v>358</v>
      </c>
      <c r="D52" s="30">
        <f>VLOOKUP(YEAR(Tabel1[[#This Row],[Geb datum]]),Tabel8[#All],2,FALSE)</f>
        <v>12</v>
      </c>
      <c r="E52" s="47">
        <v>40722</v>
      </c>
      <c r="F52" s="30" t="str">
        <f>VLOOKUP(YEAR(Tabel1[[#This Row],[Geb datum]]),Tabel8[#All],3,FALSE)</f>
        <v>C</v>
      </c>
      <c r="G52" s="30" t="s">
        <v>30</v>
      </c>
      <c r="H52" s="30" t="s">
        <v>35</v>
      </c>
      <c r="I52" s="42"/>
      <c r="K52" s="41" t="s">
        <v>359</v>
      </c>
      <c r="L52" s="28" t="s">
        <v>360</v>
      </c>
      <c r="M52" s="28" t="s">
        <v>361</v>
      </c>
      <c r="N52" s="30">
        <f>VLOOKUP(YEAR(Tabel3[[#This Row],[Geb datum]]),Tabel8[#All],2,FALSE)</f>
        <v>13</v>
      </c>
      <c r="O52" s="29">
        <v>40309</v>
      </c>
      <c r="P52" s="30" t="str">
        <f>VLOOKUP(YEAR(Tabel3[[#This Row],[Geb datum]]),Tabel8[#All],3,FALSE)</f>
        <v>C</v>
      </c>
      <c r="Q52" s="30" t="s">
        <v>30</v>
      </c>
      <c r="R52" s="30" t="s">
        <v>30</v>
      </c>
      <c r="S52" s="43"/>
    </row>
    <row r="53" spans="1:19">
      <c r="A53" s="41" t="s">
        <v>362</v>
      </c>
      <c r="B53" s="28" t="s">
        <v>363</v>
      </c>
      <c r="C53" s="28" t="s">
        <v>364</v>
      </c>
      <c r="D53" s="30">
        <f>VLOOKUP(YEAR(Tabel1[[#This Row],[Geb datum]]),Tabel8[#All],2,FALSE)</f>
        <v>13</v>
      </c>
      <c r="E53" s="47">
        <v>40344</v>
      </c>
      <c r="F53" s="30" t="str">
        <f>VLOOKUP(YEAR(Tabel1[[#This Row],[Geb datum]]),Tabel8[#All],3,FALSE)</f>
        <v>C</v>
      </c>
      <c r="G53" s="30" t="s">
        <v>30</v>
      </c>
      <c r="H53" s="30" t="s">
        <v>30</v>
      </c>
      <c r="I53" s="42"/>
      <c r="K53" s="41" t="s">
        <v>365</v>
      </c>
      <c r="L53" s="28" t="s">
        <v>366</v>
      </c>
      <c r="M53" s="28" t="s">
        <v>265</v>
      </c>
      <c r="N53" s="30">
        <f>VLOOKUP(YEAR(Tabel3[[#This Row],[Geb datum]]),Tabel8[#All],2,FALSE)</f>
        <v>13</v>
      </c>
      <c r="O53" s="29">
        <v>40227</v>
      </c>
      <c r="P53" s="30" t="str">
        <f>VLOOKUP(YEAR(Tabel3[[#This Row],[Geb datum]]),Tabel8[#All],3,FALSE)</f>
        <v>C</v>
      </c>
      <c r="Q53" s="35" t="s">
        <v>30</v>
      </c>
      <c r="R53" s="35" t="s">
        <v>30</v>
      </c>
      <c r="S53" s="43"/>
    </row>
    <row r="54" spans="1:19">
      <c r="A54" s="41" t="s">
        <v>367</v>
      </c>
      <c r="B54" s="28" t="s">
        <v>368</v>
      </c>
      <c r="C54" s="28" t="s">
        <v>369</v>
      </c>
      <c r="D54" s="30">
        <f>VLOOKUP(YEAR(Tabel1[[#This Row],[Geb datum]]),Tabel8[#All],2,FALSE)</f>
        <v>13</v>
      </c>
      <c r="E54" s="47">
        <v>40498</v>
      </c>
      <c r="F54" s="30" t="str">
        <f>VLOOKUP(YEAR(Tabel1[[#This Row],[Geb datum]]),Tabel8[#All],3,FALSE)</f>
        <v>C</v>
      </c>
      <c r="G54" s="30" t="s">
        <v>30</v>
      </c>
      <c r="H54" s="30" t="s">
        <v>30</v>
      </c>
      <c r="I54" s="42"/>
      <c r="K54" s="41" t="s">
        <v>370</v>
      </c>
      <c r="L54" s="28" t="s">
        <v>371</v>
      </c>
      <c r="M54" s="28" t="s">
        <v>372</v>
      </c>
      <c r="N54" s="30">
        <f>VLOOKUP(YEAR(Tabel3[[#This Row],[Geb datum]]),Tabel8[#All],2,FALSE)</f>
        <v>12</v>
      </c>
      <c r="O54" s="29">
        <v>40790</v>
      </c>
      <c r="P54" s="30" t="str">
        <f>VLOOKUP(YEAR(Tabel3[[#This Row],[Geb datum]]),Tabel8[#All],3,FALSE)</f>
        <v>C</v>
      </c>
      <c r="Q54" s="30" t="s">
        <v>30</v>
      </c>
      <c r="R54" s="30" t="s">
        <v>35</v>
      </c>
      <c r="S54" s="43"/>
    </row>
    <row r="55" spans="1:19">
      <c r="A55" s="41" t="s">
        <v>373</v>
      </c>
      <c r="B55" s="28" t="s">
        <v>374</v>
      </c>
      <c r="C55" s="28" t="s">
        <v>375</v>
      </c>
      <c r="D55" s="30">
        <f>VLOOKUP(YEAR(Tabel1[[#This Row],[Geb datum]]),Tabel8[#All],2,FALSE)</f>
        <v>33</v>
      </c>
      <c r="E55" s="59">
        <v>33211</v>
      </c>
      <c r="F55" s="30" t="str">
        <f>VLOOKUP(YEAR(Tabel1[[#This Row],[Geb datum]]),Tabel8[#All],3,FALSE)</f>
        <v>S</v>
      </c>
      <c r="G55" s="30" t="s">
        <v>30</v>
      </c>
      <c r="H55" s="30" t="s">
        <v>35</v>
      </c>
      <c r="I55" s="43"/>
      <c r="K55" s="41" t="s">
        <v>376</v>
      </c>
      <c r="L55" s="28" t="s">
        <v>377</v>
      </c>
      <c r="M55" s="28" t="s">
        <v>378</v>
      </c>
      <c r="N55" s="30">
        <f>VLOOKUP(YEAR(Tabel3[[#This Row],[Geb datum]]),Tabel8[#All],2,FALSE)</f>
        <v>12</v>
      </c>
      <c r="O55" s="29">
        <v>40750</v>
      </c>
      <c r="P55" s="30" t="str">
        <f>VLOOKUP(YEAR(Tabel3[[#This Row],[Geb datum]]),Tabel8[#All],3,FALSE)</f>
        <v>C</v>
      </c>
      <c r="Q55" s="30" t="s">
        <v>30</v>
      </c>
      <c r="R55" s="30" t="s">
        <v>35</v>
      </c>
      <c r="S55" s="43"/>
    </row>
    <row r="56" spans="1:19">
      <c r="A56" s="41" t="s">
        <v>379</v>
      </c>
      <c r="B56" s="28" t="s">
        <v>380</v>
      </c>
      <c r="C56" s="28" t="s">
        <v>381</v>
      </c>
      <c r="D56" s="30">
        <f>VLOOKUP(YEAR(Tabel1[[#This Row],[Geb datum]]),Tabel8[#All],2,FALSE)</f>
        <v>13</v>
      </c>
      <c r="E56" s="47">
        <v>40373</v>
      </c>
      <c r="F56" s="30" t="str">
        <f>VLOOKUP(YEAR(Tabel1[[#This Row],[Geb datum]]),Tabel8[#All],3,FALSE)</f>
        <v>C</v>
      </c>
      <c r="G56" s="30" t="s">
        <v>31</v>
      </c>
      <c r="H56" s="30" t="s">
        <v>31</v>
      </c>
      <c r="I56" s="42"/>
      <c r="K56" s="41" t="s">
        <v>382</v>
      </c>
      <c r="L56" s="28" t="s">
        <v>383</v>
      </c>
      <c r="M56" s="28" t="s">
        <v>384</v>
      </c>
      <c r="N56" s="30">
        <f>VLOOKUP(YEAR(Tabel3[[#This Row],[Geb datum]]),Tabel8[#All],2,FALSE)</f>
        <v>13</v>
      </c>
      <c r="O56" s="29">
        <v>40253</v>
      </c>
      <c r="P56" s="30" t="str">
        <f>VLOOKUP(YEAR(Tabel3[[#This Row],[Geb datum]]),Tabel8[#All],3,FALSE)</f>
        <v>C</v>
      </c>
      <c r="Q56" s="30" t="s">
        <v>31</v>
      </c>
      <c r="R56" s="30" t="s">
        <v>31</v>
      </c>
      <c r="S56" s="43"/>
    </row>
    <row r="57" spans="1:19">
      <c r="A57" s="41" t="s">
        <v>385</v>
      </c>
      <c r="B57" s="28" t="s">
        <v>386</v>
      </c>
      <c r="C57" s="28" t="s">
        <v>387</v>
      </c>
      <c r="D57" s="30">
        <f>VLOOKUP(YEAR(Tabel1[[#This Row],[Geb datum]]),Tabel8[#All],2,FALSE)</f>
        <v>14</v>
      </c>
      <c r="E57" s="47">
        <v>40075</v>
      </c>
      <c r="F57" s="30" t="str">
        <f>VLOOKUP(YEAR(Tabel1[[#This Row],[Geb datum]]),Tabel8[#All],3,FALSE)</f>
        <v>B</v>
      </c>
      <c r="G57" s="30" t="s">
        <v>31</v>
      </c>
      <c r="H57" s="30" t="s">
        <v>31</v>
      </c>
      <c r="I57" s="42"/>
      <c r="K57" s="41" t="s">
        <v>388</v>
      </c>
      <c r="L57" s="28" t="s">
        <v>389</v>
      </c>
      <c r="M57" s="28" t="s">
        <v>390</v>
      </c>
      <c r="N57" s="30">
        <f>VLOOKUP(YEAR(Tabel3[[#This Row],[Geb datum]]),Tabel8[#All],2,FALSE)</f>
        <v>13</v>
      </c>
      <c r="O57" s="29">
        <v>40307</v>
      </c>
      <c r="P57" s="30" t="str">
        <f>VLOOKUP(YEAR(Tabel3[[#This Row],[Geb datum]]),Tabel8[#All],3,FALSE)</f>
        <v>C</v>
      </c>
      <c r="Q57" s="30" t="s">
        <v>31</v>
      </c>
      <c r="R57" s="30" t="s">
        <v>31</v>
      </c>
      <c r="S57" s="43"/>
    </row>
    <row r="58" spans="1:19">
      <c r="A58" s="41" t="s">
        <v>391</v>
      </c>
      <c r="B58" s="28" t="s">
        <v>392</v>
      </c>
      <c r="C58" s="28" t="s">
        <v>393</v>
      </c>
      <c r="D58" s="30">
        <f>VLOOKUP(YEAR(Tabel1[[#This Row],[Geb datum]]),Tabel8[#All],2,FALSE)</f>
        <v>13</v>
      </c>
      <c r="E58" s="47">
        <v>40329</v>
      </c>
      <c r="F58" s="30" t="str">
        <f>VLOOKUP(YEAR(Tabel1[[#This Row],[Geb datum]]),Tabel8[#All],3,FALSE)</f>
        <v>C</v>
      </c>
      <c r="G58" s="30" t="s">
        <v>31</v>
      </c>
      <c r="H58" s="30" t="s">
        <v>31</v>
      </c>
      <c r="I58" s="42"/>
      <c r="K58" s="41" t="s">
        <v>394</v>
      </c>
      <c r="L58" s="28" t="s">
        <v>395</v>
      </c>
      <c r="M58" s="28" t="s">
        <v>396</v>
      </c>
      <c r="N58" s="30">
        <f>VLOOKUP(YEAR(Tabel3[[#This Row],[Geb datum]]),Tabel8[#All],2,FALSE)</f>
        <v>12</v>
      </c>
      <c r="O58" s="29">
        <v>40741</v>
      </c>
      <c r="P58" s="30" t="str">
        <f>VLOOKUP(YEAR(Tabel3[[#This Row],[Geb datum]]),Tabel8[#All],3,FALSE)</f>
        <v>C</v>
      </c>
      <c r="Q58" s="30" t="s">
        <v>31</v>
      </c>
      <c r="R58" s="30" t="s">
        <v>35</v>
      </c>
      <c r="S58" s="43"/>
    </row>
    <row r="59" spans="1:19">
      <c r="A59" s="41" t="s">
        <v>397</v>
      </c>
      <c r="B59" s="28" t="s">
        <v>398</v>
      </c>
      <c r="C59" s="28" t="s">
        <v>399</v>
      </c>
      <c r="D59" s="30">
        <f>VLOOKUP(YEAR(Tabel1[[#This Row],[Geb datum]]),Tabel8[#All],2,FALSE)</f>
        <v>12</v>
      </c>
      <c r="E59" s="47">
        <v>40637</v>
      </c>
      <c r="F59" s="30" t="str">
        <f>VLOOKUP(YEAR(Tabel1[[#This Row],[Geb datum]]),Tabel8[#All],3,FALSE)</f>
        <v>C</v>
      </c>
      <c r="G59" s="30" t="s">
        <v>31</v>
      </c>
      <c r="H59" s="30" t="s">
        <v>31</v>
      </c>
      <c r="I59" s="42"/>
      <c r="K59" s="41" t="s">
        <v>400</v>
      </c>
      <c r="L59" s="28" t="s">
        <v>401</v>
      </c>
      <c r="M59" s="28" t="s">
        <v>402</v>
      </c>
      <c r="N59" s="30">
        <f>VLOOKUP(YEAR(Tabel3[[#This Row],[Geb datum]]),Tabel8[#All],2,FALSE)</f>
        <v>12</v>
      </c>
      <c r="O59" s="29">
        <v>40547</v>
      </c>
      <c r="P59" s="30" t="str">
        <f>VLOOKUP(YEAR(Tabel3[[#This Row],[Geb datum]]),Tabel8[#All],3,FALSE)</f>
        <v>C</v>
      </c>
      <c r="Q59" s="30" t="s">
        <v>31</v>
      </c>
      <c r="R59" s="30" t="s">
        <v>35</v>
      </c>
      <c r="S59" s="43"/>
    </row>
    <row r="60" spans="1:19">
      <c r="A60" s="41" t="s">
        <v>403</v>
      </c>
      <c r="B60" s="28" t="s">
        <v>404</v>
      </c>
      <c r="C60" s="28" t="s">
        <v>405</v>
      </c>
      <c r="D60" s="30">
        <f>VLOOKUP(YEAR(Tabel1[[#This Row],[Geb datum]]),Tabel8[#All],2,FALSE)</f>
        <v>13</v>
      </c>
      <c r="E60" s="47">
        <v>40226</v>
      </c>
      <c r="F60" s="30" t="str">
        <f>VLOOKUP(YEAR(Tabel1[[#This Row],[Geb datum]]),Tabel8[#All],3,FALSE)</f>
        <v>C</v>
      </c>
      <c r="G60" s="30" t="s">
        <v>31</v>
      </c>
      <c r="H60" s="30" t="s">
        <v>31</v>
      </c>
      <c r="I60" s="42"/>
      <c r="K60" s="41" t="s">
        <v>406</v>
      </c>
      <c r="L60" s="28" t="s">
        <v>407</v>
      </c>
      <c r="M60" s="28" t="s">
        <v>408</v>
      </c>
      <c r="N60" s="30">
        <f>VLOOKUP(YEAR(Tabel3[[#This Row],[Geb datum]]),Tabel8[#All],2,FALSE)</f>
        <v>14</v>
      </c>
      <c r="O60" s="29">
        <v>40093</v>
      </c>
      <c r="P60" s="30" t="str">
        <f>VLOOKUP(YEAR(Tabel3[[#This Row],[Geb datum]]),Tabel8[#All],3,FALSE)</f>
        <v>B</v>
      </c>
      <c r="Q60" s="30" t="s">
        <v>31</v>
      </c>
      <c r="R60" s="30" t="s">
        <v>31</v>
      </c>
      <c r="S60" s="43"/>
    </row>
    <row r="61" spans="1:19">
      <c r="A61" s="41" t="s">
        <v>409</v>
      </c>
      <c r="B61" s="28" t="s">
        <v>410</v>
      </c>
      <c r="C61" s="28" t="s">
        <v>411</v>
      </c>
      <c r="D61" s="30">
        <f>VLOOKUP(YEAR(Tabel1[[#This Row],[Geb datum]]),Tabel8[#All],2,FALSE)</f>
        <v>12</v>
      </c>
      <c r="E61" s="47">
        <v>40796</v>
      </c>
      <c r="F61" s="30" t="str">
        <f>VLOOKUP(YEAR(Tabel1[[#This Row],[Geb datum]]),Tabel8[#All],3,FALSE)</f>
        <v>C</v>
      </c>
      <c r="G61" s="30" t="s">
        <v>31</v>
      </c>
      <c r="H61" s="30" t="s">
        <v>31</v>
      </c>
      <c r="I61" s="42"/>
      <c r="K61" s="41" t="s">
        <v>412</v>
      </c>
      <c r="L61" s="28" t="s">
        <v>413</v>
      </c>
      <c r="M61" s="28" t="s">
        <v>414</v>
      </c>
      <c r="N61" s="30">
        <f>VLOOKUP(YEAR(Tabel3[[#This Row],[Geb datum]]),Tabel8[#All],2,FALSE)</f>
        <v>11</v>
      </c>
      <c r="O61" s="29">
        <v>40974</v>
      </c>
      <c r="P61" s="30" t="str">
        <f>VLOOKUP(YEAR(Tabel3[[#This Row],[Geb datum]]),Tabel8[#All],3,FALSE)</f>
        <v>D</v>
      </c>
      <c r="Q61" s="30" t="s">
        <v>34</v>
      </c>
      <c r="R61" s="30" t="s">
        <v>36</v>
      </c>
      <c r="S61" s="43"/>
    </row>
    <row r="62" spans="1:19">
      <c r="A62" s="41" t="s">
        <v>415</v>
      </c>
      <c r="B62" s="28" t="s">
        <v>416</v>
      </c>
      <c r="C62" s="28" t="s">
        <v>375</v>
      </c>
      <c r="D62" s="30">
        <f>VLOOKUP(YEAR(Tabel1[[#This Row],[Geb datum]]),Tabel8[#All],2,FALSE)</f>
        <v>13</v>
      </c>
      <c r="E62" s="59">
        <v>40273</v>
      </c>
      <c r="F62" s="30" t="str">
        <f>VLOOKUP(YEAR(Tabel1[[#This Row],[Geb datum]]),Tabel8[#All],3,FALSE)</f>
        <v>C</v>
      </c>
      <c r="G62" s="30" t="s">
        <v>31</v>
      </c>
      <c r="H62" s="30" t="s">
        <v>31</v>
      </c>
      <c r="I62" s="42"/>
      <c r="K62" s="41" t="s">
        <v>417</v>
      </c>
      <c r="L62" s="28" t="s">
        <v>418</v>
      </c>
      <c r="M62" s="28" t="s">
        <v>419</v>
      </c>
      <c r="N62" s="30">
        <f>VLOOKUP(YEAR(Tabel3[[#This Row],[Geb datum]]),Tabel8[#All],2,FALSE)</f>
        <v>11</v>
      </c>
      <c r="O62" s="29">
        <v>40929</v>
      </c>
      <c r="P62" s="30" t="str">
        <f>VLOOKUP(YEAR(Tabel3[[#This Row],[Geb datum]]),Tabel8[#All],3,FALSE)</f>
        <v>D</v>
      </c>
      <c r="Q62" s="30" t="s">
        <v>34</v>
      </c>
      <c r="R62" s="30" t="s">
        <v>36</v>
      </c>
      <c r="S62" s="43"/>
    </row>
    <row r="63" spans="1:19">
      <c r="A63" s="41" t="s">
        <v>420</v>
      </c>
      <c r="B63" s="28" t="s">
        <v>421</v>
      </c>
      <c r="C63" s="28" t="s">
        <v>74</v>
      </c>
      <c r="D63" s="30">
        <f>VLOOKUP(YEAR(Tabel1[[#This Row],[Geb datum]]),Tabel8[#All],2,FALSE)</f>
        <v>11</v>
      </c>
      <c r="E63" s="47">
        <v>41214</v>
      </c>
      <c r="F63" s="30" t="str">
        <f>VLOOKUP(YEAR(Tabel1[[#This Row],[Geb datum]]),Tabel8[#All],3,FALSE)</f>
        <v>D</v>
      </c>
      <c r="G63" s="30" t="s">
        <v>34</v>
      </c>
      <c r="H63" s="30" t="s">
        <v>36</v>
      </c>
      <c r="I63" s="42"/>
      <c r="K63" s="41" t="s">
        <v>422</v>
      </c>
      <c r="L63" s="28" t="s">
        <v>423</v>
      </c>
      <c r="M63" s="28" t="s">
        <v>424</v>
      </c>
      <c r="N63" s="30">
        <f>VLOOKUP(YEAR(Tabel3[[#This Row],[Geb datum]]),Tabel8[#All],2,FALSE)</f>
        <v>11</v>
      </c>
      <c r="O63" s="29">
        <v>41121</v>
      </c>
      <c r="P63" s="30" t="str">
        <f>VLOOKUP(YEAR(Tabel3[[#This Row],[Geb datum]]),Tabel8[#All],3,FALSE)</f>
        <v>D</v>
      </c>
      <c r="Q63" s="30" t="s">
        <v>34</v>
      </c>
      <c r="R63" s="30" t="s">
        <v>36</v>
      </c>
      <c r="S63" s="43"/>
    </row>
    <row r="64" spans="1:19">
      <c r="A64" s="41" t="s">
        <v>425</v>
      </c>
      <c r="B64" s="28" t="s">
        <v>426</v>
      </c>
      <c r="C64" s="28" t="s">
        <v>427</v>
      </c>
      <c r="D64" s="30">
        <f>VLOOKUP(YEAR(Tabel1[[#This Row],[Geb datum]]),Tabel8[#All],2,FALSE)</f>
        <v>10</v>
      </c>
      <c r="E64" s="47">
        <v>41398</v>
      </c>
      <c r="F64" s="30" t="str">
        <f>VLOOKUP(YEAR(Tabel1[[#This Row],[Geb datum]]),Tabel8[#All],3,FALSE)</f>
        <v>D</v>
      </c>
      <c r="G64" s="30" t="s">
        <v>34</v>
      </c>
      <c r="H64" s="30" t="s">
        <v>41</v>
      </c>
      <c r="I64" s="42"/>
      <c r="K64" s="41" t="s">
        <v>428</v>
      </c>
      <c r="L64" s="28" t="s">
        <v>429</v>
      </c>
      <c r="M64" s="28" t="s">
        <v>149</v>
      </c>
      <c r="N64" s="30">
        <f>VLOOKUP(YEAR(Tabel3[[#This Row],[Geb datum]]),Tabel8[#All],2,FALSE)</f>
        <v>12</v>
      </c>
      <c r="O64" s="29">
        <v>40848</v>
      </c>
      <c r="P64" s="30" t="str">
        <f>VLOOKUP(YEAR(Tabel3[[#This Row],[Geb datum]]),Tabel8[#All],3,FALSE)</f>
        <v>C</v>
      </c>
      <c r="Q64" s="30" t="s">
        <v>34</v>
      </c>
      <c r="R64" s="30" t="s">
        <v>36</v>
      </c>
      <c r="S64" s="43"/>
    </row>
    <row r="65" spans="1:19">
      <c r="A65" s="41" t="s">
        <v>430</v>
      </c>
      <c r="B65" s="28" t="s">
        <v>431</v>
      </c>
      <c r="C65" s="28" t="s">
        <v>324</v>
      </c>
      <c r="D65" s="30">
        <f>VLOOKUP(YEAR(Tabel1[[#This Row],[Geb datum]]),Tabel8[#All],2,FALSE)</f>
        <v>11</v>
      </c>
      <c r="E65" s="47">
        <v>41014</v>
      </c>
      <c r="F65" s="30" t="str">
        <f>VLOOKUP(YEAR(Tabel1[[#This Row],[Geb datum]]),Tabel8[#All],3,FALSE)</f>
        <v>D</v>
      </c>
      <c r="G65" s="30" t="s">
        <v>34</v>
      </c>
      <c r="H65" s="30" t="s">
        <v>36</v>
      </c>
      <c r="I65" s="42"/>
      <c r="K65" s="41" t="s">
        <v>432</v>
      </c>
      <c r="L65" s="28" t="s">
        <v>433</v>
      </c>
      <c r="M65" s="28" t="s">
        <v>434</v>
      </c>
      <c r="N65" s="30">
        <f>VLOOKUP(YEAR(Tabel3[[#This Row],[Geb datum]]),Tabel8[#All],2,FALSE)</f>
        <v>9</v>
      </c>
      <c r="O65" s="29">
        <v>41668</v>
      </c>
      <c r="P65" s="30" t="str">
        <f>VLOOKUP(YEAR(Tabel3[[#This Row],[Geb datum]]),Tabel8[#All],3,FALSE)</f>
        <v>E</v>
      </c>
      <c r="Q65" s="30" t="s">
        <v>35</v>
      </c>
      <c r="R65" s="30" t="s">
        <v>42</v>
      </c>
      <c r="S65" s="43"/>
    </row>
    <row r="66" spans="1:19">
      <c r="A66" s="41" t="s">
        <v>435</v>
      </c>
      <c r="B66" s="28" t="s">
        <v>436</v>
      </c>
      <c r="C66" s="28" t="s">
        <v>437</v>
      </c>
      <c r="D66" s="30">
        <f>VLOOKUP(YEAR(Tabel1[[#This Row],[Geb datum]]),Tabel8[#All],2,FALSE)</f>
        <v>10</v>
      </c>
      <c r="E66" s="47">
        <v>41303</v>
      </c>
      <c r="F66" s="30" t="str">
        <f>VLOOKUP(YEAR(Tabel1[[#This Row],[Geb datum]]),Tabel8[#All],3,FALSE)</f>
        <v>D</v>
      </c>
      <c r="G66" s="30" t="s">
        <v>34</v>
      </c>
      <c r="H66" s="30" t="s">
        <v>41</v>
      </c>
      <c r="I66" s="42"/>
      <c r="K66" s="41" t="s">
        <v>438</v>
      </c>
      <c r="L66" s="28" t="s">
        <v>439</v>
      </c>
      <c r="M66" s="28" t="s">
        <v>440</v>
      </c>
      <c r="N66" s="30">
        <f>VLOOKUP(YEAR(Tabel3[[#This Row],[Geb datum]]),Tabel8[#All],2,FALSE)</f>
        <v>10</v>
      </c>
      <c r="O66" s="29">
        <v>41299</v>
      </c>
      <c r="P66" s="30" t="str">
        <f>VLOOKUP(YEAR(Tabel3[[#This Row],[Geb datum]]),Tabel8[#All],3,FALSE)</f>
        <v>D</v>
      </c>
      <c r="Q66" s="30" t="s">
        <v>35</v>
      </c>
      <c r="R66" s="30" t="s">
        <v>40</v>
      </c>
      <c r="S66" s="43"/>
    </row>
    <row r="67" spans="1:19">
      <c r="A67" s="41" t="s">
        <v>441</v>
      </c>
      <c r="B67" s="28" t="s">
        <v>442</v>
      </c>
      <c r="C67" s="28" t="s">
        <v>443</v>
      </c>
      <c r="D67" s="30">
        <f>VLOOKUP(YEAR(Tabel1[[#This Row],[Geb datum]]),Tabel8[#All],2,FALSE)</f>
        <v>11</v>
      </c>
      <c r="E67" s="47">
        <v>41047</v>
      </c>
      <c r="F67" s="30" t="str">
        <f>VLOOKUP(YEAR(Tabel1[[#This Row],[Geb datum]]),Tabel8[#All],3,FALSE)</f>
        <v>D</v>
      </c>
      <c r="G67" s="30" t="s">
        <v>34</v>
      </c>
      <c r="H67" s="30" t="s">
        <v>36</v>
      </c>
      <c r="I67" s="42"/>
      <c r="K67" s="41" t="s">
        <v>444</v>
      </c>
      <c r="L67" s="28" t="s">
        <v>445</v>
      </c>
      <c r="M67" s="28" t="s">
        <v>446</v>
      </c>
      <c r="N67" s="30">
        <f>VLOOKUP(YEAR(Tabel3[[#This Row],[Geb datum]]),Tabel8[#All],2,FALSE)</f>
        <v>10</v>
      </c>
      <c r="O67" s="29">
        <v>41282</v>
      </c>
      <c r="P67" s="30" t="str">
        <f>VLOOKUP(YEAR(Tabel3[[#This Row],[Geb datum]]),Tabel8[#All],3,FALSE)</f>
        <v>D</v>
      </c>
      <c r="Q67" s="30" t="s">
        <v>35</v>
      </c>
      <c r="R67" s="30" t="s">
        <v>41</v>
      </c>
      <c r="S67" s="43"/>
    </row>
    <row r="68" spans="1:19">
      <c r="A68" s="41" t="s">
        <v>447</v>
      </c>
      <c r="B68" s="28" t="s">
        <v>448</v>
      </c>
      <c r="C68" s="28" t="s">
        <v>449</v>
      </c>
      <c r="D68" s="30">
        <f>VLOOKUP(YEAR(Tabel1[[#This Row],[Geb datum]]),Tabel8[#All],2,FALSE)</f>
        <v>11</v>
      </c>
      <c r="E68" s="47">
        <v>40937</v>
      </c>
      <c r="F68" s="30" t="str">
        <f>VLOOKUP(YEAR(Tabel1[[#This Row],[Geb datum]]),Tabel8[#All],3,FALSE)</f>
        <v>D</v>
      </c>
      <c r="G68" s="30" t="s">
        <v>34</v>
      </c>
      <c r="H68" s="30" t="s">
        <v>36</v>
      </c>
      <c r="I68" s="42"/>
      <c r="K68" s="41" t="s">
        <v>450</v>
      </c>
      <c r="L68" s="28" t="s">
        <v>451</v>
      </c>
      <c r="M68" s="28" t="s">
        <v>452</v>
      </c>
      <c r="N68" s="30">
        <f>VLOOKUP(YEAR(Tabel3[[#This Row],[Geb datum]]),Tabel8[#All],2,FALSE)</f>
        <v>10</v>
      </c>
      <c r="O68" s="29">
        <v>41299</v>
      </c>
      <c r="P68" s="30" t="str">
        <f>VLOOKUP(YEAR(Tabel3[[#This Row],[Geb datum]]),Tabel8[#All],3,FALSE)</f>
        <v>D</v>
      </c>
      <c r="Q68" s="30" t="s">
        <v>35</v>
      </c>
      <c r="R68" s="30" t="s">
        <v>40</v>
      </c>
      <c r="S68" s="43"/>
    </row>
    <row r="69" spans="1:19">
      <c r="A69" s="41" t="s">
        <v>453</v>
      </c>
      <c r="B69" s="28" t="s">
        <v>454</v>
      </c>
      <c r="C69" s="28" t="s">
        <v>455</v>
      </c>
      <c r="D69" s="30">
        <f>VLOOKUP(YEAR(Tabel1[[#This Row],[Geb datum]]),Tabel8[#All],2,FALSE)</f>
        <v>10</v>
      </c>
      <c r="E69" s="47">
        <v>41407</v>
      </c>
      <c r="F69" s="30" t="str">
        <f>VLOOKUP(YEAR(Tabel1[[#This Row],[Geb datum]]),Tabel8[#All],3,FALSE)</f>
        <v>D</v>
      </c>
      <c r="G69" s="30" t="s">
        <v>35</v>
      </c>
      <c r="H69" s="30" t="s">
        <v>40</v>
      </c>
      <c r="I69" s="42"/>
      <c r="K69" s="41" t="s">
        <v>456</v>
      </c>
      <c r="L69" s="28" t="s">
        <v>457</v>
      </c>
      <c r="M69" s="28" t="s">
        <v>458</v>
      </c>
      <c r="N69" s="30">
        <f>VLOOKUP(YEAR(Tabel3[[#This Row],[Geb datum]]),Tabel8[#All],2,FALSE)</f>
        <v>10</v>
      </c>
      <c r="O69" s="47">
        <v>41365</v>
      </c>
      <c r="P69" s="30" t="str">
        <f>VLOOKUP(YEAR(Tabel3[[#This Row],[Geb datum]]),Tabel8[#All],3,FALSE)</f>
        <v>D</v>
      </c>
      <c r="Q69" s="30" t="s">
        <v>36</v>
      </c>
      <c r="R69" s="30" t="s">
        <v>42</v>
      </c>
      <c r="S69" s="43"/>
    </row>
    <row r="70" spans="1:19">
      <c r="A70" s="41" t="s">
        <v>459</v>
      </c>
      <c r="B70" s="28" t="s">
        <v>460</v>
      </c>
      <c r="C70" s="28" t="s">
        <v>461</v>
      </c>
      <c r="D70" s="30">
        <f>VLOOKUP(YEAR(Tabel1[[#This Row],[Geb datum]]),Tabel8[#All],2,FALSE)</f>
        <v>10</v>
      </c>
      <c r="E70" s="47">
        <v>41477</v>
      </c>
      <c r="F70" s="30" t="str">
        <f>VLOOKUP(YEAR(Tabel1[[#This Row],[Geb datum]]),Tabel8[#All],3,FALSE)</f>
        <v>D</v>
      </c>
      <c r="G70" s="30" t="s">
        <v>35</v>
      </c>
      <c r="H70" s="30" t="s">
        <v>40</v>
      </c>
      <c r="I70" s="42"/>
      <c r="K70" s="41" t="s">
        <v>462</v>
      </c>
      <c r="L70" s="28" t="s">
        <v>463</v>
      </c>
      <c r="M70" s="28" t="s">
        <v>464</v>
      </c>
      <c r="N70" s="30">
        <f>VLOOKUP(YEAR(Tabel3[[#This Row],[Geb datum]]),Tabel8[#All],2,FALSE)</f>
        <v>10</v>
      </c>
      <c r="O70" s="29">
        <v>41375</v>
      </c>
      <c r="P70" s="30" t="str">
        <f>VLOOKUP(YEAR(Tabel3[[#This Row],[Geb datum]]),Tabel8[#All],3,FALSE)</f>
        <v>D</v>
      </c>
      <c r="Q70" s="30" t="s">
        <v>36</v>
      </c>
      <c r="R70" s="30" t="s">
        <v>41</v>
      </c>
      <c r="S70" s="43"/>
    </row>
    <row r="71" spans="1:19">
      <c r="A71" s="41" t="s">
        <v>465</v>
      </c>
      <c r="B71" s="28" t="s">
        <v>466</v>
      </c>
      <c r="C71" s="28" t="s">
        <v>467</v>
      </c>
      <c r="D71" s="30">
        <f>VLOOKUP(YEAR(Tabel1[[#This Row],[Geb datum]]),Tabel8[#All],2,FALSE)</f>
        <v>11</v>
      </c>
      <c r="E71" s="47">
        <v>41068</v>
      </c>
      <c r="F71" s="30" t="str">
        <f>VLOOKUP(YEAR(Tabel1[[#This Row],[Geb datum]]),Tabel8[#All],3,FALSE)</f>
        <v>D</v>
      </c>
      <c r="G71" s="30" t="s">
        <v>35</v>
      </c>
      <c r="H71" s="30" t="s">
        <v>35</v>
      </c>
      <c r="I71" s="42"/>
      <c r="K71" s="41" t="s">
        <v>468</v>
      </c>
      <c r="L71" s="28" t="s">
        <v>469</v>
      </c>
      <c r="M71" s="28" t="s">
        <v>470</v>
      </c>
      <c r="N71" s="30">
        <f>VLOOKUP(YEAR(Tabel3[[#This Row],[Geb datum]]),Tabel8[#All],2,FALSE)</f>
        <v>10</v>
      </c>
      <c r="O71" s="29">
        <v>41611</v>
      </c>
      <c r="P71" s="30" t="str">
        <f>VLOOKUP(YEAR(Tabel3[[#This Row],[Geb datum]]),Tabel8[#All],3,FALSE)</f>
        <v>D</v>
      </c>
      <c r="Q71" s="30" t="s">
        <v>36</v>
      </c>
      <c r="R71" s="30" t="s">
        <v>42</v>
      </c>
      <c r="S71" s="43"/>
    </row>
    <row r="72" spans="1:19">
      <c r="A72" s="41" t="s">
        <v>471</v>
      </c>
      <c r="B72" s="28" t="s">
        <v>472</v>
      </c>
      <c r="C72" s="28" t="s">
        <v>473</v>
      </c>
      <c r="D72" s="30">
        <f>VLOOKUP(YEAR(Tabel1[[#This Row],[Geb datum]]),Tabel8[#All],2,FALSE)</f>
        <v>11</v>
      </c>
      <c r="E72" s="47">
        <v>41108</v>
      </c>
      <c r="F72" s="30" t="str">
        <f>VLOOKUP(YEAR(Tabel1[[#This Row],[Geb datum]]),Tabel8[#All],3,FALSE)</f>
        <v>D</v>
      </c>
      <c r="G72" s="30" t="s">
        <v>35</v>
      </c>
      <c r="H72" s="30" t="s">
        <v>36</v>
      </c>
      <c r="I72" s="42"/>
      <c r="K72" s="41" t="s">
        <v>474</v>
      </c>
      <c r="L72" s="28" t="s">
        <v>475</v>
      </c>
      <c r="M72" s="28" t="s">
        <v>476</v>
      </c>
      <c r="N72" s="30">
        <f>VLOOKUP(YEAR(Tabel3[[#This Row],[Geb datum]]),Tabel8[#All],2,FALSE)</f>
        <v>11</v>
      </c>
      <c r="O72" s="29">
        <v>41263</v>
      </c>
      <c r="P72" s="30" t="str">
        <f>VLOOKUP(YEAR(Tabel3[[#This Row],[Geb datum]]),Tabel8[#All],3,FALSE)</f>
        <v>D</v>
      </c>
      <c r="Q72" s="30" t="s">
        <v>36</v>
      </c>
      <c r="R72" s="30" t="s">
        <v>44</v>
      </c>
      <c r="S72" s="43"/>
    </row>
    <row r="73" spans="1:19">
      <c r="A73" s="41" t="s">
        <v>477</v>
      </c>
      <c r="B73" s="28" t="s">
        <v>478</v>
      </c>
      <c r="C73" s="28" t="s">
        <v>479</v>
      </c>
      <c r="D73" s="30">
        <f>VLOOKUP(YEAR(Tabel1[[#This Row],[Geb datum]]),Tabel8[#All],2,FALSE)</f>
        <v>10</v>
      </c>
      <c r="E73" s="47">
        <v>41474</v>
      </c>
      <c r="F73" s="30" t="str">
        <f>VLOOKUP(YEAR(Tabel1[[#This Row],[Geb datum]]),Tabel8[#All],3,FALSE)</f>
        <v>D</v>
      </c>
      <c r="G73" s="30" t="s">
        <v>35</v>
      </c>
      <c r="H73" s="30" t="s">
        <v>40</v>
      </c>
      <c r="I73" s="42"/>
      <c r="K73" s="41" t="s">
        <v>480</v>
      </c>
      <c r="L73" s="28" t="s">
        <v>481</v>
      </c>
      <c r="M73" s="28" t="s">
        <v>482</v>
      </c>
      <c r="N73" s="30">
        <f>VLOOKUP(YEAR(Tabel3[[#This Row],[Geb datum]]),Tabel8[#All],2,FALSE)</f>
        <v>9</v>
      </c>
      <c r="O73" s="29">
        <v>41706</v>
      </c>
      <c r="P73" s="30" t="str">
        <f>VLOOKUP(YEAR(Tabel3[[#This Row],[Geb datum]]),Tabel8[#All],3,FALSE)</f>
        <v>E</v>
      </c>
      <c r="Q73" s="30" t="s">
        <v>40</v>
      </c>
      <c r="R73" s="30" t="s">
        <v>45</v>
      </c>
      <c r="S73" s="43"/>
    </row>
    <row r="74" spans="1:19">
      <c r="A74" s="41" t="s">
        <v>483</v>
      </c>
      <c r="B74" s="28" t="s">
        <v>484</v>
      </c>
      <c r="C74" s="28" t="s">
        <v>485</v>
      </c>
      <c r="D74" s="30">
        <f>VLOOKUP(YEAR(Tabel1[[#This Row],[Geb datum]]),Tabel8[#All],2,FALSE)</f>
        <v>10</v>
      </c>
      <c r="E74" s="47">
        <v>41537</v>
      </c>
      <c r="F74" s="30" t="str">
        <f>VLOOKUP(YEAR(Tabel1[[#This Row],[Geb datum]]),Tabel8[#All],3,FALSE)</f>
        <v>D</v>
      </c>
      <c r="G74" s="30" t="s">
        <v>35</v>
      </c>
      <c r="H74" s="30" t="s">
        <v>40</v>
      </c>
      <c r="I74" s="42"/>
      <c r="K74" s="41" t="s">
        <v>486</v>
      </c>
      <c r="L74" s="28" t="s">
        <v>487</v>
      </c>
      <c r="M74" s="28" t="s">
        <v>396</v>
      </c>
      <c r="N74" s="30">
        <f>VLOOKUP(YEAR(Tabel3[[#This Row],[Geb datum]]),Tabel8[#All],2,FALSE)</f>
        <v>9</v>
      </c>
      <c r="O74" s="29">
        <v>41832</v>
      </c>
      <c r="P74" s="30" t="str">
        <f>VLOOKUP(YEAR(Tabel3[[#This Row],[Geb datum]]),Tabel8[#All],3,FALSE)</f>
        <v>E</v>
      </c>
      <c r="Q74" s="30" t="s">
        <v>40</v>
      </c>
      <c r="R74" s="30" t="s">
        <v>45</v>
      </c>
      <c r="S74" s="43"/>
    </row>
    <row r="75" spans="1:19">
      <c r="A75" s="41" t="s">
        <v>488</v>
      </c>
      <c r="B75" s="28" t="s">
        <v>489</v>
      </c>
      <c r="C75" s="28" t="s">
        <v>490</v>
      </c>
      <c r="D75" s="30">
        <f>VLOOKUP(YEAR(Tabel1[[#This Row],[Geb datum]]),Tabel8[#All],2,FALSE)</f>
        <v>10</v>
      </c>
      <c r="E75" s="47">
        <v>41323</v>
      </c>
      <c r="F75" s="30" t="str">
        <f>VLOOKUP(YEAR(Tabel1[[#This Row],[Geb datum]]),Tabel8[#All],3,FALSE)</f>
        <v>D</v>
      </c>
      <c r="G75" s="30" t="s">
        <v>36</v>
      </c>
      <c r="H75" s="30" t="s">
        <v>41</v>
      </c>
      <c r="I75" s="42"/>
      <c r="K75" s="41" t="s">
        <v>491</v>
      </c>
      <c r="L75" s="28" t="s">
        <v>492</v>
      </c>
      <c r="M75" s="28" t="s">
        <v>493</v>
      </c>
      <c r="N75" s="30">
        <f>VLOOKUP(YEAR(Tabel3[[#This Row],[Geb datum]]),Tabel8[#All],2,FALSE)</f>
        <v>9</v>
      </c>
      <c r="O75" s="29">
        <v>41801</v>
      </c>
      <c r="P75" s="30" t="str">
        <f>VLOOKUP(YEAR(Tabel3[[#This Row],[Geb datum]]),Tabel8[#All],3,FALSE)</f>
        <v>E</v>
      </c>
      <c r="Q75" s="30" t="s">
        <v>40</v>
      </c>
      <c r="R75" s="30" t="s">
        <v>43</v>
      </c>
      <c r="S75" s="43"/>
    </row>
    <row r="76" spans="1:19">
      <c r="A76" s="41" t="s">
        <v>494</v>
      </c>
      <c r="B76" s="28" t="s">
        <v>495</v>
      </c>
      <c r="C76" s="28" t="s">
        <v>330</v>
      </c>
      <c r="D76" s="30">
        <f>VLOOKUP(YEAR(Tabel1[[#This Row],[Geb datum]]),Tabel8[#All],2,FALSE)</f>
        <v>11</v>
      </c>
      <c r="E76" s="47">
        <v>41159</v>
      </c>
      <c r="F76" s="30" t="str">
        <f>VLOOKUP(YEAR(Tabel1[[#This Row],[Geb datum]]),Tabel8[#All],3,FALSE)</f>
        <v>D</v>
      </c>
      <c r="G76" s="30" t="s">
        <v>36</v>
      </c>
      <c r="H76" s="30" t="s">
        <v>36</v>
      </c>
      <c r="I76" s="42"/>
      <c r="K76" s="41" t="s">
        <v>496</v>
      </c>
      <c r="L76" s="28" t="s">
        <v>497</v>
      </c>
      <c r="M76" s="28" t="s">
        <v>498</v>
      </c>
      <c r="N76" s="30">
        <f>VLOOKUP(YEAR(Tabel3[[#This Row],[Geb datum]]),Tabel8[#All],2,FALSE)</f>
        <v>9</v>
      </c>
      <c r="O76" s="29">
        <v>41867</v>
      </c>
      <c r="P76" s="30" t="str">
        <f>VLOOKUP(YEAR(Tabel3[[#This Row],[Geb datum]]),Tabel8[#All],3,FALSE)</f>
        <v>E</v>
      </c>
      <c r="Q76" s="30" t="s">
        <v>41</v>
      </c>
      <c r="R76" s="30" t="s">
        <v>44</v>
      </c>
      <c r="S76" s="43"/>
    </row>
    <row r="77" spans="1:19">
      <c r="A77" s="41" t="s">
        <v>499</v>
      </c>
      <c r="B77" s="28" t="s">
        <v>500</v>
      </c>
      <c r="C77" s="28" t="s">
        <v>501</v>
      </c>
      <c r="D77" s="30">
        <f>VLOOKUP(YEAR(Tabel1[[#This Row],[Geb datum]]),Tabel8[#All],2,FALSE)</f>
        <v>10</v>
      </c>
      <c r="E77" s="47">
        <v>41569</v>
      </c>
      <c r="F77" s="30" t="str">
        <f>VLOOKUP(YEAR(Tabel1[[#This Row],[Geb datum]]),Tabel8[#All],3,FALSE)</f>
        <v>D</v>
      </c>
      <c r="G77" s="30" t="s">
        <v>36</v>
      </c>
      <c r="H77" s="30" t="s">
        <v>44</v>
      </c>
      <c r="I77" s="42"/>
      <c r="K77" s="41" t="s">
        <v>502</v>
      </c>
      <c r="L77" s="28" t="s">
        <v>503</v>
      </c>
      <c r="M77" s="28" t="s">
        <v>201</v>
      </c>
      <c r="N77" s="30">
        <f>VLOOKUP(YEAR(Tabel3[[#This Row],[Geb datum]]),Tabel8[#All],2,FALSE)</f>
        <v>9</v>
      </c>
      <c r="O77" s="29">
        <v>41686</v>
      </c>
      <c r="P77" s="30" t="str">
        <f>VLOOKUP(YEAR(Tabel3[[#This Row],[Geb datum]]),Tabel8[#All],3,FALSE)</f>
        <v>E</v>
      </c>
      <c r="Q77" s="30" t="s">
        <v>41</v>
      </c>
      <c r="R77" s="30" t="s">
        <v>45</v>
      </c>
      <c r="S77" s="43"/>
    </row>
    <row r="78" spans="1:19">
      <c r="A78" s="41" t="s">
        <v>504</v>
      </c>
      <c r="B78" s="28" t="s">
        <v>505</v>
      </c>
      <c r="C78" s="28" t="s">
        <v>506</v>
      </c>
      <c r="D78" s="30">
        <f>VLOOKUP(YEAR(Tabel1[[#This Row],[Geb datum]]),Tabel8[#All],2,FALSE)</f>
        <v>10</v>
      </c>
      <c r="E78" s="47">
        <v>41557</v>
      </c>
      <c r="F78" s="30" t="str">
        <f>VLOOKUP(YEAR(Tabel1[[#This Row],[Geb datum]]),Tabel8[#All],3,FALSE)</f>
        <v>D</v>
      </c>
      <c r="G78" s="30" t="s">
        <v>36</v>
      </c>
      <c r="H78" s="30" t="s">
        <v>41</v>
      </c>
      <c r="I78" s="42"/>
      <c r="K78" s="41" t="s">
        <v>507</v>
      </c>
      <c r="L78" s="28" t="s">
        <v>508</v>
      </c>
      <c r="M78" s="28" t="s">
        <v>509</v>
      </c>
      <c r="N78" s="30">
        <f>VLOOKUP(YEAR(Tabel3[[#This Row],[Geb datum]]),Tabel8[#All],2,FALSE)</f>
        <v>9</v>
      </c>
      <c r="O78" s="29">
        <v>41780</v>
      </c>
      <c r="P78" s="30" t="str">
        <f>VLOOKUP(YEAR(Tabel3[[#This Row],[Geb datum]]),Tabel8[#All],3,FALSE)</f>
        <v>E</v>
      </c>
      <c r="Q78" s="30" t="s">
        <v>41</v>
      </c>
      <c r="R78" s="30" t="s">
        <v>44</v>
      </c>
      <c r="S78" s="43"/>
    </row>
    <row r="79" spans="1:19">
      <c r="A79" s="41" t="s">
        <v>510</v>
      </c>
      <c r="B79" s="28" t="s">
        <v>511</v>
      </c>
      <c r="C79" s="28" t="s">
        <v>512</v>
      </c>
      <c r="D79" s="30">
        <f>VLOOKUP(YEAR(Tabel1[[#This Row],[Geb datum]]),Tabel8[#All],2,FALSE)</f>
        <v>11</v>
      </c>
      <c r="E79" s="47">
        <v>41149</v>
      </c>
      <c r="F79" s="30" t="str">
        <f>VLOOKUP(YEAR(Tabel1[[#This Row],[Geb datum]]),Tabel8[#All],3,FALSE)</f>
        <v>D</v>
      </c>
      <c r="G79" s="30" t="s">
        <v>36</v>
      </c>
      <c r="H79" s="30" t="s">
        <v>36</v>
      </c>
      <c r="I79" s="42"/>
      <c r="K79" s="41" t="s">
        <v>513</v>
      </c>
      <c r="L79" s="28" t="s">
        <v>514</v>
      </c>
      <c r="M79" s="28" t="s">
        <v>515</v>
      </c>
      <c r="N79" s="30">
        <f>VLOOKUP(YEAR(Tabel3[[#This Row],[Geb datum]]),Tabel8[#All],2,FALSE)</f>
        <v>9</v>
      </c>
      <c r="O79" s="29">
        <v>41737</v>
      </c>
      <c r="P79" s="30" t="str">
        <f>VLOOKUP(YEAR(Tabel3[[#This Row],[Geb datum]]),Tabel8[#All],3,FALSE)</f>
        <v>E</v>
      </c>
      <c r="Q79" s="30" t="s">
        <v>41</v>
      </c>
      <c r="R79" s="30" t="s">
        <v>43</v>
      </c>
      <c r="S79" s="43"/>
    </row>
    <row r="80" spans="1:19">
      <c r="A80" s="41" t="s">
        <v>516</v>
      </c>
      <c r="B80" s="28" t="s">
        <v>517</v>
      </c>
      <c r="C80" s="28" t="s">
        <v>518</v>
      </c>
      <c r="D80" s="30">
        <f>VLOOKUP(YEAR(Tabel1[[#This Row],[Geb datum]]),Tabel8[#All],2,FALSE)</f>
        <v>10</v>
      </c>
      <c r="E80" s="47">
        <v>41574</v>
      </c>
      <c r="F80" s="30" t="str">
        <f>VLOOKUP(YEAR(Tabel1[[#This Row],[Geb datum]]),Tabel8[#All],3,FALSE)</f>
        <v>D</v>
      </c>
      <c r="G80" s="30" t="s">
        <v>36</v>
      </c>
      <c r="H80" s="30" t="s">
        <v>43</v>
      </c>
      <c r="I80" s="42"/>
      <c r="K80" s="41" t="s">
        <v>519</v>
      </c>
      <c r="L80" s="28" t="s">
        <v>520</v>
      </c>
      <c r="M80" s="28" t="s">
        <v>521</v>
      </c>
      <c r="N80" s="30">
        <f>VLOOKUP(YEAR(Tabel3[[#This Row],[Geb datum]]),Tabel8[#All],2,FALSE)</f>
        <v>9</v>
      </c>
      <c r="O80" s="29">
        <v>41662</v>
      </c>
      <c r="P80" s="30" t="str">
        <f>VLOOKUP(YEAR(Tabel3[[#This Row],[Geb datum]]),Tabel8[#All],3,FALSE)</f>
        <v>E</v>
      </c>
      <c r="Q80" s="30" t="s">
        <v>42</v>
      </c>
      <c r="R80" s="30" t="s">
        <v>46</v>
      </c>
      <c r="S80" s="43"/>
    </row>
    <row r="81" spans="1:19">
      <c r="A81" s="41" t="s">
        <v>522</v>
      </c>
      <c r="B81" s="28" t="s">
        <v>523</v>
      </c>
      <c r="C81" s="28" t="s">
        <v>342</v>
      </c>
      <c r="D81" s="30">
        <f>VLOOKUP(YEAR(Tabel1[[#This Row],[Geb datum]]),Tabel8[#All],2,FALSE)</f>
        <v>10</v>
      </c>
      <c r="E81" s="47">
        <v>41582</v>
      </c>
      <c r="F81" s="30" t="str">
        <f>VLOOKUP(YEAR(Tabel1[[#This Row],[Geb datum]]),Tabel8[#All],3,FALSE)</f>
        <v>D</v>
      </c>
      <c r="G81" s="30" t="s">
        <v>36</v>
      </c>
      <c r="H81" s="30" t="s">
        <v>43</v>
      </c>
      <c r="I81" s="42"/>
      <c r="K81" s="41" t="s">
        <v>524</v>
      </c>
      <c r="L81" s="28" t="s">
        <v>525</v>
      </c>
      <c r="M81" s="28" t="s">
        <v>526</v>
      </c>
      <c r="N81" s="30">
        <f>VLOOKUP(YEAR(Tabel3[[#This Row],[Geb datum]]),Tabel8[#All],2,FALSE)</f>
        <v>9</v>
      </c>
      <c r="O81" s="29">
        <v>41722</v>
      </c>
      <c r="P81" s="30" t="str">
        <f>VLOOKUP(YEAR(Tabel3[[#This Row],[Geb datum]]),Tabel8[#All],3,FALSE)</f>
        <v>E</v>
      </c>
      <c r="Q81" s="30" t="s">
        <v>42</v>
      </c>
      <c r="R81" s="30" t="s">
        <v>164</v>
      </c>
      <c r="S81" s="43"/>
    </row>
    <row r="82" spans="1:19">
      <c r="A82" s="41" t="s">
        <v>527</v>
      </c>
      <c r="B82" s="28" t="s">
        <v>528</v>
      </c>
      <c r="C82" s="28" t="s">
        <v>529</v>
      </c>
      <c r="D82" s="30">
        <f>VLOOKUP(YEAR(Tabel1[[#This Row],[Geb datum]]),Tabel8[#All],2,FALSE)</f>
        <v>9</v>
      </c>
      <c r="E82" s="47">
        <v>41692</v>
      </c>
      <c r="F82" s="30" t="str">
        <f>VLOOKUP(YEAR(Tabel1[[#This Row],[Geb datum]]),Tabel8[#All],3,FALSE)</f>
        <v>E</v>
      </c>
      <c r="G82" s="30" t="s">
        <v>40</v>
      </c>
      <c r="H82" s="30" t="s">
        <v>42</v>
      </c>
      <c r="I82" s="42"/>
      <c r="K82" s="41" t="s">
        <v>530</v>
      </c>
      <c r="L82" s="28" t="s">
        <v>531</v>
      </c>
      <c r="M82" s="28" t="s">
        <v>532</v>
      </c>
      <c r="N82" s="30">
        <f>VLOOKUP(YEAR(Tabel3[[#This Row],[Geb datum]]),Tabel8[#All],2,FALSE)</f>
        <v>9</v>
      </c>
      <c r="O82" s="29">
        <v>41760</v>
      </c>
      <c r="P82" s="30" t="str">
        <f>VLOOKUP(YEAR(Tabel3[[#This Row],[Geb datum]]),Tabel8[#All],3,FALSE)</f>
        <v>E</v>
      </c>
      <c r="Q82" s="30" t="s">
        <v>42</v>
      </c>
      <c r="R82" s="30" t="s">
        <v>46</v>
      </c>
      <c r="S82" s="43"/>
    </row>
    <row r="83" spans="1:19">
      <c r="A83" s="41" t="s">
        <v>533</v>
      </c>
      <c r="B83" s="28" t="s">
        <v>534</v>
      </c>
      <c r="C83" s="28" t="s">
        <v>535</v>
      </c>
      <c r="D83" s="30">
        <f>VLOOKUP(YEAR(Tabel1[[#This Row],[Geb datum]]),Tabel8[#All],2,FALSE)</f>
        <v>9</v>
      </c>
      <c r="E83" s="47">
        <v>41901</v>
      </c>
      <c r="F83" s="30" t="str">
        <f>VLOOKUP(YEAR(Tabel1[[#This Row],[Geb datum]]),Tabel8[#All],3,FALSE)</f>
        <v>E</v>
      </c>
      <c r="G83" s="30" t="s">
        <v>40</v>
      </c>
      <c r="H83" s="30" t="s">
        <v>45</v>
      </c>
      <c r="I83" s="42"/>
      <c r="K83" s="41" t="s">
        <v>536</v>
      </c>
      <c r="L83" s="28" t="s">
        <v>537</v>
      </c>
      <c r="M83" s="28" t="s">
        <v>419</v>
      </c>
      <c r="N83" s="30">
        <f>VLOOKUP(YEAR(Tabel3[[#This Row],[Geb datum]]),Tabel8[#All],2,FALSE)</f>
        <v>9</v>
      </c>
      <c r="O83" s="29">
        <v>41760</v>
      </c>
      <c r="P83" s="30" t="str">
        <f>VLOOKUP(YEAR(Tabel3[[#This Row],[Geb datum]]),Tabel8[#All],3,FALSE)</f>
        <v>E</v>
      </c>
      <c r="Q83" s="30" t="s">
        <v>43</v>
      </c>
      <c r="R83" s="30" t="s">
        <v>46</v>
      </c>
      <c r="S83" s="43"/>
    </row>
    <row r="84" spans="1:19">
      <c r="A84" s="41" t="s">
        <v>538</v>
      </c>
      <c r="B84" s="28" t="s">
        <v>539</v>
      </c>
      <c r="C84" s="28" t="s">
        <v>540</v>
      </c>
      <c r="D84" s="30">
        <f>VLOOKUP(YEAR(Tabel1[[#This Row],[Geb datum]]),Tabel8[#All],2,FALSE)</f>
        <v>9</v>
      </c>
      <c r="E84" s="47">
        <v>41662</v>
      </c>
      <c r="F84" s="30" t="str">
        <f>VLOOKUP(YEAR(Tabel1[[#This Row],[Geb datum]]),Tabel8[#All],3,FALSE)</f>
        <v>E</v>
      </c>
      <c r="G84" s="30" t="s">
        <v>41</v>
      </c>
      <c r="H84" s="30" t="s">
        <v>42</v>
      </c>
      <c r="I84" s="42"/>
      <c r="K84" s="41" t="s">
        <v>541</v>
      </c>
      <c r="L84" s="28" t="s">
        <v>542</v>
      </c>
      <c r="M84" s="28" t="s">
        <v>543</v>
      </c>
      <c r="N84" s="30">
        <f>VLOOKUP(YEAR(Tabel3[[#This Row],[Geb datum]]),Tabel8[#All],2,FALSE)</f>
        <v>8</v>
      </c>
      <c r="O84" s="29">
        <v>42040</v>
      </c>
      <c r="P84" s="30" t="str">
        <f>VLOOKUP(YEAR(Tabel3[[#This Row],[Geb datum]]),Tabel8[#All],3,FALSE)</f>
        <v>E</v>
      </c>
      <c r="Q84" s="30" t="s">
        <v>43</v>
      </c>
      <c r="R84" s="30" t="s">
        <v>48</v>
      </c>
      <c r="S84" s="43"/>
    </row>
    <row r="85" spans="1:19">
      <c r="A85" s="41" t="s">
        <v>544</v>
      </c>
      <c r="B85" s="28" t="s">
        <v>545</v>
      </c>
      <c r="C85" s="28" t="s">
        <v>246</v>
      </c>
      <c r="D85" s="30">
        <f>VLOOKUP(YEAR(Tabel1[[#This Row],[Geb datum]]),Tabel8[#All],2,FALSE)</f>
        <v>9</v>
      </c>
      <c r="E85" s="47">
        <v>41807</v>
      </c>
      <c r="F85" s="30" t="str">
        <f>VLOOKUP(YEAR(Tabel1[[#This Row],[Geb datum]]),Tabel8[#All],3,FALSE)</f>
        <v>E</v>
      </c>
      <c r="G85" s="30" t="s">
        <v>41</v>
      </c>
      <c r="H85" s="30" t="s">
        <v>44</v>
      </c>
      <c r="I85" s="42"/>
      <c r="K85" s="58" t="s">
        <v>546</v>
      </c>
      <c r="L85" s="28" t="s">
        <v>547</v>
      </c>
      <c r="M85" s="28" t="s">
        <v>219</v>
      </c>
      <c r="N85" s="30">
        <f>VLOOKUP(YEAR(Tabel3[[#This Row],[Geb datum]]),Tabel8[#All],2,FALSE)</f>
        <v>8</v>
      </c>
      <c r="O85" s="29">
        <v>42156</v>
      </c>
      <c r="P85" s="30" t="str">
        <f>VLOOKUP(YEAR(Tabel3[[#This Row],[Geb datum]]),Tabel8[#All],3,FALSE)</f>
        <v>E</v>
      </c>
      <c r="Q85" s="30" t="s">
        <v>43</v>
      </c>
      <c r="R85" s="30" t="s">
        <v>48</v>
      </c>
      <c r="S85" s="43"/>
    </row>
    <row r="86" spans="1:19">
      <c r="A86" s="41" t="s">
        <v>548</v>
      </c>
      <c r="B86" s="28" t="s">
        <v>549</v>
      </c>
      <c r="C86" s="28" t="s">
        <v>550</v>
      </c>
      <c r="D86" s="30">
        <f>VLOOKUP(YEAR(Tabel1[[#This Row],[Geb datum]]),Tabel8[#All],2,FALSE)</f>
        <v>10</v>
      </c>
      <c r="E86" s="47">
        <v>41586</v>
      </c>
      <c r="F86" s="30" t="str">
        <f>VLOOKUP(YEAR(Tabel1[[#This Row],[Geb datum]]),Tabel8[#All],3,FALSE)</f>
        <v>D</v>
      </c>
      <c r="G86" s="30" t="s">
        <v>42</v>
      </c>
      <c r="H86" s="30" t="s">
        <v>46</v>
      </c>
      <c r="I86" s="42"/>
      <c r="K86" s="41"/>
      <c r="L86" s="28" t="s">
        <v>551</v>
      </c>
      <c r="M86" s="28" t="s">
        <v>552</v>
      </c>
      <c r="N86" s="30">
        <f>VLOOKUP(YEAR(Tabel3[[#This Row],[Geb datum]]),Tabel8[#All],2,FALSE)</f>
        <v>9</v>
      </c>
      <c r="O86" s="29">
        <v>41640</v>
      </c>
      <c r="P86" s="30" t="str">
        <f>VLOOKUP(YEAR(Tabel3[[#This Row],[Geb datum]]),Tabel8[#All],3,FALSE)</f>
        <v>E</v>
      </c>
      <c r="Q86" s="30" t="s">
        <v>44</v>
      </c>
      <c r="R86" s="30" t="s">
        <v>164</v>
      </c>
      <c r="S86" s="43"/>
    </row>
    <row r="87" spans="1:19">
      <c r="A87" s="41" t="s">
        <v>553</v>
      </c>
      <c r="B87" s="28" t="s">
        <v>554</v>
      </c>
      <c r="C87" s="28" t="s">
        <v>555</v>
      </c>
      <c r="D87" s="30">
        <f>VLOOKUP(YEAR(Tabel1[[#This Row],[Geb datum]]),Tabel8[#All],2,FALSE)</f>
        <v>8</v>
      </c>
      <c r="E87" s="59">
        <v>42188</v>
      </c>
      <c r="F87" s="30" t="str">
        <f>VLOOKUP(YEAR(Tabel1[[#This Row],[Geb datum]]),Tabel8[#All],3,FALSE)</f>
        <v>E</v>
      </c>
      <c r="G87" s="30" t="s">
        <v>42</v>
      </c>
      <c r="H87" s="30" t="s">
        <v>49</v>
      </c>
      <c r="I87" s="42"/>
      <c r="K87" s="41" t="s">
        <v>556</v>
      </c>
      <c r="L87" s="28" t="s">
        <v>557</v>
      </c>
      <c r="M87" s="28" t="s">
        <v>310</v>
      </c>
      <c r="N87" s="30">
        <f>VLOOKUP(YEAR(Tabel3[[#This Row],[Geb datum]]),Tabel8[#All],2,FALSE)</f>
        <v>8</v>
      </c>
      <c r="O87" s="29">
        <v>42324</v>
      </c>
      <c r="P87" s="30" t="str">
        <f>VLOOKUP(YEAR(Tabel3[[#This Row],[Geb datum]]),Tabel8[#All],3,FALSE)</f>
        <v>E</v>
      </c>
      <c r="Q87" s="30" t="s">
        <v>44</v>
      </c>
      <c r="R87" s="30" t="s">
        <v>164</v>
      </c>
      <c r="S87" s="43"/>
    </row>
    <row r="88" spans="1:19">
      <c r="A88" s="41" t="s">
        <v>558</v>
      </c>
      <c r="B88" s="28" t="s">
        <v>559</v>
      </c>
      <c r="C88" s="29" t="s">
        <v>342</v>
      </c>
      <c r="D88" s="30">
        <f>VLOOKUP(YEAR(Tabel1[[#This Row],[Geb datum]]),Tabel8[#All],2,FALSE)</f>
        <v>8</v>
      </c>
      <c r="E88" s="59">
        <v>42111</v>
      </c>
      <c r="F88" s="30" t="str">
        <f>VLOOKUP(YEAR(Tabel1[[#This Row],[Geb datum]]),Tabel8[#All],3,FALSE)</f>
        <v>E</v>
      </c>
      <c r="G88" s="30" t="s">
        <v>42</v>
      </c>
      <c r="H88" s="30" t="s">
        <v>49</v>
      </c>
      <c r="I88" s="42"/>
      <c r="K88" s="41" t="s">
        <v>560</v>
      </c>
      <c r="L88" s="28" t="s">
        <v>561</v>
      </c>
      <c r="M88" s="28" t="s">
        <v>562</v>
      </c>
      <c r="N88" s="30">
        <f>VLOOKUP(YEAR(Tabel3[[#This Row],[Geb datum]]),Tabel8[#All],2,FALSE)</f>
        <v>6</v>
      </c>
      <c r="O88" s="29">
        <v>42901</v>
      </c>
      <c r="P88" s="30" t="str">
        <f>VLOOKUP(YEAR(Tabel3[[#This Row],[Geb datum]]),Tabel8[#All],3,FALSE)</f>
        <v>F</v>
      </c>
      <c r="Q88" s="30" t="s">
        <v>48</v>
      </c>
      <c r="R88" s="30" t="s">
        <v>164</v>
      </c>
      <c r="S88" s="43"/>
    </row>
    <row r="89" spans="1:19">
      <c r="A89" s="41" t="s">
        <v>563</v>
      </c>
      <c r="B89" s="28" t="s">
        <v>564</v>
      </c>
      <c r="C89" s="28" t="s">
        <v>565</v>
      </c>
      <c r="D89" s="30">
        <f>VLOOKUP(YEAR(Tabel1[[#This Row],[Geb datum]]),Tabel8[#All],2,FALSE)</f>
        <v>8</v>
      </c>
      <c r="E89" s="47">
        <v>42058</v>
      </c>
      <c r="F89" s="30" t="str">
        <f>VLOOKUP(YEAR(Tabel1[[#This Row],[Geb datum]]),Tabel8[#All],3,FALSE)</f>
        <v>E</v>
      </c>
      <c r="G89" s="30" t="s">
        <v>43</v>
      </c>
      <c r="H89" s="30" t="s">
        <v>48</v>
      </c>
      <c r="I89" s="42"/>
      <c r="K89" s="41" t="s">
        <v>566</v>
      </c>
      <c r="L89" s="28" t="s">
        <v>567</v>
      </c>
      <c r="M89" s="28" t="s">
        <v>568</v>
      </c>
      <c r="N89" s="30">
        <f>VLOOKUP(YEAR(Tabel3[[#This Row],[Geb datum]]),Tabel8[#All],2,FALSE)</f>
        <v>6</v>
      </c>
      <c r="O89" s="29">
        <v>42955</v>
      </c>
      <c r="P89" s="30" t="str">
        <f>VLOOKUP(YEAR(Tabel3[[#This Row],[Geb datum]]),Tabel8[#All],3,FALSE)</f>
        <v>F</v>
      </c>
      <c r="Q89" s="30" t="s">
        <v>49</v>
      </c>
      <c r="R89" s="30" t="s">
        <v>164</v>
      </c>
      <c r="S89" s="43"/>
    </row>
    <row r="90" spans="1:19">
      <c r="A90" s="41" t="s">
        <v>569</v>
      </c>
      <c r="B90" s="28" t="s">
        <v>570</v>
      </c>
      <c r="C90" s="28" t="s">
        <v>280</v>
      </c>
      <c r="D90" s="30">
        <f>VLOOKUP(YEAR(Tabel1[[#This Row],[Geb datum]]),Tabel8[#All],2,FALSE)</f>
        <v>8</v>
      </c>
      <c r="E90" s="47">
        <v>42249</v>
      </c>
      <c r="F90" s="30" t="str">
        <f>VLOOKUP(YEAR(Tabel1[[#This Row],[Geb datum]]),Tabel8[#All],3,FALSE)</f>
        <v>E</v>
      </c>
      <c r="G90" s="30" t="s">
        <v>43</v>
      </c>
      <c r="H90" s="30" t="s">
        <v>48</v>
      </c>
      <c r="I90" s="42"/>
      <c r="K90" s="41"/>
      <c r="L90" s="28" t="s">
        <v>571</v>
      </c>
      <c r="M90" s="28" t="s">
        <v>572</v>
      </c>
      <c r="N90" s="30">
        <f>VLOOKUP(YEAR(Tabel3[[#This Row],[Geb datum]]),Tabel8[#All],2,FALSE)</f>
        <v>6</v>
      </c>
      <c r="O90" s="29">
        <v>42736</v>
      </c>
      <c r="P90" s="30" t="str">
        <f>VLOOKUP(YEAR(Tabel3[[#This Row],[Geb datum]]),Tabel8[#All],3,FALSE)</f>
        <v>F</v>
      </c>
      <c r="Q90" s="30" t="s">
        <v>49</v>
      </c>
      <c r="R90" s="30" t="s">
        <v>164</v>
      </c>
      <c r="S90" s="43"/>
    </row>
    <row r="91" spans="1:19">
      <c r="A91" s="41" t="s">
        <v>573</v>
      </c>
      <c r="B91" s="28" t="s">
        <v>574</v>
      </c>
      <c r="C91" s="28" t="s">
        <v>575</v>
      </c>
      <c r="D91" s="30">
        <f>VLOOKUP(YEAR(Tabel1[[#This Row],[Geb datum]]),Tabel8[#All],2,FALSE)</f>
        <v>8</v>
      </c>
      <c r="E91" s="47">
        <v>42096</v>
      </c>
      <c r="F91" s="30" t="str">
        <f>VLOOKUP(YEAR(Tabel1[[#This Row],[Geb datum]]),Tabel8[#All],3,FALSE)</f>
        <v>E</v>
      </c>
      <c r="G91" s="30" t="s">
        <v>43</v>
      </c>
      <c r="H91" s="30" t="s">
        <v>48</v>
      </c>
      <c r="I91" s="42"/>
      <c r="K91" s="41"/>
      <c r="L91" s="28" t="s">
        <v>576</v>
      </c>
      <c r="M91" s="28" t="s">
        <v>577</v>
      </c>
      <c r="N91" s="30">
        <f>VLOOKUP(YEAR(Tabel3[[#This Row],[Geb datum]]),Tabel8[#All],2,FALSE)</f>
        <v>38</v>
      </c>
      <c r="O91" s="29">
        <v>31048</v>
      </c>
      <c r="P91" s="30" t="str">
        <f>VLOOKUP(YEAR(Tabel3[[#This Row],[Geb datum]]),Tabel8[#All],3,FALSE)</f>
        <v>S</v>
      </c>
      <c r="Q91" s="30" t="s">
        <v>13</v>
      </c>
      <c r="R91" s="30" t="s">
        <v>164</v>
      </c>
      <c r="S91" s="43"/>
    </row>
    <row r="92" spans="1:19">
      <c r="A92" s="41" t="s">
        <v>578</v>
      </c>
      <c r="B92" s="28" t="s">
        <v>579</v>
      </c>
      <c r="C92" s="28" t="s">
        <v>580</v>
      </c>
      <c r="D92" s="30">
        <f>VLOOKUP(YEAR(Tabel1[[#This Row],[Geb datum]]),Tabel8[#All],2,FALSE)</f>
        <v>8</v>
      </c>
      <c r="E92" s="59">
        <v>42308</v>
      </c>
      <c r="F92" s="30" t="str">
        <f>VLOOKUP(YEAR(Tabel1[[#This Row],[Geb datum]]),Tabel8[#All],3,FALSE)</f>
        <v>E</v>
      </c>
      <c r="G92" s="30" t="s">
        <v>44</v>
      </c>
      <c r="H92" s="30" t="s">
        <v>49</v>
      </c>
      <c r="I92" s="42"/>
      <c r="K92" s="41" t="s">
        <v>581</v>
      </c>
      <c r="L92" s="28" t="s">
        <v>582</v>
      </c>
      <c r="M92" s="28" t="s">
        <v>583</v>
      </c>
      <c r="N92" s="30">
        <f>VLOOKUP(YEAR(Tabel3[[#This Row],[Geb datum]]),Tabel8[#All],2,FALSE)</f>
        <v>42</v>
      </c>
      <c r="O92" s="29">
        <v>29718</v>
      </c>
      <c r="P92" s="30" t="str">
        <f>VLOOKUP(YEAR(Tabel3[[#This Row],[Geb datum]]),Tabel8[#All],3,FALSE)</f>
        <v>S</v>
      </c>
      <c r="Q92" s="30" t="s">
        <v>13</v>
      </c>
      <c r="R92" s="30" t="s">
        <v>13</v>
      </c>
      <c r="S92" s="43"/>
    </row>
    <row r="93" spans="1:19">
      <c r="A93" s="31" t="s">
        <v>584</v>
      </c>
      <c r="B93" s="28" t="s">
        <v>585</v>
      </c>
      <c r="C93" s="28" t="s">
        <v>586</v>
      </c>
      <c r="D93" s="30">
        <f>VLOOKUP(YEAR(Tabel1[[#This Row],[Geb datum]]),Tabel8[#All],2,FALSE)</f>
        <v>8</v>
      </c>
      <c r="E93" s="47">
        <v>42333</v>
      </c>
      <c r="F93" s="30" t="str">
        <f>VLOOKUP(YEAR(Tabel1[[#This Row],[Geb datum]]),Tabel8[#All],3,FALSE)</f>
        <v>E</v>
      </c>
      <c r="G93" s="30" t="s">
        <v>44</v>
      </c>
      <c r="H93" s="30" t="s">
        <v>49</v>
      </c>
      <c r="I93" s="42"/>
      <c r="K93" s="41" t="s">
        <v>587</v>
      </c>
      <c r="L93" s="28" t="s">
        <v>588</v>
      </c>
      <c r="M93" s="28" t="s">
        <v>213</v>
      </c>
      <c r="N93" s="30">
        <f>VLOOKUP(YEAR(Tabel3[[#This Row],[Geb datum]]),Tabel8[#All],2,FALSE)</f>
        <v>41</v>
      </c>
      <c r="O93" s="29">
        <v>30083</v>
      </c>
      <c r="P93" s="30" t="str">
        <f>VLOOKUP(YEAR(Tabel3[[#This Row],[Geb datum]]),Tabel8[#All],3,FALSE)</f>
        <v>S</v>
      </c>
      <c r="Q93" s="30" t="s">
        <v>13</v>
      </c>
      <c r="R93" s="30" t="s">
        <v>164</v>
      </c>
      <c r="S93" s="43"/>
    </row>
    <row r="94" spans="1:19">
      <c r="A94" s="41" t="s">
        <v>589</v>
      </c>
      <c r="B94" s="28" t="s">
        <v>590</v>
      </c>
      <c r="C94" s="29" t="s">
        <v>146</v>
      </c>
      <c r="D94" s="30">
        <f>VLOOKUP(YEAR(Tabel1[[#This Row],[Geb datum]]),Tabel8[#All],2,FALSE)</f>
        <v>8</v>
      </c>
      <c r="E94" s="59">
        <v>42234</v>
      </c>
      <c r="F94" s="30" t="str">
        <f>VLOOKUP(YEAR(Tabel1[[#This Row],[Geb datum]]),Tabel8[#All],3,FALSE)</f>
        <v>E</v>
      </c>
      <c r="G94" s="30" t="s">
        <v>44</v>
      </c>
      <c r="H94" s="30" t="s">
        <v>49</v>
      </c>
      <c r="I94" s="42"/>
      <c r="K94" s="41" t="s">
        <v>591</v>
      </c>
      <c r="L94" s="28" t="s">
        <v>592</v>
      </c>
      <c r="M94" s="28" t="s">
        <v>593</v>
      </c>
      <c r="N94" s="30">
        <f>VLOOKUP(YEAR(Tabel3[[#This Row],[Geb datum]]),Tabel8[#All],2,FALSE)</f>
        <v>40</v>
      </c>
      <c r="O94" s="29">
        <v>30397</v>
      </c>
      <c r="P94" s="30" t="str">
        <f>VLOOKUP(YEAR(Tabel3[[#This Row],[Geb datum]]),Tabel8[#All],3,FALSE)</f>
        <v>S</v>
      </c>
      <c r="Q94" s="30" t="s">
        <v>13</v>
      </c>
      <c r="R94" s="30" t="s">
        <v>13</v>
      </c>
      <c r="S94" s="43"/>
    </row>
    <row r="95" spans="1:19">
      <c r="A95" s="41"/>
      <c r="B95" s="28" t="s">
        <v>594</v>
      </c>
      <c r="C95" s="28" t="s">
        <v>594</v>
      </c>
      <c r="D95" s="30"/>
      <c r="E95" s="47">
        <v>42005</v>
      </c>
      <c r="F95" s="30" t="str">
        <f>VLOOKUP(YEAR(Tabel1[[#This Row],[Geb datum]]),Tabel8[#All],3,FALSE)</f>
        <v>E</v>
      </c>
      <c r="G95" s="30" t="s">
        <v>44</v>
      </c>
      <c r="H95" s="30" t="s">
        <v>164</v>
      </c>
      <c r="I95" s="42"/>
      <c r="K95" s="41"/>
      <c r="L95" s="28" t="s">
        <v>595</v>
      </c>
      <c r="M95" s="28" t="s">
        <v>596</v>
      </c>
      <c r="N95" s="30">
        <f>VLOOKUP(YEAR(Tabel3[[#This Row],[Geb datum]]),Tabel8[#All],2,FALSE)</f>
        <v>43</v>
      </c>
      <c r="O95" s="29">
        <v>29221</v>
      </c>
      <c r="P95" s="30" t="str">
        <f>VLOOKUP(YEAR(Tabel3[[#This Row],[Geb datum]]),Tabel8[#All],3,FALSE)</f>
        <v>S</v>
      </c>
      <c r="Q95" s="30" t="s">
        <v>13</v>
      </c>
      <c r="R95" s="30" t="s">
        <v>164</v>
      </c>
      <c r="S95" s="43"/>
    </row>
    <row r="96" spans="1:19">
      <c r="A96" s="41" t="s">
        <v>597</v>
      </c>
      <c r="B96" s="28" t="s">
        <v>598</v>
      </c>
      <c r="C96" s="28" t="s">
        <v>599</v>
      </c>
      <c r="D96" s="30">
        <f>VLOOKUP(YEAR(Tabel1[[#This Row],[Geb datum]]),Tabel8[#All],2,FALSE)</f>
        <v>6</v>
      </c>
      <c r="E96" s="47">
        <v>42919</v>
      </c>
      <c r="F96" s="30" t="str">
        <f>VLOOKUP(YEAR(Tabel1[[#This Row],[Geb datum]]),Tabel8[#All],3,FALSE)</f>
        <v>F</v>
      </c>
      <c r="G96" s="30" t="s">
        <v>48</v>
      </c>
      <c r="H96" s="30" t="s">
        <v>164</v>
      </c>
      <c r="I96" s="42"/>
      <c r="K96" s="41" t="s">
        <v>600</v>
      </c>
      <c r="L96" s="28" t="s">
        <v>601</v>
      </c>
      <c r="M96" s="28" t="s">
        <v>602</v>
      </c>
      <c r="N96" s="30">
        <f>VLOOKUP(YEAR(Tabel3[[#This Row],[Geb datum]]),Tabel8[#All],2,FALSE)</f>
        <v>48</v>
      </c>
      <c r="O96" s="29">
        <v>27643</v>
      </c>
      <c r="P96" s="30" t="str">
        <f>VLOOKUP(YEAR(Tabel3[[#This Row],[Geb datum]]),Tabel8[#All],3,FALSE)</f>
        <v>S</v>
      </c>
      <c r="Q96" s="30" t="s">
        <v>13</v>
      </c>
      <c r="R96" s="30" t="s">
        <v>13</v>
      </c>
      <c r="S96" s="43"/>
    </row>
    <row r="97" spans="1:19">
      <c r="A97" s="41" t="s">
        <v>603</v>
      </c>
      <c r="B97" s="28" t="s">
        <v>604</v>
      </c>
      <c r="C97" s="29" t="s">
        <v>605</v>
      </c>
      <c r="D97" s="30">
        <f>VLOOKUP(YEAR(Tabel1[[#This Row],[Geb datum]]),Tabel8[#All],2,FALSE)</f>
        <v>7</v>
      </c>
      <c r="E97" s="59">
        <v>42481</v>
      </c>
      <c r="F97" s="30" t="str">
        <f>VLOOKUP(YEAR(Tabel1[[#This Row],[Geb datum]]),Tabel8[#All],3,FALSE)</f>
        <v>F</v>
      </c>
      <c r="G97" s="30" t="s">
        <v>48</v>
      </c>
      <c r="H97" s="30" t="s">
        <v>49</v>
      </c>
      <c r="I97" s="42"/>
      <c r="K97" s="41" t="s">
        <v>606</v>
      </c>
      <c r="L97" s="28" t="s">
        <v>607</v>
      </c>
      <c r="M97" s="28" t="s">
        <v>608</v>
      </c>
      <c r="N97" s="30">
        <f>VLOOKUP(YEAR(Tabel3[[#This Row],[Geb datum]]),Tabel8[#All],2,FALSE)</f>
        <v>46</v>
      </c>
      <c r="O97" s="29">
        <v>28259</v>
      </c>
      <c r="P97" s="30" t="str">
        <f>VLOOKUP(YEAR(Tabel3[[#This Row],[Geb datum]]),Tabel8[#All],3,FALSE)</f>
        <v>S</v>
      </c>
      <c r="Q97" s="30" t="s">
        <v>609</v>
      </c>
      <c r="R97" s="30" t="s">
        <v>609</v>
      </c>
      <c r="S97" s="43"/>
    </row>
    <row r="98" spans="1:19">
      <c r="A98" s="41" t="s">
        <v>610</v>
      </c>
      <c r="B98" s="28" t="s">
        <v>611</v>
      </c>
      <c r="C98" s="28" t="s">
        <v>612</v>
      </c>
      <c r="D98" s="30">
        <f>VLOOKUP(YEAR(Tabel1[[#This Row],[Geb datum]]),Tabel8[#All],2,FALSE)</f>
        <v>7</v>
      </c>
      <c r="E98" s="47">
        <v>42549</v>
      </c>
      <c r="F98" s="30" t="str">
        <f>VLOOKUP(YEAR(Tabel1[[#This Row],[Geb datum]]),Tabel8[#All],3,FALSE)</f>
        <v>F</v>
      </c>
      <c r="G98" s="30" t="s">
        <v>48</v>
      </c>
      <c r="H98" s="30" t="s">
        <v>49</v>
      </c>
      <c r="I98" s="42"/>
      <c r="K98" s="41" t="s">
        <v>613</v>
      </c>
      <c r="L98" s="28" t="s">
        <v>614</v>
      </c>
      <c r="M98" s="28" t="s">
        <v>167</v>
      </c>
      <c r="N98" s="30">
        <f>VLOOKUP(YEAR(Tabel3[[#This Row],[Geb datum]]),Tabel8[#All],2,FALSE)</f>
        <v>25</v>
      </c>
      <c r="O98" s="29">
        <v>36077</v>
      </c>
      <c r="P98" s="30" t="str">
        <f>VLOOKUP(YEAR(Tabel3[[#This Row],[Geb datum]]),Tabel8[#All],3,FALSE)</f>
        <v>S</v>
      </c>
      <c r="Q98" s="30" t="s">
        <v>1</v>
      </c>
      <c r="R98" s="30" t="s">
        <v>6</v>
      </c>
      <c r="S98" s="43"/>
    </row>
    <row r="99" spans="1:19">
      <c r="A99" s="41" t="s">
        <v>615</v>
      </c>
      <c r="B99" s="28" t="s">
        <v>616</v>
      </c>
      <c r="C99" s="28" t="s">
        <v>617</v>
      </c>
      <c r="D99" s="30">
        <f>VLOOKUP(YEAR(Tabel1[[#This Row],[Geb datum]]),Tabel8[#All],2,FALSE)</f>
        <v>5</v>
      </c>
      <c r="E99" s="47">
        <v>43215</v>
      </c>
      <c r="F99" s="30" t="str">
        <f>VLOOKUP(YEAR(Tabel1[[#This Row],[Geb datum]]),Tabel8[#All],3,FALSE)</f>
        <v>K</v>
      </c>
      <c r="G99" s="30" t="s">
        <v>48</v>
      </c>
      <c r="H99" s="30" t="s">
        <v>164</v>
      </c>
      <c r="I99" s="42"/>
      <c r="K99" s="41" t="s">
        <v>618</v>
      </c>
      <c r="L99" s="28" t="s">
        <v>619</v>
      </c>
      <c r="M99" s="28" t="s">
        <v>620</v>
      </c>
      <c r="N99" s="30">
        <f>VLOOKUP(YEAR(Tabel3[[#This Row],[Geb datum]]),Tabel8[#All],2,FALSE)</f>
        <v>27</v>
      </c>
      <c r="O99" s="29">
        <v>35372</v>
      </c>
      <c r="P99" s="30" t="str">
        <f>VLOOKUP(YEAR(Tabel3[[#This Row],[Geb datum]]),Tabel8[#All],3,FALSE)</f>
        <v>S</v>
      </c>
      <c r="Q99" s="30" t="s">
        <v>1</v>
      </c>
      <c r="R99" s="30" t="s">
        <v>7</v>
      </c>
      <c r="S99" s="43"/>
    </row>
    <row r="100" spans="1:19">
      <c r="A100" s="41" t="s">
        <v>621</v>
      </c>
      <c r="B100" s="28" t="s">
        <v>622</v>
      </c>
      <c r="C100" s="28" t="s">
        <v>623</v>
      </c>
      <c r="D100" s="30">
        <f>VLOOKUP(YEAR(Tabel1[[#This Row],[Geb datum]]),Tabel8[#All],2,FALSE)</f>
        <v>6</v>
      </c>
      <c r="E100" s="47">
        <v>42979</v>
      </c>
      <c r="F100" s="30" t="str">
        <f>VLOOKUP(YEAR(Tabel1[[#This Row],[Geb datum]]),Tabel8[#All],3,FALSE)</f>
        <v>F</v>
      </c>
      <c r="G100" s="30" t="s">
        <v>49</v>
      </c>
      <c r="H100" s="30" t="s">
        <v>164</v>
      </c>
      <c r="I100" s="42"/>
      <c r="K100" s="31" t="s">
        <v>624</v>
      </c>
      <c r="L100" s="28" t="s">
        <v>625</v>
      </c>
      <c r="M100" s="28" t="s">
        <v>626</v>
      </c>
      <c r="N100" s="30">
        <f>VLOOKUP(YEAR(Tabel3[[#This Row],[Geb datum]]),Tabel8[#All],2,FALSE)</f>
        <v>20</v>
      </c>
      <c r="O100" s="29">
        <v>37832</v>
      </c>
      <c r="P100" s="30" t="str">
        <f>VLOOKUP(YEAR(Tabel3[[#This Row],[Geb datum]]),Tabel8[#All],3,FALSE)</f>
        <v>S</v>
      </c>
      <c r="Q100" s="30" t="s">
        <v>1</v>
      </c>
      <c r="R100" s="30" t="s">
        <v>10</v>
      </c>
      <c r="S100" s="43"/>
    </row>
    <row r="101" spans="1:19">
      <c r="A101" s="41" t="s">
        <v>627</v>
      </c>
      <c r="B101" s="28" t="s">
        <v>628</v>
      </c>
      <c r="C101" s="28" t="s">
        <v>629</v>
      </c>
      <c r="D101" s="30">
        <f>VLOOKUP(YEAR(Tabel1[[#This Row],[Geb datum]]),Tabel8[#All],2,FALSE)</f>
        <v>6</v>
      </c>
      <c r="E101" s="47">
        <v>43006</v>
      </c>
      <c r="F101" s="30" t="str">
        <f>VLOOKUP(YEAR(Tabel1[[#This Row],[Geb datum]]),Tabel8[#All],3,FALSE)</f>
        <v>F</v>
      </c>
      <c r="G101" s="30" t="s">
        <v>49</v>
      </c>
      <c r="H101" s="30" t="s">
        <v>54</v>
      </c>
      <c r="I101" s="43"/>
      <c r="K101" s="41"/>
      <c r="L101" s="28" t="s">
        <v>630</v>
      </c>
      <c r="M101" s="28" t="s">
        <v>631</v>
      </c>
      <c r="N101" s="30">
        <f>VLOOKUP(YEAR(Tabel3[[#This Row],[Geb datum]]),Tabel8[#All],2,FALSE)</f>
        <v>23</v>
      </c>
      <c r="O101" s="29">
        <v>36526</v>
      </c>
      <c r="P101" s="30" t="str">
        <f>VLOOKUP(YEAR(Tabel3[[#This Row],[Geb datum]]),Tabel8[#All],3,FALSE)</f>
        <v>S</v>
      </c>
      <c r="Q101" s="30" t="s">
        <v>1</v>
      </c>
      <c r="R101" s="30" t="s">
        <v>164</v>
      </c>
      <c r="S101" s="43"/>
    </row>
    <row r="102" spans="1:19">
      <c r="A102" s="41" t="s">
        <v>632</v>
      </c>
      <c r="B102" s="28" t="s">
        <v>633</v>
      </c>
      <c r="C102" s="28" t="s">
        <v>634</v>
      </c>
      <c r="D102" s="30">
        <f>VLOOKUP(YEAR(Tabel1[[#This Row],[Geb datum]]),Tabel8[#All],2,FALSE)</f>
        <v>6</v>
      </c>
      <c r="E102" s="47">
        <v>42788</v>
      </c>
      <c r="F102" s="30" t="str">
        <f>VLOOKUP(YEAR(Tabel1[[#This Row],[Geb datum]]),Tabel8[#All],3,FALSE)</f>
        <v>F</v>
      </c>
      <c r="G102" s="30" t="s">
        <v>49</v>
      </c>
      <c r="H102" s="30" t="s">
        <v>49</v>
      </c>
      <c r="I102" s="42"/>
      <c r="K102" s="41" t="s">
        <v>635</v>
      </c>
      <c r="L102" s="28" t="s">
        <v>636</v>
      </c>
      <c r="M102" s="28" t="s">
        <v>637</v>
      </c>
      <c r="N102" s="30">
        <f>VLOOKUP(YEAR(Tabel3[[#This Row],[Geb datum]]),Tabel8[#All],2,FALSE)</f>
        <v>25</v>
      </c>
      <c r="O102" s="29">
        <v>35873</v>
      </c>
      <c r="P102" s="30" t="str">
        <f>VLOOKUP(YEAR(Tabel3[[#This Row],[Geb datum]]),Tabel8[#All],3,FALSE)</f>
        <v>S</v>
      </c>
      <c r="Q102" s="30" t="s">
        <v>1</v>
      </c>
      <c r="R102" s="30" t="s">
        <v>7</v>
      </c>
      <c r="S102" s="43"/>
    </row>
    <row r="103" spans="1:19">
      <c r="A103" s="41" t="s">
        <v>638</v>
      </c>
      <c r="B103" s="28" t="s">
        <v>639</v>
      </c>
      <c r="C103" s="28" t="s">
        <v>640</v>
      </c>
      <c r="D103" s="30">
        <f>VLOOKUP(YEAR(Tabel1[[#This Row],[Geb datum]]),Tabel8[#All],2,FALSE)</f>
        <v>7</v>
      </c>
      <c r="E103" s="29">
        <v>42533</v>
      </c>
      <c r="F103" s="30" t="str">
        <f>VLOOKUP(YEAR(Tabel1[[#This Row],[Geb datum]]),Tabel8[#All],3,FALSE)</f>
        <v>F</v>
      </c>
      <c r="G103" s="30" t="s">
        <v>49</v>
      </c>
      <c r="H103" s="30" t="s">
        <v>164</v>
      </c>
      <c r="I103" s="42"/>
      <c r="K103" s="41" t="s">
        <v>641</v>
      </c>
      <c r="L103" s="28" t="s">
        <v>642</v>
      </c>
      <c r="M103" s="28" t="s">
        <v>643</v>
      </c>
      <c r="N103" s="30">
        <f>VLOOKUP(YEAR(Tabel3[[#This Row],[Geb datum]]),Tabel8[#All],2,FALSE)</f>
        <v>19</v>
      </c>
      <c r="O103" s="29">
        <v>38010</v>
      </c>
      <c r="P103" s="30" t="str">
        <f>VLOOKUP(YEAR(Tabel3[[#This Row],[Geb datum]]),Tabel8[#All],3,FALSE)</f>
        <v>S</v>
      </c>
      <c r="Q103" s="30" t="s">
        <v>1</v>
      </c>
      <c r="R103" s="30" t="s">
        <v>15</v>
      </c>
      <c r="S103" s="43"/>
    </row>
    <row r="104" spans="1:19">
      <c r="A104" s="41" t="s">
        <v>644</v>
      </c>
      <c r="B104" s="28" t="s">
        <v>645</v>
      </c>
      <c r="C104" s="29" t="s">
        <v>646</v>
      </c>
      <c r="D104" s="30">
        <f>VLOOKUP(YEAR(Tabel1[[#This Row],[Geb datum]]),Tabel8[#All],2,FALSE)</f>
        <v>5</v>
      </c>
      <c r="E104" s="59">
        <v>43409</v>
      </c>
      <c r="F104" s="30" t="str">
        <f>VLOOKUP(YEAR(Tabel1[[#This Row],[Geb datum]]),Tabel8[#All],3,FALSE)</f>
        <v>K</v>
      </c>
      <c r="G104" s="30" t="s">
        <v>54</v>
      </c>
      <c r="H104" s="30" t="s">
        <v>54</v>
      </c>
      <c r="I104" s="42"/>
      <c r="K104" s="41" t="s">
        <v>647</v>
      </c>
      <c r="L104" s="28" t="s">
        <v>648</v>
      </c>
      <c r="M104" s="28" t="s">
        <v>649</v>
      </c>
      <c r="N104" s="30">
        <f>VLOOKUP(YEAR(Tabel3[[#This Row],[Geb datum]]),Tabel8[#All],2,FALSE)</f>
        <v>26</v>
      </c>
      <c r="O104" s="29">
        <v>35550</v>
      </c>
      <c r="P104" s="30" t="str">
        <f>VLOOKUP(YEAR(Tabel3[[#This Row],[Geb datum]]),Tabel8[#All],3,FALSE)</f>
        <v>S</v>
      </c>
      <c r="Q104" s="30" t="s">
        <v>1</v>
      </c>
      <c r="R104" s="30" t="s">
        <v>6</v>
      </c>
      <c r="S104" s="43"/>
    </row>
    <row r="105" spans="1:19">
      <c r="A105" s="41" t="s">
        <v>650</v>
      </c>
      <c r="B105" s="28" t="s">
        <v>651</v>
      </c>
      <c r="C105" s="28" t="s">
        <v>652</v>
      </c>
      <c r="D105" s="30">
        <f>VLOOKUP(YEAR(Tabel1[[#This Row],[Geb datum]]),Tabel8[#All],2,FALSE)</f>
        <v>38</v>
      </c>
      <c r="E105" s="47">
        <v>31086</v>
      </c>
      <c r="F105" s="30" t="str">
        <f>VLOOKUP(YEAR(Tabel1[[#This Row],[Geb datum]]),Tabel8[#All],3,FALSE)</f>
        <v>S</v>
      </c>
      <c r="G105" s="30" t="s">
        <v>13</v>
      </c>
      <c r="H105" s="30" t="s">
        <v>13</v>
      </c>
      <c r="I105" s="42"/>
      <c r="K105" s="41" t="s">
        <v>653</v>
      </c>
      <c r="L105" s="28" t="s">
        <v>654</v>
      </c>
      <c r="M105" s="28" t="s">
        <v>655</v>
      </c>
      <c r="N105" s="30">
        <f>VLOOKUP(YEAR(Tabel3[[#This Row],[Geb datum]]),Tabel8[#All],2,FALSE)</f>
        <v>25</v>
      </c>
      <c r="O105" s="59">
        <v>36143</v>
      </c>
      <c r="P105" s="30" t="str">
        <f>VLOOKUP(YEAR(Tabel3[[#This Row],[Geb datum]]),Tabel8[#All],3,FALSE)</f>
        <v>S</v>
      </c>
      <c r="Q105" s="30" t="s">
        <v>1</v>
      </c>
      <c r="R105" s="30" t="s">
        <v>63</v>
      </c>
      <c r="S105" s="43"/>
    </row>
    <row r="106" spans="1:19">
      <c r="A106" s="58" t="s">
        <v>656</v>
      </c>
      <c r="B106" s="68" t="s">
        <v>657</v>
      </c>
      <c r="C106" s="68" t="s">
        <v>658</v>
      </c>
      <c r="D106" s="30">
        <f>VLOOKUP(YEAR(Tabel1[[#This Row],[Geb datum]]),Tabel8[#All],2,FALSE)</f>
        <v>36</v>
      </c>
      <c r="E106" s="59">
        <v>31792</v>
      </c>
      <c r="F106" s="30" t="str">
        <f>VLOOKUP(YEAR(Tabel1[[#This Row],[Geb datum]]),Tabel8[#All],3,FALSE)</f>
        <v>S</v>
      </c>
      <c r="G106" s="30" t="s">
        <v>13</v>
      </c>
      <c r="H106" s="30" t="s">
        <v>164</v>
      </c>
      <c r="I106" s="42"/>
      <c r="K106" s="41" t="s">
        <v>659</v>
      </c>
      <c r="L106" s="28" t="s">
        <v>660</v>
      </c>
      <c r="M106" s="28" t="s">
        <v>280</v>
      </c>
      <c r="N106" s="30">
        <f>VLOOKUP(YEAR(Tabel3[[#This Row],[Geb datum]]),Tabel8[#All],2,FALSE)</f>
        <v>27</v>
      </c>
      <c r="O106" s="29">
        <v>35246</v>
      </c>
      <c r="P106" s="30" t="str">
        <f>VLOOKUP(YEAR(Tabel3[[#This Row],[Geb datum]]),Tabel8[#All],3,FALSE)</f>
        <v>S</v>
      </c>
      <c r="Q106" s="30" t="s">
        <v>1</v>
      </c>
      <c r="R106" s="30" t="s">
        <v>6</v>
      </c>
      <c r="S106" s="43"/>
    </row>
    <row r="107" spans="1:19">
      <c r="A107" s="41"/>
      <c r="B107" s="28" t="s">
        <v>661</v>
      </c>
      <c r="C107" s="28" t="s">
        <v>658</v>
      </c>
      <c r="D107" s="30">
        <f>VLOOKUP(YEAR(Tabel1[[#This Row],[Geb datum]]),Tabel8[#All],2,FALSE)</f>
        <v>35</v>
      </c>
      <c r="E107" s="47">
        <v>32143</v>
      </c>
      <c r="F107" s="30" t="str">
        <f>VLOOKUP(YEAR(Tabel1[[#This Row],[Geb datum]]),Tabel8[#All],3,FALSE)</f>
        <v>S</v>
      </c>
      <c r="G107" s="30" t="s">
        <v>13</v>
      </c>
      <c r="H107" s="30" t="s">
        <v>164</v>
      </c>
      <c r="I107" s="42"/>
      <c r="K107" s="41" t="s">
        <v>662</v>
      </c>
      <c r="L107" s="28" t="s">
        <v>663</v>
      </c>
      <c r="M107" s="28" t="s">
        <v>664</v>
      </c>
      <c r="N107" s="30">
        <f>VLOOKUP(YEAR(Tabel3[[#This Row],[Geb datum]]),Tabel8[#All],2,FALSE)</f>
        <v>32</v>
      </c>
      <c r="O107" s="29">
        <v>33241</v>
      </c>
      <c r="P107" s="30" t="str">
        <f>VLOOKUP(YEAR(Tabel3[[#This Row],[Geb datum]]),Tabel8[#All],3,FALSE)</f>
        <v>S</v>
      </c>
      <c r="Q107" s="30" t="s">
        <v>1</v>
      </c>
      <c r="R107" s="30" t="s">
        <v>7</v>
      </c>
      <c r="S107" s="43"/>
    </row>
    <row r="108" spans="1:19">
      <c r="A108" s="58" t="s">
        <v>665</v>
      </c>
      <c r="B108" s="100" t="s">
        <v>666</v>
      </c>
      <c r="C108" s="28" t="s">
        <v>667</v>
      </c>
      <c r="D108" s="30">
        <f>VLOOKUP(YEAR(Tabel1[[#This Row],[Geb datum]]),Tabel8[#All],2,FALSE)</f>
        <v>33</v>
      </c>
      <c r="E108" s="47">
        <v>33086</v>
      </c>
      <c r="F108" s="30" t="str">
        <f>VLOOKUP(YEAR(Tabel1[[#This Row],[Geb datum]]),Tabel8[#All],3,FALSE)</f>
        <v>S</v>
      </c>
      <c r="G108" s="30" t="s">
        <v>13</v>
      </c>
      <c r="H108" s="30" t="s">
        <v>164</v>
      </c>
      <c r="I108" s="42"/>
      <c r="K108" s="41" t="s">
        <v>668</v>
      </c>
      <c r="L108" s="28" t="s">
        <v>669</v>
      </c>
      <c r="M108" s="28" t="s">
        <v>231</v>
      </c>
      <c r="N108" s="30">
        <f>VLOOKUP(YEAR(Tabel3[[#This Row],[Geb datum]]),Tabel8[#All],2,FALSE)</f>
        <v>23</v>
      </c>
      <c r="O108" s="29">
        <v>36567</v>
      </c>
      <c r="P108" s="30" t="str">
        <f>VLOOKUP(YEAR(Tabel3[[#This Row],[Geb datum]]),Tabel8[#All],3,FALSE)</f>
        <v>S</v>
      </c>
      <c r="Q108" s="30" t="s">
        <v>1</v>
      </c>
      <c r="R108" s="30" t="s">
        <v>7</v>
      </c>
      <c r="S108" s="43"/>
    </row>
    <row r="109" spans="1:19">
      <c r="A109" s="41" t="s">
        <v>670</v>
      </c>
      <c r="B109" s="28" t="s">
        <v>671</v>
      </c>
      <c r="C109" s="28" t="s">
        <v>192</v>
      </c>
      <c r="D109" s="30">
        <f>VLOOKUP(YEAR(Tabel1[[#This Row],[Geb datum]]),Tabel8[#All],2,FALSE)</f>
        <v>43</v>
      </c>
      <c r="E109" s="59">
        <v>29257</v>
      </c>
      <c r="F109" s="30" t="str">
        <f>VLOOKUP(YEAR(Tabel1[[#This Row],[Geb datum]]),Tabel8[#All],3,FALSE)</f>
        <v>S</v>
      </c>
      <c r="G109" s="30" t="s">
        <v>13</v>
      </c>
      <c r="H109" s="30" t="s">
        <v>13</v>
      </c>
      <c r="I109" s="42"/>
      <c r="K109" s="41" t="s">
        <v>672</v>
      </c>
      <c r="L109" s="28" t="s">
        <v>673</v>
      </c>
      <c r="M109" s="28" t="s">
        <v>674</v>
      </c>
      <c r="N109" s="30">
        <f>VLOOKUP(YEAR(Tabel3[[#This Row],[Geb datum]]),Tabel8[#All],2,FALSE)</f>
        <v>29</v>
      </c>
      <c r="O109" s="59">
        <v>34464</v>
      </c>
      <c r="P109" s="30" t="str">
        <f>VLOOKUP(YEAR(Tabel3[[#This Row],[Geb datum]]),Tabel8[#All],3,FALSE)</f>
        <v>S</v>
      </c>
      <c r="Q109" s="30" t="s">
        <v>8</v>
      </c>
      <c r="R109" s="30" t="s">
        <v>8</v>
      </c>
      <c r="S109" s="43"/>
    </row>
    <row r="110" spans="1:19">
      <c r="A110" s="58" t="s">
        <v>675</v>
      </c>
      <c r="B110" s="28" t="s">
        <v>676</v>
      </c>
      <c r="C110" s="28" t="s">
        <v>375</v>
      </c>
      <c r="D110" s="30">
        <f>VLOOKUP(YEAR(Tabel1[[#This Row],[Geb datum]]),Tabel8[#All],2,FALSE)</f>
        <v>35</v>
      </c>
      <c r="E110" s="47">
        <v>32143</v>
      </c>
      <c r="F110" s="30" t="str">
        <f>VLOOKUP(YEAR(Tabel1[[#This Row],[Geb datum]]),Tabel8[#All],3,FALSE)</f>
        <v>S</v>
      </c>
      <c r="G110" s="30" t="s">
        <v>13</v>
      </c>
      <c r="H110" s="30" t="s">
        <v>164</v>
      </c>
      <c r="I110" s="42"/>
      <c r="K110" s="41" t="s">
        <v>677</v>
      </c>
      <c r="L110" s="28" t="s">
        <v>678</v>
      </c>
      <c r="M110" s="28" t="s">
        <v>679</v>
      </c>
      <c r="N110" s="30">
        <f>VLOOKUP(YEAR(Tabel3[[#This Row],[Geb datum]]),Tabel8[#All],2,FALSE)</f>
        <v>33</v>
      </c>
      <c r="O110" s="29">
        <v>33100</v>
      </c>
      <c r="P110" s="30" t="str">
        <f>VLOOKUP(YEAR(Tabel3[[#This Row],[Geb datum]]),Tabel8[#All],3,FALSE)</f>
        <v>S</v>
      </c>
      <c r="Q110" s="30" t="s">
        <v>8</v>
      </c>
      <c r="R110" s="30" t="s">
        <v>8</v>
      </c>
      <c r="S110" s="43"/>
    </row>
    <row r="111" spans="1:19">
      <c r="A111" s="41" t="s">
        <v>680</v>
      </c>
      <c r="B111" s="28" t="s">
        <v>681</v>
      </c>
      <c r="C111" s="28" t="s">
        <v>682</v>
      </c>
      <c r="D111" s="30">
        <f>VLOOKUP(YEAR(Tabel1[[#This Row],[Geb datum]]),Tabel8[#All],2,FALSE)</f>
        <v>35</v>
      </c>
      <c r="E111" s="47">
        <v>32197</v>
      </c>
      <c r="F111" s="30" t="str">
        <f>VLOOKUP(YEAR(Tabel1[[#This Row],[Geb datum]]),Tabel8[#All],3,FALSE)</f>
        <v>S</v>
      </c>
      <c r="G111" s="30" t="s">
        <v>13</v>
      </c>
      <c r="H111" s="30" t="s">
        <v>13</v>
      </c>
      <c r="I111" s="42"/>
      <c r="K111" s="41" t="s">
        <v>683</v>
      </c>
      <c r="L111" s="28" t="s">
        <v>684</v>
      </c>
      <c r="M111" s="28" t="s">
        <v>207</v>
      </c>
      <c r="N111" s="30">
        <f>VLOOKUP(YEAR(Tabel3[[#This Row],[Geb datum]]),Tabel8[#All],2,FALSE)</f>
        <v>28</v>
      </c>
      <c r="O111" s="29">
        <v>34711</v>
      </c>
      <c r="P111" s="30" t="str">
        <f>VLOOKUP(YEAR(Tabel3[[#This Row],[Geb datum]]),Tabel8[#All],3,FALSE)</f>
        <v>S</v>
      </c>
      <c r="Q111" s="30" t="s">
        <v>8</v>
      </c>
      <c r="R111" s="30" t="s">
        <v>6</v>
      </c>
      <c r="S111" s="43"/>
    </row>
    <row r="112" spans="1:19">
      <c r="A112" s="41" t="s">
        <v>685</v>
      </c>
      <c r="B112" s="28" t="s">
        <v>686</v>
      </c>
      <c r="C112" s="28" t="s">
        <v>687</v>
      </c>
      <c r="D112" s="30">
        <f>VLOOKUP(YEAR(Tabel1[[#This Row],[Geb datum]]),Tabel8[#All],2,FALSE)</f>
        <v>20</v>
      </c>
      <c r="E112" s="47">
        <v>37771</v>
      </c>
      <c r="F112" s="30" t="str">
        <f>VLOOKUP(YEAR(Tabel1[[#This Row],[Geb datum]]),Tabel8[#All],3,FALSE)</f>
        <v>S</v>
      </c>
      <c r="G112" s="30" t="s">
        <v>1</v>
      </c>
      <c r="H112" s="30" t="s">
        <v>10</v>
      </c>
      <c r="I112" s="42"/>
      <c r="K112" s="41" t="s">
        <v>688</v>
      </c>
      <c r="L112" s="28" t="s">
        <v>689</v>
      </c>
      <c r="M112" s="28" t="s">
        <v>690</v>
      </c>
      <c r="N112" s="30">
        <f>VLOOKUP(YEAR(Tabel3[[#This Row],[Geb datum]]),Tabel8[#All],2,FALSE)</f>
        <v>39</v>
      </c>
      <c r="O112" s="29">
        <v>30994</v>
      </c>
      <c r="P112" s="30" t="str">
        <f>VLOOKUP(YEAR(Tabel3[[#This Row],[Geb datum]]),Tabel8[#All],3,FALSE)</f>
        <v>S</v>
      </c>
      <c r="Q112" s="30" t="s">
        <v>8</v>
      </c>
      <c r="R112" s="30" t="s">
        <v>8</v>
      </c>
      <c r="S112" s="43"/>
    </row>
    <row r="113" spans="1:19">
      <c r="A113" s="41" t="s">
        <v>691</v>
      </c>
      <c r="B113" s="28" t="s">
        <v>692</v>
      </c>
      <c r="C113" s="28" t="s">
        <v>297</v>
      </c>
      <c r="D113" s="30">
        <f>VLOOKUP(YEAR(Tabel1[[#This Row],[Geb datum]]),Tabel8[#All],2,FALSE)</f>
        <v>22</v>
      </c>
      <c r="E113" s="47">
        <v>36938</v>
      </c>
      <c r="F113" s="30" t="str">
        <f>VLOOKUP(YEAR(Tabel1[[#This Row],[Geb datum]]),Tabel8[#All],3,FALSE)</f>
        <v>S</v>
      </c>
      <c r="G113" s="30" t="s">
        <v>1</v>
      </c>
      <c r="H113" s="30" t="s">
        <v>7</v>
      </c>
      <c r="I113" s="42"/>
      <c r="K113" s="41" t="s">
        <v>693</v>
      </c>
      <c r="L113" s="28" t="s">
        <v>694</v>
      </c>
      <c r="M113" s="28" t="s">
        <v>327</v>
      </c>
      <c r="N113" s="30">
        <f>VLOOKUP(YEAR(Tabel3[[#This Row],[Geb datum]]),Tabel8[#All],2,FALSE)</f>
        <v>35</v>
      </c>
      <c r="O113" s="29">
        <v>32357</v>
      </c>
      <c r="P113" s="30" t="str">
        <f>VLOOKUP(YEAR(Tabel3[[#This Row],[Geb datum]]),Tabel8[#All],3,FALSE)</f>
        <v>S</v>
      </c>
      <c r="Q113" s="30" t="s">
        <v>8</v>
      </c>
      <c r="R113" s="30" t="s">
        <v>8</v>
      </c>
      <c r="S113" s="43"/>
    </row>
    <row r="114" spans="1:19">
      <c r="A114" s="41" t="s">
        <v>695</v>
      </c>
      <c r="B114" s="28" t="s">
        <v>696</v>
      </c>
      <c r="C114" s="28" t="s">
        <v>697</v>
      </c>
      <c r="D114" s="30">
        <f>VLOOKUP(YEAR(Tabel1[[#This Row],[Geb datum]]),Tabel8[#All],2,FALSE)</f>
        <v>22</v>
      </c>
      <c r="E114" s="47">
        <v>37246</v>
      </c>
      <c r="F114" s="30" t="str">
        <f>VLOOKUP(YEAR(Tabel1[[#This Row],[Geb datum]]),Tabel8[#All],3,FALSE)</f>
        <v>S</v>
      </c>
      <c r="G114" s="30" t="s">
        <v>1</v>
      </c>
      <c r="H114" s="30" t="s">
        <v>6</v>
      </c>
      <c r="I114" s="42"/>
      <c r="K114" s="41" t="s">
        <v>698</v>
      </c>
      <c r="L114" s="28" t="s">
        <v>699</v>
      </c>
      <c r="M114" s="28" t="s">
        <v>700</v>
      </c>
      <c r="N114" s="30">
        <f>VLOOKUP(YEAR(Tabel3[[#This Row],[Geb datum]]),Tabel8[#All],2,FALSE)</f>
        <v>43</v>
      </c>
      <c r="O114" s="29">
        <v>29340</v>
      </c>
      <c r="P114" s="30" t="str">
        <f>VLOOKUP(YEAR(Tabel3[[#This Row],[Geb datum]]),Tabel8[#All],3,FALSE)</f>
        <v>S</v>
      </c>
      <c r="Q114" s="30" t="s">
        <v>9</v>
      </c>
      <c r="R114" s="30" t="s">
        <v>9</v>
      </c>
      <c r="S114" s="43"/>
    </row>
    <row r="115" spans="1:19">
      <c r="A115" s="41" t="s">
        <v>701</v>
      </c>
      <c r="B115" s="28" t="s">
        <v>702</v>
      </c>
      <c r="C115" s="28" t="s">
        <v>324</v>
      </c>
      <c r="D115" s="30">
        <f>VLOOKUP(YEAR(Tabel1[[#This Row],[Geb datum]]),Tabel8[#All],2,FALSE)</f>
        <v>21</v>
      </c>
      <c r="E115" s="47">
        <v>37551</v>
      </c>
      <c r="F115" s="30" t="str">
        <f>VLOOKUP(YEAR(Tabel1[[#This Row],[Geb datum]]),Tabel8[#All],3,FALSE)</f>
        <v>S</v>
      </c>
      <c r="G115" s="30" t="s">
        <v>1</v>
      </c>
      <c r="H115" s="30" t="s">
        <v>7</v>
      </c>
      <c r="I115" s="42"/>
      <c r="K115" s="41" t="s">
        <v>703</v>
      </c>
      <c r="L115" s="28" t="s">
        <v>704</v>
      </c>
      <c r="M115" s="28" t="s">
        <v>705</v>
      </c>
      <c r="N115" s="30">
        <f>VLOOKUP(YEAR(Tabel3[[#This Row],[Geb datum]]),Tabel8[#All],2,FALSE)</f>
        <v>43</v>
      </c>
      <c r="O115" s="29">
        <v>29523</v>
      </c>
      <c r="P115" s="30" t="str">
        <f>VLOOKUP(YEAR(Tabel3[[#This Row],[Geb datum]]),Tabel8[#All],3,FALSE)</f>
        <v>S</v>
      </c>
      <c r="Q115" s="30" t="s">
        <v>9</v>
      </c>
      <c r="R115" s="30" t="s">
        <v>9</v>
      </c>
      <c r="S115" s="43"/>
    </row>
    <row r="116" spans="1:19">
      <c r="A116" s="41" t="s">
        <v>706</v>
      </c>
      <c r="B116" s="28" t="s">
        <v>707</v>
      </c>
      <c r="C116" s="28" t="s">
        <v>658</v>
      </c>
      <c r="D116" s="30">
        <f>VLOOKUP(YEAR(Tabel1[[#This Row],[Geb datum]]),Tabel8[#All],2,FALSE)</f>
        <v>22</v>
      </c>
      <c r="E116" s="47">
        <v>36993</v>
      </c>
      <c r="F116" s="30" t="str">
        <f>VLOOKUP(YEAR(Tabel1[[#This Row],[Geb datum]]),Tabel8[#All],3,FALSE)</f>
        <v>S</v>
      </c>
      <c r="G116" s="30" t="s">
        <v>1</v>
      </c>
      <c r="H116" s="30" t="s">
        <v>10</v>
      </c>
      <c r="I116" s="42"/>
      <c r="K116" s="41" t="s">
        <v>708</v>
      </c>
      <c r="L116" s="28" t="s">
        <v>709</v>
      </c>
      <c r="M116" s="28" t="s">
        <v>167</v>
      </c>
      <c r="N116" s="30">
        <f>VLOOKUP(YEAR(Tabel3[[#This Row],[Geb datum]]),Tabel8[#All],2,FALSE)</f>
        <v>44</v>
      </c>
      <c r="O116" s="29">
        <v>29031</v>
      </c>
      <c r="P116" s="30" t="str">
        <f>VLOOKUP(YEAR(Tabel3[[#This Row],[Geb datum]]),Tabel8[#All],3,FALSE)</f>
        <v>S</v>
      </c>
      <c r="Q116" s="30" t="s">
        <v>9</v>
      </c>
      <c r="R116" s="30" t="s">
        <v>9</v>
      </c>
      <c r="S116" s="43"/>
    </row>
    <row r="117" spans="1:19">
      <c r="A117" s="41" t="s">
        <v>710</v>
      </c>
      <c r="B117" s="28" t="s">
        <v>711</v>
      </c>
      <c r="C117" s="28" t="s">
        <v>712</v>
      </c>
      <c r="D117" s="30">
        <f>VLOOKUP(YEAR(Tabel1[[#This Row],[Geb datum]]),Tabel8[#All],2,FALSE)</f>
        <v>20</v>
      </c>
      <c r="E117" s="47">
        <v>37684</v>
      </c>
      <c r="F117" s="30" t="str">
        <f>VLOOKUP(YEAR(Tabel1[[#This Row],[Geb datum]]),Tabel8[#All],3,FALSE)</f>
        <v>S</v>
      </c>
      <c r="G117" s="30" t="s">
        <v>1</v>
      </c>
      <c r="H117" s="30" t="s">
        <v>10</v>
      </c>
      <c r="I117" s="42"/>
      <c r="K117" s="41" t="s">
        <v>713</v>
      </c>
      <c r="L117" s="28" t="s">
        <v>714</v>
      </c>
      <c r="M117" s="28" t="s">
        <v>715</v>
      </c>
      <c r="N117" s="30">
        <f>VLOOKUP(YEAR(Tabel3[[#This Row],[Geb datum]]),Tabel8[#All],2,FALSE)</f>
        <v>33</v>
      </c>
      <c r="O117" s="29">
        <v>33019</v>
      </c>
      <c r="P117" s="30" t="str">
        <f>VLOOKUP(YEAR(Tabel3[[#This Row],[Geb datum]]),Tabel8[#All],3,FALSE)</f>
        <v>S</v>
      </c>
      <c r="Q117" s="30" t="s">
        <v>9</v>
      </c>
      <c r="R117" s="30" t="s">
        <v>9</v>
      </c>
      <c r="S117" s="43"/>
    </row>
    <row r="118" spans="1:19">
      <c r="A118" s="41" t="s">
        <v>716</v>
      </c>
      <c r="B118" s="28" t="s">
        <v>717</v>
      </c>
      <c r="C118" s="28" t="s">
        <v>718</v>
      </c>
      <c r="D118" s="30">
        <f>VLOOKUP(YEAR(Tabel1[[#This Row],[Geb datum]]),Tabel8[#All],2,FALSE)</f>
        <v>21</v>
      </c>
      <c r="E118" s="47">
        <v>37307</v>
      </c>
      <c r="F118" s="30" t="str">
        <f>VLOOKUP(YEAR(Tabel1[[#This Row],[Geb datum]]),Tabel8[#All],3,FALSE)</f>
        <v>S</v>
      </c>
      <c r="G118" s="30" t="s">
        <v>1</v>
      </c>
      <c r="H118" s="30" t="s">
        <v>7</v>
      </c>
      <c r="I118" s="42"/>
      <c r="K118" s="41" t="s">
        <v>719</v>
      </c>
      <c r="L118" s="28" t="s">
        <v>720</v>
      </c>
      <c r="M118" s="28" t="s">
        <v>721</v>
      </c>
      <c r="N118" s="30">
        <f>VLOOKUP(YEAR(Tabel3[[#This Row],[Geb datum]]),Tabel8[#All],2,FALSE)</f>
        <v>33</v>
      </c>
      <c r="O118" s="29">
        <v>33058</v>
      </c>
      <c r="P118" s="30" t="str">
        <f>VLOOKUP(YEAR(Tabel3[[#This Row],[Geb datum]]),Tabel8[#All],3,FALSE)</f>
        <v>S</v>
      </c>
      <c r="Q118" s="30" t="s">
        <v>9</v>
      </c>
      <c r="R118" s="30" t="s">
        <v>9</v>
      </c>
      <c r="S118" s="43"/>
    </row>
    <row r="119" spans="1:19">
      <c r="A119" s="41" t="s">
        <v>722</v>
      </c>
      <c r="B119" s="28" t="s">
        <v>723</v>
      </c>
      <c r="C119" s="28" t="s">
        <v>724</v>
      </c>
      <c r="D119" s="30">
        <f>VLOOKUP(YEAR(Tabel1[[#This Row],[Geb datum]]),Tabel8[#All],2,FALSE)</f>
        <v>25</v>
      </c>
      <c r="E119" s="47">
        <v>36011</v>
      </c>
      <c r="F119" s="30" t="str">
        <f>VLOOKUP(YEAR(Tabel1[[#This Row],[Geb datum]]),Tabel8[#All],3,FALSE)</f>
        <v>S</v>
      </c>
      <c r="G119" s="30" t="s">
        <v>1</v>
      </c>
      <c r="H119" s="30" t="s">
        <v>7</v>
      </c>
      <c r="I119" s="42"/>
      <c r="K119" s="41" t="s">
        <v>725</v>
      </c>
      <c r="L119" s="28" t="s">
        <v>726</v>
      </c>
      <c r="M119" s="28" t="s">
        <v>458</v>
      </c>
      <c r="N119" s="30">
        <f>VLOOKUP(YEAR(Tabel3[[#This Row],[Geb datum]]),Tabel8[#All],2,FALSE)</f>
        <v>19</v>
      </c>
      <c r="O119" s="29">
        <v>38220</v>
      </c>
      <c r="P119" s="30" t="str">
        <f>VLOOKUP(YEAR(Tabel3[[#This Row],[Geb datum]]),Tabel8[#All],3,FALSE)</f>
        <v>S</v>
      </c>
      <c r="Q119" s="30" t="s">
        <v>2</v>
      </c>
      <c r="R119" s="30" t="s">
        <v>11</v>
      </c>
      <c r="S119" s="43"/>
    </row>
    <row r="120" spans="1:19">
      <c r="A120" s="41" t="s">
        <v>727</v>
      </c>
      <c r="B120" s="28" t="s">
        <v>728</v>
      </c>
      <c r="C120" s="28" t="s">
        <v>280</v>
      </c>
      <c r="D120" s="30">
        <f>VLOOKUP(YEAR(Tabel1[[#This Row],[Geb datum]]),Tabel8[#All],2,FALSE)</f>
        <v>25</v>
      </c>
      <c r="E120" s="47">
        <v>36111</v>
      </c>
      <c r="F120" s="30" t="str">
        <f>VLOOKUP(YEAR(Tabel1[[#This Row],[Geb datum]]),Tabel8[#All],3,FALSE)</f>
        <v>S</v>
      </c>
      <c r="G120" s="30" t="s">
        <v>1</v>
      </c>
      <c r="H120" s="30" t="s">
        <v>7</v>
      </c>
      <c r="I120" s="42"/>
      <c r="K120" s="31" t="s">
        <v>729</v>
      </c>
      <c r="L120" s="28" t="s">
        <v>730</v>
      </c>
      <c r="M120" s="28" t="s">
        <v>731</v>
      </c>
      <c r="N120" s="30">
        <f>VLOOKUP(YEAR(Tabel3[[#This Row],[Geb datum]]),Tabel8[#All],2,FALSE)</f>
        <v>21</v>
      </c>
      <c r="O120" s="32">
        <v>37566</v>
      </c>
      <c r="P120" s="30" t="str">
        <f>VLOOKUP(YEAR(Tabel3[[#This Row],[Geb datum]]),Tabel8[#All],3,FALSE)</f>
        <v>S</v>
      </c>
      <c r="Q120" s="30" t="s">
        <v>2</v>
      </c>
      <c r="R120" s="30" t="s">
        <v>12</v>
      </c>
      <c r="S120" s="43"/>
    </row>
    <row r="121" spans="1:19">
      <c r="A121" s="41"/>
      <c r="B121" s="28" t="s">
        <v>732</v>
      </c>
      <c r="C121" s="28" t="s">
        <v>733</v>
      </c>
      <c r="D121" s="30">
        <f>VLOOKUP(YEAR(Tabel1[[#This Row],[Geb datum]]),Tabel8[#All],2,FALSE)</f>
        <v>23</v>
      </c>
      <c r="E121" s="47">
        <v>36526</v>
      </c>
      <c r="F121" s="30" t="str">
        <f>VLOOKUP(YEAR(Tabel1[[#This Row],[Geb datum]]),Tabel8[#All],3,FALSE)</f>
        <v>S</v>
      </c>
      <c r="G121" s="43" t="s">
        <v>1</v>
      </c>
      <c r="H121" s="43" t="s">
        <v>164</v>
      </c>
      <c r="I121" s="42"/>
      <c r="K121" s="41" t="s">
        <v>734</v>
      </c>
      <c r="L121" s="28" t="s">
        <v>735</v>
      </c>
      <c r="M121" s="28" t="s">
        <v>736</v>
      </c>
      <c r="N121" s="30">
        <f>VLOOKUP(YEAR(Tabel3[[#This Row],[Geb datum]]),Tabel8[#All],2,FALSE)</f>
        <v>20</v>
      </c>
      <c r="O121" s="32">
        <v>37971</v>
      </c>
      <c r="P121" s="30" t="str">
        <f>VLOOKUP(YEAR(Tabel3[[#This Row],[Geb datum]]),Tabel8[#All],3,FALSE)</f>
        <v>S</v>
      </c>
      <c r="Q121" s="30" t="s">
        <v>2</v>
      </c>
      <c r="R121" s="30" t="s">
        <v>11</v>
      </c>
      <c r="S121" s="43"/>
    </row>
    <row r="122" spans="1:19">
      <c r="A122" s="41" t="s">
        <v>737</v>
      </c>
      <c r="B122" s="28" t="s">
        <v>738</v>
      </c>
      <c r="C122" s="28" t="s">
        <v>739</v>
      </c>
      <c r="D122" s="30">
        <f>VLOOKUP(YEAR(Tabel1[[#This Row],[Geb datum]]),Tabel8[#All],2,FALSE)</f>
        <v>28</v>
      </c>
      <c r="E122" s="47">
        <v>34885</v>
      </c>
      <c r="F122" s="30" t="str">
        <f>VLOOKUP(YEAR(Tabel1[[#This Row],[Geb datum]]),Tabel8[#All],3,FALSE)</f>
        <v>S</v>
      </c>
      <c r="G122" s="43" t="s">
        <v>1</v>
      </c>
      <c r="H122" s="43" t="s">
        <v>6</v>
      </c>
      <c r="I122" s="42"/>
      <c r="K122" s="41" t="s">
        <v>740</v>
      </c>
      <c r="L122" s="28" t="s">
        <v>741</v>
      </c>
      <c r="M122" s="28" t="s">
        <v>89</v>
      </c>
      <c r="N122" s="30">
        <f>VLOOKUP(YEAR(Tabel3[[#This Row],[Geb datum]]),Tabel8[#All],2,FALSE)</f>
        <v>20</v>
      </c>
      <c r="O122" s="29">
        <v>37974</v>
      </c>
      <c r="P122" s="30" t="str">
        <f>VLOOKUP(YEAR(Tabel3[[#This Row],[Geb datum]]),Tabel8[#All],3,FALSE)</f>
        <v>S</v>
      </c>
      <c r="Q122" s="30" t="s">
        <v>2</v>
      </c>
      <c r="R122" s="30" t="s">
        <v>11</v>
      </c>
      <c r="S122" s="43"/>
    </row>
    <row r="123" spans="1:19">
      <c r="A123" s="41" t="s">
        <v>742</v>
      </c>
      <c r="B123" s="28" t="s">
        <v>743</v>
      </c>
      <c r="C123" s="28" t="s">
        <v>490</v>
      </c>
      <c r="D123" s="30">
        <f>VLOOKUP(YEAR(Tabel1[[#This Row],[Geb datum]]),Tabel8[#All],2,FALSE)</f>
        <v>27</v>
      </c>
      <c r="E123" s="47">
        <v>35337</v>
      </c>
      <c r="F123" s="30" t="str">
        <f>VLOOKUP(YEAR(Tabel1[[#This Row],[Geb datum]]),Tabel8[#All],3,FALSE)</f>
        <v>S</v>
      </c>
      <c r="G123" s="43" t="s">
        <v>8</v>
      </c>
      <c r="H123" s="43" t="s">
        <v>8</v>
      </c>
      <c r="I123" s="42"/>
      <c r="K123" s="41" t="s">
        <v>744</v>
      </c>
      <c r="L123" s="28" t="s">
        <v>745</v>
      </c>
      <c r="M123" s="28" t="s">
        <v>746</v>
      </c>
      <c r="N123" s="30">
        <f>VLOOKUP(YEAR(Tabel3[[#This Row],[Geb datum]]),Tabel8[#All],2,FALSE)</f>
        <v>22</v>
      </c>
      <c r="O123" s="29">
        <v>36929</v>
      </c>
      <c r="P123" s="30" t="str">
        <f>VLOOKUP(YEAR(Tabel3[[#This Row],[Geb datum]]),Tabel8[#All],3,FALSE)</f>
        <v>S</v>
      </c>
      <c r="Q123" s="30" t="s">
        <v>2</v>
      </c>
      <c r="R123" s="30" t="s">
        <v>10</v>
      </c>
      <c r="S123" s="43"/>
    </row>
    <row r="124" spans="1:19">
      <c r="A124" s="41" t="s">
        <v>747</v>
      </c>
      <c r="B124" s="28" t="s">
        <v>748</v>
      </c>
      <c r="C124" s="28" t="s">
        <v>749</v>
      </c>
      <c r="D124" s="30">
        <f>VLOOKUP(YEAR(Tabel1[[#This Row],[Geb datum]]),Tabel8[#All],2,FALSE)</f>
        <v>36</v>
      </c>
      <c r="E124" s="47">
        <v>32050</v>
      </c>
      <c r="F124" s="30" t="str">
        <f>VLOOKUP(YEAR(Tabel1[[#This Row],[Geb datum]]),Tabel8[#All],3,FALSE)</f>
        <v>S</v>
      </c>
      <c r="G124" s="43" t="s">
        <v>8</v>
      </c>
      <c r="H124" s="43" t="s">
        <v>8</v>
      </c>
      <c r="I124" s="42"/>
      <c r="K124" s="41" t="s">
        <v>750</v>
      </c>
      <c r="L124" s="28" t="s">
        <v>751</v>
      </c>
      <c r="M124" s="28" t="s">
        <v>752</v>
      </c>
      <c r="N124" s="30">
        <f>VLOOKUP(YEAR(Tabel3[[#This Row],[Geb datum]]),Tabel8[#All],2,FALSE)</f>
        <v>23</v>
      </c>
      <c r="O124" s="29">
        <v>36666</v>
      </c>
      <c r="P124" s="30" t="str">
        <f>VLOOKUP(YEAR(Tabel3[[#This Row],[Geb datum]]),Tabel8[#All],3,FALSE)</f>
        <v>S</v>
      </c>
      <c r="Q124" s="30" t="s">
        <v>2</v>
      </c>
      <c r="R124" s="30" t="s">
        <v>10</v>
      </c>
      <c r="S124" s="43"/>
    </row>
    <row r="125" spans="1:19">
      <c r="A125" s="41" t="s">
        <v>753</v>
      </c>
      <c r="B125" s="28" t="s">
        <v>754</v>
      </c>
      <c r="C125" s="28" t="s">
        <v>755</v>
      </c>
      <c r="D125" s="30">
        <f>VLOOKUP(YEAR(Tabel1[[#This Row],[Geb datum]]),Tabel8[#All],2,FALSE)</f>
        <v>31</v>
      </c>
      <c r="E125" s="47">
        <v>33696</v>
      </c>
      <c r="F125" s="30" t="str">
        <f>VLOOKUP(YEAR(Tabel1[[#This Row],[Geb datum]]),Tabel8[#All],3,FALSE)</f>
        <v>S</v>
      </c>
      <c r="G125" s="30" t="s">
        <v>8</v>
      </c>
      <c r="H125" s="30" t="s">
        <v>8</v>
      </c>
      <c r="I125" s="42"/>
      <c r="K125" s="41" t="s">
        <v>756</v>
      </c>
      <c r="L125" s="28" t="s">
        <v>757</v>
      </c>
      <c r="M125" s="28" t="s">
        <v>758</v>
      </c>
      <c r="N125" s="30">
        <f>VLOOKUP(YEAR(Tabel3[[#This Row],[Geb datum]]),Tabel8[#All],2,FALSE)</f>
        <v>23</v>
      </c>
      <c r="O125" s="29">
        <v>36865</v>
      </c>
      <c r="P125" s="30" t="str">
        <f>VLOOKUP(YEAR(Tabel3[[#This Row],[Geb datum]]),Tabel8[#All],3,FALSE)</f>
        <v>S</v>
      </c>
      <c r="Q125" s="30" t="s">
        <v>2</v>
      </c>
      <c r="R125" s="30" t="s">
        <v>11</v>
      </c>
      <c r="S125" s="43"/>
    </row>
    <row r="126" spans="1:19">
      <c r="A126" s="41" t="s">
        <v>759</v>
      </c>
      <c r="B126" s="28" t="s">
        <v>760</v>
      </c>
      <c r="C126" s="28" t="s">
        <v>105</v>
      </c>
      <c r="D126" s="30">
        <f>VLOOKUP(YEAR(Tabel1[[#This Row],[Geb datum]]),Tabel8[#All],2,FALSE)</f>
        <v>31</v>
      </c>
      <c r="E126" s="47">
        <v>33828</v>
      </c>
      <c r="F126" s="30" t="str">
        <f>VLOOKUP(YEAR(Tabel1[[#This Row],[Geb datum]]),Tabel8[#All],3,FALSE)</f>
        <v>S</v>
      </c>
      <c r="G126" s="30" t="s">
        <v>8</v>
      </c>
      <c r="H126" s="30" t="s">
        <v>8</v>
      </c>
      <c r="I126" s="42"/>
      <c r="K126" s="41" t="s">
        <v>761</v>
      </c>
      <c r="L126" s="28" t="s">
        <v>762</v>
      </c>
      <c r="M126" s="28" t="s">
        <v>372</v>
      </c>
      <c r="N126" s="30">
        <f>VLOOKUP(YEAR(Tabel3[[#This Row],[Geb datum]]),Tabel8[#All],2,FALSE)</f>
        <v>20</v>
      </c>
      <c r="O126" s="29">
        <v>37960</v>
      </c>
      <c r="P126" s="30" t="str">
        <f>VLOOKUP(YEAR(Tabel3[[#This Row],[Geb datum]]),Tabel8[#All],3,FALSE)</f>
        <v>S</v>
      </c>
      <c r="Q126" s="30" t="s">
        <v>2</v>
      </c>
      <c r="R126" s="30" t="s">
        <v>11</v>
      </c>
      <c r="S126" s="43"/>
    </row>
    <row r="127" spans="1:19">
      <c r="A127" s="41" t="s">
        <v>763</v>
      </c>
      <c r="B127" s="28" t="s">
        <v>764</v>
      </c>
      <c r="C127" s="28" t="s">
        <v>765</v>
      </c>
      <c r="D127" s="30">
        <f>VLOOKUP(YEAR(Tabel1[[#This Row],[Geb datum]]),Tabel8[#All],2,FALSE)</f>
        <v>33</v>
      </c>
      <c r="E127" s="47">
        <v>32945</v>
      </c>
      <c r="F127" s="30" t="str">
        <f>VLOOKUP(YEAR(Tabel1[[#This Row],[Geb datum]]),Tabel8[#All],3,FALSE)</f>
        <v>S</v>
      </c>
      <c r="G127" s="30" t="s">
        <v>8</v>
      </c>
      <c r="H127" s="30" t="s">
        <v>8</v>
      </c>
      <c r="I127" s="42"/>
      <c r="K127" s="41" t="s">
        <v>766</v>
      </c>
      <c r="L127" s="28" t="s">
        <v>767</v>
      </c>
      <c r="M127" s="28" t="s">
        <v>768</v>
      </c>
      <c r="N127" s="30">
        <f>VLOOKUP(YEAR(Tabel3[[#This Row],[Geb datum]]),Tabel8[#All],2,FALSE)</f>
        <v>20</v>
      </c>
      <c r="O127" s="29">
        <v>37810</v>
      </c>
      <c r="P127" s="30" t="str">
        <f>VLOOKUP(YEAR(Tabel3[[#This Row],[Geb datum]]),Tabel8[#All],3,FALSE)</f>
        <v>S</v>
      </c>
      <c r="Q127" s="30" t="s">
        <v>2</v>
      </c>
      <c r="R127" s="30" t="s">
        <v>10</v>
      </c>
      <c r="S127" s="43"/>
    </row>
    <row r="128" spans="1:19">
      <c r="A128" s="41" t="s">
        <v>769</v>
      </c>
      <c r="B128" s="28" t="s">
        <v>770</v>
      </c>
      <c r="C128" s="28" t="s">
        <v>280</v>
      </c>
      <c r="D128" s="30">
        <f>VLOOKUP(YEAR(Tabel1[[#This Row],[Geb datum]]),Tabel8[#All],2,FALSE)</f>
        <v>27</v>
      </c>
      <c r="E128" s="47">
        <v>35195</v>
      </c>
      <c r="F128" s="30" t="str">
        <f>VLOOKUP(YEAR(Tabel1[[#This Row],[Geb datum]]),Tabel8[#All],3,FALSE)</f>
        <v>S</v>
      </c>
      <c r="G128" s="30" t="s">
        <v>8</v>
      </c>
      <c r="H128" s="30" t="s">
        <v>8</v>
      </c>
      <c r="I128" s="42"/>
      <c r="K128" s="41" t="s">
        <v>771</v>
      </c>
      <c r="L128" s="28" t="s">
        <v>772</v>
      </c>
      <c r="M128" s="28" t="s">
        <v>773</v>
      </c>
      <c r="N128" s="30">
        <f>VLOOKUP(YEAR(Tabel3[[#This Row],[Geb datum]]),Tabel8[#All],2,FALSE)</f>
        <v>24</v>
      </c>
      <c r="O128" s="29">
        <v>36465</v>
      </c>
      <c r="P128" s="30" t="str">
        <f>VLOOKUP(YEAR(Tabel3[[#This Row],[Geb datum]]),Tabel8[#All],3,FALSE)</f>
        <v>S</v>
      </c>
      <c r="Q128" s="30" t="s">
        <v>12</v>
      </c>
      <c r="R128" s="30" t="s">
        <v>12</v>
      </c>
      <c r="S128" s="43"/>
    </row>
    <row r="129" spans="1:19">
      <c r="A129" s="41" t="s">
        <v>774</v>
      </c>
      <c r="B129" s="28" t="s">
        <v>775</v>
      </c>
      <c r="C129" s="28" t="s">
        <v>776</v>
      </c>
      <c r="D129" s="30">
        <f>VLOOKUP(YEAR(Tabel1[[#This Row],[Geb datum]]),Tabel8[#All],2,FALSE)</f>
        <v>29</v>
      </c>
      <c r="E129" s="47">
        <v>34635</v>
      </c>
      <c r="F129" s="30" t="str">
        <f>VLOOKUP(YEAR(Tabel1[[#This Row],[Geb datum]]),Tabel8[#All],3,FALSE)</f>
        <v>S</v>
      </c>
      <c r="G129" s="30" t="s">
        <v>8</v>
      </c>
      <c r="H129" s="30" t="s">
        <v>8</v>
      </c>
      <c r="I129" s="42"/>
      <c r="K129" s="41" t="s">
        <v>777</v>
      </c>
      <c r="L129" s="28" t="s">
        <v>778</v>
      </c>
      <c r="M129" s="28" t="s">
        <v>779</v>
      </c>
      <c r="N129" s="30">
        <f>VLOOKUP(YEAR(Tabel3[[#This Row],[Geb datum]]),Tabel8[#All],2,FALSE)</f>
        <v>24</v>
      </c>
      <c r="O129" s="29">
        <v>36308</v>
      </c>
      <c r="P129" s="30" t="str">
        <f>VLOOKUP(YEAR(Tabel3[[#This Row],[Geb datum]]),Tabel8[#All],3,FALSE)</f>
        <v>S</v>
      </c>
      <c r="Q129" s="30" t="s">
        <v>12</v>
      </c>
      <c r="R129" s="30" t="s">
        <v>12</v>
      </c>
      <c r="S129" s="43"/>
    </row>
    <row r="130" spans="1:19">
      <c r="A130" s="41" t="s">
        <v>780</v>
      </c>
      <c r="B130" s="28" t="s">
        <v>781</v>
      </c>
      <c r="C130" s="28" t="s">
        <v>782</v>
      </c>
      <c r="D130" s="30">
        <f>VLOOKUP(YEAR(Tabel1[[#This Row],[Geb datum]]),Tabel8[#All],2,FALSE)</f>
        <v>42</v>
      </c>
      <c r="E130" s="47">
        <v>29885</v>
      </c>
      <c r="F130" s="30" t="str">
        <f>VLOOKUP(YEAR(Tabel1[[#This Row],[Geb datum]]),Tabel8[#All],3,FALSE)</f>
        <v>S</v>
      </c>
      <c r="G130" s="30" t="s">
        <v>9</v>
      </c>
      <c r="H130" s="30" t="s">
        <v>13</v>
      </c>
      <c r="I130" s="42"/>
      <c r="K130" s="41" t="s">
        <v>783</v>
      </c>
      <c r="L130" s="28" t="s">
        <v>784</v>
      </c>
      <c r="M130" s="28" t="s">
        <v>785</v>
      </c>
      <c r="N130" s="30">
        <f>VLOOKUP(YEAR(Tabel3[[#This Row],[Geb datum]]),Tabel8[#All],2,FALSE)</f>
        <v>20</v>
      </c>
      <c r="O130" s="29">
        <v>37909</v>
      </c>
      <c r="P130" s="30" t="str">
        <f>VLOOKUP(YEAR(Tabel3[[#This Row],[Geb datum]]),Tabel8[#All],3,FALSE)</f>
        <v>S</v>
      </c>
      <c r="Q130" s="30" t="s">
        <v>12</v>
      </c>
      <c r="R130" s="30" t="s">
        <v>12</v>
      </c>
      <c r="S130" s="43"/>
    </row>
    <row r="131" spans="1:19">
      <c r="A131" s="41" t="s">
        <v>786</v>
      </c>
      <c r="B131" s="28" t="s">
        <v>787</v>
      </c>
      <c r="C131" s="28" t="s">
        <v>788</v>
      </c>
      <c r="D131" s="30">
        <f>VLOOKUP(YEAR(Tabel1[[#This Row],[Geb datum]]),Tabel8[#All],2,FALSE)</f>
        <v>31</v>
      </c>
      <c r="E131" s="47">
        <v>33777</v>
      </c>
      <c r="F131" s="30" t="str">
        <f>VLOOKUP(YEAR(Tabel1[[#This Row],[Geb datum]]),Tabel8[#All],3,FALSE)</f>
        <v>S</v>
      </c>
      <c r="G131" s="30" t="s">
        <v>9</v>
      </c>
      <c r="H131" s="30" t="s">
        <v>9</v>
      </c>
      <c r="I131" s="42"/>
      <c r="K131" s="41" t="s">
        <v>789</v>
      </c>
      <c r="L131" s="28" t="s">
        <v>790</v>
      </c>
      <c r="M131" s="28" t="s">
        <v>791</v>
      </c>
      <c r="N131" s="30">
        <f>VLOOKUP(YEAR(Tabel3[[#This Row],[Geb datum]]),Tabel8[#All],2,FALSE)</f>
        <v>16</v>
      </c>
      <c r="O131" s="29">
        <v>39402</v>
      </c>
      <c r="P131" s="30" t="str">
        <f>VLOOKUP(YEAR(Tabel3[[#This Row],[Geb datum]]),Tabel8[#All],3,FALSE)</f>
        <v>A</v>
      </c>
      <c r="Q131" s="30" t="s">
        <v>96</v>
      </c>
      <c r="R131" s="30" t="s">
        <v>24</v>
      </c>
      <c r="S131" s="43"/>
    </row>
    <row r="132" spans="1:19">
      <c r="A132" s="31" t="s">
        <v>792</v>
      </c>
      <c r="B132" s="28" t="s">
        <v>793</v>
      </c>
      <c r="C132" s="28" t="s">
        <v>490</v>
      </c>
      <c r="D132" s="30">
        <f>VLOOKUP(YEAR(Tabel1[[#This Row],[Geb datum]]),Tabel8[#All],2,FALSE)</f>
        <v>31</v>
      </c>
      <c r="E132" s="47">
        <v>33690</v>
      </c>
      <c r="F132" s="30" t="str">
        <f>VLOOKUP(YEAR(Tabel1[[#This Row],[Geb datum]]),Tabel8[#All],3,FALSE)</f>
        <v>S</v>
      </c>
      <c r="G132" s="30" t="s">
        <v>9</v>
      </c>
      <c r="H132" s="30" t="s">
        <v>9</v>
      </c>
      <c r="I132" s="42"/>
      <c r="K132" s="41" t="s">
        <v>794</v>
      </c>
      <c r="L132" s="28" t="s">
        <v>795</v>
      </c>
      <c r="M132" s="28" t="s">
        <v>796</v>
      </c>
      <c r="N132" s="30">
        <f>VLOOKUP(YEAR(Tabel3[[#This Row],[Geb datum]]),Tabel8[#All],2,FALSE)</f>
        <v>27</v>
      </c>
      <c r="O132" s="29">
        <v>35231</v>
      </c>
      <c r="P132" s="30" t="str">
        <f>VLOOKUP(YEAR(Tabel3[[#This Row],[Geb datum]]),Tabel8[#All],3,FALSE)</f>
        <v>S</v>
      </c>
      <c r="Q132" s="30" t="s">
        <v>96</v>
      </c>
      <c r="R132" s="30" t="s">
        <v>797</v>
      </c>
      <c r="S132" s="43"/>
    </row>
    <row r="133" spans="1:19">
      <c r="A133" s="41" t="s">
        <v>798</v>
      </c>
      <c r="B133" s="28" t="s">
        <v>799</v>
      </c>
      <c r="C133" s="28" t="s">
        <v>800</v>
      </c>
      <c r="D133" s="30">
        <f>VLOOKUP(YEAR(Tabel1[[#This Row],[Geb datum]]),Tabel8[#All],2,FALSE)</f>
        <v>37</v>
      </c>
      <c r="E133" s="47">
        <v>31732</v>
      </c>
      <c r="F133" s="30" t="str">
        <f>VLOOKUP(YEAR(Tabel1[[#This Row],[Geb datum]]),Tabel8[#All],3,FALSE)</f>
        <v>S</v>
      </c>
      <c r="G133" s="30" t="s">
        <v>9</v>
      </c>
      <c r="H133" s="30" t="s">
        <v>9</v>
      </c>
      <c r="I133" s="42"/>
      <c r="K133" s="41" t="s">
        <v>801</v>
      </c>
      <c r="L133" s="28" t="s">
        <v>802</v>
      </c>
      <c r="M133" s="28" t="s">
        <v>803</v>
      </c>
      <c r="N133" s="30">
        <f>VLOOKUP(YEAR(Tabel3[[#This Row],[Geb datum]]),Tabel8[#All],2,FALSE)</f>
        <v>16</v>
      </c>
      <c r="O133" s="29">
        <v>39402</v>
      </c>
      <c r="P133" s="30" t="str">
        <f>VLOOKUP(YEAR(Tabel3[[#This Row],[Geb datum]]),Tabel8[#All],3,FALSE)</f>
        <v>A</v>
      </c>
      <c r="Q133" s="30" t="s">
        <v>96</v>
      </c>
      <c r="R133" s="30" t="s">
        <v>24</v>
      </c>
      <c r="S133" s="43"/>
    </row>
    <row r="134" spans="1:19">
      <c r="A134" s="41" t="s">
        <v>804</v>
      </c>
      <c r="B134" s="28" t="s">
        <v>805</v>
      </c>
      <c r="C134" s="28" t="s">
        <v>806</v>
      </c>
      <c r="D134" s="30">
        <f>VLOOKUP(YEAR(Tabel1[[#This Row],[Geb datum]]),Tabel8[#All],2,FALSE)</f>
        <v>49</v>
      </c>
      <c r="E134" s="47">
        <v>27135</v>
      </c>
      <c r="F134" s="30" t="str">
        <f>VLOOKUP(YEAR(Tabel1[[#This Row],[Geb datum]]),Tabel8[#All],3,FALSE)</f>
        <v>S</v>
      </c>
      <c r="G134" s="30" t="s">
        <v>9</v>
      </c>
      <c r="H134" s="30" t="s">
        <v>9</v>
      </c>
      <c r="I134" s="42"/>
      <c r="K134" s="58" t="s">
        <v>807</v>
      </c>
      <c r="L134" s="28" t="s">
        <v>808</v>
      </c>
      <c r="M134" s="28" t="s">
        <v>715</v>
      </c>
      <c r="N134" s="30">
        <f>VLOOKUP(YEAR(Tabel3[[#This Row],[Geb datum]]),Tabel8[#All],2,FALSE)</f>
        <v>29</v>
      </c>
      <c r="O134" s="59">
        <v>34435</v>
      </c>
      <c r="P134" s="30" t="str">
        <f>VLOOKUP(YEAR(Tabel3[[#This Row],[Geb datum]]),Tabel8[#All],3,FALSE)</f>
        <v>S</v>
      </c>
      <c r="Q134" s="30" t="s">
        <v>96</v>
      </c>
      <c r="R134" s="49" t="s">
        <v>8</v>
      </c>
      <c r="S134" s="43"/>
    </row>
    <row r="135" spans="1:19">
      <c r="A135" s="41" t="s">
        <v>809</v>
      </c>
      <c r="B135" s="28" t="s">
        <v>810</v>
      </c>
      <c r="C135" s="28" t="s">
        <v>811</v>
      </c>
      <c r="D135" s="30">
        <f>VLOOKUP(YEAR(Tabel1[[#This Row],[Geb datum]]),Tabel8[#All],2,FALSE)</f>
        <v>21</v>
      </c>
      <c r="E135" s="47">
        <v>37541</v>
      </c>
      <c r="F135" s="30" t="str">
        <f>VLOOKUP(YEAR(Tabel1[[#This Row],[Geb datum]]),Tabel8[#All],3,FALSE)</f>
        <v>S</v>
      </c>
      <c r="G135" s="30" t="s">
        <v>2</v>
      </c>
      <c r="H135" s="30" t="s">
        <v>11</v>
      </c>
      <c r="I135" s="42"/>
      <c r="K135" s="41" t="s">
        <v>812</v>
      </c>
      <c r="L135" s="28" t="s">
        <v>813</v>
      </c>
      <c r="M135" s="28" t="s">
        <v>814</v>
      </c>
      <c r="N135" s="30">
        <f>VLOOKUP(YEAR(Tabel3[[#This Row],[Geb datum]]),Tabel8[#All],2,FALSE)</f>
        <v>18</v>
      </c>
      <c r="O135" s="29">
        <v>38519</v>
      </c>
      <c r="P135" s="30" t="str">
        <f>VLOOKUP(YEAR(Tabel3[[#This Row],[Geb datum]]),Tabel8[#All],3,FALSE)</f>
        <v>A</v>
      </c>
      <c r="Q135" s="30" t="s">
        <v>96</v>
      </c>
      <c r="R135" s="30" t="s">
        <v>16</v>
      </c>
      <c r="S135" s="43"/>
    </row>
    <row r="136" spans="1:19">
      <c r="A136" s="41" t="s">
        <v>815</v>
      </c>
      <c r="B136" s="28" t="s">
        <v>816</v>
      </c>
      <c r="C136" s="28" t="s">
        <v>817</v>
      </c>
      <c r="D136" s="30">
        <f>VLOOKUP(YEAR(Tabel1[[#This Row],[Geb datum]]),Tabel8[#All],2,FALSE)</f>
        <v>19</v>
      </c>
      <c r="E136" s="47">
        <v>38267</v>
      </c>
      <c r="F136" s="30" t="str">
        <f>VLOOKUP(YEAR(Tabel1[[#This Row],[Geb datum]]),Tabel8[#All],3,FALSE)</f>
        <v>S</v>
      </c>
      <c r="G136" s="30" t="s">
        <v>2</v>
      </c>
      <c r="H136" s="30" t="s">
        <v>16</v>
      </c>
      <c r="I136" s="42"/>
      <c r="K136" s="41" t="s">
        <v>818</v>
      </c>
      <c r="L136" s="28" t="s">
        <v>819</v>
      </c>
      <c r="M136" s="28" t="s">
        <v>820</v>
      </c>
      <c r="N136" s="30">
        <f>VLOOKUP(YEAR(Tabel3[[#This Row],[Geb datum]]),Tabel8[#All],2,FALSE)</f>
        <v>42</v>
      </c>
      <c r="O136" s="29">
        <v>29725</v>
      </c>
      <c r="P136" s="30" t="str">
        <f>VLOOKUP(YEAR(Tabel3[[#This Row],[Geb datum]]),Tabel8[#All],3,FALSE)</f>
        <v>S</v>
      </c>
      <c r="Q136" s="30" t="s">
        <v>96</v>
      </c>
      <c r="R136" s="30" t="s">
        <v>13</v>
      </c>
      <c r="S136" s="43"/>
    </row>
    <row r="137" spans="1:19">
      <c r="A137" s="41" t="s">
        <v>821</v>
      </c>
      <c r="B137" s="28" t="s">
        <v>822</v>
      </c>
      <c r="C137" s="28" t="s">
        <v>823</v>
      </c>
      <c r="D137" s="30">
        <f>VLOOKUP(YEAR(Tabel1[[#This Row],[Geb datum]]),Tabel8[#All],2,FALSE)</f>
        <v>25</v>
      </c>
      <c r="E137" s="47">
        <v>36013</v>
      </c>
      <c r="F137" s="30" t="str">
        <f>VLOOKUP(YEAR(Tabel1[[#This Row],[Geb datum]]),Tabel8[#All],3,FALSE)</f>
        <v>S</v>
      </c>
      <c r="G137" s="30" t="s">
        <v>2</v>
      </c>
      <c r="H137" s="30" t="s">
        <v>10</v>
      </c>
      <c r="I137" s="42"/>
      <c r="K137" s="41" t="s">
        <v>824</v>
      </c>
      <c r="L137" s="28" t="s">
        <v>825</v>
      </c>
      <c r="M137" s="28" t="s">
        <v>826</v>
      </c>
      <c r="N137" s="30">
        <f>VLOOKUP(YEAR(Tabel3[[#This Row],[Geb datum]]),Tabel8[#All],2,FALSE)</f>
        <v>16</v>
      </c>
      <c r="O137" s="29">
        <v>39100</v>
      </c>
      <c r="P137" s="30" t="str">
        <f>VLOOKUP(YEAR(Tabel3[[#This Row],[Geb datum]]),Tabel8[#All],3,FALSE)</f>
        <v>A</v>
      </c>
      <c r="Q137" s="30" t="s">
        <v>96</v>
      </c>
      <c r="R137" s="30" t="s">
        <v>17</v>
      </c>
      <c r="S137" s="43"/>
    </row>
    <row r="138" spans="1:19">
      <c r="A138" s="41" t="s">
        <v>827</v>
      </c>
      <c r="B138" s="28" t="s">
        <v>828</v>
      </c>
      <c r="C138" s="28" t="s">
        <v>829</v>
      </c>
      <c r="D138" s="30">
        <f>VLOOKUP(YEAR(Tabel1[[#This Row],[Geb datum]]),Tabel8[#All],2,FALSE)</f>
        <v>20</v>
      </c>
      <c r="E138" s="47">
        <v>37807</v>
      </c>
      <c r="F138" s="30" t="str">
        <f>VLOOKUP(YEAR(Tabel1[[#This Row],[Geb datum]]),Tabel8[#All],3,FALSE)</f>
        <v>S</v>
      </c>
      <c r="G138" s="30" t="s">
        <v>2</v>
      </c>
      <c r="H138" s="30" t="s">
        <v>11</v>
      </c>
      <c r="I138" s="42"/>
      <c r="K138" s="28" t="s">
        <v>830</v>
      </c>
      <c r="L138" s="28" t="s">
        <v>831</v>
      </c>
      <c r="M138" s="28" t="s">
        <v>832</v>
      </c>
      <c r="N138" s="30">
        <f>VLOOKUP(YEAR(Tabel3[[#This Row],[Geb datum]]),Tabel8[#All],2,FALSE)</f>
        <v>54</v>
      </c>
      <c r="O138" s="29">
        <v>25273</v>
      </c>
      <c r="P138" s="30" t="str">
        <f>VLOOKUP(YEAR(Tabel3[[#This Row],[Geb datum]]),Tabel8[#All],3,FALSE)</f>
        <v>S</v>
      </c>
      <c r="Q138" s="30" t="s">
        <v>96</v>
      </c>
      <c r="R138" s="30" t="s">
        <v>13</v>
      </c>
      <c r="S138" s="30"/>
    </row>
    <row r="139" spans="1:19">
      <c r="A139" s="41" t="s">
        <v>833</v>
      </c>
      <c r="B139" s="28" t="s">
        <v>834</v>
      </c>
      <c r="C139" s="28" t="s">
        <v>835</v>
      </c>
      <c r="D139" s="30">
        <f>VLOOKUP(YEAR(Tabel1[[#This Row],[Geb datum]]),Tabel8[#All],2,FALSE)</f>
        <v>19</v>
      </c>
      <c r="E139" s="47">
        <v>38163</v>
      </c>
      <c r="F139" s="30" t="str">
        <f>VLOOKUP(YEAR(Tabel1[[#This Row],[Geb datum]]),Tabel8[#All],3,FALSE)</f>
        <v>S</v>
      </c>
      <c r="G139" s="30" t="s">
        <v>2</v>
      </c>
      <c r="H139" s="30" t="s">
        <v>11</v>
      </c>
      <c r="I139" s="42"/>
      <c r="K139" s="28" t="s">
        <v>836</v>
      </c>
      <c r="L139" s="28" t="s">
        <v>837</v>
      </c>
      <c r="M139" s="28" t="s">
        <v>838</v>
      </c>
      <c r="N139" s="30">
        <f>VLOOKUP(YEAR(Tabel3[[#This Row],[Geb datum]]),Tabel8[#All],2,FALSE)</f>
        <v>16</v>
      </c>
      <c r="O139" s="29">
        <v>39420</v>
      </c>
      <c r="P139" s="30" t="str">
        <f>VLOOKUP(YEAR(Tabel3[[#This Row],[Geb datum]]),Tabel8[#All],3,FALSE)</f>
        <v>A</v>
      </c>
      <c r="Q139" s="30" t="s">
        <v>96</v>
      </c>
      <c r="R139" s="30" t="s">
        <v>17</v>
      </c>
      <c r="S139" s="30"/>
    </row>
    <row r="140" spans="1:19">
      <c r="A140" s="31" t="s">
        <v>839</v>
      </c>
      <c r="B140" s="28" t="s">
        <v>840</v>
      </c>
      <c r="C140" s="28" t="s">
        <v>617</v>
      </c>
      <c r="D140" s="30">
        <f>VLOOKUP(YEAR(Tabel1[[#This Row],[Geb datum]]),Tabel8[#All],2,FALSE)</f>
        <v>23</v>
      </c>
      <c r="E140" s="47">
        <v>36887</v>
      </c>
      <c r="F140" s="30" t="str">
        <f>VLOOKUP(YEAR(Tabel1[[#This Row],[Geb datum]]),Tabel8[#All],3,FALSE)</f>
        <v>S</v>
      </c>
      <c r="G140" s="30" t="s">
        <v>2</v>
      </c>
      <c r="H140" s="30" t="s">
        <v>10</v>
      </c>
      <c r="I140" s="42"/>
      <c r="K140" s="28" t="s">
        <v>841</v>
      </c>
      <c r="L140" s="28" t="s">
        <v>842</v>
      </c>
      <c r="M140" s="28" t="s">
        <v>843</v>
      </c>
      <c r="N140" s="30">
        <f>VLOOKUP(YEAR(Tabel3[[#This Row],[Geb datum]]),Tabel8[#All],2,FALSE)</f>
        <v>19</v>
      </c>
      <c r="O140" s="29">
        <v>38346</v>
      </c>
      <c r="P140" s="30" t="str">
        <f>VLOOKUP(YEAR(Tabel3[[#This Row],[Geb datum]]),Tabel8[#All],3,FALSE)</f>
        <v>S</v>
      </c>
      <c r="Q140" s="30" t="s">
        <v>96</v>
      </c>
      <c r="R140" s="30" t="s">
        <v>17</v>
      </c>
      <c r="S140" s="30"/>
    </row>
    <row r="141" spans="1:19">
      <c r="A141" s="41" t="s">
        <v>844</v>
      </c>
      <c r="B141" s="28" t="s">
        <v>845</v>
      </c>
      <c r="C141" s="28" t="s">
        <v>375</v>
      </c>
      <c r="D141" s="30">
        <f>VLOOKUP(YEAR(Tabel1[[#This Row],[Geb datum]]),Tabel8[#All],2,FALSE)</f>
        <v>21</v>
      </c>
      <c r="E141" s="48">
        <v>37295</v>
      </c>
      <c r="F141" s="30" t="str">
        <f>VLOOKUP(YEAR(Tabel1[[#This Row],[Geb datum]]),Tabel8[#All],3,FALSE)</f>
        <v>S</v>
      </c>
      <c r="G141" s="30" t="s">
        <v>2</v>
      </c>
      <c r="H141" s="30" t="s">
        <v>11</v>
      </c>
      <c r="I141" s="42"/>
      <c r="K141" s="28" t="s">
        <v>846</v>
      </c>
      <c r="L141" s="28" t="s">
        <v>847</v>
      </c>
      <c r="M141" s="28" t="s">
        <v>848</v>
      </c>
      <c r="N141" s="30">
        <f>VLOOKUP(YEAR(Tabel3[[#This Row],[Geb datum]]),Tabel8[#All],2,FALSE)</f>
        <v>54</v>
      </c>
      <c r="O141" s="29">
        <v>25227</v>
      </c>
      <c r="P141" s="30" t="str">
        <f>VLOOKUP(YEAR(Tabel3[[#This Row],[Geb datum]]),Tabel8[#All],3,FALSE)</f>
        <v>S</v>
      </c>
      <c r="Q141" s="30" t="s">
        <v>96</v>
      </c>
      <c r="R141" s="30" t="s">
        <v>13</v>
      </c>
      <c r="S141" s="30"/>
    </row>
    <row r="142" spans="1:19">
      <c r="A142" s="41" t="s">
        <v>849</v>
      </c>
      <c r="B142" s="28" t="s">
        <v>850</v>
      </c>
      <c r="C142" s="28" t="s">
        <v>158</v>
      </c>
      <c r="D142" s="30">
        <f>VLOOKUP(YEAR(Tabel1[[#This Row],[Geb datum]]),Tabel8[#All],2,FALSE)</f>
        <v>23</v>
      </c>
      <c r="E142" s="47">
        <v>36865</v>
      </c>
      <c r="F142" s="30" t="str">
        <f>VLOOKUP(YEAR(Tabel1[[#This Row],[Geb datum]]),Tabel8[#All],3,FALSE)</f>
        <v>S</v>
      </c>
      <c r="G142" s="30" t="s">
        <v>2</v>
      </c>
      <c r="H142" s="30" t="s">
        <v>11</v>
      </c>
      <c r="I142" s="42"/>
      <c r="K142" s="28" t="s">
        <v>851</v>
      </c>
      <c r="L142" s="28" t="s">
        <v>852</v>
      </c>
      <c r="M142" s="28" t="s">
        <v>853</v>
      </c>
      <c r="N142" s="30">
        <f>VLOOKUP(YEAR(Tabel3[[#This Row],[Geb datum]]),Tabel8[#All],2,FALSE)</f>
        <v>19</v>
      </c>
      <c r="O142" s="29">
        <v>38169</v>
      </c>
      <c r="P142" s="30" t="str">
        <f>VLOOKUP(YEAR(Tabel3[[#This Row],[Geb datum]]),Tabel8[#All],3,FALSE)</f>
        <v>S</v>
      </c>
      <c r="Q142" s="30" t="s">
        <v>96</v>
      </c>
      <c r="R142" s="30" t="s">
        <v>17</v>
      </c>
      <c r="S142" s="30"/>
    </row>
    <row r="143" spans="1:19">
      <c r="A143" s="41" t="s">
        <v>854</v>
      </c>
      <c r="B143" s="28" t="s">
        <v>855</v>
      </c>
      <c r="C143" s="28" t="s">
        <v>856</v>
      </c>
      <c r="D143" s="30">
        <f>VLOOKUP(YEAR(Tabel1[[#This Row],[Geb datum]]),Tabel8[#All],2,FALSE)</f>
        <v>21</v>
      </c>
      <c r="E143" s="47">
        <v>37324</v>
      </c>
      <c r="F143" s="30" t="str">
        <f>VLOOKUP(YEAR(Tabel1[[#This Row],[Geb datum]]),Tabel8[#All],3,FALSE)</f>
        <v>S</v>
      </c>
      <c r="G143" s="30" t="s">
        <v>12</v>
      </c>
      <c r="H143" s="30" t="s">
        <v>12</v>
      </c>
      <c r="I143" s="42"/>
      <c r="K143" s="28" t="s">
        <v>857</v>
      </c>
      <c r="L143" s="28" t="s">
        <v>858</v>
      </c>
      <c r="M143" s="28" t="s">
        <v>859</v>
      </c>
      <c r="N143" s="30">
        <f>VLOOKUP(YEAR(Tabel3[[#This Row],[Geb datum]]),Tabel8[#All],2,FALSE)</f>
        <v>7</v>
      </c>
      <c r="O143" s="29">
        <v>42522</v>
      </c>
      <c r="P143" s="30" t="str">
        <f>VLOOKUP(YEAR(Tabel3[[#This Row],[Geb datum]]),Tabel8[#All],3,FALSE)</f>
        <v>F</v>
      </c>
      <c r="Q143" s="30" t="s">
        <v>96</v>
      </c>
      <c r="R143" s="30" t="s">
        <v>49</v>
      </c>
      <c r="S143" s="30"/>
    </row>
    <row r="144" spans="1:19">
      <c r="A144" s="41" t="s">
        <v>860</v>
      </c>
      <c r="B144" s="28" t="s">
        <v>861</v>
      </c>
      <c r="C144" s="28" t="s">
        <v>443</v>
      </c>
      <c r="D144" s="30">
        <f>VLOOKUP(YEAR(Tabel1[[#This Row],[Geb datum]]),Tabel8[#All],2,FALSE)</f>
        <v>21</v>
      </c>
      <c r="E144" s="47">
        <v>37269</v>
      </c>
      <c r="F144" s="30" t="str">
        <f>VLOOKUP(YEAR(Tabel1[[#This Row],[Geb datum]]),Tabel8[#All],3,FALSE)</f>
        <v>S</v>
      </c>
      <c r="G144" s="30" t="s">
        <v>12</v>
      </c>
      <c r="H144" s="30" t="s">
        <v>12</v>
      </c>
      <c r="I144" s="42"/>
      <c r="K144" s="28" t="s">
        <v>862</v>
      </c>
      <c r="L144" s="28" t="s">
        <v>863</v>
      </c>
      <c r="M144" s="28" t="s">
        <v>864</v>
      </c>
      <c r="N144" s="30">
        <f>VLOOKUP(YEAR(Tabel3[[#This Row],[Geb datum]]),Tabel8[#All],2,FALSE)</f>
        <v>11</v>
      </c>
      <c r="O144" s="29">
        <v>40957</v>
      </c>
      <c r="P144" s="30" t="str">
        <f>VLOOKUP(YEAR(Tabel3[[#This Row],[Geb datum]]),Tabel8[#All],3,FALSE)</f>
        <v>D</v>
      </c>
      <c r="Q144" s="30" t="s">
        <v>96</v>
      </c>
      <c r="R144" s="30" t="s">
        <v>35</v>
      </c>
      <c r="S144" s="30"/>
    </row>
    <row r="145" spans="1:19" ht="15.75">
      <c r="A145" s="41" t="s">
        <v>865</v>
      </c>
      <c r="B145" s="28" t="s">
        <v>866</v>
      </c>
      <c r="C145" s="28" t="s">
        <v>867</v>
      </c>
      <c r="D145" s="30">
        <f>VLOOKUP(YEAR(Tabel1[[#This Row],[Geb datum]]),Tabel8[#All],2,FALSE)</f>
        <v>20</v>
      </c>
      <c r="E145" s="47">
        <v>37702</v>
      </c>
      <c r="F145" s="30" t="str">
        <f>VLOOKUP(YEAR(Tabel1[[#This Row],[Geb datum]]),Tabel8[#All],3,FALSE)</f>
        <v>S</v>
      </c>
      <c r="G145" s="30" t="s">
        <v>12</v>
      </c>
      <c r="H145" s="30" t="s">
        <v>12</v>
      </c>
      <c r="I145" s="42"/>
      <c r="K145" s="28" t="s">
        <v>868</v>
      </c>
      <c r="L145" s="34" t="s">
        <v>869</v>
      </c>
      <c r="M145" s="28" t="s">
        <v>271</v>
      </c>
      <c r="N145" s="30">
        <f>VLOOKUP(YEAR(Tabel3[[#This Row],[Geb datum]]),Tabel8[#All],2,FALSE)</f>
        <v>15</v>
      </c>
      <c r="O145" s="29">
        <v>39677</v>
      </c>
      <c r="P145" s="30" t="str">
        <f>VLOOKUP(YEAR(Tabel3[[#This Row],[Geb datum]]),Tabel8[#All],3,FALSE)</f>
        <v>B</v>
      </c>
      <c r="Q145" s="30" t="s">
        <v>96</v>
      </c>
      <c r="R145" s="30" t="s">
        <v>24</v>
      </c>
      <c r="S145" s="30"/>
    </row>
    <row r="146" spans="1:19">
      <c r="A146" s="41" t="s">
        <v>870</v>
      </c>
      <c r="B146" s="28" t="s">
        <v>871</v>
      </c>
      <c r="C146" s="28" t="s">
        <v>872</v>
      </c>
      <c r="D146" s="30">
        <f>VLOOKUP(YEAR(Tabel1[[#This Row],[Geb datum]]),Tabel8[#All],2,FALSE)</f>
        <v>22</v>
      </c>
      <c r="E146" s="47">
        <v>37104</v>
      </c>
      <c r="F146" s="30" t="str">
        <f>VLOOKUP(YEAR(Tabel1[[#This Row],[Geb datum]]),Tabel8[#All],3,FALSE)</f>
        <v>S</v>
      </c>
      <c r="G146" s="30" t="s">
        <v>12</v>
      </c>
      <c r="H146" s="30" t="s">
        <v>12</v>
      </c>
      <c r="I146" s="42"/>
      <c r="K146" s="50" t="s">
        <v>873</v>
      </c>
      <c r="L146" s="51" t="s">
        <v>874</v>
      </c>
      <c r="M146" s="51" t="s">
        <v>572</v>
      </c>
      <c r="N146" s="52">
        <f>VLOOKUP(YEAR(Tabel3[[#This Row],[Geb datum]]),Tabel8[#All],2,FALSE)</f>
        <v>19</v>
      </c>
      <c r="O146" s="32">
        <v>38150</v>
      </c>
      <c r="P146" s="52" t="str">
        <f>VLOOKUP(YEAR(Tabel3[[#This Row],[Geb datum]]),Tabel8[#All],3,FALSE)</f>
        <v>S</v>
      </c>
      <c r="Q146" s="52" t="s">
        <v>96</v>
      </c>
      <c r="R146" s="30" t="s">
        <v>15</v>
      </c>
      <c r="S146" s="49"/>
    </row>
    <row r="147" spans="1:19">
      <c r="A147" s="41" t="s">
        <v>875</v>
      </c>
      <c r="B147" s="28" t="s">
        <v>876</v>
      </c>
      <c r="C147" s="28" t="s">
        <v>877</v>
      </c>
      <c r="D147" s="30">
        <f>VLOOKUP(YEAR(Tabel1[[#This Row],[Geb datum]]),Tabel8[#All],2,FALSE)</f>
        <v>22</v>
      </c>
      <c r="E147" s="47">
        <v>37104</v>
      </c>
      <c r="F147" s="30" t="str">
        <f>VLOOKUP(YEAR(Tabel1[[#This Row],[Geb datum]]),Tabel8[#All],3,FALSE)</f>
        <v>S</v>
      </c>
      <c r="G147" s="30" t="s">
        <v>12</v>
      </c>
      <c r="H147" s="30" t="s">
        <v>12</v>
      </c>
      <c r="I147" s="42"/>
      <c r="K147" s="50" t="s">
        <v>878</v>
      </c>
      <c r="L147" s="51" t="s">
        <v>879</v>
      </c>
      <c r="M147" s="51" t="s">
        <v>880</v>
      </c>
      <c r="N147" s="52">
        <f>VLOOKUP(YEAR(Tabel3[[#This Row],[Geb datum]]),Tabel8[#All],2,FALSE)</f>
        <v>5</v>
      </c>
      <c r="O147" s="32">
        <v>43436</v>
      </c>
      <c r="P147" s="52" t="str">
        <f>VLOOKUP(YEAR(Tabel3[[#This Row],[Geb datum]]),Tabel8[#All],3,FALSE)</f>
        <v>K</v>
      </c>
      <c r="Q147" s="52" t="s">
        <v>96</v>
      </c>
      <c r="R147" s="49" t="s">
        <v>54</v>
      </c>
      <c r="S147" s="49"/>
    </row>
    <row r="148" spans="1:19">
      <c r="A148" s="41" t="s">
        <v>881</v>
      </c>
      <c r="B148" s="28" t="s">
        <v>882</v>
      </c>
      <c r="C148" s="28" t="s">
        <v>883</v>
      </c>
      <c r="D148" s="30">
        <f>VLOOKUP(YEAR(Tabel1[[#This Row],[Geb datum]]),Tabel8[#All],2,FALSE)</f>
        <v>15</v>
      </c>
      <c r="E148" s="47">
        <v>39589</v>
      </c>
      <c r="F148" s="30" t="str">
        <f>VLOOKUP(YEAR(Tabel1[[#This Row],[Geb datum]]),Tabel8[#All],3,FALSE)</f>
        <v>B</v>
      </c>
      <c r="G148" s="30" t="s">
        <v>96</v>
      </c>
      <c r="H148" s="30" t="s">
        <v>23</v>
      </c>
      <c r="I148" s="42"/>
      <c r="K148" s="50" t="s">
        <v>884</v>
      </c>
      <c r="L148" s="51" t="s">
        <v>885</v>
      </c>
      <c r="M148" s="51" t="s">
        <v>231</v>
      </c>
      <c r="N148" s="52">
        <f>VLOOKUP(YEAR(Tabel3[[#This Row],[Geb datum]]),Tabel8[#All],2,FALSE)</f>
        <v>20</v>
      </c>
      <c r="O148" s="53">
        <v>37932</v>
      </c>
      <c r="P148" s="52" t="str">
        <f>VLOOKUP(YEAR(Tabel3[[#This Row],[Geb datum]]),Tabel8[#All],3,FALSE)</f>
        <v>S</v>
      </c>
      <c r="Q148" s="52" t="s">
        <v>96</v>
      </c>
      <c r="R148" s="49" t="s">
        <v>10</v>
      </c>
      <c r="S148" s="49"/>
    </row>
    <row r="149" spans="1:19">
      <c r="A149" s="41" t="s">
        <v>886</v>
      </c>
      <c r="B149" s="28" t="s">
        <v>887</v>
      </c>
      <c r="C149" s="28" t="s">
        <v>74</v>
      </c>
      <c r="D149" s="30">
        <f>VLOOKUP(YEAR(Tabel1[[#This Row],[Geb datum]]),Tabel8[#All],2,FALSE)</f>
        <v>16</v>
      </c>
      <c r="E149" s="47">
        <v>39427</v>
      </c>
      <c r="F149" s="30" t="str">
        <f>VLOOKUP(YEAR(Tabel1[[#This Row],[Geb datum]]),Tabel8[#All],3,FALSE)</f>
        <v>A</v>
      </c>
      <c r="G149" s="30" t="s">
        <v>96</v>
      </c>
      <c r="H149" s="30" t="s">
        <v>24</v>
      </c>
      <c r="I149" s="42"/>
      <c r="K149" s="28"/>
      <c r="L149" s="28"/>
      <c r="M149" s="28"/>
      <c r="N149" s="30"/>
      <c r="O149" s="29"/>
      <c r="P149" s="30"/>
      <c r="Q149" s="30"/>
      <c r="R149" s="30"/>
      <c r="S149" s="30"/>
    </row>
    <row r="150" spans="1:19">
      <c r="A150" s="41" t="s">
        <v>888</v>
      </c>
      <c r="B150" s="28" t="s">
        <v>889</v>
      </c>
      <c r="C150" s="28" t="s">
        <v>890</v>
      </c>
      <c r="D150" s="30">
        <f>VLOOKUP(YEAR(Tabel1[[#This Row],[Geb datum]]),Tabel8[#All],2,FALSE)</f>
        <v>12</v>
      </c>
      <c r="E150" s="47">
        <v>40561</v>
      </c>
      <c r="F150" s="30" t="str">
        <f>VLOOKUP(YEAR(Tabel1[[#This Row],[Geb datum]]),Tabel8[#All],3,FALSE)</f>
        <v>C</v>
      </c>
      <c r="G150" s="30" t="s">
        <v>96</v>
      </c>
      <c r="H150" s="30" t="s">
        <v>34</v>
      </c>
      <c r="I150" s="42"/>
      <c r="K150" s="28"/>
      <c r="L150" s="28"/>
      <c r="M150" s="28"/>
      <c r="N150" s="30"/>
      <c r="O150" s="29"/>
      <c r="P150" s="30"/>
      <c r="Q150" s="30"/>
      <c r="R150" s="30"/>
      <c r="S150" s="30"/>
    </row>
    <row r="151" spans="1:19">
      <c r="A151" s="41" t="s">
        <v>891</v>
      </c>
      <c r="B151" s="28" t="s">
        <v>892</v>
      </c>
      <c r="C151" s="28" t="s">
        <v>817</v>
      </c>
      <c r="D151" s="30">
        <f>VLOOKUP(YEAR(Tabel1[[#This Row],[Geb datum]]),Tabel8[#All],2,FALSE)</f>
        <v>15</v>
      </c>
      <c r="E151" s="47">
        <v>39702</v>
      </c>
      <c r="F151" s="30" t="str">
        <f>VLOOKUP(YEAR(Tabel1[[#This Row],[Geb datum]]),Tabel8[#All],3,FALSE)</f>
        <v>B</v>
      </c>
      <c r="G151" s="30" t="s">
        <v>96</v>
      </c>
      <c r="H151" s="30" t="s">
        <v>24</v>
      </c>
      <c r="I151" s="42"/>
      <c r="K151" s="28"/>
      <c r="L151" s="28"/>
      <c r="M151" s="28"/>
      <c r="N151" s="30"/>
      <c r="O151" s="29"/>
      <c r="P151" s="30"/>
      <c r="Q151" s="30"/>
      <c r="R151" s="30"/>
      <c r="S151" s="30"/>
    </row>
    <row r="152" spans="1:19">
      <c r="A152" s="41" t="s">
        <v>893</v>
      </c>
      <c r="B152" s="28" t="s">
        <v>894</v>
      </c>
      <c r="C152" s="28" t="s">
        <v>895</v>
      </c>
      <c r="D152" s="30">
        <f>VLOOKUP(YEAR(Tabel1[[#This Row],[Geb datum]]),Tabel8[#All],2,FALSE)</f>
        <v>24</v>
      </c>
      <c r="E152" s="47">
        <v>36460</v>
      </c>
      <c r="F152" s="30" t="str">
        <f>VLOOKUP(YEAR(Tabel1[[#This Row],[Geb datum]]),Tabel8[#All],3,FALSE)</f>
        <v>S</v>
      </c>
      <c r="G152" s="30" t="s">
        <v>96</v>
      </c>
      <c r="H152" s="30" t="s">
        <v>6</v>
      </c>
      <c r="I152" s="42"/>
      <c r="K152" s="28"/>
      <c r="L152" s="28"/>
      <c r="M152" s="28"/>
      <c r="N152" s="30"/>
      <c r="O152" s="29"/>
      <c r="P152" s="30"/>
      <c r="Q152" s="30"/>
      <c r="R152" s="30"/>
      <c r="S152" s="30"/>
    </row>
    <row r="153" spans="1:19">
      <c r="A153" s="41" t="s">
        <v>896</v>
      </c>
      <c r="B153" s="28" t="s">
        <v>897</v>
      </c>
      <c r="C153" s="28" t="s">
        <v>898</v>
      </c>
      <c r="D153" s="30">
        <f>VLOOKUP(YEAR(Tabel1[[#This Row],[Geb datum]]),Tabel8[#All],2,FALSE)</f>
        <v>6</v>
      </c>
      <c r="E153" s="47">
        <v>43083</v>
      </c>
      <c r="F153" s="30" t="str">
        <f>VLOOKUP(YEAR(Tabel1[[#This Row],[Geb datum]]),Tabel8[#All],3,FALSE)</f>
        <v>F</v>
      </c>
      <c r="G153" s="30" t="s">
        <v>96</v>
      </c>
      <c r="H153" s="30" t="s">
        <v>54</v>
      </c>
      <c r="I153" s="42"/>
      <c r="K153" s="28"/>
      <c r="L153" s="28"/>
      <c r="M153" s="28"/>
      <c r="N153" s="30"/>
      <c r="O153" s="29"/>
      <c r="P153" s="30"/>
      <c r="Q153" s="30"/>
      <c r="R153" s="30"/>
      <c r="S153" s="30"/>
    </row>
    <row r="154" spans="1:19">
      <c r="A154" s="41" t="s">
        <v>899</v>
      </c>
      <c r="B154" s="28" t="s">
        <v>900</v>
      </c>
      <c r="C154" s="28" t="s">
        <v>901</v>
      </c>
      <c r="D154" s="30">
        <f>VLOOKUP(YEAR(Tabel1[[#This Row],[Geb datum]]),Tabel8[#All],2,FALSE)</f>
        <v>15</v>
      </c>
      <c r="E154" s="47">
        <v>39635</v>
      </c>
      <c r="F154" s="30" t="str">
        <f>VLOOKUP(YEAR(Tabel1[[#This Row],[Geb datum]]),Tabel8[#All],3,FALSE)</f>
        <v>B</v>
      </c>
      <c r="G154" s="30" t="s">
        <v>96</v>
      </c>
      <c r="H154" s="30" t="s">
        <v>23</v>
      </c>
      <c r="I154" s="42"/>
      <c r="K154" s="28"/>
      <c r="L154" s="28"/>
      <c r="M154" s="28"/>
      <c r="N154" s="30"/>
      <c r="O154" s="29"/>
      <c r="P154" s="30"/>
      <c r="Q154" s="30"/>
      <c r="R154" s="30"/>
      <c r="S154" s="30"/>
    </row>
    <row r="155" spans="1:19">
      <c r="A155" s="58" t="s">
        <v>902</v>
      </c>
      <c r="B155" s="28" t="s">
        <v>903</v>
      </c>
      <c r="C155" s="28" t="s">
        <v>904</v>
      </c>
      <c r="D155" s="30">
        <f>VLOOKUP(YEAR(Tabel1[[#This Row],[Geb datum]]),Tabel8[#All],2,FALSE)</f>
        <v>24</v>
      </c>
      <c r="E155" s="47">
        <v>36385</v>
      </c>
      <c r="F155" s="30" t="str">
        <f>VLOOKUP(YEAR(Tabel1[[#This Row],[Geb datum]]),Tabel8[#All],3,FALSE)</f>
        <v>S</v>
      </c>
      <c r="G155" s="30" t="s">
        <v>96</v>
      </c>
      <c r="H155" s="30" t="s">
        <v>10</v>
      </c>
      <c r="I155" s="42"/>
      <c r="K155" s="28"/>
      <c r="L155" s="28"/>
      <c r="M155" s="28"/>
      <c r="N155" s="30"/>
      <c r="O155" s="29"/>
      <c r="P155" s="30"/>
      <c r="Q155" s="30"/>
      <c r="R155" s="30"/>
      <c r="S155" s="30"/>
    </row>
    <row r="156" spans="1:19">
      <c r="A156" s="41" t="s">
        <v>905</v>
      </c>
      <c r="B156" s="28" t="s">
        <v>906</v>
      </c>
      <c r="C156" s="28" t="s">
        <v>907</v>
      </c>
      <c r="D156" s="30">
        <f>VLOOKUP(YEAR(Tabel1[[#This Row],[Geb datum]]),Tabel8[#All],2,FALSE)</f>
        <v>16</v>
      </c>
      <c r="E156" s="47">
        <v>39205</v>
      </c>
      <c r="F156" s="30" t="str">
        <f>VLOOKUP(YEAR(Tabel1[[#This Row],[Geb datum]]),Tabel8[#All],3,FALSE)</f>
        <v>A</v>
      </c>
      <c r="G156" s="30" t="s">
        <v>96</v>
      </c>
      <c r="H156" s="30" t="s">
        <v>15</v>
      </c>
      <c r="I156" s="42"/>
      <c r="K156" s="28"/>
      <c r="L156" s="28"/>
      <c r="M156" s="28"/>
      <c r="N156" s="30"/>
      <c r="O156" s="29"/>
      <c r="P156" s="30"/>
      <c r="Q156" s="30"/>
      <c r="R156" s="30"/>
      <c r="S156" s="30"/>
    </row>
    <row r="157" spans="1:19">
      <c r="A157" s="41" t="s">
        <v>908</v>
      </c>
      <c r="B157" s="28" t="s">
        <v>909</v>
      </c>
      <c r="C157" s="28" t="s">
        <v>658</v>
      </c>
      <c r="D157" s="30">
        <f>VLOOKUP(YEAR(Tabel1[[#This Row],[Geb datum]]),Tabel8[#All],2,FALSE)</f>
        <v>19</v>
      </c>
      <c r="E157" s="47">
        <v>38159</v>
      </c>
      <c r="F157" s="30" t="str">
        <f>VLOOKUP(YEAR(Tabel1[[#This Row],[Geb datum]]),Tabel8[#All],3,FALSE)</f>
        <v>S</v>
      </c>
      <c r="G157" s="30" t="s">
        <v>96</v>
      </c>
      <c r="H157" s="30" t="s">
        <v>16</v>
      </c>
      <c r="I157" s="42"/>
      <c r="K157" s="28"/>
      <c r="L157" s="28"/>
      <c r="M157" s="28"/>
      <c r="N157" s="30"/>
      <c r="O157" s="29"/>
      <c r="P157" s="30"/>
      <c r="Q157" s="30"/>
      <c r="R157" s="30"/>
      <c r="S157" s="30"/>
    </row>
    <row r="158" spans="1:19">
      <c r="A158" s="41" t="s">
        <v>910</v>
      </c>
      <c r="B158" s="28" t="s">
        <v>911</v>
      </c>
      <c r="C158" s="28" t="s">
        <v>443</v>
      </c>
      <c r="D158" s="30">
        <f>VLOOKUP(YEAR(Tabel1[[#This Row],[Geb datum]]),Tabel8[#All],2,FALSE)</f>
        <v>19</v>
      </c>
      <c r="E158" s="47">
        <v>38079</v>
      </c>
      <c r="F158" s="30" t="str">
        <f>VLOOKUP(YEAR(Tabel1[[#This Row],[Geb datum]]),Tabel8[#All],3,FALSE)</f>
        <v>S</v>
      </c>
      <c r="G158" s="30" t="s">
        <v>96</v>
      </c>
      <c r="H158" s="30" t="s">
        <v>15</v>
      </c>
      <c r="I158" s="42"/>
    </row>
    <row r="159" spans="1:19">
      <c r="A159" s="41" t="s">
        <v>912</v>
      </c>
      <c r="B159" s="28" t="s">
        <v>913</v>
      </c>
      <c r="C159" s="28" t="s">
        <v>246</v>
      </c>
      <c r="D159" s="30">
        <f>VLOOKUP(YEAR(Tabel1[[#This Row],[Geb datum]]),Tabel8[#All],2,FALSE)</f>
        <v>20</v>
      </c>
      <c r="E159" s="47">
        <v>37931</v>
      </c>
      <c r="F159" s="30" t="str">
        <f>VLOOKUP(YEAR(Tabel1[[#This Row],[Geb datum]]),Tabel8[#All],3,FALSE)</f>
        <v>S</v>
      </c>
      <c r="G159" s="30" t="s">
        <v>96</v>
      </c>
      <c r="H159" s="30" t="s">
        <v>11</v>
      </c>
      <c r="I159" s="42"/>
    </row>
    <row r="160" spans="1:19">
      <c r="A160" s="41" t="s">
        <v>914</v>
      </c>
      <c r="B160" s="28" t="s">
        <v>915</v>
      </c>
      <c r="C160" s="28" t="s">
        <v>246</v>
      </c>
      <c r="D160" s="30">
        <f>VLOOKUP(YEAR(Tabel1[[#This Row],[Geb datum]]),Tabel8[#All],2,FALSE)</f>
        <v>20</v>
      </c>
      <c r="E160" s="47">
        <v>37712</v>
      </c>
      <c r="F160" s="30" t="str">
        <f>VLOOKUP(YEAR(Tabel1[[#This Row],[Geb datum]]),Tabel8[#All],3,FALSE)</f>
        <v>S</v>
      </c>
      <c r="G160" s="30" t="s">
        <v>96</v>
      </c>
      <c r="H160" s="30" t="s">
        <v>10</v>
      </c>
      <c r="I160" s="42"/>
    </row>
    <row r="161" spans="1:9">
      <c r="A161" s="41" t="s">
        <v>916</v>
      </c>
      <c r="B161" s="28" t="s">
        <v>917</v>
      </c>
      <c r="C161" s="28" t="s">
        <v>918</v>
      </c>
      <c r="D161" s="30">
        <f>VLOOKUP(YEAR(Tabel1[[#This Row],[Geb datum]]),Tabel8[#All],2,FALSE)</f>
        <v>19</v>
      </c>
      <c r="E161" s="47">
        <v>38011</v>
      </c>
      <c r="F161" s="30" t="str">
        <f>VLOOKUP(YEAR(Tabel1[[#This Row],[Geb datum]]),Tabel8[#All],3,FALSE)</f>
        <v>S</v>
      </c>
      <c r="G161" s="30" t="s">
        <v>96</v>
      </c>
      <c r="H161" s="30" t="s">
        <v>6</v>
      </c>
      <c r="I161" s="42"/>
    </row>
    <row r="162" spans="1:9">
      <c r="A162" s="50" t="s">
        <v>919</v>
      </c>
      <c r="B162" s="51" t="s">
        <v>920</v>
      </c>
      <c r="C162" s="51" t="s">
        <v>921</v>
      </c>
      <c r="D162" s="30">
        <f>VLOOKUP(YEAR(Tabel1[[#This Row],[Geb datum]]),Tabel8[#All],2,FALSE)</f>
        <v>29</v>
      </c>
      <c r="E162" s="54">
        <v>34650</v>
      </c>
      <c r="F162" s="30" t="str">
        <f>VLOOKUP(YEAR(Tabel1[[#This Row],[Geb datum]]),Tabel8[#All],3,FALSE)</f>
        <v>S</v>
      </c>
      <c r="G162" s="52" t="s">
        <v>96</v>
      </c>
      <c r="H162" s="52" t="s">
        <v>7</v>
      </c>
      <c r="I162" s="55"/>
    </row>
    <row r="163" spans="1:9">
      <c r="A163" s="50" t="s">
        <v>922</v>
      </c>
      <c r="B163" s="51" t="s">
        <v>923</v>
      </c>
      <c r="C163" s="51" t="s">
        <v>117</v>
      </c>
      <c r="D163" s="30">
        <f>VLOOKUP(YEAR(Tabel1[[#This Row],[Geb datum]]),Tabel8[#All],2,FALSE)</f>
        <v>11</v>
      </c>
      <c r="E163" s="54">
        <v>40995</v>
      </c>
      <c r="F163" s="30" t="str">
        <f>VLOOKUP(YEAR(Tabel1[[#This Row],[Geb datum]]),Tabel8[#All],3,FALSE)</f>
        <v>D</v>
      </c>
      <c r="G163" s="52" t="s">
        <v>96</v>
      </c>
      <c r="H163" s="52" t="s">
        <v>34</v>
      </c>
      <c r="I163" s="55"/>
    </row>
    <row r="164" spans="1:9">
      <c r="A164" s="50" t="s">
        <v>924</v>
      </c>
      <c r="B164" s="51" t="s">
        <v>925</v>
      </c>
      <c r="C164" s="51" t="s">
        <v>114</v>
      </c>
      <c r="D164" s="30">
        <f>VLOOKUP(YEAR(Tabel1[[#This Row],[Geb datum]]),Tabel8[#All],2,FALSE)</f>
        <v>17</v>
      </c>
      <c r="E164" s="54">
        <v>39006</v>
      </c>
      <c r="F164" s="30" t="str">
        <f>VLOOKUP(YEAR(Tabel1[[#This Row],[Geb datum]]),Tabel8[#All],3,FALSE)</f>
        <v>A</v>
      </c>
      <c r="G164" s="52" t="s">
        <v>96</v>
      </c>
      <c r="H164" s="52" t="s">
        <v>17</v>
      </c>
      <c r="I164" s="55"/>
    </row>
    <row r="165" spans="1:9">
      <c r="A165" s="50" t="s">
        <v>926</v>
      </c>
      <c r="B165" s="51" t="s">
        <v>927</v>
      </c>
      <c r="C165" s="51" t="s">
        <v>575</v>
      </c>
      <c r="D165" s="30">
        <f>VLOOKUP(YEAR(Tabel1[[#This Row],[Geb datum]]),Tabel8[#All],2,FALSE)</f>
        <v>9</v>
      </c>
      <c r="E165" s="54">
        <v>41761</v>
      </c>
      <c r="F165" s="30" t="str">
        <f>VLOOKUP(YEAR(Tabel1[[#This Row],[Geb datum]]),Tabel8[#All],3,FALSE)</f>
        <v>E</v>
      </c>
      <c r="G165" s="30" t="s">
        <v>96</v>
      </c>
      <c r="H165" s="30" t="s">
        <v>45</v>
      </c>
      <c r="I165" s="55"/>
    </row>
    <row r="166" spans="1:9">
      <c r="A166" s="41" t="s">
        <v>928</v>
      </c>
      <c r="B166" s="28" t="s">
        <v>929</v>
      </c>
      <c r="C166" s="28" t="s">
        <v>930</v>
      </c>
      <c r="D166" s="30">
        <f>VLOOKUP(YEAR(Tabel1[[#This Row],[Geb datum]]),Tabel8[#All],2,FALSE)</f>
        <v>14</v>
      </c>
      <c r="E166" s="48">
        <v>39861</v>
      </c>
      <c r="F166" s="30" t="str">
        <f>VLOOKUP(YEAR(Tabel1[[#This Row],[Geb datum]]),Tabel8[#All],3,FALSE)</f>
        <v>B</v>
      </c>
      <c r="G166" s="30" t="s">
        <v>96</v>
      </c>
      <c r="H166" s="52" t="s">
        <v>23</v>
      </c>
      <c r="I166" s="55"/>
    </row>
    <row r="167" spans="1:9">
      <c r="A167" s="31" t="s">
        <v>931</v>
      </c>
      <c r="B167" s="31" t="s">
        <v>932</v>
      </c>
      <c r="C167" s="31" t="s">
        <v>933</v>
      </c>
      <c r="D167" s="30">
        <f>VLOOKUP(YEAR(Tabel1[[#This Row],[Geb datum]]),Tabel8[#All],2,FALSE)</f>
        <v>19</v>
      </c>
      <c r="E167" s="48">
        <v>38012</v>
      </c>
      <c r="F167" s="30" t="str">
        <f>VLOOKUP(YEAR(Tabel1[[#This Row],[Geb datum]]),Tabel8[#All],3,FALSE)</f>
        <v>S</v>
      </c>
      <c r="G167" s="30" t="s">
        <v>934</v>
      </c>
      <c r="H167" s="52" t="s">
        <v>63</v>
      </c>
      <c r="I167" s="55"/>
    </row>
    <row r="168" spans="1:9">
      <c r="A168" s="50" t="s">
        <v>935</v>
      </c>
      <c r="B168" s="51" t="s">
        <v>936</v>
      </c>
      <c r="C168" s="51" t="s">
        <v>937</v>
      </c>
      <c r="D168" s="30">
        <f>VLOOKUP(YEAR(Tabel1[[#This Row],[Geb datum]]),Tabel8[#All],2,FALSE)</f>
        <v>46</v>
      </c>
      <c r="E168" s="47">
        <v>28329</v>
      </c>
      <c r="F168" s="30" t="str">
        <f>VLOOKUP(YEAR(Tabel1[[#This Row],[Geb datum]]),Tabel8[#All],3,FALSE)</f>
        <v>S</v>
      </c>
      <c r="G168" s="52"/>
      <c r="H168" s="52" t="s">
        <v>13</v>
      </c>
      <c r="I168" s="55"/>
    </row>
    <row r="169" spans="1:9">
      <c r="A169" s="50"/>
      <c r="B169" s="51"/>
      <c r="C169" s="51"/>
      <c r="D169" s="52"/>
      <c r="E169" s="47"/>
      <c r="F169" s="52"/>
      <c r="G169" s="52"/>
      <c r="H169" s="52"/>
      <c r="I169" s="55"/>
    </row>
    <row r="170" spans="1:9">
      <c r="A170" s="50"/>
      <c r="B170" s="51"/>
      <c r="C170" s="51"/>
      <c r="D170" s="52"/>
      <c r="E170" s="47"/>
      <c r="F170" s="52"/>
      <c r="G170" s="52"/>
      <c r="H170" s="52"/>
      <c r="I170" s="55"/>
    </row>
    <row r="171" spans="1:9">
      <c r="A171" s="50"/>
      <c r="B171" s="51"/>
      <c r="C171" s="51"/>
      <c r="D171" s="52"/>
      <c r="E171" s="47"/>
      <c r="F171" s="52"/>
      <c r="G171" s="52"/>
      <c r="H171" s="52"/>
      <c r="I171" s="55"/>
    </row>
    <row r="172" spans="1:9">
      <c r="A172" s="50"/>
      <c r="B172" s="51"/>
      <c r="C172" s="51"/>
      <c r="D172" s="52"/>
      <c r="E172" s="47"/>
      <c r="F172" s="52"/>
      <c r="G172" s="52"/>
      <c r="H172" s="52"/>
      <c r="I172" s="55"/>
    </row>
    <row r="173" spans="1:9">
      <c r="A173" s="50"/>
      <c r="B173" s="51"/>
      <c r="C173" s="51"/>
      <c r="D173" s="52"/>
      <c r="E173" s="47"/>
      <c r="F173" s="52"/>
      <c r="G173" s="52"/>
      <c r="H173" s="52"/>
      <c r="I173" s="55"/>
    </row>
    <row r="174" spans="1:9">
      <c r="A174" s="50"/>
      <c r="B174" s="51"/>
      <c r="C174" s="51"/>
      <c r="D174" s="52"/>
      <c r="E174" s="54"/>
      <c r="F174" s="52"/>
      <c r="G174" s="52"/>
      <c r="H174" s="52"/>
      <c r="I174" s="55"/>
    </row>
    <row r="175" spans="1:9">
      <c r="A175" s="50"/>
      <c r="B175" s="51"/>
      <c r="C175" s="51"/>
      <c r="D175" s="52"/>
      <c r="E175" s="54"/>
      <c r="F175" s="52"/>
      <c r="G175" s="52"/>
      <c r="H175" s="52"/>
      <c r="I175" s="55"/>
    </row>
  </sheetData>
  <sortState xmlns:xlrd2="http://schemas.microsoft.com/office/spreadsheetml/2017/richdata2" ref="K2:S138">
    <sortCondition ref="Q2:Q138"/>
  </sortState>
  <phoneticPr fontId="5" type="noConversion"/>
  <pageMargins left="0.7" right="0.7" top="0.75" bottom="0.75" header="0.3" footer="0.3"/>
  <pageSetup paperSize="9" orientation="portrait" horizontalDpi="4294967293"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E2EC-BF15-42BD-B685-0351E49120F4}">
  <sheetPr>
    <tabColor theme="3"/>
  </sheetPr>
  <dimension ref="B2:J17"/>
  <sheetViews>
    <sheetView workbookViewId="0">
      <selection activeCell="C10" sqref="C10"/>
    </sheetView>
  </sheetViews>
  <sheetFormatPr defaultColWidth="8.7109375" defaultRowHeight="15"/>
  <cols>
    <col min="3" max="3" width="9.140625" customWidth="1"/>
  </cols>
  <sheetData>
    <row r="2" spans="2:10">
      <c r="B2" t="s">
        <v>938</v>
      </c>
      <c r="C2" t="s">
        <v>939</v>
      </c>
      <c r="E2" t="s">
        <v>940</v>
      </c>
      <c r="F2" t="s">
        <v>939</v>
      </c>
      <c r="H2" t="s">
        <v>941</v>
      </c>
    </row>
    <row r="3" spans="2:10">
      <c r="B3" t="s">
        <v>54</v>
      </c>
      <c r="C3">
        <f>COUNTIF(Spelerslijst!F:F,Count!B3)</f>
        <v>2</v>
      </c>
      <c r="E3" t="s">
        <v>54</v>
      </c>
      <c r="F3">
        <f>COUNTIF(Spelerslijst!P:P,Count!E3)</f>
        <v>1</v>
      </c>
      <c r="H3">
        <f>Tabel7[[#This Row],[Aantal]]+Tabel9[[#This Row],[Aantal]]</f>
        <v>3</v>
      </c>
    </row>
    <row r="4" spans="2:10">
      <c r="B4" t="s">
        <v>942</v>
      </c>
      <c r="C4">
        <f>COUNTIF(Spelerslijst!F:F,Count!B4)</f>
        <v>8</v>
      </c>
      <c r="E4" t="s">
        <v>942</v>
      </c>
      <c r="F4">
        <f>COUNTIF(Spelerslijst!P:P,Count!E4)</f>
        <v>4</v>
      </c>
      <c r="H4">
        <f>Tabel7[[#This Row],[Aantal]]+Tabel9[[#This Row],[Aantal]]</f>
        <v>12</v>
      </c>
      <c r="J4">
        <v>2</v>
      </c>
    </row>
    <row r="5" spans="2:10">
      <c r="B5" t="s">
        <v>943</v>
      </c>
      <c r="C5">
        <f>COUNTIF(Spelerslijst!F:F,Count!B5)</f>
        <v>14</v>
      </c>
      <c r="E5" t="s">
        <v>943</v>
      </c>
      <c r="F5">
        <f>COUNTIF(Spelerslijst!P:P,Count!E5)</f>
        <v>16</v>
      </c>
      <c r="H5">
        <f>Tabel7[[#This Row],[Aantal]]+Tabel9[[#This Row],[Aantal]]</f>
        <v>30</v>
      </c>
      <c r="I5" s="57"/>
      <c r="J5">
        <v>5</v>
      </c>
    </row>
    <row r="6" spans="2:10">
      <c r="B6" t="s">
        <v>944</v>
      </c>
      <c r="C6">
        <f>COUNTIF(Spelerslijst!F:F,Count!B6)</f>
        <v>22</v>
      </c>
      <c r="E6" t="s">
        <v>944</v>
      </c>
      <c r="F6">
        <f>COUNTIF(Spelerslijst!P:P,Count!E6)</f>
        <v>12</v>
      </c>
      <c r="H6">
        <f>Tabel7[[#This Row],[Aantal]]+Tabel9[[#This Row],[Aantal]]</f>
        <v>34</v>
      </c>
      <c r="I6" s="57"/>
      <c r="J6">
        <v>3</v>
      </c>
    </row>
    <row r="7" spans="2:10">
      <c r="B7" t="s">
        <v>945</v>
      </c>
      <c r="C7">
        <f>COUNTIF(Spelerslijst!F:F,Count!B7)</f>
        <v>23</v>
      </c>
      <c r="E7" t="s">
        <v>945</v>
      </c>
      <c r="F7">
        <f>COUNTIF(Spelerslijst!P:P,Count!E7)</f>
        <v>15</v>
      </c>
      <c r="H7">
        <f>Tabel7[[#This Row],[Aantal]]+Tabel9[[#This Row],[Aantal]]</f>
        <v>38</v>
      </c>
      <c r="J7">
        <v>4</v>
      </c>
    </row>
    <row r="8" spans="2:10">
      <c r="B8" t="s">
        <v>946</v>
      </c>
      <c r="C8">
        <f>COUNTIF(Spelerslijst!F:F,Count!B8)</f>
        <v>18</v>
      </c>
      <c r="E8" t="s">
        <v>946</v>
      </c>
      <c r="F8">
        <f>COUNTIF(Spelerslijst!P:P,Count!E8)</f>
        <v>16</v>
      </c>
      <c r="H8">
        <f>Tabel7[[#This Row],[Aantal]]+Tabel9[[#This Row],[Aantal]]</f>
        <v>34</v>
      </c>
      <c r="J8">
        <v>3</v>
      </c>
    </row>
    <row r="9" spans="2:10">
      <c r="B9" t="s">
        <v>947</v>
      </c>
      <c r="C9">
        <f>COUNTIF(Spelerslijst!F:F,Count!B9)</f>
        <v>18</v>
      </c>
      <c r="E9" t="s">
        <v>947</v>
      </c>
      <c r="F9">
        <f>COUNTIF(Spelerslijst!P:P,Count!E9)</f>
        <v>20</v>
      </c>
      <c r="H9">
        <f>Tabel7[[#This Row],[Aantal]]+Tabel9[[#This Row],[Aantal]]</f>
        <v>38</v>
      </c>
      <c r="J9">
        <v>4</v>
      </c>
    </row>
    <row r="10" spans="2:10">
      <c r="B10" t="s">
        <v>948</v>
      </c>
      <c r="C10">
        <f>COUNTIF(Spelerslijst!F:F,Count!B10)</f>
        <v>61</v>
      </c>
      <c r="E10" t="s">
        <v>948</v>
      </c>
      <c r="F10">
        <f>COUNTIF(Spelerslijst!P:P,Count!E10)</f>
        <v>63</v>
      </c>
      <c r="H10">
        <f>Tabel7[[#This Row],[Aantal]]+Tabel9[[#This Row],[Aantal]]</f>
        <v>124</v>
      </c>
    </row>
    <row r="11" spans="2:10">
      <c r="H11">
        <f>SUM(H3:H10)</f>
        <v>313</v>
      </c>
    </row>
    <row r="15" spans="2:10">
      <c r="C15" t="s">
        <v>949</v>
      </c>
      <c r="D15" t="s">
        <v>950</v>
      </c>
    </row>
    <row r="16" spans="2:10">
      <c r="B16" t="s">
        <v>944</v>
      </c>
      <c r="C16">
        <v>22</v>
      </c>
      <c r="D16">
        <v>11</v>
      </c>
      <c r="E16">
        <v>3</v>
      </c>
    </row>
    <row r="17" spans="2:5">
      <c r="B17" t="s">
        <v>943</v>
      </c>
      <c r="C17">
        <v>13</v>
      </c>
      <c r="D17">
        <v>13</v>
      </c>
      <c r="E17">
        <v>26</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F588-D9E6-4952-AE10-A5104F67D952}">
  <sheetPr>
    <tabColor theme="3"/>
  </sheetPr>
  <dimension ref="A1:F75"/>
  <sheetViews>
    <sheetView workbookViewId="0">
      <selection activeCell="L19" sqref="L19"/>
    </sheetView>
  </sheetViews>
  <sheetFormatPr defaultColWidth="8.7109375" defaultRowHeight="15"/>
  <cols>
    <col min="1" max="1" width="36.85546875" bestFit="1" customWidth="1"/>
    <col min="2" max="2" width="12.7109375" customWidth="1"/>
    <col min="3" max="3" width="19.140625" customWidth="1"/>
    <col min="4" max="4" width="15.85546875" customWidth="1"/>
    <col min="5" max="5" width="16" bestFit="1" customWidth="1"/>
    <col min="6" max="6" width="15.85546875" customWidth="1"/>
  </cols>
  <sheetData>
    <row r="1" spans="1:6">
      <c r="A1" t="s">
        <v>951</v>
      </c>
      <c r="B1" t="s">
        <v>952</v>
      </c>
      <c r="C1" t="s">
        <v>953</v>
      </c>
      <c r="D1" t="s">
        <v>954</v>
      </c>
      <c r="E1" t="s">
        <v>955</v>
      </c>
      <c r="F1" t="s">
        <v>956</v>
      </c>
    </row>
    <row r="2" spans="1:6">
      <c r="A2" t="s">
        <v>669</v>
      </c>
      <c r="B2" t="s">
        <v>16</v>
      </c>
      <c r="C2" t="s">
        <v>957</v>
      </c>
      <c r="D2" t="s">
        <v>1</v>
      </c>
      <c r="F2" t="s">
        <v>958</v>
      </c>
    </row>
    <row r="3" spans="1:6" hidden="1">
      <c r="A3" t="s">
        <v>959</v>
      </c>
      <c r="B3" t="s">
        <v>3</v>
      </c>
      <c r="C3" t="s">
        <v>960</v>
      </c>
      <c r="D3" t="s">
        <v>961</v>
      </c>
      <c r="F3" t="s">
        <v>962</v>
      </c>
    </row>
    <row r="4" spans="1:6">
      <c r="A4" t="s">
        <v>654</v>
      </c>
      <c r="B4" t="s">
        <v>16</v>
      </c>
      <c r="C4" t="s">
        <v>957</v>
      </c>
      <c r="D4" t="s">
        <v>1</v>
      </c>
      <c r="F4" t="s">
        <v>962</v>
      </c>
    </row>
    <row r="5" spans="1:6">
      <c r="A5" t="s">
        <v>963</v>
      </c>
      <c r="B5" t="s">
        <v>15</v>
      </c>
      <c r="C5" t="s">
        <v>960</v>
      </c>
      <c r="D5" t="s">
        <v>961</v>
      </c>
      <c r="F5" t="s">
        <v>964</v>
      </c>
    </row>
    <row r="6" spans="1:6">
      <c r="A6" t="s">
        <v>959</v>
      </c>
      <c r="B6" t="s">
        <v>15</v>
      </c>
      <c r="C6" t="s">
        <v>960</v>
      </c>
      <c r="D6" t="s">
        <v>961</v>
      </c>
    </row>
    <row r="7" spans="1:6">
      <c r="A7" t="s">
        <v>224</v>
      </c>
      <c r="B7" t="s">
        <v>96</v>
      </c>
      <c r="C7" t="s">
        <v>965</v>
      </c>
      <c r="D7" t="s">
        <v>961</v>
      </c>
    </row>
    <row r="8" spans="1:6">
      <c r="A8" t="s">
        <v>206</v>
      </c>
      <c r="B8" t="s">
        <v>96</v>
      </c>
      <c r="C8" t="s">
        <v>965</v>
      </c>
      <c r="D8" t="s">
        <v>961</v>
      </c>
    </row>
    <row r="9" spans="1:6">
      <c r="A9" t="s">
        <v>966</v>
      </c>
      <c r="B9" t="s">
        <v>17</v>
      </c>
      <c r="C9" t="s">
        <v>965</v>
      </c>
    </row>
    <row r="10" spans="1:6">
      <c r="A10" t="s">
        <v>967</v>
      </c>
      <c r="B10" t="s">
        <v>17</v>
      </c>
    </row>
    <row r="11" spans="1:6">
      <c r="A11" t="s">
        <v>968</v>
      </c>
      <c r="B11" t="s">
        <v>17</v>
      </c>
    </row>
    <row r="12" spans="1:6">
      <c r="A12" t="s">
        <v>717</v>
      </c>
      <c r="B12" t="s">
        <v>21</v>
      </c>
      <c r="C12" t="s">
        <v>965</v>
      </c>
      <c r="D12" t="s">
        <v>969</v>
      </c>
      <c r="F12" t="s">
        <v>970</v>
      </c>
    </row>
    <row r="13" spans="1:6">
      <c r="A13" t="s">
        <v>971</v>
      </c>
      <c r="B13" t="s">
        <v>21</v>
      </c>
      <c r="C13" t="s">
        <v>965</v>
      </c>
      <c r="D13" t="s">
        <v>961</v>
      </c>
      <c r="F13" t="s">
        <v>962</v>
      </c>
    </row>
    <row r="14" spans="1:6">
      <c r="A14" t="s">
        <v>972</v>
      </c>
      <c r="B14" t="s">
        <v>21</v>
      </c>
      <c r="C14" t="s">
        <v>973</v>
      </c>
      <c r="D14" t="s">
        <v>961</v>
      </c>
    </row>
    <row r="15" spans="1:6">
      <c r="A15" t="s">
        <v>625</v>
      </c>
      <c r="B15" t="s">
        <v>22</v>
      </c>
      <c r="C15" t="s">
        <v>965</v>
      </c>
    </row>
    <row r="16" spans="1:6">
      <c r="A16" t="s">
        <v>702</v>
      </c>
      <c r="B16" t="s">
        <v>22</v>
      </c>
      <c r="C16" t="s">
        <v>965</v>
      </c>
    </row>
    <row r="17" spans="1:6">
      <c r="A17" t="s">
        <v>98</v>
      </c>
      <c r="B17" t="s">
        <v>23</v>
      </c>
      <c r="C17" t="s">
        <v>965</v>
      </c>
      <c r="D17" t="s">
        <v>974</v>
      </c>
      <c r="F17" t="s">
        <v>970</v>
      </c>
    </row>
    <row r="18" spans="1:6">
      <c r="A18" t="s">
        <v>975</v>
      </c>
      <c r="B18" t="s">
        <v>23</v>
      </c>
      <c r="C18" t="s">
        <v>965</v>
      </c>
    </row>
    <row r="19" spans="1:6">
      <c r="A19" t="s">
        <v>976</v>
      </c>
      <c r="B19" t="s">
        <v>23</v>
      </c>
      <c r="C19" t="s">
        <v>965</v>
      </c>
      <c r="D19" t="s">
        <v>961</v>
      </c>
      <c r="F19" t="s">
        <v>964</v>
      </c>
    </row>
    <row r="20" spans="1:6">
      <c r="A20" t="s">
        <v>977</v>
      </c>
      <c r="B20" t="s">
        <v>28</v>
      </c>
      <c r="C20" t="s">
        <v>965</v>
      </c>
      <c r="D20" t="s">
        <v>978</v>
      </c>
      <c r="F20" t="s">
        <v>970</v>
      </c>
    </row>
    <row r="21" spans="1:6">
      <c r="A21" t="s">
        <v>183</v>
      </c>
      <c r="B21" t="s">
        <v>28</v>
      </c>
      <c r="C21" t="s">
        <v>965</v>
      </c>
      <c r="D21" t="s">
        <v>961</v>
      </c>
      <c r="F21" t="s">
        <v>964</v>
      </c>
    </row>
    <row r="22" spans="1:6">
      <c r="A22" t="s">
        <v>699</v>
      </c>
      <c r="B22" t="s">
        <v>29</v>
      </c>
      <c r="C22" t="s">
        <v>965</v>
      </c>
      <c r="D22" t="s">
        <v>961</v>
      </c>
      <c r="F22" t="s">
        <v>964</v>
      </c>
    </row>
    <row r="23" spans="1:6">
      <c r="A23" t="s">
        <v>850</v>
      </c>
      <c r="B23" t="s">
        <v>29</v>
      </c>
      <c r="C23" t="s">
        <v>965</v>
      </c>
      <c r="D23" t="s">
        <v>11</v>
      </c>
    </row>
    <row r="24" spans="1:6">
      <c r="A24" t="s">
        <v>979</v>
      </c>
      <c r="B24" t="s">
        <v>30</v>
      </c>
      <c r="C24" t="s">
        <v>965</v>
      </c>
      <c r="D24" t="s">
        <v>961</v>
      </c>
      <c r="F24" t="s">
        <v>980</v>
      </c>
    </row>
    <row r="25" spans="1:6">
      <c r="A25" t="s">
        <v>981</v>
      </c>
      <c r="B25" t="s">
        <v>30</v>
      </c>
      <c r="C25" t="s">
        <v>965</v>
      </c>
      <c r="D25" t="s">
        <v>961</v>
      </c>
      <c r="F25" t="s">
        <v>980</v>
      </c>
    </row>
    <row r="26" spans="1:6">
      <c r="A26" t="s">
        <v>778</v>
      </c>
      <c r="B26" t="s">
        <v>36</v>
      </c>
      <c r="C26" t="s">
        <v>965</v>
      </c>
      <c r="D26" t="s">
        <v>12</v>
      </c>
      <c r="F26" t="s">
        <v>958</v>
      </c>
    </row>
    <row r="27" spans="1:6">
      <c r="A27" s="6" t="s">
        <v>784</v>
      </c>
      <c r="B27" t="s">
        <v>36</v>
      </c>
      <c r="C27" t="s">
        <v>965</v>
      </c>
      <c r="D27" t="s">
        <v>12</v>
      </c>
      <c r="F27" t="s">
        <v>982</v>
      </c>
    </row>
    <row r="28" spans="1:6">
      <c r="A28" t="s">
        <v>82</v>
      </c>
      <c r="B28" t="s">
        <v>36</v>
      </c>
      <c r="C28" t="s">
        <v>965</v>
      </c>
      <c r="D28" t="s">
        <v>974</v>
      </c>
      <c r="F28" t="s">
        <v>982</v>
      </c>
    </row>
    <row r="29" spans="1:6">
      <c r="A29" t="s">
        <v>772</v>
      </c>
      <c r="B29" t="s">
        <v>34</v>
      </c>
      <c r="C29" t="s">
        <v>965</v>
      </c>
      <c r="D29" t="s">
        <v>12</v>
      </c>
      <c r="F29" t="s">
        <v>983</v>
      </c>
    </row>
    <row r="30" spans="1:6">
      <c r="A30" t="s">
        <v>866</v>
      </c>
      <c r="B30" t="s">
        <v>34</v>
      </c>
      <c r="C30" t="s">
        <v>965</v>
      </c>
      <c r="D30" t="s">
        <v>12</v>
      </c>
      <c r="F30" t="s">
        <v>983</v>
      </c>
    </row>
    <row r="31" spans="1:6">
      <c r="A31" t="s">
        <v>819</v>
      </c>
      <c r="B31" t="s">
        <v>34</v>
      </c>
      <c r="C31" t="s">
        <v>984</v>
      </c>
      <c r="D31" t="s">
        <v>961</v>
      </c>
      <c r="F31" t="s">
        <v>964</v>
      </c>
    </row>
    <row r="32" spans="1:6">
      <c r="A32" t="s">
        <v>985</v>
      </c>
      <c r="B32" t="s">
        <v>35</v>
      </c>
      <c r="C32" t="s">
        <v>965</v>
      </c>
      <c r="D32" t="s">
        <v>961</v>
      </c>
      <c r="F32" t="s">
        <v>983</v>
      </c>
    </row>
    <row r="33" spans="1:6">
      <c r="A33" t="s">
        <v>986</v>
      </c>
      <c r="B33" t="s">
        <v>35</v>
      </c>
      <c r="C33" t="s">
        <v>965</v>
      </c>
      <c r="D33" t="s">
        <v>961</v>
      </c>
      <c r="F33" t="s">
        <v>983</v>
      </c>
    </row>
    <row r="34" spans="1:6">
      <c r="A34" t="s">
        <v>987</v>
      </c>
      <c r="B34" t="s">
        <v>35</v>
      </c>
      <c r="C34" t="s">
        <v>984</v>
      </c>
      <c r="D34" t="s">
        <v>961</v>
      </c>
      <c r="F34" t="s">
        <v>964</v>
      </c>
    </row>
    <row r="35" spans="1:6">
      <c r="A35" t="s">
        <v>799</v>
      </c>
      <c r="B35" t="s">
        <v>96</v>
      </c>
      <c r="C35" t="s">
        <v>965</v>
      </c>
      <c r="D35" t="s">
        <v>961</v>
      </c>
    </row>
    <row r="36" spans="1:6">
      <c r="A36" t="s">
        <v>876</v>
      </c>
      <c r="B36" t="s">
        <v>31</v>
      </c>
      <c r="C36" t="s">
        <v>965</v>
      </c>
      <c r="D36" t="s">
        <v>12</v>
      </c>
      <c r="F36" t="s">
        <v>958</v>
      </c>
    </row>
    <row r="37" spans="1:6">
      <c r="A37" t="s">
        <v>871</v>
      </c>
      <c r="B37" t="s">
        <v>31</v>
      </c>
      <c r="C37" t="s">
        <v>965</v>
      </c>
      <c r="D37" t="s">
        <v>12</v>
      </c>
      <c r="F37" t="s">
        <v>958</v>
      </c>
    </row>
    <row r="38" spans="1:6">
      <c r="A38" t="s">
        <v>709</v>
      </c>
      <c r="B38" t="s">
        <v>40</v>
      </c>
      <c r="C38" t="s">
        <v>965</v>
      </c>
      <c r="D38" t="s">
        <v>9</v>
      </c>
      <c r="F38" t="s">
        <v>964</v>
      </c>
    </row>
    <row r="39" spans="1:6">
      <c r="A39" t="s">
        <v>73</v>
      </c>
      <c r="B39" t="s">
        <v>41</v>
      </c>
      <c r="C39" t="s">
        <v>965</v>
      </c>
      <c r="D39" t="s">
        <v>17</v>
      </c>
      <c r="F39" t="s">
        <v>983</v>
      </c>
    </row>
    <row r="40" spans="1:6">
      <c r="A40" t="s">
        <v>988</v>
      </c>
      <c r="B40" t="s">
        <v>41</v>
      </c>
      <c r="C40" t="s">
        <v>965</v>
      </c>
      <c r="D40" t="s">
        <v>961</v>
      </c>
      <c r="F40" t="s">
        <v>983</v>
      </c>
    </row>
    <row r="41" spans="1:6">
      <c r="A41" s="31" t="s">
        <v>76</v>
      </c>
      <c r="B41" t="s">
        <v>42</v>
      </c>
      <c r="C41" t="s">
        <v>984</v>
      </c>
      <c r="F41" t="s">
        <v>982</v>
      </c>
    </row>
    <row r="42" spans="1:6">
      <c r="A42" s="31" t="s">
        <v>989</v>
      </c>
      <c r="B42" t="s">
        <v>42</v>
      </c>
      <c r="C42" t="s">
        <v>984</v>
      </c>
      <c r="F42" t="s">
        <v>982</v>
      </c>
    </row>
    <row r="43" spans="1:6">
      <c r="A43" s="31" t="s">
        <v>989</v>
      </c>
      <c r="B43" s="31" t="s">
        <v>42</v>
      </c>
      <c r="C43" s="31" t="s">
        <v>984</v>
      </c>
    </row>
    <row r="44" spans="1:6">
      <c r="A44" t="s">
        <v>990</v>
      </c>
      <c r="B44" t="s">
        <v>43</v>
      </c>
      <c r="C44" t="s">
        <v>965</v>
      </c>
      <c r="D44" t="s">
        <v>961</v>
      </c>
      <c r="F44" t="s">
        <v>980</v>
      </c>
    </row>
    <row r="45" spans="1:6">
      <c r="A45" t="s">
        <v>991</v>
      </c>
      <c r="B45" t="s">
        <v>43</v>
      </c>
      <c r="C45" t="s">
        <v>984</v>
      </c>
      <c r="F45" t="s">
        <v>980</v>
      </c>
    </row>
    <row r="46" spans="1:6">
      <c r="A46" t="s">
        <v>992</v>
      </c>
      <c r="B46" t="s">
        <v>43</v>
      </c>
      <c r="C46" t="s">
        <v>965</v>
      </c>
      <c r="D46" t="s">
        <v>961</v>
      </c>
      <c r="F46" t="s">
        <v>983</v>
      </c>
    </row>
    <row r="47" spans="1:6">
      <c r="A47" t="s">
        <v>993</v>
      </c>
      <c r="B47" t="s">
        <v>44</v>
      </c>
      <c r="C47" t="s">
        <v>994</v>
      </c>
      <c r="F47" t="s">
        <v>982</v>
      </c>
    </row>
    <row r="48" spans="1:6">
      <c r="A48" t="s">
        <v>989</v>
      </c>
      <c r="B48" t="s">
        <v>44</v>
      </c>
      <c r="C48" t="s">
        <v>965</v>
      </c>
    </row>
    <row r="49" spans="1:6">
      <c r="A49" t="s">
        <v>989</v>
      </c>
      <c r="B49" t="s">
        <v>44</v>
      </c>
      <c r="C49" t="s">
        <v>965</v>
      </c>
    </row>
    <row r="50" spans="1:6">
      <c r="A50" t="s">
        <v>995</v>
      </c>
      <c r="B50" t="s">
        <v>48</v>
      </c>
      <c r="C50" t="s">
        <v>965</v>
      </c>
      <c r="D50" t="s">
        <v>857</v>
      </c>
      <c r="F50" t="s">
        <v>964</v>
      </c>
    </row>
    <row r="51" spans="1:6">
      <c r="A51" t="s">
        <v>312</v>
      </c>
      <c r="B51" t="s">
        <v>48</v>
      </c>
      <c r="C51" t="s">
        <v>965</v>
      </c>
      <c r="F51" t="s">
        <v>982</v>
      </c>
    </row>
    <row r="52" spans="1:6">
      <c r="A52" t="s">
        <v>996</v>
      </c>
      <c r="B52" t="s">
        <v>49</v>
      </c>
      <c r="C52" t="s">
        <v>965</v>
      </c>
      <c r="F52" t="s">
        <v>982</v>
      </c>
    </row>
    <row r="53" spans="1:6">
      <c r="A53" t="s">
        <v>250</v>
      </c>
      <c r="B53" t="s">
        <v>49</v>
      </c>
      <c r="C53" t="s">
        <v>965</v>
      </c>
      <c r="F53" t="s">
        <v>982</v>
      </c>
    </row>
    <row r="54" spans="1:6">
      <c r="A54" t="s">
        <v>997</v>
      </c>
      <c r="B54" t="s">
        <v>49</v>
      </c>
      <c r="C54" t="s">
        <v>965</v>
      </c>
      <c r="D54" t="s">
        <v>961</v>
      </c>
    </row>
    <row r="55" spans="1:6">
      <c r="A55" t="s">
        <v>979</v>
      </c>
      <c r="B55" t="s">
        <v>49</v>
      </c>
      <c r="C55" t="s">
        <v>965</v>
      </c>
      <c r="D55" t="s">
        <v>961</v>
      </c>
    </row>
    <row r="56" spans="1:6">
      <c r="A56" t="s">
        <v>998</v>
      </c>
      <c r="B56" t="s">
        <v>1</v>
      </c>
      <c r="C56" t="s">
        <v>999</v>
      </c>
      <c r="D56" t="s">
        <v>1</v>
      </c>
      <c r="F56" t="s">
        <v>1000</v>
      </c>
    </row>
    <row r="57" spans="1:6">
      <c r="A57" t="s">
        <v>894</v>
      </c>
      <c r="B57" t="s">
        <v>1</v>
      </c>
      <c r="C57" t="s">
        <v>1001</v>
      </c>
      <c r="F57" t="s">
        <v>1000</v>
      </c>
    </row>
    <row r="58" spans="1:6">
      <c r="A58" t="s">
        <v>1002</v>
      </c>
      <c r="B58" t="s">
        <v>1</v>
      </c>
      <c r="C58" t="s">
        <v>1003</v>
      </c>
      <c r="F58" t="s">
        <v>1000</v>
      </c>
    </row>
    <row r="59" spans="1:6">
      <c r="A59" t="s">
        <v>1004</v>
      </c>
      <c r="B59" t="s">
        <v>1</v>
      </c>
      <c r="C59" t="s">
        <v>1005</v>
      </c>
      <c r="D59" t="s">
        <v>1</v>
      </c>
      <c r="F59" t="s">
        <v>1000</v>
      </c>
    </row>
    <row r="60" spans="1:6">
      <c r="A60" t="s">
        <v>1006</v>
      </c>
      <c r="B60" t="s">
        <v>1</v>
      </c>
      <c r="C60" t="s">
        <v>1007</v>
      </c>
      <c r="D60" t="s">
        <v>1</v>
      </c>
      <c r="F60" t="s">
        <v>1000</v>
      </c>
    </row>
    <row r="61" spans="1:6">
      <c r="A61" t="s">
        <v>1008</v>
      </c>
      <c r="B61" t="s">
        <v>1</v>
      </c>
      <c r="C61" t="s">
        <v>1009</v>
      </c>
      <c r="F61" t="s">
        <v>964</v>
      </c>
    </row>
    <row r="62" spans="1:6">
      <c r="A62" t="s">
        <v>1010</v>
      </c>
      <c r="B62" t="s">
        <v>1</v>
      </c>
      <c r="C62" t="s">
        <v>1009</v>
      </c>
      <c r="F62" t="s">
        <v>964</v>
      </c>
    </row>
    <row r="63" spans="1:6">
      <c r="A63" t="s">
        <v>1011</v>
      </c>
      <c r="B63" t="s">
        <v>1</v>
      </c>
      <c r="C63" t="s">
        <v>1012</v>
      </c>
      <c r="D63" t="s">
        <v>1</v>
      </c>
      <c r="F63" t="s">
        <v>1013</v>
      </c>
    </row>
    <row r="64" spans="1:6">
      <c r="A64" t="s">
        <v>1014</v>
      </c>
      <c r="B64" t="s">
        <v>8</v>
      </c>
      <c r="C64" t="s">
        <v>1015</v>
      </c>
      <c r="D64" t="s">
        <v>961</v>
      </c>
    </row>
    <row r="65" spans="1:6">
      <c r="A65" t="s">
        <v>847</v>
      </c>
      <c r="B65" t="s">
        <v>9</v>
      </c>
      <c r="C65" t="s">
        <v>1016</v>
      </c>
      <c r="D65" t="s">
        <v>961</v>
      </c>
    </row>
    <row r="66" spans="1:6">
      <c r="A66" t="s">
        <v>728</v>
      </c>
      <c r="B66" t="s">
        <v>2</v>
      </c>
      <c r="C66" t="s">
        <v>1017</v>
      </c>
      <c r="F66" t="s">
        <v>962</v>
      </c>
    </row>
    <row r="67" spans="1:6">
      <c r="A67" t="s">
        <v>1018</v>
      </c>
      <c r="B67" t="s">
        <v>96</v>
      </c>
      <c r="C67" t="s">
        <v>1009</v>
      </c>
      <c r="D67" t="s">
        <v>1</v>
      </c>
      <c r="F67" t="s">
        <v>1000</v>
      </c>
    </row>
    <row r="68" spans="1:6">
      <c r="A68" t="s">
        <v>145</v>
      </c>
      <c r="B68" t="s">
        <v>96</v>
      </c>
      <c r="C68" t="s">
        <v>965</v>
      </c>
      <c r="D68" t="s">
        <v>22</v>
      </c>
    </row>
    <row r="69" spans="1:6">
      <c r="A69" t="s">
        <v>107</v>
      </c>
      <c r="B69" t="s">
        <v>96</v>
      </c>
      <c r="C69" t="s">
        <v>965</v>
      </c>
      <c r="D69" t="s">
        <v>21</v>
      </c>
    </row>
    <row r="70" spans="1:6">
      <c r="A70" t="s">
        <v>88</v>
      </c>
      <c r="B70" t="s">
        <v>42</v>
      </c>
      <c r="C70" t="s">
        <v>1019</v>
      </c>
      <c r="D70" t="s">
        <v>974</v>
      </c>
    </row>
    <row r="71" spans="1:6">
      <c r="A71" t="s">
        <v>101</v>
      </c>
      <c r="B71" t="s">
        <v>42</v>
      </c>
      <c r="C71" t="s">
        <v>1019</v>
      </c>
      <c r="D71" t="s">
        <v>974</v>
      </c>
    </row>
    <row r="72" spans="1:6">
      <c r="A72" t="s">
        <v>1020</v>
      </c>
      <c r="B72" t="s">
        <v>96</v>
      </c>
      <c r="C72" t="s">
        <v>1021</v>
      </c>
      <c r="D72" t="s">
        <v>1</v>
      </c>
    </row>
    <row r="73" spans="1:6">
      <c r="A73" t="s">
        <v>1022</v>
      </c>
      <c r="B73" t="s">
        <v>96</v>
      </c>
      <c r="C73" t="s">
        <v>1015</v>
      </c>
      <c r="D73" t="s">
        <v>961</v>
      </c>
    </row>
    <row r="74" spans="1:6">
      <c r="A74" t="s">
        <v>1023</v>
      </c>
      <c r="C74" t="s">
        <v>1024</v>
      </c>
    </row>
    <row r="75" spans="1:6">
      <c r="A75" t="s">
        <v>209</v>
      </c>
      <c r="B75" t="s">
        <v>96</v>
      </c>
      <c r="C75" t="s">
        <v>965</v>
      </c>
    </row>
  </sheetData>
  <phoneticPr fontId="5"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AB5B-6BA2-421E-82CB-C84FAEB11354}">
  <sheetPr>
    <tabColor theme="9"/>
  </sheetPr>
  <dimension ref="A1:BD132"/>
  <sheetViews>
    <sheetView topLeftCell="L92" zoomScale="80" zoomScaleNormal="80" workbookViewId="0">
      <selection activeCell="AO36" sqref="AO36"/>
    </sheetView>
  </sheetViews>
  <sheetFormatPr defaultColWidth="8.7109375" defaultRowHeight="15"/>
  <cols>
    <col min="1" max="1" width="4.7109375" customWidth="1"/>
    <col min="2" max="2" width="24.7109375" customWidth="1"/>
    <col min="3" max="3" width="7.42578125" bestFit="1" customWidth="1"/>
    <col min="4" max="4" width="4.7109375" customWidth="1"/>
    <col min="5" max="5" width="24.7109375" customWidth="1"/>
    <col min="6" max="6" width="6.7109375" bestFit="1" customWidth="1"/>
    <col min="7" max="7" width="4.7109375" customWidth="1"/>
    <col min="8" max="8" width="3.42578125" customWidth="1"/>
    <col min="9" max="9" width="24.7109375" customWidth="1"/>
    <col min="10" max="10" width="12.140625" customWidth="1"/>
    <col min="11" max="11" width="4.7109375" customWidth="1"/>
    <col min="12" max="12" width="24.7109375" customWidth="1"/>
    <col min="13" max="13" width="7.42578125" bestFit="1" customWidth="1"/>
    <col min="14" max="14" width="4.7109375" customWidth="1"/>
    <col min="15" max="15" width="3.42578125" customWidth="1"/>
    <col min="16" max="16" width="24.7109375" customWidth="1"/>
    <col min="17" max="17" width="8.7109375" bestFit="1" customWidth="1"/>
    <col min="18" max="18" width="4.7109375" customWidth="1"/>
    <col min="19" max="19" width="24.7109375" customWidth="1"/>
    <col min="20" max="20" width="8.7109375" bestFit="1" customWidth="1"/>
    <col min="21" max="21" width="4.7109375" customWidth="1"/>
    <col min="22" max="22" width="3.42578125" customWidth="1"/>
    <col min="23" max="23" width="24.7109375" customWidth="1"/>
    <col min="24" max="24" width="8.7109375" bestFit="1" customWidth="1"/>
    <col min="25" max="25" width="4.7109375" customWidth="1"/>
    <col min="26" max="26" width="24.7109375" customWidth="1"/>
    <col min="27" max="27" width="8.7109375" bestFit="1" customWidth="1"/>
    <col min="28" max="28" width="4.7109375" customWidth="1"/>
    <col min="29" max="29" width="3.7109375" customWidth="1"/>
    <col min="30" max="30" width="24.7109375" customWidth="1"/>
    <col min="31" max="31" width="8.7109375" bestFit="1" customWidth="1"/>
    <col min="32" max="32" width="4.7109375" customWidth="1"/>
    <col min="33" max="33" width="24.7109375" customWidth="1"/>
    <col min="34" max="34" width="8.7109375" bestFit="1" customWidth="1"/>
    <col min="35" max="35" width="5.28515625" customWidth="1"/>
    <col min="36" max="36" width="3.7109375" customWidth="1"/>
    <col min="37" max="37" width="24.7109375" customWidth="1"/>
    <col min="38" max="38" width="8.7109375" bestFit="1" customWidth="1"/>
    <col min="39" max="39" width="4.7109375" customWidth="1"/>
    <col min="40" max="40" width="24.7109375" customWidth="1"/>
    <col min="41" max="41" width="8.7109375" bestFit="1" customWidth="1"/>
    <col min="42" max="42" width="4.7109375" customWidth="1"/>
    <col min="44" max="44" width="24.7109375" customWidth="1"/>
    <col min="45" max="45" width="8.7109375" bestFit="1" customWidth="1"/>
    <col min="46" max="46" width="4.7109375" customWidth="1"/>
    <col min="47" max="47" width="24.7109375" customWidth="1"/>
    <col min="48" max="48" width="8.7109375" bestFit="1" customWidth="1"/>
    <col min="49" max="49" width="4.7109375" customWidth="1"/>
    <col min="51" max="51" width="24.7109375" customWidth="1"/>
    <col min="53" max="53" width="4.7109375" customWidth="1"/>
    <col min="54" max="54" width="24.7109375" customWidth="1"/>
    <col min="56" max="56" width="4.7109375" customWidth="1"/>
  </cols>
  <sheetData>
    <row r="1" spans="1:28" ht="15.75" thickBot="1"/>
    <row r="2" spans="1:28" ht="15.75" customHeight="1" thickBot="1">
      <c r="A2" s="103" t="s">
        <v>0</v>
      </c>
      <c r="B2" s="21" t="s">
        <v>1</v>
      </c>
      <c r="C2" s="21"/>
      <c r="D2" s="21"/>
      <c r="E2" s="21"/>
      <c r="F2" s="21"/>
      <c r="G2" s="21"/>
      <c r="I2" s="21" t="s">
        <v>2</v>
      </c>
      <c r="J2" s="21"/>
      <c r="K2" s="21"/>
      <c r="L2" s="21"/>
      <c r="M2" s="21"/>
      <c r="N2" s="21"/>
      <c r="P2" s="21" t="s">
        <v>3</v>
      </c>
      <c r="Q2" s="21"/>
      <c r="R2" s="21"/>
      <c r="S2" s="21"/>
      <c r="T2" s="21"/>
      <c r="U2" s="21"/>
      <c r="W2" s="21" t="s">
        <v>4</v>
      </c>
      <c r="X2" s="21"/>
      <c r="Y2" s="21"/>
      <c r="Z2" s="21"/>
      <c r="AA2" s="21"/>
      <c r="AB2" s="21"/>
    </row>
    <row r="3" spans="1:28" ht="15.75" thickBot="1">
      <c r="A3" s="103"/>
      <c r="B3" s="8" t="s">
        <v>938</v>
      </c>
      <c r="C3" s="9"/>
      <c r="D3" s="10"/>
      <c r="E3" s="8" t="s">
        <v>940</v>
      </c>
      <c r="F3" s="9"/>
      <c r="G3" s="10"/>
      <c r="I3" s="8" t="s">
        <v>938</v>
      </c>
      <c r="J3" s="9"/>
      <c r="K3" s="10"/>
      <c r="L3" s="8" t="s">
        <v>940</v>
      </c>
      <c r="M3" s="9"/>
      <c r="N3" s="10"/>
      <c r="P3" s="8" t="s">
        <v>938</v>
      </c>
      <c r="Q3" s="9"/>
      <c r="R3" s="10"/>
      <c r="S3" s="8" t="s">
        <v>940</v>
      </c>
      <c r="T3" s="9"/>
      <c r="U3" s="10"/>
      <c r="W3" s="8" t="s">
        <v>938</v>
      </c>
      <c r="X3" s="9"/>
      <c r="Y3" s="10"/>
      <c r="Z3" s="8" t="s">
        <v>940</v>
      </c>
      <c r="AA3" s="9"/>
      <c r="AB3" s="10"/>
    </row>
    <row r="4" spans="1:28">
      <c r="A4" s="103"/>
      <c r="B4" s="3" t="str" cm="1">
        <f t="array" ref="B4:B14">_xlfn._xlws.FILTER(Spelerslijst!$B:$B,Spelerslijst!$G:$G=B$2,"")</f>
        <v>Bridget ter Horst</v>
      </c>
      <c r="C4" s="4"/>
      <c r="D4" s="5"/>
      <c r="E4" s="3" t="str" cm="1">
        <f t="array" ref="E4:E14">_xlfn._xlws.FILTER(Spelerslijst!$L:$L,Spelerslijst!$Q:$Q=B$2,"")</f>
        <v>Bart Driesprong</v>
      </c>
      <c r="F4" s="4"/>
      <c r="G4" s="5"/>
      <c r="I4" s="3" t="str" cm="1">
        <f t="array" ref="I4:I11">_xlfn._xlws.FILTER(Spelerslijst!$B:$B,Spelerslijst!$G:$G=I$2,"")</f>
        <v>Angela Friebel</v>
      </c>
      <c r="J4" s="4"/>
      <c r="K4" s="5"/>
      <c r="L4" s="3" t="str" cm="1">
        <f t="array" ref="L4:L12">_xlfn._xlws.FILTER(Spelerslijst!$L:$L,Spelerslijst!$Q:$Q=I$2,"")</f>
        <v>Cas Tieleman</v>
      </c>
      <c r="M4" s="4"/>
      <c r="N4" s="5"/>
      <c r="P4" s="3" t="str" cm="1">
        <f t="array" ref="P4">_xlfn._xlws.FILTER(Spelerslijst!$B:$B,Spelerslijst!$G:$G=P$2,"")</f>
        <v/>
      </c>
      <c r="Q4" s="4"/>
      <c r="R4" s="5"/>
      <c r="S4" s="3" t="str" cm="1">
        <f t="array" ref="S4">_xlfn._xlws.FILTER(Spelerslijst!$L:$L,Spelerslijst!$Q:$Q=P$2,"")</f>
        <v/>
      </c>
      <c r="T4" s="4"/>
      <c r="U4" s="5"/>
      <c r="W4" s="3" t="str" cm="1">
        <f t="array" ref="W4">_xlfn._xlws.FILTER(Spelerslijst!$B:$B,Spelerslijst!$G:$G=W$2,"")</f>
        <v/>
      </c>
      <c r="X4" s="4"/>
      <c r="Y4" s="5"/>
      <c r="Z4" s="3" t="str" cm="1">
        <f t="array" ref="Z4">_xlfn._xlws.FILTER(Spelerslijst!$L:$L,Spelerslijst!$Q:$Q=W$2,"")</f>
        <v/>
      </c>
      <c r="AA4" s="4"/>
      <c r="AB4" s="5"/>
    </row>
    <row r="5" spans="1:28">
      <c r="A5" s="103"/>
      <c r="B5" s="6" t="str">
        <v>Demi van Dijk</v>
      </c>
      <c r="C5" s="2"/>
      <c r="D5" s="7"/>
      <c r="E5" s="6" t="str">
        <v>Bob Mans</v>
      </c>
      <c r="F5" s="2"/>
      <c r="G5" s="7"/>
      <c r="I5" s="6" t="str">
        <v>Carlijn Lievaart</v>
      </c>
      <c r="J5" s="2"/>
      <c r="K5" s="7"/>
      <c r="L5" s="6" t="str">
        <v>Ché Kooper</v>
      </c>
      <c r="M5" s="2"/>
      <c r="N5" s="7"/>
      <c r="P5" s="6"/>
      <c r="Q5" s="2"/>
      <c r="R5" s="7"/>
      <c r="S5" s="6"/>
      <c r="T5" s="2"/>
      <c r="U5" s="7"/>
      <c r="W5" s="6"/>
      <c r="X5" s="2"/>
      <c r="Y5" s="7"/>
      <c r="Z5" s="6"/>
      <c r="AA5" s="2"/>
      <c r="AB5" s="7"/>
    </row>
    <row r="6" spans="1:28">
      <c r="A6" s="103"/>
      <c r="B6" s="6" t="str">
        <v>Djuna Seevinck</v>
      </c>
      <c r="C6" s="2"/>
      <c r="D6" s="7"/>
      <c r="E6" s="6" t="str">
        <v>Daniel den Uijl</v>
      </c>
      <c r="F6" s="2"/>
      <c r="G6" s="7"/>
      <c r="I6" s="6" t="str">
        <v>Jany Lacroes</v>
      </c>
      <c r="J6" s="2"/>
      <c r="K6" s="7"/>
      <c r="L6" s="6" t="str">
        <v>David Kuijper</v>
      </c>
      <c r="M6" s="2"/>
      <c r="N6" s="7"/>
      <c r="P6" s="6"/>
      <c r="Q6" s="2"/>
      <c r="R6" s="7"/>
      <c r="S6" s="6"/>
      <c r="T6" s="2"/>
      <c r="U6" s="7"/>
      <c r="W6" s="6"/>
      <c r="X6" s="2"/>
      <c r="Y6" s="7"/>
      <c r="Z6" s="6"/>
      <c r="AA6" s="2"/>
      <c r="AB6" s="7"/>
    </row>
    <row r="7" spans="1:28">
      <c r="A7" s="103"/>
      <c r="B7" s="6" t="str">
        <v>Eva Teerds</v>
      </c>
      <c r="C7" s="2"/>
      <c r="D7" s="7"/>
      <c r="E7" s="6" t="str">
        <v>Jaimy van Arkel</v>
      </c>
      <c r="F7" s="2"/>
      <c r="G7" s="7"/>
      <c r="I7" s="6" t="str">
        <v>Jennifer Herremans</v>
      </c>
      <c r="J7" s="2"/>
      <c r="K7" s="7"/>
      <c r="L7" s="6" t="str">
        <v>Jens de Vlaming</v>
      </c>
      <c r="M7" s="2"/>
      <c r="N7" s="7"/>
      <c r="P7" s="6"/>
      <c r="Q7" s="2"/>
      <c r="R7" s="7"/>
      <c r="S7" s="6"/>
      <c r="T7" s="2"/>
      <c r="U7" s="7"/>
      <c r="W7" s="6"/>
      <c r="X7" s="2"/>
      <c r="Y7" s="7"/>
      <c r="Z7" s="6"/>
      <c r="AA7" s="2"/>
      <c r="AB7" s="7"/>
    </row>
    <row r="8" spans="1:28">
      <c r="A8" s="103"/>
      <c r="B8" s="6" t="str">
        <v>Kim Dommisse</v>
      </c>
      <c r="C8" s="2"/>
      <c r="D8" s="7"/>
      <c r="E8" s="6" t="str">
        <v>Joeri van Dijk</v>
      </c>
      <c r="F8" s="2"/>
      <c r="G8" s="7"/>
      <c r="I8" s="6" t="str">
        <v>Kimberley Witman</v>
      </c>
      <c r="J8" s="2"/>
      <c r="K8" s="7"/>
      <c r="L8" s="6" t="str">
        <v>Luuk Baars</v>
      </c>
      <c r="M8" s="2"/>
      <c r="N8" s="7"/>
      <c r="P8" s="6"/>
      <c r="Q8" s="2"/>
      <c r="R8" s="7"/>
      <c r="S8" s="6"/>
      <c r="T8" s="2"/>
      <c r="U8" s="7"/>
      <c r="W8" s="6"/>
      <c r="X8" s="2"/>
      <c r="Y8" s="7"/>
      <c r="Z8" s="6"/>
      <c r="AA8" s="2"/>
      <c r="AB8" s="7"/>
    </row>
    <row r="9" spans="1:28">
      <c r="A9" s="103"/>
      <c r="B9" s="6" t="str">
        <v>Loïs Fernhout</v>
      </c>
      <c r="C9" s="2"/>
      <c r="D9" s="7"/>
      <c r="E9" s="6" t="str">
        <v>Jordan Timmer</v>
      </c>
      <c r="F9" s="2"/>
      <c r="G9" s="7"/>
      <c r="I9" s="6" t="str">
        <v>Lara Schram</v>
      </c>
      <c r="J9" s="2"/>
      <c r="K9" s="7"/>
      <c r="L9" s="6" t="str">
        <v>Quinten van Driel</v>
      </c>
      <c r="M9" s="2"/>
      <c r="N9" s="7"/>
      <c r="P9" s="6"/>
      <c r="Q9" s="2"/>
      <c r="R9" s="7"/>
      <c r="S9" s="6"/>
      <c r="T9" s="2"/>
      <c r="U9" s="7"/>
      <c r="W9" s="6"/>
      <c r="X9" s="2"/>
      <c r="Y9" s="7"/>
      <c r="Z9" s="6"/>
      <c r="AA9" s="2"/>
      <c r="AB9" s="7"/>
    </row>
    <row r="10" spans="1:28">
      <c r="A10" s="103"/>
      <c r="B10" s="6" t="str">
        <v>Milou Oppe</v>
      </c>
      <c r="C10" s="2"/>
      <c r="D10" s="7"/>
      <c r="E10" s="6" t="str">
        <v>Marijn Klink</v>
      </c>
      <c r="F10" s="2"/>
      <c r="G10" s="7"/>
      <c r="I10" s="6" t="str">
        <v>Sanne Dubbeld</v>
      </c>
      <c r="J10" s="2"/>
      <c r="K10" s="7"/>
      <c r="L10" s="6" t="str">
        <v>Ruben Dubbeld</v>
      </c>
      <c r="M10" s="2"/>
      <c r="N10" s="7"/>
      <c r="P10" s="6"/>
      <c r="Q10" s="2"/>
      <c r="R10" s="7"/>
      <c r="S10" s="6"/>
      <c r="T10" s="2"/>
      <c r="U10" s="7"/>
      <c r="W10" s="6"/>
      <c r="X10" s="2"/>
      <c r="Y10" s="7"/>
      <c r="Z10" s="6"/>
      <c r="AA10" s="2"/>
      <c r="AB10" s="7"/>
    </row>
    <row r="11" spans="1:28">
      <c r="A11" s="103"/>
      <c r="B11" s="6" t="str">
        <v>Renske Visser</v>
      </c>
      <c r="C11" s="2"/>
      <c r="D11" s="7"/>
      <c r="E11" s="6" t="str">
        <v>Olivier Klink</v>
      </c>
      <c r="F11" s="2"/>
      <c r="G11" s="7"/>
      <c r="I11" s="6" t="str">
        <v>Tessa Dubbeld</v>
      </c>
      <c r="J11" s="2"/>
      <c r="K11" s="7"/>
      <c r="L11" s="6" t="str">
        <v>Thijs Boon</v>
      </c>
      <c r="M11" s="2"/>
      <c r="N11" s="7"/>
      <c r="P11" s="6"/>
      <c r="Q11" s="2"/>
      <c r="R11" s="7"/>
      <c r="S11" s="6"/>
      <c r="T11" s="2"/>
      <c r="U11" s="7"/>
      <c r="W11" s="6"/>
      <c r="X11" s="2"/>
      <c r="Y11" s="7"/>
      <c r="Z11" s="6"/>
      <c r="AA11" s="2"/>
      <c r="AB11" s="7"/>
    </row>
    <row r="12" spans="1:28">
      <c r="A12" s="103"/>
      <c r="B12" s="6" t="str">
        <v>Robin Dommisse</v>
      </c>
      <c r="C12" s="2"/>
      <c r="D12" s="7"/>
      <c r="E12" s="6" t="str">
        <v>Robin van Kalkeren</v>
      </c>
      <c r="F12" s="2"/>
      <c r="G12" s="7"/>
      <c r="I12" s="6"/>
      <c r="J12" s="2"/>
      <c r="K12" s="7"/>
      <c r="L12" s="6" t="str">
        <v>Tijmen Fasbender</v>
      </c>
      <c r="M12" s="2"/>
      <c r="N12" s="7"/>
      <c r="P12" s="6"/>
      <c r="Q12" s="2"/>
      <c r="R12" s="7"/>
      <c r="S12" s="6"/>
      <c r="T12" s="2"/>
      <c r="U12" s="7"/>
      <c r="W12" s="6"/>
      <c r="X12" s="2"/>
      <c r="Y12" s="7"/>
      <c r="Z12" s="6"/>
      <c r="AA12" s="2"/>
      <c r="AB12" s="7"/>
    </row>
    <row r="13" spans="1:28">
      <c r="A13" s="103"/>
      <c r="B13" s="6" t="str">
        <v>Vera Klootwijk</v>
      </c>
      <c r="C13" s="2"/>
      <c r="D13" s="7"/>
      <c r="E13" s="6" t="str">
        <v>Stefan Naaktgeboren</v>
      </c>
      <c r="F13" s="2"/>
      <c r="G13" s="7"/>
      <c r="I13" s="6"/>
      <c r="J13" s="2"/>
      <c r="K13" s="7"/>
      <c r="L13" s="6"/>
      <c r="M13" s="2"/>
      <c r="N13" s="7"/>
      <c r="P13" s="6"/>
      <c r="Q13" s="2"/>
      <c r="R13" s="7"/>
      <c r="S13" s="6"/>
      <c r="T13" s="2"/>
      <c r="U13" s="7"/>
      <c r="W13" s="6"/>
      <c r="X13" s="2"/>
      <c r="Y13" s="7"/>
      <c r="Z13" s="6"/>
      <c r="AA13" s="2"/>
      <c r="AB13" s="7"/>
    </row>
    <row r="14" spans="1:28">
      <c r="A14" s="103"/>
      <c r="B14" s="6" t="str">
        <v>Xanne Klink</v>
      </c>
      <c r="C14" s="2"/>
      <c r="D14" s="7"/>
      <c r="E14" s="6" t="str">
        <v>Tim van Gent</v>
      </c>
      <c r="F14" s="2"/>
      <c r="G14" s="7"/>
      <c r="I14" s="6"/>
      <c r="J14" s="2"/>
      <c r="K14" s="7"/>
      <c r="L14" s="6"/>
      <c r="M14" s="2"/>
      <c r="N14" s="7"/>
      <c r="P14" s="6"/>
      <c r="Q14" s="2"/>
      <c r="R14" s="7"/>
      <c r="S14" s="6"/>
      <c r="T14" s="2"/>
      <c r="U14" s="7"/>
      <c r="W14" s="6"/>
      <c r="X14" s="2"/>
      <c r="Y14" s="7"/>
      <c r="Z14" s="6"/>
      <c r="AA14" s="2"/>
      <c r="AB14" s="7"/>
    </row>
    <row r="15" spans="1:28">
      <c r="A15" s="103"/>
      <c r="B15" s="6"/>
      <c r="C15" s="2"/>
      <c r="D15" s="7"/>
      <c r="E15" s="6"/>
      <c r="F15" s="2"/>
      <c r="G15" s="7"/>
      <c r="I15" s="6"/>
      <c r="J15" s="2"/>
      <c r="K15" s="7"/>
      <c r="L15" s="6"/>
      <c r="M15" s="2"/>
      <c r="N15" s="7"/>
      <c r="P15" s="6"/>
      <c r="Q15" s="2"/>
      <c r="R15" s="7"/>
      <c r="S15" s="6"/>
      <c r="T15" s="2"/>
      <c r="U15" s="7"/>
      <c r="W15" s="6"/>
      <c r="X15" s="2"/>
      <c r="Y15" s="7"/>
      <c r="Z15" s="6"/>
      <c r="AA15" s="2"/>
      <c r="AB15" s="7"/>
    </row>
    <row r="16" spans="1:28" ht="15.75" thickBot="1">
      <c r="A16" s="103"/>
      <c r="B16" s="6"/>
      <c r="C16" s="2"/>
      <c r="D16" s="7"/>
      <c r="E16" s="6"/>
      <c r="F16" s="2"/>
      <c r="G16" s="7"/>
      <c r="I16" s="6"/>
      <c r="J16" s="2"/>
      <c r="K16" s="7"/>
      <c r="L16" s="6"/>
      <c r="M16" s="2"/>
      <c r="N16" s="7"/>
      <c r="P16" s="6"/>
      <c r="Q16" s="2"/>
      <c r="R16" s="7"/>
      <c r="S16" s="6"/>
      <c r="T16" s="2"/>
      <c r="U16" s="7"/>
      <c r="W16" s="6"/>
      <c r="X16" s="2"/>
      <c r="Y16" s="7"/>
      <c r="Z16" s="6"/>
      <c r="AA16" s="2"/>
      <c r="AB16" s="7"/>
    </row>
    <row r="17" spans="1:56">
      <c r="A17" s="103"/>
      <c r="B17" s="12" t="str" cm="1">
        <f t="array" ref="B17:B24">_xlfn._xlws.FILTER(Staf!$C:$C,Staf!$B:$B='Teams-deelversie'!B2,"")</f>
        <v>Analist S1</v>
      </c>
      <c r="C17" s="13" t="str" cm="1">
        <f t="array" ref="C17:C24">_xlfn._xlws.FILTER(Staf!$A:$A,Staf!$B:$B='Teams-deelversie'!B2,"")</f>
        <v>Joris van den Neucker</v>
      </c>
      <c r="D17" s="13"/>
      <c r="E17" s="13"/>
      <c r="F17" s="13"/>
      <c r="G17" s="14"/>
      <c r="I17" s="12" t="str" cm="1">
        <f t="array" ref="I17">_xlfn._xlws.FILTER(Staf!$C:$C,Staf!$B:$B='Teams-deelversie'!I2,"")</f>
        <v>Trainer/Coach S5</v>
      </c>
      <c r="J17" s="13" t="str" cm="1">
        <f t="array" ref="J17">_xlfn._xlws.FILTER(Staf!$A:$A,Staf!$B:$B='Teams-deelversie'!I2,"")</f>
        <v>Robin Dommisse</v>
      </c>
      <c r="K17" s="13"/>
      <c r="L17" s="13"/>
      <c r="M17" s="13"/>
      <c r="N17" s="14"/>
      <c r="P17" s="12" t="str" cm="1">
        <f t="array" ref="P17">_xlfn._xlws.FILTER(Staf!$C:$C,Staf!$B:$B='Teams-deelversie'!P2,"")</f>
        <v>Trainer/Coach A1</v>
      </c>
      <c r="Q17" s="13" t="str" cm="1">
        <f t="array" ref="Q17">_xlfn._xlws.FILTER(Staf!$A:$A,Staf!$B:$B='Teams-deelversie'!P2,"")</f>
        <v>Rob van Dongen</v>
      </c>
      <c r="R17" s="13"/>
      <c r="S17" s="13"/>
      <c r="T17" s="13"/>
      <c r="U17" s="14"/>
      <c r="W17" s="12" t="str" cm="1">
        <f t="array" ref="W17">_xlfn._xlws.FILTER(Staf!$C:$C,Staf!$B:$B='Teams-deelversie'!W2,"")</f>
        <v/>
      </c>
      <c r="X17" s="13" t="str" cm="1">
        <f t="array" ref="X17">_xlfn._xlws.FILTER(Staf!$A:$A,Staf!$B:$B='Teams-deelversie'!W2,"")</f>
        <v/>
      </c>
      <c r="Y17" s="13"/>
      <c r="Z17" s="13"/>
      <c r="AA17" s="13"/>
      <c r="AB17" s="14"/>
    </row>
    <row r="18" spans="1:56">
      <c r="A18" s="103"/>
      <c r="B18" s="15" t="str">
        <v>Teambegeleider S1</v>
      </c>
      <c r="C18" s="16" t="str">
        <v>Dionne Broere</v>
      </c>
      <c r="D18" s="16"/>
      <c r="E18" s="16"/>
      <c r="F18" s="16"/>
      <c r="G18" s="17"/>
      <c r="I18" s="15"/>
      <c r="J18" s="16"/>
      <c r="K18" s="16"/>
      <c r="L18" s="16"/>
      <c r="M18" s="16"/>
      <c r="N18" s="17"/>
      <c r="P18" s="15"/>
      <c r="Q18" s="16"/>
      <c r="R18" s="16"/>
      <c r="S18" s="16"/>
      <c r="T18" s="16"/>
      <c r="U18" s="17"/>
      <c r="W18" s="15"/>
      <c r="X18" s="16"/>
      <c r="Y18" s="16"/>
      <c r="Z18" s="16"/>
      <c r="AA18" s="16"/>
      <c r="AB18" s="17"/>
    </row>
    <row r="19" spans="1:56">
      <c r="A19" s="103"/>
      <c r="B19" s="15" t="str">
        <v>Teambegeleider S2</v>
      </c>
      <c r="C19" s="16" t="str">
        <v>Sandra Kerklaan</v>
      </c>
      <c r="D19" s="16"/>
      <c r="E19" s="16"/>
      <c r="F19" s="16"/>
      <c r="G19" s="17"/>
      <c r="I19" s="15"/>
      <c r="J19" s="16"/>
      <c r="K19" s="16"/>
      <c r="L19" s="16"/>
      <c r="M19" s="16"/>
      <c r="N19" s="17"/>
      <c r="P19" s="15"/>
      <c r="Q19" s="16"/>
      <c r="R19" s="16"/>
      <c r="S19" s="16"/>
      <c r="T19" s="16"/>
      <c r="U19" s="17"/>
      <c r="W19" s="15"/>
      <c r="X19" s="16"/>
      <c r="Y19" s="16"/>
      <c r="Z19" s="16"/>
      <c r="AA19" s="16"/>
      <c r="AB19" s="17"/>
    </row>
    <row r="20" spans="1:56">
      <c r="A20" s="103"/>
      <c r="B20" s="15" t="str">
        <v>Fysio</v>
      </c>
      <c r="C20" s="16" t="str">
        <v>Ruben Kamerbeek</v>
      </c>
      <c r="D20" s="16"/>
      <c r="E20" s="16"/>
      <c r="F20" s="16"/>
      <c r="G20" s="17"/>
      <c r="I20" s="15"/>
      <c r="J20" s="16"/>
      <c r="K20" s="16"/>
      <c r="L20" s="16"/>
      <c r="M20" s="16"/>
      <c r="N20" s="17"/>
      <c r="P20" s="15"/>
      <c r="Q20" s="16"/>
      <c r="R20" s="16"/>
      <c r="S20" s="16"/>
      <c r="T20" s="16"/>
      <c r="U20" s="17"/>
      <c r="W20" s="15"/>
      <c r="X20" s="16"/>
      <c r="Y20" s="16"/>
      <c r="Z20" s="16"/>
      <c r="AA20" s="16"/>
      <c r="AB20" s="17"/>
    </row>
    <row r="21" spans="1:56">
      <c r="A21" s="103"/>
      <c r="B21" s="15" t="str">
        <v>Verzorger</v>
      </c>
      <c r="C21" s="16" t="str">
        <v>Theo Anrochte</v>
      </c>
      <c r="D21" s="16"/>
      <c r="E21" s="16"/>
      <c r="F21" s="16"/>
      <c r="G21" s="17"/>
      <c r="I21" s="15"/>
      <c r="J21" s="16"/>
      <c r="K21" s="16"/>
      <c r="L21" s="16"/>
      <c r="M21" s="16"/>
      <c r="N21" s="17"/>
      <c r="P21" s="15"/>
      <c r="Q21" s="16"/>
      <c r="R21" s="16"/>
      <c r="S21" s="16"/>
      <c r="T21" s="16"/>
      <c r="U21" s="17"/>
      <c r="W21" s="15"/>
      <c r="X21" s="16"/>
      <c r="Y21" s="16"/>
      <c r="Z21" s="16"/>
      <c r="AA21" s="16"/>
      <c r="AB21" s="17"/>
    </row>
    <row r="22" spans="1:56">
      <c r="A22" s="103"/>
      <c r="B22" s="15" t="str">
        <v>Coach S2</v>
      </c>
      <c r="C22" s="16" t="str">
        <v>Arthyn Muller</v>
      </c>
      <c r="D22" s="16"/>
      <c r="E22" s="16"/>
      <c r="F22" s="16"/>
      <c r="G22" s="17"/>
      <c r="I22" s="15"/>
      <c r="J22" s="16"/>
      <c r="K22" s="16"/>
      <c r="L22" s="16"/>
      <c r="M22" s="16"/>
      <c r="N22" s="17"/>
      <c r="P22" s="15"/>
      <c r="Q22" s="16"/>
      <c r="R22" s="16"/>
      <c r="S22" s="16"/>
      <c r="T22" s="16"/>
      <c r="U22" s="17"/>
      <c r="W22" s="15"/>
      <c r="X22" s="16"/>
      <c r="Y22" s="16"/>
      <c r="Z22" s="16"/>
      <c r="AA22" s="16"/>
      <c r="AB22" s="17"/>
    </row>
    <row r="23" spans="1:56">
      <c r="A23" s="103"/>
      <c r="B23" s="15" t="str">
        <v>Coach S2</v>
      </c>
      <c r="C23" s="16" t="str">
        <v>Jeroen de Kruif</v>
      </c>
      <c r="D23" s="16"/>
      <c r="E23" s="16"/>
      <c r="F23" s="16"/>
      <c r="G23" s="17"/>
      <c r="I23" s="15"/>
      <c r="J23" s="16"/>
      <c r="K23" s="16"/>
      <c r="L23" s="16"/>
      <c r="M23" s="16"/>
      <c r="N23" s="17"/>
      <c r="P23" s="15"/>
      <c r="Q23" s="16"/>
      <c r="R23" s="16"/>
      <c r="S23" s="16"/>
      <c r="T23" s="16"/>
      <c r="U23" s="17"/>
      <c r="W23" s="15"/>
      <c r="X23" s="16"/>
      <c r="Y23" s="16"/>
      <c r="Z23" s="16"/>
      <c r="AA23" s="16"/>
      <c r="AB23" s="17"/>
    </row>
    <row r="24" spans="1:56" ht="15.75" thickBot="1">
      <c r="A24" s="103"/>
      <c r="B24" s="18" t="str">
        <v>Coach S1</v>
      </c>
      <c r="C24" s="19" t="str">
        <v>Bo van Hoof</v>
      </c>
      <c r="D24" s="19"/>
      <c r="E24" s="19"/>
      <c r="F24" s="19"/>
      <c r="G24" s="20"/>
      <c r="I24" s="18"/>
      <c r="J24" s="19"/>
      <c r="K24" s="19"/>
      <c r="L24" s="19"/>
      <c r="M24" s="19"/>
      <c r="N24" s="20"/>
      <c r="P24" s="18"/>
      <c r="Q24" s="19"/>
      <c r="R24" s="19"/>
      <c r="S24" s="19"/>
      <c r="T24" s="19"/>
      <c r="U24" s="20"/>
      <c r="W24" s="18"/>
      <c r="X24" s="19"/>
      <c r="Y24" s="19"/>
      <c r="Z24" s="19"/>
      <c r="AA24" s="19"/>
      <c r="AB24" s="20"/>
    </row>
    <row r="25" spans="1:56" ht="15.75" thickBot="1"/>
    <row r="26" spans="1:56" ht="15.75" thickBot="1">
      <c r="A26" s="103" t="s">
        <v>5</v>
      </c>
      <c r="B26" s="21" t="s">
        <v>6</v>
      </c>
      <c r="C26" s="21"/>
      <c r="D26" s="21"/>
      <c r="E26" s="21"/>
      <c r="F26" s="21"/>
      <c r="G26" s="21"/>
      <c r="I26" s="21" t="s">
        <v>7</v>
      </c>
      <c r="J26" s="21"/>
      <c r="K26" s="21"/>
      <c r="L26" s="21"/>
      <c r="M26" s="21"/>
      <c r="N26" s="21"/>
      <c r="P26" s="21" t="s">
        <v>8</v>
      </c>
      <c r="Q26" s="21"/>
      <c r="R26" s="21"/>
      <c r="S26" s="21"/>
      <c r="T26" s="21"/>
      <c r="U26" s="21"/>
      <c r="W26" s="21" t="s">
        <v>9</v>
      </c>
      <c r="X26" s="21"/>
      <c r="Y26" s="21"/>
      <c r="Z26" s="21"/>
      <c r="AA26" s="21"/>
      <c r="AB26" s="21"/>
      <c r="AD26" s="21" t="s">
        <v>10</v>
      </c>
      <c r="AE26" s="21"/>
      <c r="AF26" s="21"/>
      <c r="AG26" s="21"/>
      <c r="AH26" s="21"/>
      <c r="AI26" s="21"/>
      <c r="AK26" s="21" t="s">
        <v>11</v>
      </c>
      <c r="AL26" s="21"/>
      <c r="AM26" s="21"/>
      <c r="AN26" s="21"/>
      <c r="AO26" s="21"/>
      <c r="AP26" s="21"/>
      <c r="AR26" s="21" t="s">
        <v>12</v>
      </c>
      <c r="AS26" s="21"/>
      <c r="AT26" s="21"/>
      <c r="AU26" s="21"/>
      <c r="AV26" s="21"/>
      <c r="AW26" s="21"/>
      <c r="AY26" s="21" t="s">
        <v>13</v>
      </c>
      <c r="AZ26" s="21"/>
      <c r="BA26" s="21"/>
      <c r="BB26" s="21"/>
      <c r="BC26" s="21"/>
      <c r="BD26" s="21"/>
    </row>
    <row r="27" spans="1:56" ht="15.75" thickBot="1">
      <c r="A27" s="103"/>
      <c r="B27" s="8" t="s">
        <v>938</v>
      </c>
      <c r="C27" s="9"/>
      <c r="D27" s="10"/>
      <c r="E27" s="8" t="s">
        <v>940</v>
      </c>
      <c r="F27" s="9"/>
      <c r="G27" s="10"/>
      <c r="I27" s="8" t="s">
        <v>938</v>
      </c>
      <c r="J27" s="9"/>
      <c r="K27" s="10"/>
      <c r="L27" s="8" t="s">
        <v>940</v>
      </c>
      <c r="M27" s="9"/>
      <c r="N27" s="10"/>
      <c r="P27" s="8" t="s">
        <v>938</v>
      </c>
      <c r="Q27" s="9"/>
      <c r="R27" s="10"/>
      <c r="S27" s="8" t="s">
        <v>940</v>
      </c>
      <c r="T27" s="9"/>
      <c r="U27" s="10"/>
      <c r="W27" s="8" t="s">
        <v>938</v>
      </c>
      <c r="X27" s="9"/>
      <c r="Y27" s="10"/>
      <c r="Z27" s="8" t="s">
        <v>940</v>
      </c>
      <c r="AA27" s="9"/>
      <c r="AB27" s="10"/>
      <c r="AD27" s="8" t="s">
        <v>938</v>
      </c>
      <c r="AE27" s="9"/>
      <c r="AF27" s="10"/>
      <c r="AG27" s="8" t="s">
        <v>940</v>
      </c>
      <c r="AH27" s="9"/>
      <c r="AI27" s="10"/>
      <c r="AK27" s="8" t="s">
        <v>938</v>
      </c>
      <c r="AL27" s="9"/>
      <c r="AM27" s="10"/>
      <c r="AN27" s="8" t="s">
        <v>940</v>
      </c>
      <c r="AO27" s="9"/>
      <c r="AP27" s="10"/>
      <c r="AR27" s="8" t="s">
        <v>938</v>
      </c>
      <c r="AS27" s="9"/>
      <c r="AT27" s="10"/>
      <c r="AU27" s="8" t="s">
        <v>940</v>
      </c>
      <c r="AV27" s="9"/>
      <c r="AW27" s="10"/>
      <c r="AY27" s="8" t="s">
        <v>938</v>
      </c>
      <c r="AZ27" s="9"/>
      <c r="BA27" s="10"/>
      <c r="BB27" s="8" t="s">
        <v>940</v>
      </c>
      <c r="BC27" s="9"/>
      <c r="BD27" s="10"/>
    </row>
    <row r="28" spans="1:56">
      <c r="A28" s="103"/>
      <c r="B28" s="3" t="str" cm="1">
        <f t="array" ref="B28">_xlfn._xlws.FILTER(Spelerslijst!$B:$B,Spelerslijst!$G:$G=B$26,"")</f>
        <v/>
      </c>
      <c r="C28" s="4" t="str" cm="1">
        <f t="array" ref="C28">_xlfn._xlws.FILTER(Spelerslijst!$H:$H,Spelerslijst!$G:$G=B$26,"")</f>
        <v/>
      </c>
      <c r="D28" s="5" t="str" cm="1">
        <f t="array" ref="D28">_xlfn._xlws.FILTER(Spelerslijst!$D:$D,Spelerslijst!$G:$G=B$26,"")</f>
        <v/>
      </c>
      <c r="E28" s="3" t="str" cm="1">
        <f t="array" ref="E28">_xlfn._xlws.FILTER(Spelerslijst!$L:$L,Spelerslijst!$Q:$Q=B$26,"")</f>
        <v/>
      </c>
      <c r="F28" s="4" t="str" cm="1">
        <f t="array" ref="F28">_xlfn._xlws.FILTER(Spelerslijst!$R:$R,Spelerslijst!$Q:$Q=B$26,"")</f>
        <v/>
      </c>
      <c r="G28" s="5" t="str" cm="1">
        <f t="array" ref="G28">_xlfn._xlws.FILTER(Spelerslijst!$N:$N,Spelerslijst!$Q:$Q=B$26,"")</f>
        <v/>
      </c>
      <c r="I28" s="3" t="str" cm="1">
        <f t="array" ref="I28">_xlfn._xlws.FILTER(Spelerslijst!$B:$B,Spelerslijst!$G:$G=I$26,"")</f>
        <v/>
      </c>
      <c r="J28" s="4" t="str" cm="1">
        <f t="array" ref="J28">_xlfn._xlws.FILTER(Spelerslijst!$H:$H,Spelerslijst!$G:$G=I$26,"")</f>
        <v/>
      </c>
      <c r="K28" s="5" t="str" cm="1">
        <f t="array" ref="K28">_xlfn._xlws.FILTER(Spelerslijst!$D:$D,Spelerslijst!$G:$G=I$26,"")</f>
        <v/>
      </c>
      <c r="L28" s="3" t="str" cm="1">
        <f t="array" ref="L28">_xlfn._xlws.FILTER(Spelerslijst!$L:$L,Spelerslijst!$Q:$Q=I$26,"")</f>
        <v/>
      </c>
      <c r="M28" s="4" t="str" cm="1">
        <f t="array" ref="M28">_xlfn._xlws.FILTER(Spelerslijst!$R:$R,Spelerslijst!$Q:$Q=I$26,"")</f>
        <v/>
      </c>
      <c r="N28" s="5" t="str" cm="1">
        <f t="array" ref="N28">_xlfn._xlws.FILTER(Spelerslijst!$N:$N,Spelerslijst!$Q:$Q=I$26,"")</f>
        <v/>
      </c>
      <c r="P28" s="3" t="str" cm="1">
        <f t="array" ref="P28:P34">_xlfn._xlws.FILTER(Spelerslijst!$B:$B,Spelerslijst!$G:$G=P$26,"")</f>
        <v>Esther Ardon</v>
      </c>
      <c r="Q28" s="4"/>
      <c r="R28" s="5"/>
      <c r="S28" s="3" t="str" cm="1">
        <f t="array" ref="S28:S32">_xlfn._xlws.FILTER(Spelerslijst!$L:$L,Spelerslijst!$Q:$Q=P$26,"")</f>
        <v>Emiel Houwerzijl</v>
      </c>
      <c r="T28" s="4"/>
      <c r="U28" s="5"/>
      <c r="W28" s="3" t="str" cm="1">
        <f t="array" ref="W28:W32">_xlfn._xlws.FILTER(Spelerslijst!$B:$B,Spelerslijst!$G:$G=W$26,"")</f>
        <v>Barbara Camphens-Moerman</v>
      </c>
      <c r="X28" s="4"/>
      <c r="Y28" s="5"/>
      <c r="Z28" s="3" t="str" cm="1">
        <f t="array" ref="Z28:Z32">_xlfn._xlws.FILTER(Spelerslijst!$L:$L,Spelerslijst!$Q:$Q=W$26,"")</f>
        <v>Antjan Laban</v>
      </c>
      <c r="AA28" s="4"/>
      <c r="AB28" s="5"/>
      <c r="AD28" s="3" t="str" cm="1">
        <f t="array" ref="AD28">_xlfn._xlws.FILTER(Spelerslijst!$B:$B,Spelerslijst!$G:$G=AD$26,"")</f>
        <v/>
      </c>
      <c r="AE28" s="4" t="str" cm="1">
        <f t="array" ref="AE28">_xlfn._xlws.FILTER(Spelerslijst!$H:$H,Spelerslijst!$G:$G=AD$26,"")</f>
        <v/>
      </c>
      <c r="AF28" s="5" t="str" cm="1">
        <f t="array" ref="AF28">_xlfn._xlws.FILTER(Spelerslijst!$D:$D,Spelerslijst!$G:$G=AD$26,"")</f>
        <v/>
      </c>
      <c r="AG28" s="3" t="str" cm="1">
        <f t="array" ref="AG28">_xlfn._xlws.FILTER(Spelerslijst!$L:$L,Spelerslijst!$Q:$Q=AD$26,"")</f>
        <v/>
      </c>
      <c r="AH28" s="4" t="str" cm="1">
        <f t="array" ref="AH28">_xlfn._xlws.FILTER(Spelerslijst!$R:$R,Spelerslijst!$Q:$Q=AD$26,"")</f>
        <v/>
      </c>
      <c r="AI28" s="5" t="str" cm="1">
        <f t="array" ref="AI28">_xlfn._xlws.FILTER(Spelerslijst!$N:$N,Spelerslijst!$Q:$Q=AD$26,"")</f>
        <v/>
      </c>
      <c r="AK28" s="3" t="str" cm="1">
        <f t="array" ref="AK28">_xlfn._xlws.FILTER(Spelerslijst!$B:$B,Spelerslijst!$G:$G=AK$26,"")</f>
        <v/>
      </c>
      <c r="AL28" s="4" t="str" cm="1">
        <f t="array" ref="AL28">_xlfn._xlws.FILTER(Spelerslijst!$H:$H,Spelerslijst!$G:$G=AK$26,"")</f>
        <v/>
      </c>
      <c r="AM28" s="5" t="str" cm="1">
        <f t="array" ref="AM28">_xlfn._xlws.FILTER(Spelerslijst!$D:$D,Spelerslijst!$G:$G=AK$26,"")</f>
        <v/>
      </c>
      <c r="AN28" s="3" t="str" cm="1">
        <f t="array" ref="AN28">_xlfn._xlws.FILTER(Spelerslijst!$L:$L,Spelerslijst!$Q:$Q=AK$26,"")</f>
        <v/>
      </c>
      <c r="AO28" s="4" t="str" cm="1">
        <f t="array" ref="AO28">_xlfn._xlws.FILTER(Spelerslijst!$R:$R,Spelerslijst!$Q:$Q=AK$26,"")</f>
        <v/>
      </c>
      <c r="AP28" s="5" t="str" cm="1">
        <f t="array" ref="AP28">_xlfn._xlws.FILTER(Spelerslijst!$N:$N,Spelerslijst!$Q:$Q=AK$26,"")</f>
        <v/>
      </c>
      <c r="AR28" s="3" t="str" cm="1">
        <f t="array" ref="AR28:AR32">_xlfn._xlws.FILTER(Spelerslijst!$B:$B,Spelerslijst!$G:$G=AR$26,"")</f>
        <v>Anniek Pierse</v>
      </c>
      <c r="AS28" s="4"/>
      <c r="AT28" s="5"/>
      <c r="AU28" s="3" t="str" cm="1">
        <f t="array" ref="AU28:AU30">_xlfn._xlws.FILTER(Spelerslijst!$L:$L,Spelerslijst!$Q:$Q=AR$26,"")</f>
        <v>Joram Flach</v>
      </c>
      <c r="AV28" s="4"/>
      <c r="AW28" s="5"/>
      <c r="AY28" s="3" t="str" cm="1">
        <f t="array" ref="AY28:AY34">_xlfn._xlws.FILTER(Spelerslijst!$B:$B,Spelerslijst!$G:$G=AY$26,"")</f>
        <v>Dorien in 't Veld</v>
      </c>
      <c r="AZ28" s="4"/>
      <c r="BA28" s="5"/>
      <c r="BB28" s="3" t="str" cm="1">
        <f t="array" ref="BB28:BB33">_xlfn._xlws.FILTER(Spelerslijst!$L:$L,Spelerslijst!$Q:$Q=AY$26,"")</f>
        <v>Hans Ploeg</v>
      </c>
      <c r="BC28" s="4"/>
      <c r="BD28" s="5"/>
    </row>
    <row r="29" spans="1:56">
      <c r="A29" s="103"/>
      <c r="B29" s="6"/>
      <c r="C29" s="2"/>
      <c r="D29" s="7"/>
      <c r="E29" s="6"/>
      <c r="F29" s="2"/>
      <c r="G29" s="7"/>
      <c r="I29" s="6"/>
      <c r="J29" s="2"/>
      <c r="K29" s="7"/>
      <c r="L29" s="6"/>
      <c r="M29" s="2"/>
      <c r="N29" s="7"/>
      <c r="P29" s="6" t="str">
        <v>Hanneke Batenburg</v>
      </c>
      <c r="Q29" s="2"/>
      <c r="R29" s="7"/>
      <c r="S29" s="6" t="str">
        <v>Jan Booy</v>
      </c>
      <c r="T29" s="2"/>
      <c r="U29" s="7"/>
      <c r="W29" s="6" t="str">
        <v>Diana Visser-Michelsen</v>
      </c>
      <c r="X29" s="2"/>
      <c r="Y29" s="7"/>
      <c r="Z29" s="6" t="str">
        <v>Arjan Noels</v>
      </c>
      <c r="AA29" s="2"/>
      <c r="AB29" s="7"/>
      <c r="AD29" s="6"/>
      <c r="AE29" s="2"/>
      <c r="AF29" s="7"/>
      <c r="AG29" s="6"/>
      <c r="AH29" s="2"/>
      <c r="AI29" s="7"/>
      <c r="AK29" s="6"/>
      <c r="AL29" s="2"/>
      <c r="AM29" s="7"/>
      <c r="AN29" s="6"/>
      <c r="AO29" s="2"/>
      <c r="AP29" s="7"/>
      <c r="AR29" s="6" t="str">
        <v>Laura Koote</v>
      </c>
      <c r="AS29" s="2"/>
      <c r="AT29" s="7"/>
      <c r="AU29" s="6" t="str">
        <v>Mark Schindler</v>
      </c>
      <c r="AV29" s="2"/>
      <c r="AW29" s="7"/>
      <c r="AY29" s="6" t="str">
        <v>Kim Heesterbeek</v>
      </c>
      <c r="AZ29" s="2"/>
      <c r="BA29" s="7"/>
      <c r="BB29" s="6" t="str">
        <v>Michiel 't Jong</v>
      </c>
      <c r="BC29" s="2"/>
      <c r="BD29" s="7"/>
    </row>
    <row r="30" spans="1:56">
      <c r="A30" s="103"/>
      <c r="B30" s="6"/>
      <c r="C30" s="2"/>
      <c r="D30" s="7"/>
      <c r="E30" s="6"/>
      <c r="F30" s="2"/>
      <c r="G30" s="7"/>
      <c r="I30" s="6"/>
      <c r="J30" s="2"/>
      <c r="K30" s="7"/>
      <c r="L30" s="6"/>
      <c r="M30" s="2"/>
      <c r="N30" s="7"/>
      <c r="P30" s="6" t="str">
        <v>Linda Ardon</v>
      </c>
      <c r="Q30" s="2"/>
      <c r="R30" s="7"/>
      <c r="S30" s="6" t="str">
        <v>Lex van Gent</v>
      </c>
      <c r="T30" s="2"/>
      <c r="U30" s="7"/>
      <c r="W30" s="6" t="str">
        <v>Esther Wibbens</v>
      </c>
      <c r="X30" s="2"/>
      <c r="Y30" s="7"/>
      <c r="Z30" s="6" t="str">
        <v>Bart de Wit</v>
      </c>
      <c r="AA30" s="2"/>
      <c r="AB30" s="7"/>
      <c r="AD30" s="6"/>
      <c r="AE30" s="2"/>
      <c r="AF30" s="7"/>
      <c r="AG30" s="6"/>
      <c r="AH30" s="2"/>
      <c r="AI30" s="7"/>
      <c r="AK30" s="6"/>
      <c r="AL30" s="2"/>
      <c r="AM30" s="7"/>
      <c r="AN30" s="6"/>
      <c r="AO30" s="2"/>
      <c r="AP30" s="7"/>
      <c r="AR30" s="6" t="str">
        <v>Marlies Valk</v>
      </c>
      <c r="AS30" s="2"/>
      <c r="AT30" s="7"/>
      <c r="AU30" s="6" t="str">
        <v>Rick van de Wijgaart</v>
      </c>
      <c r="AV30" s="2"/>
      <c r="AW30" s="7"/>
      <c r="AY30" s="6" t="str">
        <v>Kim Scheurwater</v>
      </c>
      <c r="AZ30" s="2"/>
      <c r="BA30" s="7"/>
      <c r="BB30" s="6" t="str">
        <v>Peter Batenburg</v>
      </c>
      <c r="BC30" s="2"/>
      <c r="BD30" s="7"/>
    </row>
    <row r="31" spans="1:56">
      <c r="A31" s="103"/>
      <c r="B31" s="6"/>
      <c r="C31" s="2"/>
      <c r="D31" s="7"/>
      <c r="E31" s="6"/>
      <c r="F31" s="2"/>
      <c r="G31" s="7"/>
      <c r="I31" s="6"/>
      <c r="J31" s="2"/>
      <c r="K31" s="7"/>
      <c r="L31" s="6"/>
      <c r="M31" s="2"/>
      <c r="N31" s="7"/>
      <c r="P31" s="6" t="str">
        <v>Merel van Gurp</v>
      </c>
      <c r="Q31" s="2"/>
      <c r="R31" s="7"/>
      <c r="S31" s="6" t="str">
        <v>Roy de Vlaming</v>
      </c>
      <c r="T31" s="2"/>
      <c r="U31" s="7"/>
      <c r="W31" s="6" t="str">
        <v>Lieke Ploeg</v>
      </c>
      <c r="X31" s="2"/>
      <c r="Y31" s="7"/>
      <c r="Z31" s="6" t="str">
        <v>Bas de Jong</v>
      </c>
      <c r="AA31" s="2"/>
      <c r="AB31" s="7"/>
      <c r="AD31" s="6"/>
      <c r="AE31" s="2"/>
      <c r="AF31" s="7"/>
      <c r="AG31" s="6"/>
      <c r="AH31" s="2"/>
      <c r="AI31" s="7"/>
      <c r="AK31" s="6"/>
      <c r="AL31" s="2"/>
      <c r="AM31" s="7"/>
      <c r="AN31" s="6"/>
      <c r="AO31" s="2"/>
      <c r="AP31" s="7"/>
      <c r="AR31" s="6" t="str">
        <v>Nadia de Wit</v>
      </c>
      <c r="AS31" s="2"/>
      <c r="AT31" s="7"/>
      <c r="AU31" s="6"/>
      <c r="AV31" s="2"/>
      <c r="AW31" s="7"/>
      <c r="AY31" s="6" t="str">
        <v>Liesbeth Brand</v>
      </c>
      <c r="AZ31" s="2"/>
      <c r="BA31" s="7"/>
      <c r="BB31" s="6" t="str">
        <v>Ronald Riet</v>
      </c>
      <c r="BC31" s="2"/>
      <c r="BD31" s="7"/>
    </row>
    <row r="32" spans="1:56">
      <c r="A32" s="103"/>
      <c r="B32" s="6"/>
      <c r="C32" s="2"/>
      <c r="D32" s="7"/>
      <c r="E32" s="6"/>
      <c r="F32" s="2"/>
      <c r="G32" s="7"/>
      <c r="I32" s="6"/>
      <c r="J32" s="2"/>
      <c r="K32" s="7"/>
      <c r="L32" s="6"/>
      <c r="M32" s="2"/>
      <c r="N32" s="7"/>
      <c r="P32" s="6" t="str">
        <v>Nada Hussein</v>
      </c>
      <c r="Q32" s="2"/>
      <c r="R32" s="7"/>
      <c r="S32" s="6" t="str">
        <v>Thomas Isarin</v>
      </c>
      <c r="T32" s="2"/>
      <c r="U32" s="7"/>
      <c r="W32" s="6" t="str">
        <v>Petra Verheijde</v>
      </c>
      <c r="X32" s="2"/>
      <c r="Y32" s="7"/>
      <c r="Z32" s="6" t="str">
        <v>Steven Kuperus</v>
      </c>
      <c r="AA32" s="2"/>
      <c r="AB32" s="7"/>
      <c r="AD32" s="6"/>
      <c r="AE32" s="2"/>
      <c r="AF32" s="7"/>
      <c r="AG32" s="6"/>
      <c r="AH32" s="2"/>
      <c r="AI32" s="7"/>
      <c r="AK32" s="6"/>
      <c r="AL32" s="2"/>
      <c r="AM32" s="7"/>
      <c r="AN32" s="6"/>
      <c r="AO32" s="2"/>
      <c r="AP32" s="7"/>
      <c r="AR32" s="6" t="str">
        <v>Syrah de Wit</v>
      </c>
      <c r="AS32" s="2"/>
      <c r="AT32" s="7"/>
      <c r="AU32" s="6"/>
      <c r="AV32" s="2"/>
      <c r="AW32" s="7"/>
      <c r="AY32" s="6" t="str">
        <v>Mirjam de Wit</v>
      </c>
      <c r="AZ32" s="2"/>
      <c r="BA32" s="7"/>
      <c r="BB32" s="6" t="str">
        <v>Sebastiaan Belder</v>
      </c>
      <c r="BC32" s="2"/>
      <c r="BD32" s="7"/>
    </row>
    <row r="33" spans="1:56">
      <c r="A33" s="103"/>
      <c r="B33" s="6"/>
      <c r="C33" s="2"/>
      <c r="D33" s="7"/>
      <c r="E33" s="6"/>
      <c r="F33" s="2"/>
      <c r="G33" s="7"/>
      <c r="I33" s="6"/>
      <c r="J33" s="2"/>
      <c r="K33" s="7"/>
      <c r="L33" s="6"/>
      <c r="M33" s="2"/>
      <c r="N33" s="7"/>
      <c r="P33" s="6" t="str">
        <v>Robin Leijdsman</v>
      </c>
      <c r="Q33" s="2"/>
      <c r="R33" s="7"/>
      <c r="S33" s="6"/>
      <c r="T33" s="2"/>
      <c r="U33" s="7"/>
      <c r="W33" s="6"/>
      <c r="X33" s="2"/>
      <c r="Y33" s="7"/>
      <c r="Z33" s="6"/>
      <c r="AA33" s="2"/>
      <c r="AB33" s="7"/>
      <c r="AD33" s="6"/>
      <c r="AE33" s="2"/>
      <c r="AF33" s="7"/>
      <c r="AG33" s="6"/>
      <c r="AH33" s="2"/>
      <c r="AI33" s="7"/>
      <c r="AK33" s="6"/>
      <c r="AL33" s="2"/>
      <c r="AM33" s="7"/>
      <c r="AN33" s="6"/>
      <c r="AO33" s="2"/>
      <c r="AP33" s="7"/>
      <c r="AR33" s="6"/>
      <c r="AS33" s="2"/>
      <c r="AT33" s="7"/>
      <c r="AU33" s="6"/>
      <c r="AV33" s="2"/>
      <c r="AW33" s="7"/>
      <c r="AY33" s="6" t="str">
        <v>Sanne van Andel</v>
      </c>
      <c r="AZ33" s="2"/>
      <c r="BA33" s="7"/>
      <c r="BB33" s="6" t="str">
        <v>Wilco Kooij</v>
      </c>
      <c r="BC33" s="2"/>
      <c r="BD33" s="7"/>
    </row>
    <row r="34" spans="1:56">
      <c r="A34" s="103"/>
      <c r="B34" s="6"/>
      <c r="C34" s="2"/>
      <c r="D34" s="7"/>
      <c r="E34" s="6"/>
      <c r="F34" s="2"/>
      <c r="G34" s="7"/>
      <c r="I34" s="6"/>
      <c r="J34" s="2"/>
      <c r="K34" s="7"/>
      <c r="L34" s="6"/>
      <c r="M34" s="2"/>
      <c r="N34" s="7"/>
      <c r="P34" s="6" t="str">
        <v>Simone van Zwoll</v>
      </c>
      <c r="Q34" s="2"/>
      <c r="R34" s="7"/>
      <c r="S34" s="6"/>
      <c r="T34" s="2"/>
      <c r="U34" s="7"/>
      <c r="W34" s="6"/>
      <c r="X34" s="2"/>
      <c r="Y34" s="7"/>
      <c r="Z34" s="6"/>
      <c r="AA34" s="2"/>
      <c r="AB34" s="7"/>
      <c r="AD34" s="6"/>
      <c r="AE34" s="2"/>
      <c r="AF34" s="7"/>
      <c r="AG34" s="6"/>
      <c r="AH34" s="2"/>
      <c r="AI34" s="7"/>
      <c r="AK34" s="6"/>
      <c r="AL34" s="2"/>
      <c r="AM34" s="7"/>
      <c r="AN34" s="6"/>
      <c r="AO34" s="2"/>
      <c r="AP34" s="7"/>
      <c r="AR34" s="6"/>
      <c r="AS34" s="2"/>
      <c r="AT34" s="7"/>
      <c r="AU34" s="6"/>
      <c r="AV34" s="2"/>
      <c r="AW34" s="7"/>
      <c r="AY34" s="6" t="str">
        <v>Tamara van Opstal-Haksteen</v>
      </c>
      <c r="AZ34" s="2"/>
      <c r="BA34" s="7"/>
      <c r="BB34" s="6"/>
      <c r="BC34" s="2"/>
      <c r="BD34" s="7"/>
    </row>
    <row r="35" spans="1:56" ht="15.75" thickBot="1">
      <c r="A35" s="103"/>
      <c r="B35" s="6"/>
      <c r="C35" s="2"/>
      <c r="D35" s="7"/>
      <c r="E35" s="6"/>
      <c r="F35" s="2"/>
      <c r="G35" s="7"/>
      <c r="I35" s="6"/>
      <c r="J35" s="2"/>
      <c r="K35" s="7"/>
      <c r="L35" s="6"/>
      <c r="M35" s="2"/>
      <c r="N35" s="7"/>
      <c r="P35" s="6"/>
      <c r="Q35" s="2"/>
      <c r="R35" s="7"/>
      <c r="S35" s="6"/>
      <c r="T35" s="2"/>
      <c r="U35" s="7"/>
      <c r="W35" s="6"/>
      <c r="X35" s="2"/>
      <c r="Y35" s="7"/>
      <c r="Z35" s="6"/>
      <c r="AA35" s="2"/>
      <c r="AB35" s="7"/>
      <c r="AD35" s="6"/>
      <c r="AE35" s="2"/>
      <c r="AF35" s="7"/>
      <c r="AG35" s="6"/>
      <c r="AH35" s="2"/>
      <c r="AI35" s="7"/>
      <c r="AK35" s="6"/>
      <c r="AL35" s="2"/>
      <c r="AM35" s="7"/>
      <c r="AN35" s="6"/>
      <c r="AO35" s="2"/>
      <c r="AP35" s="7"/>
      <c r="AR35" s="6"/>
      <c r="AS35" s="2"/>
      <c r="AT35" s="7"/>
      <c r="AU35" s="6"/>
      <c r="AV35" s="2"/>
      <c r="AW35" s="7"/>
      <c r="AY35" s="6"/>
      <c r="AZ35" s="2"/>
      <c r="BA35" s="7"/>
      <c r="BB35" s="6"/>
      <c r="BC35" s="2"/>
      <c r="BD35" s="7"/>
    </row>
    <row r="36" spans="1:56">
      <c r="A36" s="103"/>
      <c r="B36" s="12" t="str" cm="1">
        <f t="array" ref="B36">_xlfn._xlws.FILTER(Staf!$C:$C,Staf!$B:$B='Teams-deelversie'!B26,"")</f>
        <v/>
      </c>
      <c r="C36" s="13" t="str" cm="1">
        <f t="array" ref="C36">_xlfn._xlws.FILTER(Staf!$A:$A,Staf!$B:$B='Teams-deelversie'!B26,"")</f>
        <v/>
      </c>
      <c r="D36" s="13"/>
      <c r="E36" s="13"/>
      <c r="F36" s="13"/>
      <c r="G36" s="14"/>
      <c r="I36" s="12" t="str" cm="1">
        <f t="array" ref="I36">_xlfn._xlws.FILTER(Staf!$C:$C,Staf!$B:$B='Teams-deelversie'!I26,"")</f>
        <v/>
      </c>
      <c r="J36" s="13" t="str" cm="1">
        <f t="array" ref="J36">_xlfn._xlws.FILTER(Staf!$A:$A,Staf!$B:$B='Teams-deelversie'!I26,"")</f>
        <v/>
      </c>
      <c r="K36" s="13"/>
      <c r="L36" s="13"/>
      <c r="M36" s="13"/>
      <c r="N36" s="14"/>
      <c r="P36" s="12" t="str" cm="1">
        <f t="array" ref="P36">_xlfn._xlws.FILTER(Staf!$C:$C,Staf!$B:$B='Teams-deelversie'!P26,"")</f>
        <v>Begeleider</v>
      </c>
      <c r="Q36" s="13" t="str" cm="1">
        <f t="array" ref="Q36">_xlfn._xlws.FILTER(Staf!$A:$A,Staf!$B:$B='Teams-deelversie'!P26,"")</f>
        <v>Kim Ardon</v>
      </c>
      <c r="R36" s="13"/>
      <c r="S36" s="13"/>
      <c r="T36" s="13"/>
      <c r="U36" s="14"/>
      <c r="W36" s="12" t="str" cm="1">
        <f t="array" ref="W36">_xlfn._xlws.FILTER(Staf!$C:$C,Staf!$B:$B='Teams-deelversie'!W26,"")</f>
        <v>Thuiscoach</v>
      </c>
      <c r="X36" s="13" t="str" cm="1">
        <f t="array" ref="X36">_xlfn._xlws.FILTER(Staf!$A:$A,Staf!$B:$B='Teams-deelversie'!W26,"")</f>
        <v>Marco van Kalkeren</v>
      </c>
      <c r="Y36" s="13"/>
      <c r="Z36" s="13"/>
      <c r="AA36" s="13"/>
      <c r="AB36" s="14"/>
      <c r="AD36" s="12" t="str" cm="1">
        <f t="array" ref="AD36">_xlfn._xlws.FILTER(Staf!$C:$C,Staf!$B:$B='Teams-deelversie'!AD26,"")</f>
        <v/>
      </c>
      <c r="AE36" s="13" t="str" cm="1">
        <f t="array" ref="AE36">_xlfn._xlws.FILTER(Staf!$A:$A,Staf!$B:$B='Teams-deelversie'!AD26,"")</f>
        <v/>
      </c>
      <c r="AF36" s="13"/>
      <c r="AG36" s="13"/>
      <c r="AH36" s="13"/>
      <c r="AI36" s="14"/>
      <c r="AK36" s="12" t="str" cm="1">
        <f t="array" ref="AK36">_xlfn._xlws.FILTER(Staf!$C:$C,Staf!$B:$B='Teams-deelversie'!AK26,"")</f>
        <v/>
      </c>
      <c r="AL36" s="13" t="str" cm="1">
        <f t="array" ref="AL36">_xlfn._xlws.FILTER(Staf!$A:$A,Staf!$B:$B='Teams-deelversie'!AK26,"")</f>
        <v/>
      </c>
      <c r="AM36" s="13"/>
      <c r="AN36" s="13"/>
      <c r="AO36" s="13" t="s">
        <v>1025</v>
      </c>
      <c r="AP36" s="14"/>
      <c r="AR36" s="12" t="str" cm="1">
        <f t="array" ref="AR36">_xlfn._xlws.FILTER(Staf!$C:$C,Staf!$B:$B='Teams-deelversie'!AR26,"")</f>
        <v/>
      </c>
      <c r="AS36" s="13" t="str" cm="1">
        <f t="array" ref="AS36">_xlfn._xlws.FILTER(Staf!$A:$A,Staf!$B:$B='Teams-deelversie'!AR26,"")</f>
        <v/>
      </c>
      <c r="AT36" s="13"/>
      <c r="AU36" s="13"/>
      <c r="AV36" s="13"/>
      <c r="AW36" s="14"/>
      <c r="AY36" s="12" t="str" cm="1">
        <f t="array" ref="AY36">_xlfn._xlws.FILTER(Staf!$C:$C,Staf!$B:$B='Teams-deelversie'!AY26,"")</f>
        <v/>
      </c>
      <c r="AZ36" s="13" t="str" cm="1">
        <f t="array" ref="AZ36">_xlfn._xlws.FILTER(Staf!$A:$A,Staf!$B:$B='Teams-deelversie'!AY26,"")</f>
        <v/>
      </c>
      <c r="BA36" s="13"/>
      <c r="BB36" s="13"/>
      <c r="BC36" s="13"/>
      <c r="BD36" s="14"/>
    </row>
    <row r="37" spans="1:56" ht="15.75" thickBot="1">
      <c r="A37" s="103"/>
      <c r="B37" s="18"/>
      <c r="C37" s="19"/>
      <c r="D37" s="19"/>
      <c r="E37" s="19"/>
      <c r="F37" s="19"/>
      <c r="G37" s="20"/>
      <c r="I37" s="18"/>
      <c r="J37" s="19"/>
      <c r="K37" s="19"/>
      <c r="L37" s="19"/>
      <c r="M37" s="19"/>
      <c r="N37" s="20"/>
      <c r="P37" s="18"/>
      <c r="Q37" s="19"/>
      <c r="R37" s="19"/>
      <c r="S37" s="19"/>
      <c r="T37" s="19"/>
      <c r="U37" s="20"/>
      <c r="W37" s="18"/>
      <c r="X37" s="19"/>
      <c r="Y37" s="19"/>
      <c r="Z37" s="19"/>
      <c r="AA37" s="19"/>
      <c r="AB37" s="20"/>
      <c r="AD37" s="18"/>
      <c r="AE37" s="19"/>
      <c r="AF37" s="19"/>
      <c r="AG37" s="19"/>
      <c r="AH37" s="19"/>
      <c r="AI37" s="20"/>
      <c r="AK37" s="18"/>
      <c r="AL37" s="19"/>
      <c r="AM37" s="19"/>
      <c r="AN37" s="19"/>
      <c r="AO37" s="19"/>
      <c r="AP37" s="20"/>
      <c r="AR37" s="18"/>
      <c r="AS37" s="19"/>
      <c r="AT37" s="19"/>
      <c r="AU37" s="19"/>
      <c r="AV37" s="19"/>
      <c r="AW37" s="20"/>
      <c r="AY37" s="18"/>
      <c r="AZ37" s="19"/>
      <c r="BA37" s="19"/>
      <c r="BB37" s="19"/>
      <c r="BC37" s="19"/>
      <c r="BD37" s="20"/>
    </row>
    <row r="38" spans="1:56" ht="15.75" thickBot="1"/>
    <row r="39" spans="1:56" ht="15.75" thickBot="1">
      <c r="A39" s="103" t="s">
        <v>14</v>
      </c>
      <c r="B39" s="21" t="s">
        <v>15</v>
      </c>
      <c r="C39" s="21"/>
      <c r="D39" s="21"/>
      <c r="E39" s="21"/>
      <c r="F39" s="21"/>
      <c r="G39" s="21"/>
      <c r="I39" s="21" t="s">
        <v>16</v>
      </c>
      <c r="J39" s="21"/>
      <c r="K39" s="21"/>
      <c r="L39" s="21"/>
      <c r="M39" s="21"/>
      <c r="N39" s="21"/>
      <c r="P39" s="21" t="s">
        <v>17</v>
      </c>
      <c r="Q39" s="21"/>
      <c r="R39" s="21"/>
      <c r="S39" s="21"/>
      <c r="T39" s="21"/>
      <c r="U39" s="21"/>
      <c r="W39" s="21" t="s">
        <v>18</v>
      </c>
      <c r="X39" s="21"/>
      <c r="Y39" s="21"/>
      <c r="Z39" s="21"/>
      <c r="AA39" s="21"/>
      <c r="AB39" s="21"/>
      <c r="AD39" s="21" t="s">
        <v>19</v>
      </c>
      <c r="AE39" s="21"/>
      <c r="AF39" s="21"/>
      <c r="AG39" s="21"/>
      <c r="AH39" s="21"/>
      <c r="AI39" s="21"/>
    </row>
    <row r="40" spans="1:56" ht="15.75" thickBot="1">
      <c r="A40" s="103"/>
      <c r="B40" s="8" t="s">
        <v>938</v>
      </c>
      <c r="C40" s="9"/>
      <c r="D40" s="10"/>
      <c r="E40" s="8" t="s">
        <v>940</v>
      </c>
      <c r="F40" s="9"/>
      <c r="G40" s="10"/>
      <c r="I40" s="8" t="s">
        <v>938</v>
      </c>
      <c r="J40" s="9"/>
      <c r="K40" s="10"/>
      <c r="L40" s="8" t="s">
        <v>940</v>
      </c>
      <c r="M40" s="9"/>
      <c r="N40" s="10"/>
      <c r="P40" s="8" t="s">
        <v>938</v>
      </c>
      <c r="Q40" s="9"/>
      <c r="R40" s="10"/>
      <c r="S40" s="8" t="s">
        <v>940</v>
      </c>
      <c r="T40" s="9"/>
      <c r="U40" s="10"/>
      <c r="W40" s="8" t="s">
        <v>938</v>
      </c>
      <c r="X40" s="9"/>
      <c r="Y40" s="10"/>
      <c r="Z40" s="8" t="s">
        <v>940</v>
      </c>
      <c r="AA40" s="9"/>
      <c r="AB40" s="10"/>
      <c r="AD40" s="8" t="s">
        <v>938</v>
      </c>
      <c r="AE40" s="9"/>
      <c r="AF40" s="10"/>
      <c r="AG40" s="8" t="s">
        <v>940</v>
      </c>
      <c r="AH40" s="9"/>
      <c r="AI40" s="10"/>
    </row>
    <row r="41" spans="1:56">
      <c r="A41" s="103"/>
      <c r="B41" s="3" t="str" cm="1">
        <f t="array" ref="B41:B45">_xlfn._xlws.FILTER(Spelerslijst!$B:$B,Spelerslijst!$G:$G=B$39,"")</f>
        <v>Amber de Haas</v>
      </c>
      <c r="C41" s="4" t="str" cm="1">
        <f t="array" ref="C41:C45">_xlfn._xlws.FILTER(Spelerslijst!$H:$H,Spelerslijst!$G:$G=B$39,"")</f>
        <v>B1</v>
      </c>
      <c r="D41" s="5" cm="1">
        <f t="array" ref="D41:D45">_xlfn._xlws.FILTER(Spelerslijst!$D:$D,Spelerslijst!$G:$G=B$39,"")</f>
        <v>16</v>
      </c>
      <c r="E41" s="3" t="str" cm="1">
        <f t="array" ref="E41:E45">_xlfn._xlws.FILTER(Spelerslijst!$L:$L,Spelerslijst!$Q:$Q=B$39,"")</f>
        <v>Jack Zwanenburg</v>
      </c>
      <c r="F41" s="4" t="str" cm="1">
        <f t="array" ref="F41:F45">_xlfn._xlws.FILTER(Spelerslijst!$R:$R,Spelerslijst!$Q:$Q=B$39,"")</f>
        <v>B1</v>
      </c>
      <c r="G41" s="5" cm="1">
        <f t="array" ref="G41:G45">_xlfn._xlws.FILTER(Spelerslijst!$N:$N,Spelerslijst!$Q:$Q=B$39,"")</f>
        <v>16</v>
      </c>
      <c r="I41" s="3" t="str" cm="1">
        <f t="array" ref="I41:I45">_xlfn._xlws.FILTER(Spelerslijst!$B:$B,Spelerslijst!$G:$G=I$39,"")</f>
        <v>Anouk de Jongh</v>
      </c>
      <c r="J41" s="4" t="str" cm="1">
        <f t="array" ref="J41:J45">_xlfn._xlws.FILTER(Spelerslijst!$H:$H,Spelerslijst!$G:$G=I$39,"")</f>
        <v>A2</v>
      </c>
      <c r="K41" s="5" cm="1">
        <f t="array" ref="K41:K45">_xlfn._xlws.FILTER(Spelerslijst!$D:$D,Spelerslijst!$G:$G=I$39,"")</f>
        <v>18</v>
      </c>
      <c r="L41" s="3" t="str" cm="1">
        <f t="array" ref="L41:L45">_xlfn._xlws.FILTER(Spelerslijst!$L:$L,Spelerslijst!$Q:$Q=I$39,"")</f>
        <v>Freek van Dongen</v>
      </c>
      <c r="M41" s="4" t="str" cm="1">
        <f t="array" ref="M41:M45">_xlfn._xlws.FILTER(Spelerslijst!$R:$R,Spelerslijst!$Q:$Q=I$39,"")</f>
        <v>B2</v>
      </c>
      <c r="N41" s="5" cm="1">
        <f t="array" ref="N41:N45">_xlfn._xlws.FILTER(Spelerslijst!$N:$N,Spelerslijst!$Q:$Q=I$39,"")</f>
        <v>16</v>
      </c>
      <c r="P41" s="3" t="str" cm="1">
        <f t="array" ref="P41:P47">_xlfn._xlws.FILTER(Spelerslijst!$B:$B,Spelerslijst!$G:$G=P$39,"")</f>
        <v>Amber Boeije</v>
      </c>
      <c r="Q41" s="4"/>
      <c r="R41" s="5"/>
      <c r="S41" s="3" t="str" cm="1">
        <f t="array" ref="S41:S44">_xlfn._xlws.FILTER(Spelerslijst!$L:$L,Spelerslijst!$Q:$Q=P$39,"")</f>
        <v>Laurens Verhagen</v>
      </c>
      <c r="T41" s="4"/>
      <c r="U41" s="5"/>
      <c r="W41" s="3" t="str" cm="1">
        <f t="array" ref="W41">_xlfn._xlws.FILTER(Spelerslijst!$B:$B,Spelerslijst!$G:$G=W$39,"")</f>
        <v/>
      </c>
      <c r="X41" s="4" t="str" cm="1">
        <f t="array" ref="X41">_xlfn._xlws.FILTER(Spelerslijst!$H:$H,Spelerslijst!$G:$G=W$39,"")</f>
        <v/>
      </c>
      <c r="Y41" s="5" t="str" cm="1">
        <f t="array" ref="Y41">_xlfn._xlws.FILTER(Spelerslijst!$D:$D,Spelerslijst!$G:$G=W$39,"")</f>
        <v/>
      </c>
      <c r="Z41" s="3" t="str" cm="1">
        <f t="array" ref="Z41">_xlfn._xlws.FILTER(Spelerslijst!$L:$L,Spelerslijst!$Q:$Q=W$39,"")</f>
        <v/>
      </c>
      <c r="AA41" s="4" t="str" cm="1">
        <f t="array" ref="AA41">_xlfn._xlws.FILTER(Spelerslijst!$R:$R,Spelerslijst!$Q:$Q=W$39,"")</f>
        <v/>
      </c>
      <c r="AB41" s="5" t="str" cm="1">
        <f t="array" ref="AB41">_xlfn._xlws.FILTER(Spelerslijst!$N:$N,Spelerslijst!$Q:$Q=W$39,"")</f>
        <v/>
      </c>
      <c r="AD41" s="3" t="str" cm="1">
        <f t="array" ref="AD41">_xlfn._xlws.FILTER(Spelerslijst!$B:$B,Spelerslijst!$G:$G=AD$39,"")</f>
        <v/>
      </c>
      <c r="AE41" s="4" t="str" cm="1">
        <f t="array" ref="AE41">_xlfn._xlws.FILTER(Spelerslijst!$H:$H,Spelerslijst!$G:$G=AD$39,"")</f>
        <v/>
      </c>
      <c r="AF41" s="5" t="str" cm="1">
        <f t="array" ref="AF41">_xlfn._xlws.FILTER(Spelerslijst!$D:$D,Spelerslijst!$G:$G=AD$39,"")</f>
        <v/>
      </c>
      <c r="AG41" s="3" t="str" cm="1">
        <f t="array" ref="AG41">_xlfn._xlws.FILTER(Spelerslijst!$L:$L,Spelerslijst!$Q:$Q=AD$39,"")</f>
        <v/>
      </c>
      <c r="AH41" s="4" t="str" cm="1">
        <f t="array" ref="AH41">_xlfn._xlws.FILTER(Spelerslijst!$R:$R,Spelerslijst!$Q:$Q=AD$39,"")</f>
        <v/>
      </c>
      <c r="AI41" s="5" t="str" cm="1">
        <f t="array" ref="AI41">_xlfn._xlws.FILTER(Spelerslijst!$N:$N,Spelerslijst!$Q:$Q=AD$39,"")</f>
        <v/>
      </c>
    </row>
    <row r="42" spans="1:56">
      <c r="A42" s="103"/>
      <c r="B42" s="6" t="str">
        <v>Iza Wolleswinkel</v>
      </c>
      <c r="C42" s="2" t="str">
        <v>B1</v>
      </c>
      <c r="D42" s="7">
        <v>16</v>
      </c>
      <c r="E42" s="6" t="str">
        <v>Jarno Valk</v>
      </c>
      <c r="F42" s="2" t="str">
        <v>B1</v>
      </c>
      <c r="G42" s="7">
        <v>16</v>
      </c>
      <c r="I42" s="6" t="str">
        <v>Elena Quarré</v>
      </c>
      <c r="J42" s="2" t="str">
        <v>A2</v>
      </c>
      <c r="K42" s="7">
        <v>18</v>
      </c>
      <c r="L42" s="6" t="str">
        <v>Joël Wietses</v>
      </c>
      <c r="M42" s="2" t="str">
        <v>A2</v>
      </c>
      <c r="N42" s="7">
        <v>18</v>
      </c>
      <c r="P42" s="6" t="str">
        <v>Bente van Wijngaarden</v>
      </c>
      <c r="Q42" s="2"/>
      <c r="R42" s="7"/>
      <c r="S42" s="6" t="str">
        <v>Matthijs de Jongh</v>
      </c>
      <c r="T42" s="2"/>
      <c r="U42" s="7"/>
      <c r="W42" s="6"/>
      <c r="X42" s="2"/>
      <c r="Y42" s="7"/>
      <c r="Z42" s="6"/>
      <c r="AA42" s="2"/>
      <c r="AB42" s="7"/>
      <c r="AD42" s="6"/>
      <c r="AE42" s="2"/>
      <c r="AF42" s="7"/>
      <c r="AG42" s="6"/>
      <c r="AH42" s="2"/>
      <c r="AI42" s="7"/>
    </row>
    <row r="43" spans="1:56">
      <c r="A43" s="103"/>
      <c r="B43" s="6" t="str">
        <v>Merel Manduapessy</v>
      </c>
      <c r="C43" s="2" t="str">
        <v>B1</v>
      </c>
      <c r="D43" s="7">
        <v>16</v>
      </c>
      <c r="E43" s="6" t="str">
        <v>Jens Lohuis</v>
      </c>
      <c r="F43" s="2" t="str">
        <v>A1</v>
      </c>
      <c r="G43" s="7">
        <v>18</v>
      </c>
      <c r="I43" s="6" t="str">
        <v>Lindi Fasbender</v>
      </c>
      <c r="J43" s="2" t="str">
        <v>A2</v>
      </c>
      <c r="K43" s="7">
        <v>18</v>
      </c>
      <c r="L43" s="6" t="str">
        <v>Seth van de Burgt</v>
      </c>
      <c r="M43" s="2" t="str">
        <v>B2</v>
      </c>
      <c r="N43" s="7">
        <v>17</v>
      </c>
      <c r="P43" s="6" t="str">
        <v>Flore Steenks</v>
      </c>
      <c r="Q43" s="2"/>
      <c r="R43" s="7"/>
      <c r="S43" s="6" t="str">
        <v>Menno Pille</v>
      </c>
      <c r="T43" s="2"/>
      <c r="U43" s="7"/>
      <c r="W43" s="6"/>
      <c r="X43" s="2"/>
      <c r="Y43" s="7"/>
      <c r="Z43" s="6"/>
      <c r="AA43" s="2"/>
      <c r="AB43" s="7"/>
      <c r="AD43" s="6"/>
      <c r="AE43" s="2"/>
      <c r="AF43" s="7"/>
      <c r="AG43" s="6"/>
      <c r="AH43" s="2"/>
      <c r="AI43" s="7"/>
    </row>
    <row r="44" spans="1:56">
      <c r="A44" s="103"/>
      <c r="B44" s="6" t="str">
        <v>Roos Groeneweg</v>
      </c>
      <c r="C44" s="2" t="str">
        <v>A1</v>
      </c>
      <c r="D44" s="7">
        <v>18</v>
      </c>
      <c r="E44" s="6" t="str">
        <v>Jordi Vaartmans</v>
      </c>
      <c r="F44" s="2" t="str">
        <v>B1</v>
      </c>
      <c r="G44" s="7">
        <v>17</v>
      </c>
      <c r="I44" s="6" t="str">
        <v>Maud van Wensen</v>
      </c>
      <c r="J44" s="2" t="str">
        <v>A1</v>
      </c>
      <c r="K44" s="7">
        <v>18</v>
      </c>
      <c r="L44" s="6" t="str">
        <v>Tijn Bäcker</v>
      </c>
      <c r="M44" s="2" t="str">
        <v>B1</v>
      </c>
      <c r="N44" s="7">
        <v>16</v>
      </c>
      <c r="P44" s="6" t="str">
        <v>Julia Bozuwa</v>
      </c>
      <c r="Q44" s="2"/>
      <c r="R44" s="7"/>
      <c r="S44" s="6" t="str">
        <v>Tommie Koornneef</v>
      </c>
      <c r="T44" s="2"/>
      <c r="U44" s="7"/>
      <c r="W44" s="6"/>
      <c r="X44" s="2"/>
      <c r="Y44" s="7"/>
      <c r="Z44" s="6"/>
      <c r="AA44" s="2"/>
      <c r="AB44" s="7"/>
      <c r="AD44" s="6"/>
      <c r="AE44" s="2"/>
      <c r="AF44" s="7"/>
      <c r="AG44" s="6"/>
      <c r="AH44" s="2"/>
      <c r="AI44" s="7"/>
    </row>
    <row r="45" spans="1:56">
      <c r="A45" s="103"/>
      <c r="B45" s="6" t="str">
        <v>Sara Boshoven</v>
      </c>
      <c r="C45" s="2" t="str">
        <v>A1</v>
      </c>
      <c r="D45" s="7">
        <v>18</v>
      </c>
      <c r="E45" s="6" t="str">
        <v>Senne Koster</v>
      </c>
      <c r="F45" s="2" t="str">
        <v>A1</v>
      </c>
      <c r="G45" s="7">
        <v>18</v>
      </c>
      <c r="I45" s="6" t="str">
        <v>Mila de Wit</v>
      </c>
      <c r="J45" s="2" t="str">
        <v>B2</v>
      </c>
      <c r="K45" s="7">
        <v>16</v>
      </c>
      <c r="L45" s="6" t="str">
        <v>Wouter Koornneef</v>
      </c>
      <c r="M45" s="2" t="str">
        <v>A2</v>
      </c>
      <c r="N45" s="7">
        <v>18</v>
      </c>
      <c r="P45" s="6" t="str">
        <v>Lianne Bouwknegt</v>
      </c>
      <c r="Q45" s="2"/>
      <c r="R45" s="7"/>
      <c r="S45" s="6"/>
      <c r="T45" s="2"/>
      <c r="U45" s="7"/>
      <c r="W45" s="6"/>
      <c r="X45" s="2"/>
      <c r="Y45" s="7"/>
      <c r="Z45" s="6"/>
      <c r="AA45" s="2"/>
      <c r="AB45" s="7"/>
      <c r="AD45" s="6"/>
      <c r="AE45" s="2"/>
      <c r="AF45" s="7"/>
      <c r="AG45" s="6"/>
      <c r="AH45" s="2"/>
      <c r="AI45" s="7"/>
    </row>
    <row r="46" spans="1:56">
      <c r="A46" s="103"/>
      <c r="B46" s="6"/>
      <c r="C46" s="2"/>
      <c r="D46" s="7"/>
      <c r="E46" s="6"/>
      <c r="F46" s="2"/>
      <c r="G46" s="7"/>
      <c r="I46" s="6"/>
      <c r="J46" s="2"/>
      <c r="K46" s="7"/>
      <c r="L46" s="6"/>
      <c r="M46" s="2"/>
      <c r="N46" s="7"/>
      <c r="P46" s="6" t="str">
        <v>Tessa van Everdingen</v>
      </c>
      <c r="Q46" s="2"/>
      <c r="R46" s="7"/>
      <c r="S46" s="6"/>
      <c r="T46" s="2"/>
      <c r="U46" s="7"/>
      <c r="W46" s="6"/>
      <c r="X46" s="2"/>
      <c r="Y46" s="7"/>
      <c r="Z46" s="6"/>
      <c r="AA46" s="2"/>
      <c r="AB46" s="7"/>
      <c r="AD46" s="6"/>
      <c r="AE46" s="2"/>
      <c r="AF46" s="7"/>
      <c r="AG46" s="6"/>
      <c r="AH46" s="2"/>
      <c r="AI46" s="7"/>
    </row>
    <row r="47" spans="1:56">
      <c r="A47" s="103"/>
      <c r="B47" s="6"/>
      <c r="C47" s="2"/>
      <c r="D47" s="7"/>
      <c r="E47" s="6"/>
      <c r="F47" s="2"/>
      <c r="G47" s="7"/>
      <c r="I47" s="6"/>
      <c r="J47" s="2"/>
      <c r="K47" s="7"/>
      <c r="L47" s="6"/>
      <c r="M47" s="2"/>
      <c r="N47" s="7"/>
      <c r="P47" s="6" t="str">
        <v>Vivienne Versnel</v>
      </c>
      <c r="Q47" s="2"/>
      <c r="R47" s="7"/>
      <c r="S47" s="6"/>
      <c r="T47" s="2"/>
      <c r="U47" s="7"/>
      <c r="W47" s="6"/>
      <c r="X47" s="2"/>
      <c r="Y47" s="7"/>
      <c r="Z47" s="6"/>
      <c r="AA47" s="2"/>
      <c r="AB47" s="7"/>
      <c r="AD47" s="6"/>
      <c r="AE47" s="2"/>
      <c r="AF47" s="7"/>
      <c r="AG47" s="6"/>
      <c r="AH47" s="2"/>
      <c r="AI47" s="7"/>
    </row>
    <row r="48" spans="1:56">
      <c r="A48" s="103"/>
      <c r="B48" s="6"/>
      <c r="C48" s="2"/>
      <c r="D48" s="7"/>
      <c r="E48" s="6"/>
      <c r="F48" s="2"/>
      <c r="G48" s="7"/>
      <c r="I48" s="6"/>
      <c r="J48" s="2"/>
      <c r="K48" s="7"/>
      <c r="L48" s="6"/>
      <c r="M48" s="2"/>
      <c r="N48" s="7"/>
      <c r="P48" s="6"/>
      <c r="Q48" s="2"/>
      <c r="R48" s="7"/>
      <c r="S48" s="6"/>
      <c r="T48" s="2"/>
      <c r="U48" s="7"/>
      <c r="W48" s="6"/>
      <c r="X48" s="2"/>
      <c r="Y48" s="7"/>
      <c r="Z48" s="6"/>
      <c r="AA48" s="2"/>
      <c r="AB48" s="7"/>
      <c r="AD48" s="6"/>
      <c r="AE48" s="2"/>
      <c r="AF48" s="7"/>
      <c r="AG48" s="6"/>
      <c r="AH48" s="2"/>
      <c r="AI48" s="7"/>
    </row>
    <row r="49" spans="1:35" ht="15.75" thickBot="1">
      <c r="A49" s="103"/>
      <c r="B49" s="6"/>
      <c r="C49" s="2"/>
      <c r="D49" s="7"/>
      <c r="E49" s="6"/>
      <c r="F49" s="2"/>
      <c r="G49" s="7"/>
      <c r="I49" s="6"/>
      <c r="J49" s="2"/>
      <c r="K49" s="7"/>
      <c r="L49" s="6"/>
      <c r="M49" s="2"/>
      <c r="N49" s="7"/>
      <c r="P49" s="6"/>
      <c r="Q49" s="2"/>
      <c r="R49" s="7"/>
      <c r="S49" s="6"/>
      <c r="T49" s="2"/>
      <c r="U49" s="7"/>
      <c r="W49" s="6"/>
      <c r="X49" s="2"/>
      <c r="Y49" s="7"/>
      <c r="Z49" s="6"/>
      <c r="AA49" s="2"/>
      <c r="AB49" s="7"/>
      <c r="AD49" s="6"/>
      <c r="AE49" s="2"/>
      <c r="AF49" s="7"/>
      <c r="AG49" s="6"/>
      <c r="AH49" s="2"/>
      <c r="AI49" s="7"/>
    </row>
    <row r="50" spans="1:35">
      <c r="A50" s="103"/>
      <c r="B50" s="12" t="str" cm="1">
        <f t="array" ref="B50:B51">_xlfn._xlws.FILTER(Staf!$C:$C,Staf!$B:$B='Teams-deelversie'!B39,"")</f>
        <v>Trainer/Coach A1</v>
      </c>
      <c r="C50" s="13" t="str" cm="1">
        <f t="array" ref="C50:C51">_xlfn._xlws.FILTER(Staf!$A:$A,Staf!$B:$B='Teams-deelversie'!B39,"")</f>
        <v>Ruben Blokland</v>
      </c>
      <c r="D50" s="13"/>
      <c r="E50" s="13"/>
      <c r="F50" s="13"/>
      <c r="G50" s="14"/>
      <c r="I50" s="12" t="str" cm="1">
        <f t="array" ref="I50:I51">_xlfn._xlws.FILTER(Staf!$C:$C,Staf!$B:$B='Teams-deelversie'!I39,"")</f>
        <v>Trainer/Coach A2</v>
      </c>
      <c r="J50" s="13" t="str" cm="1">
        <f t="array" ref="J50:J51">_xlfn._xlws.FILTER(Staf!$A:$A,Staf!$B:$B='Teams-deelversie'!I39,"")</f>
        <v>Tim van Gent</v>
      </c>
      <c r="K50" s="13"/>
      <c r="L50" s="13"/>
      <c r="M50" s="13"/>
      <c r="N50" s="14"/>
      <c r="P50" s="12" t="str" cm="1">
        <f t="array" ref="P50:P52">_xlfn._xlws.FILTER(Staf!$C:$C,Staf!$B:$B='Teams-deelversie'!P39,"")</f>
        <v>Trainer/Coach</v>
      </c>
      <c r="Q50" s="13" t="str" cm="1">
        <f t="array" ref="Q50:Q52">_xlfn._xlws.FILTER(Staf!$A:$A,Staf!$B:$B='Teams-deelversie'!P39,"")</f>
        <v>Team 6</v>
      </c>
      <c r="R50" s="13"/>
      <c r="S50" s="13"/>
      <c r="T50" s="13"/>
      <c r="U50" s="14"/>
      <c r="W50" s="12" t="str" cm="1">
        <f t="array" ref="W50">_xlfn._xlws.FILTER(Staf!$C:$C,Staf!$B:$B='Teams-deelversie'!W39,"")</f>
        <v/>
      </c>
      <c r="X50" s="13" t="str" cm="1">
        <f t="array" ref="X50">_xlfn._xlws.FILTER(Staf!$A:$A,Staf!$B:$B='Teams-deelversie'!W39,"")</f>
        <v/>
      </c>
      <c r="Y50" s="13"/>
      <c r="Z50" s="13"/>
      <c r="AA50" s="13"/>
      <c r="AB50" s="14"/>
      <c r="AD50" s="12" t="str" cm="1">
        <f t="array" ref="AD50">_xlfn._xlws.FILTER(Staf!$C:$C,Staf!$B:$B='Teams-deelversie'!AD39,"")</f>
        <v/>
      </c>
      <c r="AE50" s="13" t="str" cm="1">
        <f t="array" ref="AE50">_xlfn._xlws.FILTER(Staf!$A:$A,Staf!$B:$B='Teams-deelversie'!AD39,"")</f>
        <v/>
      </c>
      <c r="AF50" s="13"/>
      <c r="AG50" s="13"/>
      <c r="AH50" s="13"/>
      <c r="AI50" s="14"/>
    </row>
    <row r="51" spans="1:35">
      <c r="A51" s="103"/>
      <c r="B51" s="15" t="str">
        <v>Trainer/Coach A1</v>
      </c>
      <c r="C51" s="16" t="str">
        <v>Rob van Dongen</v>
      </c>
      <c r="D51" s="16"/>
      <c r="E51" s="16"/>
      <c r="F51" s="16"/>
      <c r="G51" s="17"/>
      <c r="I51" s="15" t="str">
        <v>Trainer/Coach A2</v>
      </c>
      <c r="J51" s="16" t="str">
        <v>Olivier Klink</v>
      </c>
      <c r="K51" s="16"/>
      <c r="L51" s="16"/>
      <c r="M51" s="16"/>
      <c r="N51" s="17"/>
      <c r="P51" s="15">
        <v>0</v>
      </c>
      <c r="Q51" s="16" t="str">
        <v>o.a. Kimberley Witman &amp; Angela Friebel</v>
      </c>
      <c r="R51" s="16"/>
      <c r="S51" s="16"/>
      <c r="T51" s="16"/>
      <c r="U51" s="17"/>
      <c r="W51" s="15"/>
      <c r="X51" s="16"/>
      <c r="Y51" s="16"/>
      <c r="Z51" s="16"/>
      <c r="AA51" s="16"/>
      <c r="AB51" s="17"/>
      <c r="AD51" s="15"/>
      <c r="AE51" s="16"/>
      <c r="AF51" s="16"/>
      <c r="AG51" s="16"/>
      <c r="AH51" s="16"/>
      <c r="AI51" s="17"/>
    </row>
    <row r="52" spans="1:35" ht="15.75" thickBot="1">
      <c r="A52" s="103"/>
      <c r="B52" s="18"/>
      <c r="C52" s="19"/>
      <c r="D52" s="19"/>
      <c r="E52" s="19"/>
      <c r="F52" s="19"/>
      <c r="G52" s="20"/>
      <c r="I52" s="18"/>
      <c r="J52" s="19"/>
      <c r="K52" s="19"/>
      <c r="L52" s="19"/>
      <c r="M52" s="19"/>
      <c r="N52" s="20"/>
      <c r="P52" s="18">
        <v>0</v>
      </c>
      <c r="Q52" s="19" t="str">
        <v>o.a. Ruben Dubbeld &amp; David Kuijper</v>
      </c>
      <c r="R52" s="19"/>
      <c r="S52" s="19"/>
      <c r="T52" s="19"/>
      <c r="U52" s="20"/>
      <c r="W52" s="18"/>
      <c r="X52" s="19"/>
      <c r="Y52" s="19"/>
      <c r="Z52" s="19"/>
      <c r="AA52" s="19"/>
      <c r="AB52" s="20"/>
      <c r="AD52" s="18"/>
      <c r="AE52" s="19"/>
      <c r="AF52" s="19"/>
      <c r="AG52" s="19"/>
      <c r="AH52" s="19"/>
      <c r="AI52" s="20"/>
    </row>
    <row r="53" spans="1:35" ht="15.75" thickBot="1"/>
    <row r="54" spans="1:35" ht="15.75" thickBot="1">
      <c r="A54" s="103" t="s">
        <v>20</v>
      </c>
      <c r="B54" s="21" t="s">
        <v>21</v>
      </c>
      <c r="C54" s="21"/>
      <c r="D54" s="21"/>
      <c r="E54" s="21"/>
      <c r="F54" s="21"/>
      <c r="G54" s="21"/>
      <c r="I54" s="21" t="s">
        <v>22</v>
      </c>
      <c r="J54" s="21"/>
      <c r="K54" s="21"/>
      <c r="L54" s="21"/>
      <c r="M54" s="21"/>
      <c r="N54" s="21"/>
      <c r="P54" s="21" t="s">
        <v>23</v>
      </c>
      <c r="Q54" s="21"/>
      <c r="R54" s="21"/>
      <c r="S54" s="21"/>
      <c r="T54" s="21"/>
      <c r="U54" s="21"/>
      <c r="W54" s="21" t="s">
        <v>24</v>
      </c>
      <c r="X54" s="21"/>
      <c r="Y54" s="21"/>
      <c r="Z54" s="21"/>
      <c r="AA54" s="21"/>
      <c r="AB54" s="21"/>
      <c r="AD54" s="21" t="s">
        <v>25</v>
      </c>
      <c r="AE54" s="21"/>
      <c r="AF54" s="21"/>
      <c r="AG54" s="21"/>
      <c r="AH54" s="21" t="s">
        <v>25</v>
      </c>
      <c r="AI54" s="21"/>
    </row>
    <row r="55" spans="1:35" ht="15.75" thickBot="1">
      <c r="A55" s="103"/>
      <c r="B55" s="8" t="s">
        <v>938</v>
      </c>
      <c r="C55" s="9"/>
      <c r="D55" s="10"/>
      <c r="E55" s="8" t="s">
        <v>940</v>
      </c>
      <c r="F55" s="9"/>
      <c r="G55" s="10"/>
      <c r="I55" s="8" t="s">
        <v>938</v>
      </c>
      <c r="J55" s="9"/>
      <c r="K55" s="10"/>
      <c r="L55" s="8" t="s">
        <v>940</v>
      </c>
      <c r="M55" s="9"/>
      <c r="N55" s="10"/>
      <c r="P55" s="8" t="s">
        <v>938</v>
      </c>
      <c r="Q55" s="9"/>
      <c r="R55" s="10"/>
      <c r="S55" s="8" t="s">
        <v>940</v>
      </c>
      <c r="T55" s="9"/>
      <c r="U55" s="10"/>
      <c r="W55" s="8" t="s">
        <v>938</v>
      </c>
      <c r="X55" s="9"/>
      <c r="Y55" s="10"/>
      <c r="Z55" s="8" t="s">
        <v>940</v>
      </c>
      <c r="AA55" s="9"/>
      <c r="AB55" s="10"/>
      <c r="AD55" s="8" t="s">
        <v>938</v>
      </c>
      <c r="AE55" s="9"/>
      <c r="AF55" s="10"/>
      <c r="AG55" s="8" t="s">
        <v>940</v>
      </c>
      <c r="AH55" s="9"/>
      <c r="AI55" s="10"/>
    </row>
    <row r="56" spans="1:35">
      <c r="A56" s="103"/>
      <c r="B56" s="3" t="str" cm="1">
        <f t="array" ref="B56:B59">_xlfn._xlws.FILTER(Spelerslijst!$B:$B,Spelerslijst!$G:$G=B$54,"")</f>
        <v>Carmen van der Klooster</v>
      </c>
      <c r="C56" s="4"/>
      <c r="D56" s="5"/>
      <c r="E56" s="3" t="str" cm="1">
        <f t="array" ref="E56:E58">_xlfn._xlws.FILTER(Spelerslijst!$L:$L,Spelerslijst!$Q:$Q=B$54,"")</f>
        <v>Maarten Sas</v>
      </c>
      <c r="F56" s="4"/>
      <c r="G56" s="5"/>
      <c r="I56" s="3" t="str" cm="1">
        <f t="array" ref="I56:I60">_xlfn._xlws.FILTER(Spelerslijst!$B:$B,Spelerslijst!$G:$G=I$54,"")</f>
        <v>Benthe van der Linden</v>
      </c>
      <c r="J56" s="4"/>
      <c r="K56" s="5"/>
      <c r="L56" s="3" t="str" cm="1">
        <f t="array" ref="L56:L61">_xlfn._xlws.FILTER(Spelerslijst!$L:$L,Spelerslijst!$Q:$Q=I$54,"")</f>
        <v>Tycho Vliet</v>
      </c>
      <c r="M56" s="4"/>
      <c r="N56" s="5"/>
      <c r="P56" s="3" t="str" cm="1">
        <f t="array" ref="P56:P60">_xlfn._xlws.FILTER(Spelerslijst!$B:$B,Spelerslijst!$G:$G=P$54,"")</f>
        <v>Floortje Jongkind</v>
      </c>
      <c r="Q56" s="4"/>
      <c r="R56" s="5"/>
      <c r="S56" s="3" t="str" cm="1">
        <f t="array" ref="S56:S60">_xlfn._xlws.FILTER(Spelerslijst!$L:$L,Spelerslijst!$Q:$Q=P$54,"")</f>
        <v>Casper Boshoven</v>
      </c>
      <c r="T56" s="4"/>
      <c r="U56" s="5"/>
      <c r="W56" s="3" t="str" cm="1">
        <f t="array" ref="W56">_xlfn._xlws.FILTER(Spelerslijst!$B:$B,Spelerslijst!$G:$G=W$54,"")</f>
        <v/>
      </c>
      <c r="X56" s="4"/>
      <c r="Y56" s="5"/>
      <c r="Z56" s="3" t="str" cm="1">
        <f t="array" ref="Z56">_xlfn._xlws.FILTER(Spelerslijst!$L:$L,Spelerslijst!$Q:$Q=W$54,"")</f>
        <v/>
      </c>
      <c r="AA56" s="4"/>
      <c r="AB56" s="5"/>
      <c r="AD56" s="3" t="str" cm="1">
        <f t="array" ref="AD56">_xlfn._xlws.FILTER(Spelerslijst!$B:$B,Spelerslijst!$G:$G=AH$54,"")</f>
        <v/>
      </c>
      <c r="AE56" s="4" t="str" cm="1">
        <f t="array" ref="AE56">_xlfn._xlws.FILTER(Spelerslijst!$H:$H,Spelerslijst!$G:$G=AH$54,"")</f>
        <v/>
      </c>
      <c r="AF56" s="5" t="str" cm="1">
        <f t="array" ref="AF56">_xlfn._xlws.FILTER(Spelerslijst!$D:$D,Spelerslijst!$G:$G=AH$54,"")</f>
        <v/>
      </c>
      <c r="AG56" s="3" t="str" cm="1">
        <f t="array" ref="AG56">_xlfn._xlws.FILTER(Spelerslijst!$L:$L,Spelerslijst!$Q:$Q=AH$54,"")</f>
        <v/>
      </c>
      <c r="AH56" s="4" t="str" cm="1">
        <f t="array" ref="AH56">_xlfn._xlws.FILTER(Spelerslijst!$R:$R,Spelerslijst!$Q:$Q=AH$54,"")</f>
        <v/>
      </c>
      <c r="AI56" s="5" t="str" cm="1">
        <f t="array" ref="AI56">_xlfn._xlws.FILTER(Spelerslijst!$N:$N,Spelerslijst!$Q:$Q=AH$54,"")</f>
        <v/>
      </c>
    </row>
    <row r="57" spans="1:35">
      <c r="A57" s="103"/>
      <c r="B57" s="6" t="str">
        <v>Doeska Voorbij</v>
      </c>
      <c r="C57" s="2"/>
      <c r="D57" s="7"/>
      <c r="E57" s="6" t="str">
        <v>Niek Driesprong</v>
      </c>
      <c r="F57" s="2"/>
      <c r="G57" s="7"/>
      <c r="I57" s="6" t="str">
        <v>Elize van de Burgt</v>
      </c>
      <c r="J57" s="2"/>
      <c r="K57" s="7"/>
      <c r="L57" s="6" t="str">
        <v>Dani Heersping</v>
      </c>
      <c r="M57" s="2"/>
      <c r="N57" s="7"/>
      <c r="P57" s="6" t="str">
        <v>Madelief van Dongen</v>
      </c>
      <c r="Q57" s="2"/>
      <c r="R57" s="7"/>
      <c r="S57" s="6" t="str">
        <v>Justin Vos</v>
      </c>
      <c r="T57" s="2"/>
      <c r="U57" s="7"/>
      <c r="W57" s="6"/>
      <c r="X57" s="2"/>
      <c r="Y57" s="7"/>
      <c r="Z57" s="6"/>
      <c r="AA57" s="2"/>
      <c r="AB57" s="7"/>
      <c r="AD57" s="6"/>
      <c r="AE57" s="2"/>
      <c r="AF57" s="7"/>
      <c r="AG57" s="6"/>
      <c r="AH57" s="2"/>
      <c r="AI57" s="7"/>
    </row>
    <row r="58" spans="1:35">
      <c r="A58" s="103"/>
      <c r="B58" s="6" t="str">
        <v>Lisa Reuvers</v>
      </c>
      <c r="C58" s="2"/>
      <c r="D58" s="7"/>
      <c r="E58" s="6" t="str">
        <v>Onno den Dekker</v>
      </c>
      <c r="F58" s="2"/>
      <c r="G58" s="7"/>
      <c r="I58" s="6" t="str">
        <v>Floor Lohuis</v>
      </c>
      <c r="J58" s="2"/>
      <c r="K58" s="7"/>
      <c r="L58" s="6" t="str">
        <v>Jarno Bemer</v>
      </c>
      <c r="M58" s="2"/>
      <c r="N58" s="7"/>
      <c r="P58" s="6" t="str">
        <v>Marit van den Bergh</v>
      </c>
      <c r="Q58" s="2"/>
      <c r="R58" s="7"/>
      <c r="S58" s="6" t="str">
        <v>Raoul Kuijper</v>
      </c>
      <c r="T58" s="2"/>
      <c r="U58" s="7"/>
      <c r="W58" s="6"/>
      <c r="X58" s="2"/>
      <c r="Y58" s="7"/>
      <c r="Z58" s="6"/>
      <c r="AA58" s="2"/>
      <c r="AB58" s="7"/>
      <c r="AD58" s="6"/>
      <c r="AE58" s="2"/>
      <c r="AF58" s="7"/>
      <c r="AG58" s="6"/>
      <c r="AH58" s="2"/>
      <c r="AI58" s="7"/>
    </row>
    <row r="59" spans="1:35">
      <c r="A59" s="103"/>
      <c r="B59" s="6" t="str">
        <v>Sophie Kilsdonk</v>
      </c>
      <c r="C59" s="2"/>
      <c r="D59" s="7"/>
      <c r="E59" s="6"/>
      <c r="F59" s="2"/>
      <c r="G59" s="7"/>
      <c r="I59" s="6" t="str">
        <v>Githa Bemer</v>
      </c>
      <c r="J59" s="2"/>
      <c r="K59" s="7"/>
      <c r="L59" s="6" t="str">
        <v>Jasper Sempel</v>
      </c>
      <c r="M59" s="2"/>
      <c r="N59" s="7"/>
      <c r="P59" s="6" t="str">
        <v>Robin Zwanenburg</v>
      </c>
      <c r="Q59" s="2"/>
      <c r="R59" s="7"/>
      <c r="S59" s="6" t="str">
        <v>Stephan Quarre</v>
      </c>
      <c r="T59" s="2"/>
      <c r="U59" s="7"/>
      <c r="W59" s="6"/>
      <c r="X59" s="2"/>
      <c r="Y59" s="7"/>
      <c r="Z59" s="6"/>
      <c r="AA59" s="2"/>
      <c r="AB59" s="7"/>
      <c r="AD59" s="6"/>
      <c r="AE59" s="2"/>
      <c r="AF59" s="7"/>
      <c r="AG59" s="6"/>
      <c r="AH59" s="2"/>
      <c r="AI59" s="7"/>
    </row>
    <row r="60" spans="1:35">
      <c r="A60" s="103"/>
      <c r="B60" s="6"/>
      <c r="C60" s="2"/>
      <c r="D60" s="7"/>
      <c r="E60" s="6"/>
      <c r="F60" s="2"/>
      <c r="G60" s="7"/>
      <c r="I60" s="6" t="str">
        <v>Stella Verboom</v>
      </c>
      <c r="J60" s="2"/>
      <c r="K60" s="7"/>
      <c r="L60" s="6" t="str">
        <v>Kian Vliet</v>
      </c>
      <c r="M60" s="2"/>
      <c r="N60" s="7"/>
      <c r="P60" s="6" t="str">
        <v>Zoë Kamerman</v>
      </c>
      <c r="Q60" s="2"/>
      <c r="R60" s="7"/>
      <c r="S60" s="6" t="str">
        <v>Timo Pichel</v>
      </c>
      <c r="T60" s="2"/>
      <c r="U60" s="7"/>
      <c r="W60" s="6"/>
      <c r="X60" s="2"/>
      <c r="Y60" s="7"/>
      <c r="Z60" s="6"/>
      <c r="AA60" s="2"/>
      <c r="AB60" s="7"/>
      <c r="AD60" s="6"/>
      <c r="AE60" s="2"/>
      <c r="AF60" s="7"/>
      <c r="AG60" s="6"/>
      <c r="AH60" s="2"/>
      <c r="AI60" s="7"/>
    </row>
    <row r="61" spans="1:35">
      <c r="A61" s="103"/>
      <c r="B61" s="6"/>
      <c r="C61" s="2"/>
      <c r="D61" s="7"/>
      <c r="E61" s="6"/>
      <c r="F61" s="2"/>
      <c r="G61" s="7"/>
      <c r="I61" s="6" t="s">
        <v>1026</v>
      </c>
      <c r="J61" s="2"/>
      <c r="K61" s="7"/>
      <c r="L61" s="6" t="str">
        <v>Tijn Camphens</v>
      </c>
      <c r="M61" s="2"/>
      <c r="N61" s="7"/>
      <c r="P61" s="6"/>
      <c r="Q61" s="2"/>
      <c r="R61" s="7"/>
      <c r="S61" s="6"/>
      <c r="T61" s="2"/>
      <c r="U61" s="7"/>
      <c r="W61" s="6"/>
      <c r="X61" s="2"/>
      <c r="Y61" s="7"/>
      <c r="Z61" s="6"/>
      <c r="AA61" s="2"/>
      <c r="AB61" s="7"/>
      <c r="AD61" s="6"/>
      <c r="AE61" s="2"/>
      <c r="AF61" s="7"/>
      <c r="AG61" s="6"/>
      <c r="AH61" s="2"/>
      <c r="AI61" s="7"/>
    </row>
    <row r="62" spans="1:35" ht="15.75" thickBot="1">
      <c r="A62" s="103"/>
      <c r="B62" s="6"/>
      <c r="C62" s="2"/>
      <c r="D62" s="7"/>
      <c r="E62" s="6"/>
      <c r="F62" s="2"/>
      <c r="G62" s="7"/>
      <c r="I62" s="6"/>
      <c r="J62" s="2"/>
      <c r="K62" s="7"/>
      <c r="L62" s="6"/>
      <c r="M62" s="2"/>
      <c r="N62" s="7"/>
      <c r="P62" s="6"/>
      <c r="Q62" s="2"/>
      <c r="R62" s="7"/>
      <c r="S62" s="6"/>
      <c r="T62" s="2"/>
      <c r="U62" s="7"/>
      <c r="W62" s="6"/>
      <c r="X62" s="2"/>
      <c r="Y62" s="7"/>
      <c r="Z62" s="6"/>
      <c r="AA62" s="2"/>
      <c r="AB62" s="7"/>
      <c r="AD62" s="6"/>
      <c r="AE62" s="2"/>
      <c r="AF62" s="7"/>
      <c r="AG62" s="6"/>
      <c r="AH62" s="2"/>
      <c r="AI62" s="7"/>
    </row>
    <row r="63" spans="1:35">
      <c r="A63" s="103"/>
      <c r="B63" s="12" t="str" cm="1">
        <f t="array" ref="B63:B65">_xlfn._xlws.FILTER(Staf!$C:$C,Staf!$B:$B='Teams-deelversie'!B54,"")</f>
        <v>Trainer/Coach</v>
      </c>
      <c r="C63" s="13" t="str" cm="1">
        <f t="array" ref="C63:C65">_xlfn._xlws.FILTER(Staf!$A:$A,Staf!$B:$B='Teams-deelversie'!B54,"")</f>
        <v>Milou Oppe</v>
      </c>
      <c r="D63" s="13"/>
      <c r="E63" s="13"/>
      <c r="F63" s="13"/>
      <c r="G63" s="14"/>
      <c r="I63" s="12" t="str" cm="1">
        <f t="array" ref="I63:I64">_xlfn._xlws.FILTER(Staf!$C:$C,Staf!$B:$B='Teams-deelversie'!I54,"")</f>
        <v>Trainer/Coach</v>
      </c>
      <c r="J63" s="13" t="str" cm="1">
        <f t="array" ref="J63:J64">_xlfn._xlws.FILTER(Staf!$A:$A,Staf!$B:$B='Teams-deelversie'!I54,"")</f>
        <v>Daniel den Uijl</v>
      </c>
      <c r="K63" s="13"/>
      <c r="L63" s="13"/>
      <c r="M63" s="13"/>
      <c r="N63" s="14"/>
      <c r="P63" s="12" t="str" cm="1">
        <f t="array" ref="P63:P65">_xlfn._xlws.FILTER(Staf!$C:$C,Staf!$B:$B='Teams-deelversie'!P54,"")</f>
        <v>Trainer/Coach</v>
      </c>
      <c r="Q63" s="13" t="str" cm="1">
        <f t="array" ref="Q63:Q65">_xlfn._xlws.FILTER(Staf!$A:$A,Staf!$B:$B='Teams-deelversie'!P54,"")</f>
        <v>Maud van Wensen</v>
      </c>
      <c r="R63" s="13"/>
      <c r="S63" s="13"/>
      <c r="T63" s="13"/>
      <c r="U63" s="14"/>
      <c r="W63" s="12" t="str" cm="1">
        <f t="array" ref="W63">_xlfn._xlws.FILTER(Staf!$C:$C,Staf!$B:$B='Teams-deelversie'!W54,"")</f>
        <v/>
      </c>
      <c r="X63" s="13" t="str" cm="1">
        <f t="array" ref="X63">_xlfn._xlws.FILTER(Staf!$A:$A,Staf!$B:$B='Teams-deelversie'!W54,"")</f>
        <v/>
      </c>
      <c r="Y63" s="13"/>
      <c r="Z63" s="13"/>
      <c r="AA63" s="13"/>
      <c r="AB63" s="14"/>
      <c r="AD63" s="12" t="str" cm="1">
        <f t="array" ref="AD63">_xlfn._xlws.FILTER(Staf!$C:$C,Staf!$B:$B='Teams-deelversie'!AD54,"")</f>
        <v/>
      </c>
      <c r="AE63" s="13" t="str" cm="1">
        <f t="array" ref="AE63">_xlfn._xlws.FILTER(Staf!$A:$A,Staf!$B:$B='Teams-deelversie'!AD54,"")</f>
        <v/>
      </c>
      <c r="AF63" s="13"/>
      <c r="AG63" s="13"/>
      <c r="AH63" s="13"/>
      <c r="AI63" s="14"/>
    </row>
    <row r="64" spans="1:35">
      <c r="A64" s="103"/>
      <c r="B64" s="15" t="str">
        <v>Trainer/Coach</v>
      </c>
      <c r="C64" s="16" t="str">
        <v>Stephan Ligtmans</v>
      </c>
      <c r="D64" s="16"/>
      <c r="E64" s="16"/>
      <c r="F64" s="16"/>
      <c r="G64" s="17"/>
      <c r="I64" s="15" t="str">
        <v>Trainer/Coach</v>
      </c>
      <c r="J64" s="16" t="str">
        <v>Eva Teerds</v>
      </c>
      <c r="K64" s="16"/>
      <c r="L64" s="16"/>
      <c r="M64" s="16"/>
      <c r="N64" s="17"/>
      <c r="P64" s="15" t="str">
        <v>Trainer/Coach</v>
      </c>
      <c r="Q64" s="16" t="str">
        <v xml:space="preserve">Laura Mol </v>
      </c>
      <c r="R64" s="16"/>
      <c r="S64" s="16"/>
      <c r="T64" s="16"/>
      <c r="U64" s="17"/>
      <c r="W64" s="15"/>
      <c r="X64" s="16"/>
      <c r="Y64" s="16"/>
      <c r="Z64" s="16"/>
      <c r="AA64" s="16"/>
      <c r="AB64" s="17"/>
      <c r="AD64" s="15"/>
      <c r="AE64" s="16"/>
      <c r="AF64" s="16"/>
      <c r="AG64" s="16"/>
      <c r="AH64" s="16"/>
      <c r="AI64" s="17"/>
    </row>
    <row r="65" spans="1:35" ht="15.75" thickBot="1">
      <c r="A65" s="103"/>
      <c r="B65" s="18" t="str">
        <v>Teambegeleider</v>
      </c>
      <c r="C65" s="19" t="str">
        <v>Michel Sas</v>
      </c>
      <c r="D65" s="19"/>
      <c r="E65" s="19"/>
      <c r="F65" s="19"/>
      <c r="G65" s="20"/>
      <c r="I65" s="18"/>
      <c r="J65" s="19"/>
      <c r="K65" s="19"/>
      <c r="L65" s="19"/>
      <c r="M65" s="19"/>
      <c r="N65" s="20"/>
      <c r="P65" s="18" t="str">
        <v>Trainer/Coach</v>
      </c>
      <c r="Q65" s="19" t="str">
        <v>Robert Koster</v>
      </c>
      <c r="R65" s="19"/>
      <c r="S65" s="19"/>
      <c r="T65" s="19"/>
      <c r="U65" s="20"/>
      <c r="W65" s="18"/>
      <c r="X65" s="19"/>
      <c r="Y65" s="19"/>
      <c r="Z65" s="19"/>
      <c r="AA65" s="19"/>
      <c r="AB65" s="20"/>
      <c r="AD65" s="18"/>
      <c r="AE65" s="19"/>
      <c r="AF65" s="19"/>
      <c r="AG65" s="19"/>
      <c r="AH65" s="19"/>
      <c r="AI65" s="20"/>
    </row>
    <row r="66" spans="1:35" ht="15.75" thickBot="1"/>
    <row r="67" spans="1:35" ht="15.75" thickBot="1">
      <c r="A67" s="103" t="s">
        <v>27</v>
      </c>
      <c r="B67" s="21" t="s">
        <v>28</v>
      </c>
      <c r="C67" s="21"/>
      <c r="D67" s="21"/>
      <c r="E67" s="21"/>
      <c r="F67" s="21"/>
      <c r="G67" s="21"/>
      <c r="I67" s="21" t="s">
        <v>29</v>
      </c>
      <c r="J67" s="21"/>
      <c r="K67" s="21"/>
      <c r="L67" s="21"/>
      <c r="M67" s="21"/>
      <c r="N67" s="21"/>
      <c r="P67" s="21" t="s">
        <v>30</v>
      </c>
      <c r="Q67" s="21"/>
      <c r="R67" s="21"/>
      <c r="S67" s="21"/>
      <c r="T67" s="21"/>
      <c r="U67" s="21"/>
      <c r="W67" s="21" t="s">
        <v>31</v>
      </c>
      <c r="X67" s="21"/>
      <c r="Y67" s="21"/>
      <c r="Z67" s="21"/>
      <c r="AA67" s="21"/>
      <c r="AB67" s="21"/>
      <c r="AD67" s="21" t="s">
        <v>32</v>
      </c>
      <c r="AE67" s="21"/>
      <c r="AF67" s="21"/>
      <c r="AG67" s="21"/>
      <c r="AH67" s="21"/>
      <c r="AI67" s="21"/>
    </row>
    <row r="68" spans="1:35" ht="15.75" thickBot="1">
      <c r="A68" s="103"/>
      <c r="B68" s="8" t="s">
        <v>938</v>
      </c>
      <c r="C68" s="9"/>
      <c r="D68" s="10"/>
      <c r="E68" s="8" t="s">
        <v>940</v>
      </c>
      <c r="F68" s="9"/>
      <c r="G68" s="10"/>
      <c r="I68" s="8" t="s">
        <v>938</v>
      </c>
      <c r="J68" s="9"/>
      <c r="K68" s="10"/>
      <c r="L68" s="8" t="s">
        <v>940</v>
      </c>
      <c r="M68" s="9"/>
      <c r="N68" s="10"/>
      <c r="P68" s="8" t="s">
        <v>938</v>
      </c>
      <c r="Q68" s="9"/>
      <c r="R68" s="10"/>
      <c r="S68" s="8" t="s">
        <v>940</v>
      </c>
      <c r="T68" s="9"/>
      <c r="U68" s="10"/>
      <c r="W68" s="8" t="s">
        <v>938</v>
      </c>
      <c r="X68" s="9"/>
      <c r="Y68" s="10"/>
      <c r="Z68" s="8" t="s">
        <v>940</v>
      </c>
      <c r="AA68" s="9"/>
      <c r="AB68" s="10"/>
      <c r="AD68" s="8" t="s">
        <v>938</v>
      </c>
      <c r="AE68" s="9"/>
      <c r="AF68" s="10"/>
      <c r="AG68" s="8" t="s">
        <v>940</v>
      </c>
      <c r="AH68" s="9"/>
      <c r="AI68" s="10"/>
    </row>
    <row r="69" spans="1:35">
      <c r="A69" s="103"/>
      <c r="B69" s="3" t="str" cm="1">
        <f t="array" ref="B69:B73">_xlfn._xlws.FILTER(Spelerslijst!$B:$B,Spelerslijst!$G:$G=B$67,"")</f>
        <v>Danique van der Klooster</v>
      </c>
      <c r="C69" s="4"/>
      <c r="D69" s="5"/>
      <c r="E69" s="3" t="str" cm="1">
        <f t="array" ref="E69:E72">_xlfn._xlws.FILTER(Spelerslijst!$L:$L,Spelerslijst!$Q:$Q=B$67,"")</f>
        <v>Lenn Belder</v>
      </c>
      <c r="F69" s="4"/>
      <c r="G69" s="5"/>
      <c r="I69" s="3" t="str" cm="1">
        <f t="array" ref="I69:I73">_xlfn._xlws.FILTER(Spelerslijst!$B:$B,Spelerslijst!$G:$G=I$67,"")</f>
        <v>Esmée de Boer</v>
      </c>
      <c r="J69" s="4"/>
      <c r="K69" s="5"/>
      <c r="L69" s="3" t="str" cm="1">
        <f t="array" ref="L69:L72">_xlfn._xlws.FILTER(Spelerslijst!$L:$L,Spelerslijst!$Q:$Q=I$67,"")</f>
        <v>Diederik Hovestadt</v>
      </c>
      <c r="M69" s="4"/>
      <c r="N69" s="5"/>
      <c r="P69" s="3" t="str" cm="1">
        <f t="array" ref="P69:P74">_xlfn._xlws.FILTER(Spelerslijst!$B:$B,Spelerslijst!$G:$G=P$67,"")</f>
        <v>Danique van der Wiel</v>
      </c>
      <c r="Q69" s="4"/>
      <c r="R69" s="5"/>
      <c r="S69" s="3" t="str" cm="1">
        <f t="array" ref="S69:S72">_xlfn._xlws.FILTER(Spelerslijst!$L:$L,Spelerslijst!$Q:$Q=P$67,"")</f>
        <v>Joaz Post</v>
      </c>
      <c r="T69" s="4"/>
      <c r="U69" s="5"/>
      <c r="W69" s="3" t="str" cm="1">
        <f t="array" ref="W69:W75">_xlfn._xlws.FILTER(Spelerslijst!$B:$B,Spelerslijst!$G:$G=W$67,"")</f>
        <v>Bryanna Bos</v>
      </c>
      <c r="X69" s="4"/>
      <c r="Y69" s="5"/>
      <c r="Z69" s="3" t="str" cm="1">
        <f t="array" ref="Z69:Z73">_xlfn._xlws.FILTER(Spelerslijst!$L:$L,Spelerslijst!$Q:$Q=W$67,"")</f>
        <v>Djess van Heeren</v>
      </c>
      <c r="AA69" s="4"/>
      <c r="AB69" s="5"/>
      <c r="AD69" s="3" t="str" cm="1">
        <f t="array" ref="AD69">_xlfn._xlws.FILTER(Spelerslijst!$B:$B,Spelerslijst!$G:$G=AD$67,"")</f>
        <v/>
      </c>
      <c r="AE69" s="4" t="str" cm="1">
        <f t="array" ref="AE69">_xlfn._xlws.FILTER(Spelerslijst!$H:$H,Spelerslijst!$G:$G=AD$67,"")</f>
        <v/>
      </c>
      <c r="AF69" s="5" t="str" cm="1">
        <f t="array" ref="AF69">_xlfn._xlws.FILTER(Spelerslijst!$D:$D,Spelerslijst!$G:$G=AD$67,"")</f>
        <v/>
      </c>
      <c r="AG69" s="3" t="str" cm="1">
        <f t="array" ref="AG69">_xlfn._xlws.FILTER(Spelerslijst!$L:$L,Spelerslijst!$Q:$Q=AD$67,"")</f>
        <v/>
      </c>
      <c r="AH69" s="4" t="str" cm="1">
        <f t="array" ref="AH69">_xlfn._xlws.FILTER(Spelerslijst!$R:$R,Spelerslijst!$Q:$Q=AD$67,"")</f>
        <v/>
      </c>
      <c r="AI69" s="5" t="str" cm="1">
        <f t="array" ref="AI69">_xlfn._xlws.FILTER(Spelerslijst!$N:$N,Spelerslijst!$Q:$Q=AD$67,"")</f>
        <v/>
      </c>
    </row>
    <row r="70" spans="1:35">
      <c r="A70" s="103"/>
      <c r="B70" s="6" t="str">
        <v>Demi Engelfriet</v>
      </c>
      <c r="C70" s="2"/>
      <c r="D70" s="7"/>
      <c r="E70" s="6" t="str">
        <v>Niek Sas</v>
      </c>
      <c r="F70" s="2"/>
      <c r="G70" s="7"/>
      <c r="I70" s="6" t="str">
        <v>Eva van Rooij</v>
      </c>
      <c r="J70" s="2"/>
      <c r="K70" s="7"/>
      <c r="L70" s="6" t="str">
        <v>Freek Laban</v>
      </c>
      <c r="M70" s="2"/>
      <c r="N70" s="7"/>
      <c r="P70" s="6" t="str">
        <v>Enora Bouwknegt</v>
      </c>
      <c r="Q70" s="2"/>
      <c r="R70" s="7"/>
      <c r="S70" s="6" t="str">
        <v>Maarten Rutten</v>
      </c>
      <c r="T70" s="2"/>
      <c r="U70" s="7"/>
      <c r="W70" s="6" t="str">
        <v>Eline Veenendaal</v>
      </c>
      <c r="X70" s="2"/>
      <c r="Y70" s="7"/>
      <c r="Z70" s="6" t="str">
        <v>Jurre van der Linden</v>
      </c>
      <c r="AA70" s="2"/>
      <c r="AB70" s="7"/>
      <c r="AD70" s="6"/>
      <c r="AE70" s="2"/>
      <c r="AF70" s="7"/>
      <c r="AG70" s="6"/>
      <c r="AH70" s="2"/>
      <c r="AI70" s="7"/>
    </row>
    <row r="71" spans="1:35">
      <c r="A71" s="103"/>
      <c r="B71" s="6" t="str">
        <v>Demi Lindhout</v>
      </c>
      <c r="C71" s="2"/>
      <c r="D71" s="7"/>
      <c r="E71" s="6" t="str">
        <v>Thomas Vos</v>
      </c>
      <c r="F71" s="2"/>
      <c r="G71" s="7"/>
      <c r="I71" s="6" t="str">
        <v>Feline van de Burgt</v>
      </c>
      <c r="J71" s="2"/>
      <c r="K71" s="7"/>
      <c r="L71" s="6" t="str">
        <v>Jonas van de Ven</v>
      </c>
      <c r="M71" s="2"/>
      <c r="N71" s="7"/>
      <c r="P71" s="6" t="str">
        <v>Famke Nijman</v>
      </c>
      <c r="Q71" s="2"/>
      <c r="R71" s="7"/>
      <c r="S71" s="6" t="str">
        <v>Thijs Vos</v>
      </c>
      <c r="T71" s="2"/>
      <c r="U71" s="7"/>
      <c r="W71" s="6" t="str">
        <v>Evie Groen</v>
      </c>
      <c r="X71" s="2"/>
      <c r="Y71" s="7"/>
      <c r="Z71" s="6" t="str">
        <v>Levi Molendijk</v>
      </c>
      <c r="AA71" s="2"/>
      <c r="AB71" s="7"/>
      <c r="AD71" s="6"/>
      <c r="AE71" s="2"/>
      <c r="AF71" s="7"/>
      <c r="AG71" s="6"/>
      <c r="AH71" s="2"/>
      <c r="AI71" s="7"/>
    </row>
    <row r="72" spans="1:35">
      <c r="A72" s="103"/>
      <c r="B72" s="6" t="str">
        <v>Julia Kleingeld</v>
      </c>
      <c r="C72" s="2"/>
      <c r="D72" s="7"/>
      <c r="E72" s="6" t="str">
        <v>Tiemen den Dekker</v>
      </c>
      <c r="F72" s="2"/>
      <c r="G72" s="7"/>
      <c r="I72" s="6" t="str">
        <v>Saar Camphens</v>
      </c>
      <c r="J72" s="2"/>
      <c r="K72" s="7"/>
      <c r="L72" s="6" t="str">
        <v>Sander Heerspring</v>
      </c>
      <c r="M72" s="2"/>
      <c r="N72" s="7"/>
      <c r="P72" s="6" t="str">
        <v>Femke Bakker</v>
      </c>
      <c r="Q72" s="2"/>
      <c r="R72" s="7"/>
      <c r="S72" s="6" t="str">
        <v>Xavi Jacobs</v>
      </c>
      <c r="T72" s="2"/>
      <c r="U72" s="7"/>
      <c r="W72" s="6" t="str">
        <v>Manon Barbaroux</v>
      </c>
      <c r="X72" s="2"/>
      <c r="Y72" s="7"/>
      <c r="Z72" s="6" t="str">
        <v>Mika Kerschkamp</v>
      </c>
      <c r="AA72" s="2"/>
      <c r="AB72" s="7"/>
      <c r="AD72" s="6"/>
      <c r="AE72" s="2"/>
      <c r="AF72" s="7"/>
      <c r="AG72" s="6"/>
      <c r="AH72" s="2"/>
      <c r="AI72" s="7"/>
    </row>
    <row r="73" spans="1:35">
      <c r="A73" s="103"/>
      <c r="B73" s="6" t="str">
        <v>Noa Stomp</v>
      </c>
      <c r="C73" s="2"/>
      <c r="D73" s="7"/>
      <c r="E73" s="6"/>
      <c r="F73" s="2"/>
      <c r="G73" s="7"/>
      <c r="I73" s="6" t="str">
        <v>Tess Volker</v>
      </c>
      <c r="J73" s="2"/>
      <c r="K73" s="7"/>
      <c r="L73" s="6"/>
      <c r="M73" s="2"/>
      <c r="N73" s="7"/>
      <c r="P73" s="6" t="str">
        <v>Nikki Baas</v>
      </c>
      <c r="Q73" s="2"/>
      <c r="R73" s="7"/>
      <c r="S73" s="6"/>
      <c r="T73" s="2"/>
      <c r="U73" s="7"/>
      <c r="W73" s="6" t="str">
        <v>Noortje Vercouteren</v>
      </c>
      <c r="X73" s="2"/>
      <c r="Y73" s="7"/>
      <c r="Z73" s="6" t="str">
        <v>Parham Afsharbegloe</v>
      </c>
      <c r="AA73" s="2"/>
      <c r="AB73" s="7"/>
      <c r="AD73" s="6"/>
      <c r="AE73" s="2"/>
      <c r="AF73" s="7"/>
      <c r="AG73" s="6"/>
      <c r="AH73" s="2"/>
      <c r="AI73" s="7"/>
    </row>
    <row r="74" spans="1:35">
      <c r="A74" s="103"/>
      <c r="B74" s="6"/>
      <c r="C74" s="2"/>
      <c r="D74" s="7"/>
      <c r="E74" s="6"/>
      <c r="F74" s="2"/>
      <c r="G74" s="7"/>
      <c r="I74" s="6"/>
      <c r="J74" s="2"/>
      <c r="K74" s="7"/>
      <c r="L74" s="6"/>
      <c r="M74" s="2"/>
      <c r="N74" s="7"/>
      <c r="P74" s="6" t="str">
        <v>Sanne van Driel</v>
      </c>
      <c r="Q74" s="2"/>
      <c r="R74" s="7"/>
      <c r="S74" s="6"/>
      <c r="T74" s="2"/>
      <c r="U74" s="7"/>
      <c r="W74" s="6" t="str">
        <v>Pippa Jongkind</v>
      </c>
      <c r="X74" s="2"/>
      <c r="Y74" s="7"/>
      <c r="Z74" s="6"/>
      <c r="AA74" s="2"/>
      <c r="AB74" s="7"/>
      <c r="AD74" s="6"/>
      <c r="AE74" s="2"/>
      <c r="AF74" s="7"/>
      <c r="AG74" s="6"/>
      <c r="AH74" s="2"/>
      <c r="AI74" s="7"/>
    </row>
    <row r="75" spans="1:35">
      <c r="A75" s="103"/>
      <c r="B75" s="6"/>
      <c r="C75" s="2"/>
      <c r="D75" s="7"/>
      <c r="E75" s="6"/>
      <c r="F75" s="2"/>
      <c r="G75" s="7"/>
      <c r="I75" s="6"/>
      <c r="J75" s="2"/>
      <c r="K75" s="7"/>
      <c r="L75" s="6"/>
      <c r="M75" s="2"/>
      <c r="N75" s="7"/>
      <c r="P75" s="6"/>
      <c r="Q75" s="2"/>
      <c r="R75" s="7"/>
      <c r="S75" s="6"/>
      <c r="T75" s="2"/>
      <c r="U75" s="7"/>
      <c r="W75" s="6" t="str">
        <v>Sanne Peters</v>
      </c>
      <c r="X75" s="2"/>
      <c r="Y75" s="7"/>
      <c r="Z75" s="6"/>
      <c r="AA75" s="2"/>
      <c r="AB75" s="7"/>
      <c r="AD75" s="6"/>
      <c r="AE75" s="2"/>
      <c r="AF75" s="7"/>
      <c r="AG75" s="6"/>
      <c r="AH75" s="2"/>
      <c r="AI75" s="7"/>
    </row>
    <row r="76" spans="1:35" ht="15.75" thickBot="1">
      <c r="A76" s="103"/>
      <c r="B76" s="6"/>
      <c r="C76" s="2"/>
      <c r="D76" s="7"/>
      <c r="E76" s="6"/>
      <c r="F76" s="2"/>
      <c r="G76" s="7"/>
      <c r="I76" s="6"/>
      <c r="J76" s="2"/>
      <c r="K76" s="7"/>
      <c r="L76" s="6"/>
      <c r="M76" s="2"/>
      <c r="N76" s="7"/>
      <c r="P76" s="6"/>
      <c r="Q76" s="2"/>
      <c r="R76" s="7"/>
      <c r="S76" s="6"/>
      <c r="T76" s="2"/>
      <c r="U76" s="7"/>
      <c r="W76" s="6"/>
      <c r="X76" s="2"/>
      <c r="Y76" s="7"/>
      <c r="Z76" s="6"/>
      <c r="AA76" s="2"/>
      <c r="AB76" s="7"/>
      <c r="AD76" s="6"/>
      <c r="AE76" s="2"/>
      <c r="AF76" s="7"/>
      <c r="AG76" s="6"/>
      <c r="AH76" s="2"/>
      <c r="AI76" s="7"/>
    </row>
    <row r="77" spans="1:35">
      <c r="A77" s="103"/>
      <c r="B77" s="12" t="str" cm="1">
        <f t="array" ref="B77:B78">_xlfn._xlws.FILTER(Staf!$C:$C,Staf!$B:$B='Teams-deelversie'!B67,"")</f>
        <v>Trainer/Coach</v>
      </c>
      <c r="C77" s="13" t="str" cm="1">
        <f t="array" ref="C77:C78">_xlfn._xlws.FILTER(Staf!$A:$A,Staf!$B:$B='Teams-deelversie'!B67,"")</f>
        <v>Mees Oppe</v>
      </c>
      <c r="D77" s="13"/>
      <c r="E77" s="13"/>
      <c r="F77" s="13"/>
      <c r="G77" s="14"/>
      <c r="I77" s="12" t="str" cm="1">
        <f t="array" ref="I77:I78">_xlfn._xlws.FILTER(Staf!$C:$C,Staf!$B:$B='Teams-deelversie'!I67,"")</f>
        <v>Trainer/Coach</v>
      </c>
      <c r="J77" s="13" t="str" cm="1">
        <f t="array" ref="J77:J78">_xlfn._xlws.FILTER(Staf!$A:$A,Staf!$B:$B='Teams-deelversie'!I67,"")</f>
        <v>Antjan Laban</v>
      </c>
      <c r="K77" s="13"/>
      <c r="L77" s="13"/>
      <c r="M77" s="13"/>
      <c r="N77" s="14"/>
      <c r="P77" s="12" t="str" cm="1">
        <f t="array" ref="P77:P78">_xlfn._xlws.FILTER(Staf!$C:$C,Staf!$B:$B='Teams-deelversie'!P67,"")</f>
        <v>Trainer/Coach</v>
      </c>
      <c r="Q77" s="13" t="str" cm="1">
        <f t="array" ref="Q77:Q78">_xlfn._xlws.FILTER(Staf!$A:$A,Staf!$B:$B='Teams-deelversie'!P67,"")</f>
        <v>Kimberly Jacobs</v>
      </c>
      <c r="R77" s="13"/>
      <c r="S77" s="13"/>
      <c r="T77" s="13"/>
      <c r="U77" s="14"/>
      <c r="W77" s="12" t="str" cm="1">
        <f t="array" ref="W77:W78">_xlfn._xlws.FILTER(Staf!$C:$C,Staf!$B:$B='Teams-deelversie'!W67,"")</f>
        <v>Trainer/Coach</v>
      </c>
      <c r="X77" s="13" t="str" cm="1">
        <f t="array" ref="X77:X78">_xlfn._xlws.FILTER(Staf!$A:$A,Staf!$B:$B='Teams-deelversie'!W67,"")</f>
        <v>Syrah de Wit</v>
      </c>
      <c r="Y77" s="13"/>
      <c r="Z77" s="13"/>
      <c r="AA77" s="13"/>
      <c r="AB77" s="14"/>
      <c r="AD77" s="12" t="str" cm="1">
        <f t="array" ref="AD77">_xlfn._xlws.FILTER(Staf!$C:$C,Staf!$B:$B='Teams-deelversie'!AD67,"")</f>
        <v/>
      </c>
      <c r="AE77" s="13" t="str" cm="1">
        <f t="array" ref="AE77">_xlfn._xlws.FILTER(Staf!$A:$A,Staf!$B:$B='Teams-deelversie'!AD67,"")</f>
        <v/>
      </c>
      <c r="AF77" s="13"/>
      <c r="AG77" s="13"/>
      <c r="AH77" s="13"/>
      <c r="AI77" s="14"/>
    </row>
    <row r="78" spans="1:35">
      <c r="A78" s="103"/>
      <c r="B78" s="15" t="str">
        <v>Trainer/Coach</v>
      </c>
      <c r="C78" s="16" t="str">
        <v>Jasper Kleingeld</v>
      </c>
      <c r="D78" s="16"/>
      <c r="E78" s="16"/>
      <c r="F78" s="16"/>
      <c r="G78" s="17"/>
      <c r="I78" s="15" t="str">
        <v>Trainer/Coach</v>
      </c>
      <c r="J78" s="16" t="str">
        <v>Tessa Dubbeld</v>
      </c>
      <c r="K78" s="16"/>
      <c r="L78" s="16"/>
      <c r="M78" s="16"/>
      <c r="N78" s="17"/>
      <c r="P78" s="15" t="str">
        <v>Trainer/Coach</v>
      </c>
      <c r="Q78" s="16" t="str">
        <v>Martijn van der Wiel</v>
      </c>
      <c r="R78" s="16"/>
      <c r="S78" s="16"/>
      <c r="T78" s="16"/>
      <c r="U78" s="17"/>
      <c r="W78" s="15" t="str">
        <v>Trainer/Coach</v>
      </c>
      <c r="X78" s="16" t="str">
        <v>Nadia de Wit</v>
      </c>
      <c r="Y78" s="16"/>
      <c r="Z78" s="16"/>
      <c r="AA78" s="16"/>
      <c r="AB78" s="17"/>
      <c r="AD78" s="15"/>
      <c r="AE78" s="16"/>
      <c r="AF78" s="16"/>
      <c r="AG78" s="16"/>
      <c r="AH78" s="16"/>
      <c r="AI78" s="17"/>
    </row>
    <row r="79" spans="1:35" ht="15.75" thickBot="1">
      <c r="A79" s="103"/>
      <c r="B79" s="18"/>
      <c r="C79" s="19"/>
      <c r="D79" s="19"/>
      <c r="E79" s="19"/>
      <c r="F79" s="19"/>
      <c r="G79" s="20"/>
      <c r="I79" s="18"/>
      <c r="J79" s="19"/>
      <c r="K79" s="19"/>
      <c r="L79" s="19"/>
      <c r="M79" s="19"/>
      <c r="N79" s="20"/>
      <c r="P79" s="18"/>
      <c r="Q79" s="19"/>
      <c r="R79" s="19"/>
      <c r="S79" s="19"/>
      <c r="T79" s="19"/>
      <c r="U79" s="20"/>
      <c r="W79" s="18"/>
      <c r="X79" s="19"/>
      <c r="Y79" s="19"/>
      <c r="Z79" s="19"/>
      <c r="AA79" s="19"/>
      <c r="AB79" s="20"/>
      <c r="AD79" s="18"/>
      <c r="AE79" s="19"/>
      <c r="AF79" s="19"/>
      <c r="AG79" s="19"/>
      <c r="AH79" s="19"/>
      <c r="AI79" s="20"/>
    </row>
    <row r="80" spans="1:35" ht="15.75" thickBot="1"/>
    <row r="81" spans="1:49" ht="15.75" thickBot="1">
      <c r="A81" s="103" t="s">
        <v>33</v>
      </c>
      <c r="B81" s="21" t="s">
        <v>34</v>
      </c>
      <c r="C81" s="21"/>
      <c r="D81" s="21"/>
      <c r="E81" s="21"/>
      <c r="F81" s="21"/>
      <c r="G81" s="21"/>
      <c r="I81" s="21" t="s">
        <v>35</v>
      </c>
      <c r="J81" s="21"/>
      <c r="K81" s="21"/>
      <c r="L81" s="21"/>
      <c r="M81" s="21"/>
      <c r="N81" s="21"/>
      <c r="P81" s="21" t="s">
        <v>36</v>
      </c>
      <c r="Q81" s="21"/>
      <c r="R81" s="21"/>
      <c r="S81" s="21"/>
      <c r="T81" s="21"/>
      <c r="U81" s="21"/>
      <c r="W81" s="21" t="s">
        <v>37</v>
      </c>
      <c r="X81" s="21"/>
      <c r="Y81" s="21"/>
      <c r="Z81" s="21"/>
      <c r="AA81" s="21"/>
      <c r="AB81" s="22" t="e">
        <f>AVERAGE(Y83:Y92,AB83:AB92)</f>
        <v>#DIV/0!</v>
      </c>
      <c r="AD81" s="21" t="s">
        <v>38</v>
      </c>
      <c r="AE81" s="21"/>
      <c r="AF81" s="21"/>
      <c r="AG81" s="21"/>
      <c r="AH81" s="21"/>
      <c r="AI81" s="21"/>
    </row>
    <row r="82" spans="1:49" ht="15.75" thickBot="1">
      <c r="A82" s="103"/>
      <c r="B82" s="8" t="s">
        <v>938</v>
      </c>
      <c r="C82" s="9"/>
      <c r="D82" s="10"/>
      <c r="E82" s="8" t="s">
        <v>940</v>
      </c>
      <c r="F82" s="9"/>
      <c r="G82" s="10"/>
      <c r="I82" s="8" t="s">
        <v>938</v>
      </c>
      <c r="J82" s="9"/>
      <c r="K82" s="10"/>
      <c r="L82" s="8" t="s">
        <v>940</v>
      </c>
      <c r="M82" s="9"/>
      <c r="N82" s="10"/>
      <c r="P82" s="8" t="s">
        <v>938</v>
      </c>
      <c r="Q82" s="9"/>
      <c r="R82" s="10"/>
      <c r="S82" s="8" t="s">
        <v>940</v>
      </c>
      <c r="T82" s="9"/>
      <c r="U82" s="10"/>
      <c r="W82" s="8" t="s">
        <v>938</v>
      </c>
      <c r="X82" s="9"/>
      <c r="Y82" s="10"/>
      <c r="Z82" s="8" t="s">
        <v>940</v>
      </c>
      <c r="AA82" s="9"/>
      <c r="AB82" s="10"/>
      <c r="AD82" s="8" t="s">
        <v>938</v>
      </c>
      <c r="AE82" s="9"/>
      <c r="AF82" s="10"/>
      <c r="AG82" s="8" t="s">
        <v>940</v>
      </c>
      <c r="AH82" s="9"/>
      <c r="AI82" s="10"/>
    </row>
    <row r="83" spans="1:49">
      <c r="A83" s="103"/>
      <c r="B83" s="3" t="str" cm="1">
        <f t="array" ref="B83:B88">_xlfn._xlws.FILTER(Spelerslijst!$B:$B,Spelerslijst!$G:$G=B$81,"")</f>
        <v>Anouk Bakker</v>
      </c>
      <c r="C83" s="4"/>
      <c r="D83" s="5"/>
      <c r="E83" s="3" t="str" cm="1">
        <f t="array" ref="E83:E86">_xlfn._xlws.FILTER(Spelerslijst!$L:$L,Spelerslijst!$Q:$Q=B$81,"")</f>
        <v>Finn Verboom</v>
      </c>
      <c r="F83" s="4"/>
      <c r="G83" s="5"/>
      <c r="I83" s="3" t="str" cm="1">
        <f t="array" ref="I83:I88">_xlfn._xlws.FILTER(Spelerslijst!$B:$B,Spelerslijst!$G:$G=I$81,"")</f>
        <v>Evi Kleingeld</v>
      </c>
      <c r="J83" s="4"/>
      <c r="K83" s="5"/>
      <c r="L83" s="3" t="str" cm="1">
        <f t="array" ref="L83:L86">_xlfn._xlws.FILTER(Spelerslijst!$L:$L,Spelerslijst!$Q:$Q=I$81,"")</f>
        <v>Abel van de Ven</v>
      </c>
      <c r="M83" s="4"/>
      <c r="N83" s="5"/>
      <c r="P83" s="3" t="str" cm="1">
        <f t="array" ref="P83:P89">_xlfn._xlws.FILTER(Spelerslijst!$B:$B,Spelerslijst!$G:$G=P$81,"")</f>
        <v>Esther Oosse</v>
      </c>
      <c r="Q83" s="4"/>
      <c r="R83" s="5"/>
      <c r="S83" s="3" t="str" cm="1">
        <f t="array" ref="S83:S86">_xlfn._xlws.FILTER(Spelerslijst!$L:$L,Spelerslijst!$Q:$Q=P$81,"")</f>
        <v>Cas Uljee</v>
      </c>
      <c r="T83" s="4"/>
      <c r="U83" s="5"/>
      <c r="W83" s="3" t="str" cm="1">
        <f t="array" ref="W83">_xlfn._xlws.FILTER(Spelerslijst!$B:$B,Spelerslijst!$G:$G=W$81,"")</f>
        <v/>
      </c>
      <c r="X83" s="4" t="str" cm="1">
        <f t="array" ref="X83">_xlfn._xlws.FILTER(Spelerslijst!$H:$H,Spelerslijst!$G:$G=W$81,"")</f>
        <v/>
      </c>
      <c r="Y83" s="5" t="str" cm="1">
        <f t="array" ref="Y83">_xlfn._xlws.FILTER(Spelerslijst!$D:$D,Spelerslijst!$G:$G=W$81,"")</f>
        <v/>
      </c>
      <c r="Z83" s="3" t="str" cm="1">
        <f t="array" ref="Z83">_xlfn._xlws.FILTER(Spelerslijst!$L:$L,Spelerslijst!$Q:$Q=W$81,"")</f>
        <v/>
      </c>
      <c r="AA83" s="4" t="str" cm="1">
        <f t="array" ref="AA83">_xlfn._xlws.FILTER(Spelerslijst!$R:$R,Spelerslijst!$Q:$Q=W$81,"")</f>
        <v/>
      </c>
      <c r="AB83" s="5" t="str" cm="1">
        <f t="array" ref="AB83">_xlfn._xlws.FILTER(Spelerslijst!$N:$N,Spelerslijst!$Q:$Q=W$81,"")</f>
        <v/>
      </c>
      <c r="AD83" s="3" t="str" cm="1">
        <f t="array" ref="AD83">_xlfn._xlws.FILTER(Spelerslijst!$B:$B,Spelerslijst!$G:$G=AD$81,"")</f>
        <v/>
      </c>
      <c r="AE83" s="4" t="str" cm="1">
        <f t="array" ref="AE83">_xlfn._xlws.FILTER(Spelerslijst!$H:$H,Spelerslijst!$G:$G=AD$81,"")</f>
        <v/>
      </c>
      <c r="AF83" s="5" t="str" cm="1">
        <f t="array" ref="AF83">_xlfn._xlws.FILTER(Spelerslijst!$D:$D,Spelerslijst!$G:$G=AD$81,"")</f>
        <v/>
      </c>
      <c r="AG83" s="3" t="str" cm="1">
        <f t="array" ref="AG83">_xlfn._xlws.FILTER(Spelerslijst!$L:$L,Spelerslijst!$Q:$Q=AD$81,"")</f>
        <v/>
      </c>
      <c r="AH83" s="4" t="str" cm="1">
        <f t="array" ref="AH83">_xlfn._xlws.FILTER(Spelerslijst!$R:$R,Spelerslijst!$Q:$Q=AD$81,"")</f>
        <v/>
      </c>
      <c r="AI83" s="5" t="str" cm="1">
        <f t="array" ref="AI83">_xlfn._xlws.FILTER(Spelerslijst!$N:$N,Spelerslijst!$Q:$Q=AD$81,"")</f>
        <v/>
      </c>
    </row>
    <row r="84" spans="1:49">
      <c r="A84" s="103"/>
      <c r="B84" s="6" t="str">
        <v>Davina Moniz</v>
      </c>
      <c r="C84" s="2"/>
      <c r="D84" s="7"/>
      <c r="E84" s="6" t="str">
        <v>Joep van Ameijden</v>
      </c>
      <c r="F84" s="2"/>
      <c r="G84" s="7"/>
      <c r="I84" s="6" t="str">
        <v>Fay Tims</v>
      </c>
      <c r="J84" s="2"/>
      <c r="K84" s="7"/>
      <c r="L84" s="6" t="str">
        <v>Falco Bemer</v>
      </c>
      <c r="M84" s="2"/>
      <c r="N84" s="7"/>
      <c r="P84" s="6" t="str">
        <v>Feline Littooij</v>
      </c>
      <c r="Q84" s="2"/>
      <c r="R84" s="7"/>
      <c r="S84" s="6" t="str">
        <v>Fynn Kuling</v>
      </c>
      <c r="T84" s="2"/>
      <c r="U84" s="7"/>
      <c r="W84" s="6"/>
      <c r="X84" s="2"/>
      <c r="Y84" s="7"/>
      <c r="Z84" s="6"/>
      <c r="AA84" s="2"/>
      <c r="AB84" s="7"/>
      <c r="AD84" s="6"/>
      <c r="AE84" s="2"/>
      <c r="AF84" s="7"/>
      <c r="AG84" s="6"/>
      <c r="AH84" s="2"/>
      <c r="AI84" s="7"/>
    </row>
    <row r="85" spans="1:49">
      <c r="A85" s="103"/>
      <c r="B85" s="6" t="str">
        <v>Eva Bezemer</v>
      </c>
      <c r="C85" s="2"/>
      <c r="D85" s="7"/>
      <c r="E85" s="6" t="str">
        <v>Juda Vos</v>
      </c>
      <c r="F85" s="2"/>
      <c r="G85" s="7"/>
      <c r="I85" s="6" t="str">
        <v>Fenna van Rijswijk</v>
      </c>
      <c r="J85" s="2"/>
      <c r="K85" s="7"/>
      <c r="L85" s="6" t="str">
        <v>Nathan Verberkt</v>
      </c>
      <c r="M85" s="2"/>
      <c r="N85" s="7"/>
      <c r="P85" s="6" t="str">
        <v>Jolijn van den Bergh</v>
      </c>
      <c r="Q85" s="2"/>
      <c r="R85" s="7"/>
      <c r="S85" s="6" t="str">
        <v>Martijn Veenendaal</v>
      </c>
      <c r="T85" s="2"/>
      <c r="U85" s="7"/>
      <c r="W85" s="6"/>
      <c r="X85" s="2"/>
      <c r="Y85" s="7"/>
      <c r="Z85" s="6"/>
      <c r="AA85" s="2"/>
      <c r="AB85" s="7"/>
      <c r="AD85" s="6"/>
      <c r="AE85" s="2"/>
      <c r="AF85" s="7"/>
      <c r="AG85" s="6"/>
      <c r="AH85" s="2"/>
      <c r="AI85" s="7"/>
    </row>
    <row r="86" spans="1:49">
      <c r="A86" s="103"/>
      <c r="B86" s="6" t="str">
        <v>Imke van Geldrop</v>
      </c>
      <c r="C86" s="2"/>
      <c r="D86" s="7"/>
      <c r="E86" s="6" t="str">
        <v>Matthijs de Reus</v>
      </c>
      <c r="F86" s="2"/>
      <c r="G86" s="7"/>
      <c r="I86" s="6" t="str">
        <v>Jenna Ehmila</v>
      </c>
      <c r="J86" s="2"/>
      <c r="K86" s="7"/>
      <c r="L86" s="6" t="str">
        <v>Tygo Bemer</v>
      </c>
      <c r="M86" s="2"/>
      <c r="N86" s="7"/>
      <c r="P86" s="6" t="str">
        <v>Lenthe van den Boogaart</v>
      </c>
      <c r="Q86" s="2"/>
      <c r="R86" s="7"/>
      <c r="S86" s="6" t="str">
        <v>Vince van der Hoeven</v>
      </c>
      <c r="T86" s="2"/>
      <c r="U86" s="7"/>
      <c r="W86" s="6"/>
      <c r="X86" s="2"/>
      <c r="Y86" s="7"/>
      <c r="Z86" s="6"/>
      <c r="AA86" s="2"/>
      <c r="AB86" s="7"/>
      <c r="AD86" s="6"/>
      <c r="AE86" s="2"/>
      <c r="AF86" s="7"/>
      <c r="AG86" s="6"/>
      <c r="AH86" s="2"/>
      <c r="AI86" s="7"/>
    </row>
    <row r="87" spans="1:49">
      <c r="A87" s="103"/>
      <c r="B87" s="6" t="str">
        <v>Laura Exalto</v>
      </c>
      <c r="C87" s="2"/>
      <c r="D87" s="7"/>
      <c r="E87" s="6"/>
      <c r="F87" s="2"/>
      <c r="G87" s="7"/>
      <c r="I87" s="6" t="str">
        <v>Layla de Boer</v>
      </c>
      <c r="J87" s="2"/>
      <c r="K87" s="7"/>
      <c r="L87" s="6"/>
      <c r="M87" s="2"/>
      <c r="N87" s="7"/>
      <c r="P87" s="6" t="str">
        <v>Lisanne Naeije</v>
      </c>
      <c r="Q87" s="2"/>
      <c r="R87" s="7"/>
      <c r="S87" s="6"/>
      <c r="T87" s="2"/>
      <c r="U87" s="7"/>
      <c r="W87" s="6"/>
      <c r="X87" s="2"/>
      <c r="Y87" s="7"/>
      <c r="Z87" s="6"/>
      <c r="AA87" s="2"/>
      <c r="AB87" s="7"/>
      <c r="AD87" s="6"/>
      <c r="AE87" s="2"/>
      <c r="AF87" s="7"/>
      <c r="AG87" s="6"/>
      <c r="AH87" s="2"/>
      <c r="AI87" s="7"/>
    </row>
    <row r="88" spans="1:49">
      <c r="A88" s="103"/>
      <c r="B88" s="6" t="str">
        <v>Olivia de Waard</v>
      </c>
      <c r="C88" s="2"/>
      <c r="D88" s="7"/>
      <c r="E88" s="6"/>
      <c r="F88" s="2"/>
      <c r="G88" s="7"/>
      <c r="I88" s="6" t="str">
        <v>Yara van der Wiel</v>
      </c>
      <c r="J88" s="2"/>
      <c r="K88" s="7"/>
      <c r="L88" s="6"/>
      <c r="M88" s="2"/>
      <c r="N88" s="7"/>
      <c r="P88" s="6" t="str">
        <v>Noor Brouwer</v>
      </c>
      <c r="Q88" s="2"/>
      <c r="R88" s="7"/>
      <c r="S88" s="6"/>
      <c r="T88" s="2"/>
      <c r="U88" s="7"/>
      <c r="W88" s="6"/>
      <c r="X88" s="2"/>
      <c r="Y88" s="7"/>
      <c r="Z88" s="6"/>
      <c r="AA88" s="2"/>
      <c r="AB88" s="7"/>
      <c r="AD88" s="6"/>
      <c r="AE88" s="2"/>
      <c r="AF88" s="7"/>
      <c r="AG88" s="6"/>
      <c r="AH88" s="2"/>
      <c r="AI88" s="7"/>
    </row>
    <row r="89" spans="1:49">
      <c r="A89" s="103"/>
      <c r="B89" s="6"/>
      <c r="C89" s="2"/>
      <c r="D89" s="7"/>
      <c r="E89" s="6"/>
      <c r="F89" s="2"/>
      <c r="G89" s="7"/>
      <c r="I89" s="6"/>
      <c r="J89" s="2"/>
      <c r="K89" s="7"/>
      <c r="L89" s="6"/>
      <c r="M89" s="2"/>
      <c r="N89" s="7"/>
      <c r="P89" s="6" t="str">
        <v>Tess Uljee</v>
      </c>
      <c r="Q89" s="2"/>
      <c r="R89" s="7"/>
      <c r="S89" s="6"/>
      <c r="T89" s="2"/>
      <c r="U89" s="7"/>
      <c r="W89" s="6"/>
      <c r="X89" s="2"/>
      <c r="Y89" s="7"/>
      <c r="Z89" s="6"/>
      <c r="AA89" s="2"/>
      <c r="AB89" s="7"/>
      <c r="AD89" s="6"/>
      <c r="AE89" s="2"/>
      <c r="AF89" s="7"/>
      <c r="AG89" s="6"/>
      <c r="AH89" s="2"/>
      <c r="AI89" s="7"/>
    </row>
    <row r="90" spans="1:49" ht="15.75" thickBot="1">
      <c r="A90" s="103"/>
      <c r="B90" s="6"/>
      <c r="C90" s="2"/>
      <c r="D90" s="7"/>
      <c r="E90" s="6"/>
      <c r="F90" s="2"/>
      <c r="G90" s="7"/>
      <c r="I90" s="6"/>
      <c r="J90" s="2"/>
      <c r="K90" s="7"/>
      <c r="L90" s="6"/>
      <c r="M90" s="2"/>
      <c r="N90" s="7"/>
      <c r="P90" s="6"/>
      <c r="Q90" s="2"/>
      <c r="R90" s="7"/>
      <c r="S90" s="6"/>
      <c r="T90" s="2"/>
      <c r="U90" s="7"/>
      <c r="W90" s="6"/>
      <c r="X90" s="2"/>
      <c r="Y90" s="7"/>
      <c r="Z90" s="6"/>
      <c r="AA90" s="2"/>
      <c r="AB90" s="7"/>
      <c r="AD90" s="6"/>
      <c r="AE90" s="2"/>
      <c r="AF90" s="7"/>
      <c r="AG90" s="6"/>
      <c r="AH90" s="2"/>
      <c r="AI90" s="7"/>
    </row>
    <row r="91" spans="1:49">
      <c r="A91" s="103"/>
      <c r="B91" s="12" t="str" cm="1">
        <f t="array" ref="B91:B93">_xlfn._xlws.FILTER(Staf!$C:$C,Staf!$B:$B='Teams-deelversie'!B81,"")</f>
        <v>Trainer/Coach</v>
      </c>
      <c r="C91" s="13" t="str" cm="1">
        <f t="array" ref="C91:C93">_xlfn._xlws.FILTER(Staf!$A:$A,Staf!$B:$B='Teams-deelversie'!B81,"")</f>
        <v>Joram Flach</v>
      </c>
      <c r="D91" s="13"/>
      <c r="E91" s="13"/>
      <c r="F91" s="13"/>
      <c r="G91" s="14"/>
      <c r="I91" s="12" t="str" cm="1">
        <f t="array" ref="I91:I93">_xlfn._xlws.FILTER(Staf!$C:$C,Staf!$B:$B='Teams-deelversie'!I81,"")</f>
        <v>Trainer/Coach</v>
      </c>
      <c r="J91" s="13" t="str" cm="1">
        <f t="array" ref="J91:J93">_xlfn._xlws.FILTER(Staf!$A:$A,Staf!$B:$B='Teams-deelversie'!I81,"")</f>
        <v>Marcel St. Nicolaas</v>
      </c>
      <c r="K91" s="13"/>
      <c r="L91" s="13"/>
      <c r="M91" s="13"/>
      <c r="N91" s="14"/>
      <c r="P91" s="12" t="str" cm="1">
        <f t="array" ref="P91:P93">_xlfn._xlws.FILTER(Staf!$C:$C,Staf!$B:$B='Teams-deelversie'!P81,"")</f>
        <v>Trainer/Coach</v>
      </c>
      <c r="Q91" s="13" t="str" cm="1">
        <f t="array" ref="Q91:Q93">_xlfn._xlws.FILTER(Staf!$A:$A,Staf!$B:$B='Teams-deelversie'!P81,"")</f>
        <v>Mark Schindler</v>
      </c>
      <c r="R91" s="13"/>
      <c r="S91" s="13"/>
      <c r="T91" s="13"/>
      <c r="U91" s="14"/>
      <c r="W91" s="12" t="str" cm="1">
        <f t="array" ref="W91">_xlfn._xlws.FILTER(Staf!$C:$C,Staf!$B:$B='Teams-deelversie'!W81,"")</f>
        <v/>
      </c>
      <c r="X91" s="13" t="str" cm="1">
        <f t="array" ref="X91">_xlfn._xlws.FILTER(Staf!$A:$A,Staf!$B:$B='Teams-deelversie'!W81,"")</f>
        <v/>
      </c>
      <c r="Y91" s="13"/>
      <c r="Z91" s="13"/>
      <c r="AA91" s="13"/>
      <c r="AB91" s="14"/>
      <c r="AD91" s="12" t="str" cm="1">
        <f t="array" ref="AD91">_xlfn._xlws.FILTER(Staf!$C:$C,Staf!$B:$B='Teams-deelversie'!AD81,"")</f>
        <v/>
      </c>
      <c r="AE91" s="13" t="str" cm="1">
        <f t="array" ref="AE91">_xlfn._xlws.FILTER(Staf!$A:$A,Staf!$B:$B='Teams-deelversie'!AD81,"")</f>
        <v/>
      </c>
      <c r="AF91" s="13"/>
      <c r="AG91" s="13"/>
      <c r="AH91" s="13"/>
      <c r="AI91" s="14"/>
    </row>
    <row r="92" spans="1:49">
      <c r="A92" s="103"/>
      <c r="B92" s="15" t="str">
        <v>Trainer/Coach</v>
      </c>
      <c r="C92" s="16" t="str">
        <v>Marlies Valk</v>
      </c>
      <c r="D92" s="16"/>
      <c r="E92" s="16"/>
      <c r="F92" s="16"/>
      <c r="G92" s="17"/>
      <c r="I92" s="15" t="str">
        <v>Trainer/Coach</v>
      </c>
      <c r="J92" s="16" t="str">
        <v>Tom van de Ven</v>
      </c>
      <c r="K92" s="16"/>
      <c r="L92" s="16"/>
      <c r="M92" s="16"/>
      <c r="N92" s="17"/>
      <c r="P92" s="15" t="str">
        <v>Trainer/Coach</v>
      </c>
      <c r="Q92" s="16" t="str">
        <v>Rick van de Wijgaart</v>
      </c>
      <c r="R92" s="16"/>
      <c r="S92" s="16"/>
      <c r="T92" s="16"/>
      <c r="U92" s="17"/>
      <c r="W92" s="15"/>
      <c r="X92" s="16"/>
      <c r="Y92" s="16"/>
      <c r="Z92" s="16"/>
      <c r="AA92" s="16"/>
      <c r="AB92" s="17"/>
      <c r="AD92" s="15"/>
      <c r="AE92" s="16"/>
      <c r="AF92" s="16"/>
      <c r="AG92" s="16"/>
      <c r="AH92" s="16"/>
      <c r="AI92" s="17"/>
    </row>
    <row r="93" spans="1:49" ht="15.75" thickBot="1">
      <c r="A93" s="103"/>
      <c r="B93" s="18" t="str">
        <v>Assistent-trainer</v>
      </c>
      <c r="C93" s="19" t="str">
        <v>Egbert Vos</v>
      </c>
      <c r="D93" s="19"/>
      <c r="E93" s="19"/>
      <c r="F93" s="19"/>
      <c r="G93" s="20"/>
      <c r="I93" s="18" t="str">
        <v>Assistent-trainer</v>
      </c>
      <c r="J93" s="19" t="str">
        <v>Alex de Boer</v>
      </c>
      <c r="K93" s="19"/>
      <c r="L93" s="19"/>
      <c r="M93" s="19"/>
      <c r="N93" s="20"/>
      <c r="P93" s="18" t="str">
        <v>Trainer/Coach</v>
      </c>
      <c r="Q93" s="19" t="str">
        <v>Jarno Valk</v>
      </c>
      <c r="R93" s="19"/>
      <c r="S93" s="19"/>
      <c r="T93" s="19"/>
      <c r="U93" s="20"/>
      <c r="W93" s="18"/>
      <c r="X93" s="19"/>
      <c r="Y93" s="19"/>
      <c r="Z93" s="19"/>
      <c r="AA93" s="19"/>
      <c r="AB93" s="20"/>
      <c r="AD93" s="18"/>
      <c r="AE93" s="19"/>
      <c r="AF93" s="19"/>
      <c r="AG93" s="19"/>
      <c r="AH93" s="19"/>
      <c r="AI93" s="20"/>
    </row>
    <row r="94" spans="1:49" ht="15.75" thickBot="1"/>
    <row r="95" spans="1:49" ht="15.75" thickBot="1">
      <c r="A95" s="103" t="s">
        <v>39</v>
      </c>
      <c r="B95" s="21" t="s">
        <v>40</v>
      </c>
      <c r="C95" s="21"/>
      <c r="D95" s="21"/>
      <c r="E95" s="21"/>
      <c r="F95" s="21"/>
      <c r="G95" s="21"/>
      <c r="I95" s="21" t="s">
        <v>41</v>
      </c>
      <c r="J95" s="21"/>
      <c r="K95" s="21"/>
      <c r="L95" s="21"/>
      <c r="M95" s="21"/>
      <c r="N95" s="21"/>
      <c r="P95" s="21" t="s">
        <v>42</v>
      </c>
      <c r="Q95" s="21"/>
      <c r="R95" s="21"/>
      <c r="S95" s="21"/>
      <c r="T95" s="21"/>
      <c r="U95" s="21"/>
      <c r="W95" s="21" t="s">
        <v>43</v>
      </c>
      <c r="X95" s="21"/>
      <c r="Y95" s="21"/>
      <c r="Z95" s="21"/>
      <c r="AA95" s="21"/>
      <c r="AB95" s="21"/>
      <c r="AD95" s="21" t="s">
        <v>44</v>
      </c>
      <c r="AE95" s="21"/>
      <c r="AF95" s="21"/>
      <c r="AG95" s="21"/>
      <c r="AH95" s="21"/>
      <c r="AI95" s="21"/>
      <c r="AK95" s="21" t="s">
        <v>45</v>
      </c>
      <c r="AL95" s="21"/>
      <c r="AM95" s="21"/>
      <c r="AN95" s="21"/>
      <c r="AO95" s="21"/>
      <c r="AP95" s="21"/>
      <c r="AR95" s="21" t="s">
        <v>46</v>
      </c>
      <c r="AS95" s="21"/>
      <c r="AT95" s="21"/>
      <c r="AU95" s="21"/>
      <c r="AV95" s="21"/>
      <c r="AW95" s="21"/>
    </row>
    <row r="96" spans="1:49" ht="15.75" thickBot="1">
      <c r="A96" s="103"/>
      <c r="B96" s="8" t="s">
        <v>938</v>
      </c>
      <c r="C96" s="9"/>
      <c r="D96" s="10"/>
      <c r="E96" s="8" t="s">
        <v>940</v>
      </c>
      <c r="F96" s="9"/>
      <c r="G96" s="10"/>
      <c r="I96" s="8" t="s">
        <v>938</v>
      </c>
      <c r="J96" s="9"/>
      <c r="K96" s="10"/>
      <c r="L96" s="8" t="s">
        <v>940</v>
      </c>
      <c r="M96" s="9"/>
      <c r="N96" s="10"/>
      <c r="P96" s="8" t="s">
        <v>938</v>
      </c>
      <c r="Q96" s="9"/>
      <c r="R96" s="10"/>
      <c r="S96" s="8" t="s">
        <v>940</v>
      </c>
      <c r="T96" s="9"/>
      <c r="U96" s="10"/>
      <c r="W96" s="8" t="s">
        <v>938</v>
      </c>
      <c r="X96" s="9"/>
      <c r="Y96" s="10"/>
      <c r="Z96" s="8" t="s">
        <v>940</v>
      </c>
      <c r="AA96" s="9"/>
      <c r="AB96" s="10"/>
      <c r="AD96" s="8" t="s">
        <v>938</v>
      </c>
      <c r="AE96" s="9"/>
      <c r="AF96" s="10"/>
      <c r="AG96" s="8" t="s">
        <v>940</v>
      </c>
      <c r="AH96" s="9"/>
      <c r="AI96" s="10"/>
      <c r="AK96" s="8" t="s">
        <v>938</v>
      </c>
      <c r="AL96" s="9"/>
      <c r="AM96" s="10"/>
      <c r="AN96" s="8" t="s">
        <v>940</v>
      </c>
      <c r="AO96" s="9"/>
      <c r="AP96" s="10"/>
      <c r="AR96" s="8" t="s">
        <v>938</v>
      </c>
      <c r="AS96" s="9"/>
      <c r="AT96" s="10"/>
      <c r="AU96" s="8" t="s">
        <v>940</v>
      </c>
      <c r="AV96" s="9"/>
      <c r="AW96" s="10"/>
    </row>
    <row r="97" spans="1:49">
      <c r="A97" s="103"/>
      <c r="B97" s="3" t="str" cm="1">
        <f t="array" ref="B97:B98">_xlfn._xlws.FILTER(Spelerslijst!$B:$B,Spelerslijst!$G:$G=B$95,"")</f>
        <v>Jeslynn Vos</v>
      </c>
      <c r="C97" s="4"/>
      <c r="D97" s="5"/>
      <c r="E97" s="3" t="str" cm="1">
        <f t="array" ref="E97:E99">_xlfn._xlws.FILTER(Spelerslijst!$L:$L,Spelerslijst!$Q:$Q=B$95,"")</f>
        <v>Ayden van den Bosch</v>
      </c>
      <c r="F97" s="4"/>
      <c r="G97" s="5"/>
      <c r="I97" s="3" t="str" cm="1">
        <f t="array" ref="I97:I98">_xlfn._xlws.FILTER(Spelerslijst!$B:$B,Spelerslijst!$G:$G=I$95,"")</f>
        <v>Ize van der Linden</v>
      </c>
      <c r="J97" s="4"/>
      <c r="K97" s="5"/>
      <c r="L97" s="3" t="str" cm="1">
        <f t="array" ref="L97:L100">_xlfn._xlws.FILTER(Spelerslijst!$L:$L,Spelerslijst!$Q:$Q=I$95,"")</f>
        <v>Jorn den Dekker</v>
      </c>
      <c r="M97" s="4"/>
      <c r="N97" s="5"/>
      <c r="P97" s="3" t="str" cm="1">
        <f t="array" ref="P97:P99">_xlfn._xlws.FILTER(Spelerslijst!$B:$B,Spelerslijst!$G:$G=P$95,"")</f>
        <v>Emma Schot</v>
      </c>
      <c r="Q97" s="4"/>
      <c r="R97" s="5"/>
      <c r="S97" s="3" t="str" cm="1">
        <f t="array" ref="S97:S99">_xlfn._xlws.FILTER(Spelerslijst!$L:$L,Spelerslijst!$Q:$Q=P$95,"")</f>
        <v>Lucas van de Rest</v>
      </c>
      <c r="T97" s="4"/>
      <c r="U97" s="5"/>
      <c r="W97" s="3" t="str" cm="1">
        <f t="array" ref="W97:W99">_xlfn._xlws.FILTER(Spelerslijst!$B:$B,Spelerslijst!$G:$G=W$95,"")</f>
        <v>Maartje Laban</v>
      </c>
      <c r="X97" s="4"/>
      <c r="Y97" s="5"/>
      <c r="Z97" s="3" t="str" cm="1">
        <f t="array" ref="Z97:Z99">_xlfn._xlws.FILTER(Spelerslijst!$L:$L,Spelerslijst!$Q:$Q=W$95,"")</f>
        <v>Joep Jongkind</v>
      </c>
      <c r="AA97" s="4"/>
      <c r="AB97" s="5"/>
      <c r="AD97" s="3" t="str" cm="1">
        <f t="array" ref="AD97:AD100">_xlfn._xlws.FILTER(Spelerslijst!$B:$B,Spelerslijst!$G:$G=AD$95,"")</f>
        <v>Aniek van den Bergh</v>
      </c>
      <c r="AE97" s="4"/>
      <c r="AF97" s="5"/>
      <c r="AG97" s="3" t="str" cm="1">
        <f t="array" ref="AG97:AG98">_xlfn._xlws.FILTER(Spelerslijst!$L:$L,Spelerslijst!$Q:$Q=AD$95,"")</f>
        <v>Gideon Verberkt</v>
      </c>
      <c r="AH97" s="4"/>
      <c r="AI97" s="5"/>
      <c r="AK97" s="3" t="str" cm="1">
        <f t="array" ref="AK97">_xlfn._xlws.FILTER(Spelerslijst!$B:$B,Spelerslijst!$G:$G=AK$95,"")</f>
        <v/>
      </c>
      <c r="AL97" s="4"/>
      <c r="AM97" s="5"/>
      <c r="AN97" s="3" t="str" cm="1">
        <f t="array" ref="AN97">_xlfn._xlws.FILTER(Spelerslijst!$L:$L,Spelerslijst!$Q:$Q=AK$95,"")</f>
        <v/>
      </c>
      <c r="AO97" s="4"/>
      <c r="AP97" s="5"/>
      <c r="AR97" s="3" t="str" cm="1">
        <f t="array" ref="AR97">_xlfn._xlws.FILTER(Spelerslijst!$B:$B,Spelerslijst!$G:$G=AR$95,"")</f>
        <v/>
      </c>
      <c r="AS97" s="4" t="str" cm="1">
        <f t="array" ref="AS97">_xlfn._xlws.FILTER(Spelerslijst!$H:$H,Spelerslijst!$G:$G=AR$95,"")</f>
        <v/>
      </c>
      <c r="AT97" s="5" t="str" cm="1">
        <f t="array" ref="AT97">_xlfn._xlws.FILTER(Spelerslijst!$D:$D,Spelerslijst!$G:$G=AR$95,"")</f>
        <v/>
      </c>
      <c r="AU97" s="3" t="str" cm="1">
        <f t="array" ref="AU97">_xlfn._xlws.FILTER(Spelerslijst!$L:$L,Spelerslijst!$Q:$Q=AR$95,"")</f>
        <v/>
      </c>
      <c r="AV97" s="4" t="str" cm="1">
        <f t="array" ref="AV97">_xlfn._xlws.FILTER(Spelerslijst!$R:$R,Spelerslijst!$Q:$Q=AR$95,"")</f>
        <v/>
      </c>
      <c r="AW97" s="5" t="str" cm="1">
        <f t="array" ref="AW97">_xlfn._xlws.FILTER(Spelerslijst!$N:$N,Spelerslijst!$Q:$Q=AR$95,"")</f>
        <v/>
      </c>
    </row>
    <row r="98" spans="1:49">
      <c r="A98" s="103"/>
      <c r="B98" s="6" t="str">
        <v>Pien van Dongen</v>
      </c>
      <c r="C98" s="2"/>
      <c r="D98" s="7"/>
      <c r="E98" s="6" t="str">
        <v>Levi Everaarts</v>
      </c>
      <c r="F98" s="2"/>
      <c r="G98" s="7"/>
      <c r="I98" s="6" t="str">
        <v>Lisa Exalto</v>
      </c>
      <c r="J98" s="2"/>
      <c r="K98" s="7"/>
      <c r="L98" s="6" t="str">
        <v>Lars Winter</v>
      </c>
      <c r="M98" s="2"/>
      <c r="N98" s="7"/>
      <c r="P98" s="6" t="str">
        <v>Suze Maaskant</v>
      </c>
      <c r="Q98" s="2"/>
      <c r="R98" s="7"/>
      <c r="S98" s="6" t="str">
        <v>Ralf Dijkstra</v>
      </c>
      <c r="T98" s="2"/>
      <c r="U98" s="7"/>
      <c r="W98" s="6" t="str">
        <v>Robin Mans</v>
      </c>
      <c r="X98" s="2"/>
      <c r="Y98" s="7"/>
      <c r="Z98" s="6" t="str">
        <v>Koen Ploeg</v>
      </c>
      <c r="AA98" s="2"/>
      <c r="AB98" s="7"/>
      <c r="AD98" s="6" t="str">
        <v>Feliz Lanser</v>
      </c>
      <c r="AE98" s="2"/>
      <c r="AF98" s="7"/>
      <c r="AG98" s="6" t="str">
        <v>Timo van der Sijde</v>
      </c>
      <c r="AH98" s="2"/>
      <c r="AI98" s="7"/>
      <c r="AK98" s="6"/>
      <c r="AL98" s="2"/>
      <c r="AM98" s="7"/>
      <c r="AN98" s="6"/>
      <c r="AO98" s="2"/>
      <c r="AP98" s="7"/>
      <c r="AR98" s="6"/>
      <c r="AS98" s="2"/>
      <c r="AT98" s="7"/>
      <c r="AU98" s="6"/>
      <c r="AV98" s="2"/>
      <c r="AW98" s="7"/>
    </row>
    <row r="99" spans="1:49">
      <c r="A99" s="103"/>
      <c r="B99" s="6"/>
      <c r="C99" s="2"/>
      <c r="D99" s="7"/>
      <c r="E99" s="6" t="str">
        <v>Merlijn de Wit</v>
      </c>
      <c r="F99" s="2"/>
      <c r="G99" s="7"/>
      <c r="I99" s="6"/>
      <c r="J99" s="2"/>
      <c r="K99" s="7"/>
      <c r="L99" s="6" t="str">
        <v>Morris van Ameijden</v>
      </c>
      <c r="M99" s="2"/>
      <c r="N99" s="7"/>
      <c r="P99" s="6" t="str">
        <v>Tess Rebollo</v>
      </c>
      <c r="Q99" s="2"/>
      <c r="R99" s="7"/>
      <c r="S99" s="6" t="str">
        <v>Sepp Jongkind</v>
      </c>
      <c r="T99" s="2"/>
      <c r="U99" s="7"/>
      <c r="W99" s="6" t="str">
        <v>Sofie Kleingeld</v>
      </c>
      <c r="X99" s="2"/>
      <c r="Y99" s="7"/>
      <c r="Z99" s="6" t="str">
        <v>Rens Boekee</v>
      </c>
      <c r="AA99" s="2"/>
      <c r="AB99" s="7"/>
      <c r="AD99" s="6" t="str">
        <v>Julia van Twist</v>
      </c>
      <c r="AE99" s="2"/>
      <c r="AF99" s="7"/>
      <c r="AG99" s="6"/>
      <c r="AH99" s="2"/>
      <c r="AI99" s="7"/>
      <c r="AK99" s="6"/>
      <c r="AL99" s="2"/>
      <c r="AM99" s="7"/>
      <c r="AN99" s="6"/>
      <c r="AO99" s="2"/>
      <c r="AP99" s="7"/>
      <c r="AR99" s="6"/>
      <c r="AS99" s="2"/>
      <c r="AT99" s="7"/>
      <c r="AU99" s="6"/>
      <c r="AV99" s="2"/>
      <c r="AW99" s="7"/>
    </row>
    <row r="100" spans="1:49">
      <c r="A100" s="103"/>
      <c r="B100" s="6"/>
      <c r="C100" s="2"/>
      <c r="D100" s="7"/>
      <c r="E100" s="6"/>
      <c r="F100" s="2"/>
      <c r="G100" s="7"/>
      <c r="I100" s="6"/>
      <c r="J100" s="2"/>
      <c r="K100" s="7"/>
      <c r="L100" s="6" t="str">
        <v>Tobias Hoedelmans</v>
      </c>
      <c r="M100" s="2"/>
      <c r="N100" s="7"/>
      <c r="P100" s="6"/>
      <c r="Q100" s="2"/>
      <c r="R100" s="7"/>
      <c r="S100" s="6"/>
      <c r="T100" s="2"/>
      <c r="U100" s="7"/>
      <c r="W100" s="6"/>
      <c r="X100" s="2"/>
      <c r="Y100" s="7"/>
      <c r="Z100" s="6"/>
      <c r="AA100" s="2"/>
      <c r="AB100" s="7"/>
      <c r="AD100" s="6" t="str">
        <v>Sanae</v>
      </c>
      <c r="AE100" s="2"/>
      <c r="AF100" s="7"/>
      <c r="AG100" s="6"/>
      <c r="AH100" s="2"/>
      <c r="AI100" s="7"/>
      <c r="AK100" s="6"/>
      <c r="AL100" s="2"/>
      <c r="AM100" s="7"/>
      <c r="AN100" s="6"/>
      <c r="AO100" s="2"/>
      <c r="AP100" s="7"/>
      <c r="AR100" s="6"/>
      <c r="AS100" s="2"/>
      <c r="AT100" s="7"/>
      <c r="AU100" s="6"/>
      <c r="AV100" s="2"/>
      <c r="AW100" s="7"/>
    </row>
    <row r="101" spans="1:49">
      <c r="A101" s="103"/>
      <c r="B101" s="6"/>
      <c r="C101" s="2"/>
      <c r="D101" s="7"/>
      <c r="E101" s="6"/>
      <c r="F101" s="2"/>
      <c r="G101" s="7"/>
      <c r="I101" s="6"/>
      <c r="J101" s="2"/>
      <c r="K101" s="7"/>
      <c r="L101" s="6"/>
      <c r="M101" s="2"/>
      <c r="N101" s="7"/>
      <c r="P101" s="6"/>
      <c r="Q101" s="2"/>
      <c r="R101" s="7"/>
      <c r="S101" s="6"/>
      <c r="T101" s="2"/>
      <c r="U101" s="7"/>
      <c r="W101" s="6"/>
      <c r="X101" s="2"/>
      <c r="Y101" s="7"/>
      <c r="Z101" s="6"/>
      <c r="AA101" s="2"/>
      <c r="AB101" s="7"/>
      <c r="AD101" s="6"/>
      <c r="AE101" s="2"/>
      <c r="AF101" s="7"/>
      <c r="AG101" s="6"/>
      <c r="AH101" s="2"/>
      <c r="AI101" s="7"/>
      <c r="AK101" s="6"/>
      <c r="AL101" s="2"/>
      <c r="AM101" s="7"/>
      <c r="AN101" s="6"/>
      <c r="AO101" s="2"/>
      <c r="AP101" s="7"/>
      <c r="AR101" s="6"/>
      <c r="AS101" s="2"/>
      <c r="AT101" s="7"/>
      <c r="AU101" s="6"/>
      <c r="AV101" s="2"/>
      <c r="AW101" s="7"/>
    </row>
    <row r="102" spans="1:49" ht="15.75" thickBot="1">
      <c r="A102" s="103"/>
      <c r="B102" s="6"/>
      <c r="C102" s="2"/>
      <c r="D102" s="7"/>
      <c r="E102" s="6"/>
      <c r="F102" s="2"/>
      <c r="G102" s="7"/>
      <c r="I102" s="6"/>
      <c r="J102" s="2"/>
      <c r="K102" s="7"/>
      <c r="L102" s="6"/>
      <c r="M102" s="2"/>
      <c r="N102" s="7"/>
      <c r="P102" s="6"/>
      <c r="Q102" s="2"/>
      <c r="R102" s="7"/>
      <c r="S102" s="6"/>
      <c r="T102" s="2"/>
      <c r="U102" s="7"/>
      <c r="W102" s="6"/>
      <c r="X102" s="2"/>
      <c r="Y102" s="7"/>
      <c r="Z102" s="6"/>
      <c r="AA102" s="2"/>
      <c r="AB102" s="7"/>
      <c r="AD102" s="6"/>
      <c r="AE102" s="2"/>
      <c r="AF102" s="7"/>
      <c r="AG102" s="6"/>
      <c r="AH102" s="2"/>
      <c r="AI102" s="7"/>
      <c r="AK102" s="6"/>
      <c r="AL102" s="2"/>
      <c r="AM102" s="7"/>
      <c r="AN102" s="6"/>
      <c r="AO102" s="2"/>
      <c r="AP102" s="7"/>
      <c r="AR102" s="6"/>
      <c r="AS102" s="2"/>
      <c r="AT102" s="7"/>
      <c r="AU102" s="6"/>
      <c r="AV102" s="2"/>
      <c r="AW102" s="7"/>
    </row>
    <row r="103" spans="1:49">
      <c r="A103" s="103"/>
      <c r="B103" s="12" t="str" cm="1">
        <f t="array" ref="B103">_xlfn._xlws.FILTER(Staf!$C:$C,Staf!$B:$B='Teams-deelversie'!B95,"")</f>
        <v>Trainer/Coach</v>
      </c>
      <c r="C103" s="13" t="str" cm="1">
        <f t="array" ref="C103">_xlfn._xlws.FILTER(Staf!$A:$A,Staf!$B:$B='Teams-deelversie'!B95,"")</f>
        <v>Bart de Wit</v>
      </c>
      <c r="D103" s="13"/>
      <c r="E103" s="13"/>
      <c r="F103" s="13"/>
      <c r="G103" s="14"/>
      <c r="I103" s="12" t="str" cm="1">
        <f t="array" ref="I103:I104">_xlfn._xlws.FILTER(Staf!$C:$C,Staf!$B:$B='Teams-deelversie'!I95,"")</f>
        <v>Trainer/Coach</v>
      </c>
      <c r="J103" s="13" t="str" cm="1">
        <f t="array" ref="J103:J104">_xlfn._xlws.FILTER(Staf!$A:$A,Staf!$B:$B='Teams-deelversie'!I95,"")</f>
        <v>Anouk de Jongh</v>
      </c>
      <c r="K103" s="13"/>
      <c r="L103" s="13"/>
      <c r="M103" s="13"/>
      <c r="N103" s="14"/>
      <c r="P103" s="12" t="e" cm="1" vm="1">
        <f t="array" aca="1" ref="P103" ca="1">_xlfn._xlws.FILTER(Staf!$C:$C,Staf!$B:$B='Teams-deelversie'!P95,"")</f>
        <v>#VALUE!</v>
      </c>
      <c r="Q103" s="13" t="str" cm="1">
        <f t="array" ref="Q103:Q107">_xlfn._xlws.FILTER(Staf!$A:$A,Staf!$B:$B='Teams-deelversie'!P95,"")</f>
        <v>Jack Zwanenburg</v>
      </c>
      <c r="R103" s="13"/>
      <c r="S103" s="13"/>
      <c r="T103" s="13"/>
      <c r="U103" s="14"/>
      <c r="W103" s="12" t="str" cm="1">
        <f t="array" ref="W103:W105">_xlfn._xlws.FILTER(Staf!$C:$C,Staf!$B:$B='Teams-deelversie'!W95,"")</f>
        <v>Trainer/Coach</v>
      </c>
      <c r="X103" s="13" t="str" cm="1">
        <f t="array" ref="X103:X105">_xlfn._xlws.FILTER(Staf!$A:$A,Staf!$B:$B='Teams-deelversie'!W95,"")</f>
        <v>Monique te Witt</v>
      </c>
      <c r="Y103" s="13"/>
      <c r="Z103" s="13"/>
      <c r="AA103" s="13"/>
      <c r="AB103" s="14"/>
      <c r="AD103" s="12" t="str" cm="1">
        <f t="array" ref="AD103:AD105">_xlfn._xlws.FILTER(Staf!$C:$C,Staf!$B:$B='Teams-deelversie'!AD95,"")</f>
        <v>Ondersteuning</v>
      </c>
      <c r="AE103" s="13" t="str" cm="1">
        <f t="array" ref="AE103:AE105">_xlfn._xlws.FILTER(Staf!$A:$A,Staf!$B:$B='Teams-deelversie'!AD95,"")</f>
        <v>Lenny van den Bergh</v>
      </c>
      <c r="AF103" s="13"/>
      <c r="AG103" s="13"/>
      <c r="AH103" s="13"/>
      <c r="AI103" s="14"/>
      <c r="AK103" s="12" t="str" cm="1">
        <f t="array" ref="AK103">_xlfn._xlws.FILTER(Staf!$C:$C,Staf!$B:$B='Teams-deelversie'!AK95,"")</f>
        <v/>
      </c>
      <c r="AL103" s="13" t="str" cm="1">
        <f t="array" ref="AL103">_xlfn._xlws.FILTER(Staf!$A:$A,Staf!$B:$B='Teams-deelversie'!AK95,"")</f>
        <v/>
      </c>
      <c r="AM103" s="13"/>
      <c r="AN103" s="13"/>
      <c r="AO103" s="13"/>
      <c r="AP103" s="14"/>
      <c r="AR103" s="12" t="str" cm="1">
        <f t="array" ref="AR103">_xlfn._xlws.FILTER(Staf!$C:$C,Staf!$B:$B='Teams-deelversie'!AR95,"")</f>
        <v/>
      </c>
      <c r="AS103" s="13" t="str" cm="1">
        <f t="array" ref="AS103">_xlfn._xlws.FILTER(Staf!$A:$A,Staf!$B:$B='Teams-deelversie'!AR95,"")</f>
        <v/>
      </c>
      <c r="AT103" s="13"/>
      <c r="AU103" s="13"/>
      <c r="AV103" s="13"/>
      <c r="AW103" s="14"/>
    </row>
    <row r="104" spans="1:49">
      <c r="A104" s="103"/>
      <c r="B104" s="15"/>
      <c r="C104" s="16"/>
      <c r="D104" s="16"/>
      <c r="E104" s="16"/>
      <c r="F104" s="16"/>
      <c r="G104" s="17"/>
      <c r="I104" s="15" t="str">
        <v>Trainer/Coach</v>
      </c>
      <c r="J104" s="16" t="str">
        <v>Sjoerd van Ameijden</v>
      </c>
      <c r="K104" s="16"/>
      <c r="L104" s="16"/>
      <c r="M104" s="16"/>
      <c r="N104" s="17"/>
      <c r="P104" s="15"/>
      <c r="Q104" s="16" t="str">
        <v xml:space="preserve">Vacature </v>
      </c>
      <c r="R104" s="16"/>
      <c r="S104" s="16"/>
      <c r="T104" s="16"/>
      <c r="U104" s="17"/>
      <c r="W104" s="15" t="str">
        <v>Assistent-trainer</v>
      </c>
      <c r="X104" s="16" t="str">
        <v>Gertjan Ploeg</v>
      </c>
      <c r="Y104" s="16"/>
      <c r="Z104" s="16"/>
      <c r="AA104" s="16"/>
      <c r="AB104" s="17"/>
      <c r="AD104" s="15" t="str">
        <v>Trainer/Coach</v>
      </c>
      <c r="AE104" s="16" t="str">
        <v xml:space="preserve">Vacature </v>
      </c>
      <c r="AF104" s="16"/>
      <c r="AG104" s="16"/>
      <c r="AH104" s="16"/>
      <c r="AI104" s="17"/>
      <c r="AK104" s="15"/>
      <c r="AL104" s="16"/>
      <c r="AM104" s="16"/>
      <c r="AN104" s="16"/>
      <c r="AO104" s="16"/>
      <c r="AP104" s="17"/>
      <c r="AR104" s="15"/>
      <c r="AS104" s="16"/>
      <c r="AT104" s="16"/>
      <c r="AU104" s="16"/>
      <c r="AV104" s="16"/>
      <c r="AW104" s="17"/>
    </row>
    <row r="105" spans="1:49" ht="15.75" thickBot="1">
      <c r="A105" s="103"/>
      <c r="B105" s="18"/>
      <c r="C105" s="19"/>
      <c r="D105" s="19"/>
      <c r="E105" s="19"/>
      <c r="F105" s="19"/>
      <c r="G105" s="20"/>
      <c r="I105" s="18"/>
      <c r="J105" s="19"/>
      <c r="K105" s="19"/>
      <c r="L105" s="19"/>
      <c r="M105" s="19"/>
      <c r="N105" s="20"/>
      <c r="P105" s="18"/>
      <c r="Q105" s="19" t="str">
        <v xml:space="preserve">Vacature </v>
      </c>
      <c r="R105" s="19"/>
      <c r="S105" s="19"/>
      <c r="T105" s="19"/>
      <c r="U105" s="20"/>
      <c r="W105" s="18" t="str">
        <v>Trainer/Coach</v>
      </c>
      <c r="X105" s="19" t="str">
        <v>Liesbeth Wibbens</v>
      </c>
      <c r="Y105" s="19"/>
      <c r="Z105" s="19"/>
      <c r="AA105" s="19"/>
      <c r="AB105" s="20"/>
      <c r="AD105" s="18" t="str">
        <v>Trainer/Coach</v>
      </c>
      <c r="AE105" s="19" t="str">
        <v xml:space="preserve">Vacature </v>
      </c>
      <c r="AF105" s="19"/>
      <c r="AG105" s="19"/>
      <c r="AH105" s="19"/>
      <c r="AI105" s="20"/>
      <c r="AK105" s="18"/>
      <c r="AL105" s="19"/>
      <c r="AM105" s="19"/>
      <c r="AN105" s="19"/>
      <c r="AO105" s="19"/>
      <c r="AP105" s="20"/>
      <c r="AR105" s="18"/>
      <c r="AS105" s="19"/>
      <c r="AT105" s="19"/>
      <c r="AU105" s="19"/>
      <c r="AV105" s="19"/>
      <c r="AW105" s="20"/>
    </row>
    <row r="106" spans="1:49" ht="15.75" thickBot="1">
      <c r="Q106" t="str">
        <v>Jens Lohuis</v>
      </c>
    </row>
    <row r="107" spans="1:49" ht="15.75" thickBot="1">
      <c r="A107" s="103" t="s">
        <v>47</v>
      </c>
      <c r="B107" s="21" t="s">
        <v>48</v>
      </c>
      <c r="C107" s="21"/>
      <c r="D107" s="21"/>
      <c r="E107" s="21"/>
      <c r="F107" s="21"/>
      <c r="G107" s="21"/>
      <c r="I107" s="21" t="s">
        <v>49</v>
      </c>
      <c r="J107" s="21"/>
      <c r="K107" s="21"/>
      <c r="L107" s="21"/>
      <c r="M107" s="21"/>
      <c r="N107" s="21"/>
      <c r="P107" s="21" t="s">
        <v>50</v>
      </c>
      <c r="Q107" s="21" t="str">
        <v>Joël Wietses</v>
      </c>
      <c r="R107" s="21"/>
      <c r="S107" s="21"/>
      <c r="T107" s="21"/>
      <c r="U107" s="21"/>
      <c r="W107" s="21" t="s">
        <v>51</v>
      </c>
      <c r="X107" s="21"/>
      <c r="Y107" s="21"/>
      <c r="Z107" s="21"/>
      <c r="AA107" s="21"/>
      <c r="AB107" s="21"/>
      <c r="AD107" s="21" t="s">
        <v>52</v>
      </c>
      <c r="AE107" s="21"/>
      <c r="AF107" s="21"/>
      <c r="AG107" s="21"/>
      <c r="AH107" s="21"/>
      <c r="AI107" s="21"/>
    </row>
    <row r="108" spans="1:49" ht="15.75" thickBot="1">
      <c r="A108" s="103"/>
      <c r="B108" s="8" t="s">
        <v>938</v>
      </c>
      <c r="C108" s="9"/>
      <c r="D108" s="10"/>
      <c r="E108" s="8" t="s">
        <v>940</v>
      </c>
      <c r="F108" s="9"/>
      <c r="G108" s="10"/>
      <c r="I108" s="8" t="s">
        <v>938</v>
      </c>
      <c r="J108" s="9"/>
      <c r="K108" s="10"/>
      <c r="L108" s="8" t="s">
        <v>940</v>
      </c>
      <c r="M108" s="9"/>
      <c r="N108" s="10"/>
      <c r="P108" s="8" t="s">
        <v>938</v>
      </c>
      <c r="Q108" s="9"/>
      <c r="R108" s="10"/>
      <c r="S108" s="8" t="s">
        <v>940</v>
      </c>
      <c r="T108" s="9"/>
      <c r="U108" s="10"/>
      <c r="W108" s="8" t="s">
        <v>938</v>
      </c>
      <c r="X108" s="9"/>
      <c r="Y108" s="10"/>
      <c r="Z108" s="8" t="s">
        <v>940</v>
      </c>
      <c r="AA108" s="9"/>
      <c r="AB108" s="10"/>
      <c r="AD108" s="8" t="s">
        <v>938</v>
      </c>
      <c r="AE108" s="9"/>
      <c r="AF108" s="10"/>
      <c r="AG108" s="8" t="s">
        <v>940</v>
      </c>
      <c r="AH108" s="9"/>
      <c r="AI108" s="10"/>
    </row>
    <row r="109" spans="1:49">
      <c r="A109" s="103"/>
      <c r="B109" s="3" t="str" cm="1">
        <f t="array" ref="B109:B112">_xlfn._xlws.FILTER(Spelerslijst!$B:$B,Spelerslijst!$G:$G=B$107,"")</f>
        <v>Alisa Stomp</v>
      </c>
      <c r="C109" s="4"/>
      <c r="D109" s="5"/>
      <c r="E109" s="3" t="str" cm="1">
        <f t="array" ref="E109">_xlfn._xlws.FILTER(Spelerslijst!$L:$L,Spelerslijst!$Q:$Q=B$107,"")</f>
        <v>Amos Alberts</v>
      </c>
      <c r="F109" s="4"/>
      <c r="G109" s="5"/>
      <c r="I109" s="3" t="str" cm="1">
        <f t="array" ref="I109:I112">_xlfn._xlws.FILTER(Spelerslijst!$B:$B,Spelerslijst!$G:$G=I$107,"")</f>
        <v>Livia van de Burgt</v>
      </c>
      <c r="J109" s="4"/>
      <c r="K109" s="5"/>
      <c r="L109" s="3" t="str" cm="1">
        <f t="array" ref="L109:L110">_xlfn._xlws.FILTER(Spelerslijst!$L:$L,Spelerslijst!$Q:$Q=I$107,"")</f>
        <v>Art Malschaert</v>
      </c>
      <c r="M109" s="4"/>
      <c r="N109" s="5"/>
      <c r="P109" s="3" t="str" cm="1">
        <f t="array" ref="P109">_xlfn._xlws.FILTER(Spelerslijst!$B:$B,Spelerslijst!$G:$G=P$107,"")</f>
        <v/>
      </c>
      <c r="Q109" s="4" t="str" cm="1">
        <f t="array" ref="Q109">_xlfn._xlws.FILTER(Spelerslijst!$H:$H,Spelerslijst!$G:$G=P$107,"")</f>
        <v/>
      </c>
      <c r="R109" s="5" t="str" cm="1">
        <f t="array" ref="R109">_xlfn._xlws.FILTER(Spelerslijst!$D:$D,Spelerslijst!$G:$G=P$107,"")</f>
        <v/>
      </c>
      <c r="S109" s="3" t="str" cm="1">
        <f t="array" ref="S109">_xlfn._xlws.FILTER(Spelerslijst!$L:$L,Spelerslijst!$Q:$Q=P$107,"")</f>
        <v/>
      </c>
      <c r="T109" s="4" t="str" cm="1">
        <f t="array" ref="T109">_xlfn._xlws.FILTER(Spelerslijst!$R:$R,Spelerslijst!$Q:$Q=P$107,"")</f>
        <v/>
      </c>
      <c r="U109" s="5" t="str" cm="1">
        <f t="array" ref="U109">_xlfn._xlws.FILTER(Spelerslijst!$N:$N,Spelerslijst!$Q:$Q=P$107,"")</f>
        <v/>
      </c>
      <c r="W109" s="3" t="str" cm="1">
        <f t="array" ref="W109">_xlfn._xlws.FILTER(Spelerslijst!$B:$B,Spelerslijst!$G:$G=W$107,"")</f>
        <v/>
      </c>
      <c r="X109" s="4" t="str" cm="1">
        <f t="array" ref="X109">_xlfn._xlws.FILTER(Spelerslijst!$H:$H,Spelerslijst!$G:$G=W$107,"")</f>
        <v/>
      </c>
      <c r="Y109" s="5" t="str" cm="1">
        <f t="array" ref="Y109">_xlfn._xlws.FILTER(Spelerslijst!$D:$D,Spelerslijst!$G:$G=W$107,"")</f>
        <v/>
      </c>
      <c r="Z109" s="3" t="str" cm="1">
        <f t="array" ref="Z109">_xlfn._xlws.FILTER(Spelerslijst!$L:$L,Spelerslijst!$Q:$Q=W$107,"")</f>
        <v/>
      </c>
      <c r="AA109" s="4" t="str" cm="1">
        <f t="array" ref="AA109">_xlfn._xlws.FILTER(Spelerslijst!$R:$R,Spelerslijst!$Q:$Q=W$107,"")</f>
        <v/>
      </c>
      <c r="AB109" s="5" t="str" cm="1">
        <f t="array" ref="AB109">_xlfn._xlws.FILTER(Spelerslijst!$N:$N,Spelerslijst!$Q:$Q=W$107,"")</f>
        <v/>
      </c>
      <c r="AD109" s="3" t="str" cm="1">
        <f t="array" ref="AD109">_xlfn._xlws.FILTER(Spelerslijst!$B:$B,Spelerslijst!$G:$G=AD$107,"")</f>
        <v/>
      </c>
      <c r="AE109" s="4" t="str" cm="1">
        <f t="array" ref="AE109">_xlfn._xlws.FILTER(Spelerslijst!$H:$H,Spelerslijst!$G:$G=AD$107,"")</f>
        <v/>
      </c>
      <c r="AF109" s="5" t="str" cm="1">
        <f t="array" ref="AF109">_xlfn._xlws.FILTER(Spelerslijst!$D:$D,Spelerslijst!$G:$G=AD$107,"")</f>
        <v/>
      </c>
      <c r="AG109" s="3" t="str" cm="1">
        <f t="array" ref="AG109">_xlfn._xlws.FILTER(Spelerslijst!$L:$L,Spelerslijst!$Q:$Q=AD$107,"")</f>
        <v/>
      </c>
      <c r="AH109" s="4" t="str" cm="1">
        <f t="array" ref="AH109">_xlfn._xlws.FILTER(Spelerslijst!$R:$R,Spelerslijst!$Q:$Q=AD$107,"")</f>
        <v/>
      </c>
      <c r="AI109" s="5" t="str" cm="1">
        <f t="array" ref="AI109">_xlfn._xlws.FILTER(Spelerslijst!$N:$N,Spelerslijst!$Q:$Q=AD$107,"")</f>
        <v/>
      </c>
    </row>
    <row r="110" spans="1:49">
      <c r="A110" s="103"/>
      <c r="B110" s="6" t="str">
        <v>Imme Bouman</v>
      </c>
      <c r="C110" s="2"/>
      <c r="D110" s="7"/>
      <c r="E110" s="6"/>
      <c r="F110" s="2"/>
      <c r="G110" s="7"/>
      <c r="I110" s="6" t="str">
        <v>Sanna de Lange</v>
      </c>
      <c r="J110" s="2"/>
      <c r="K110" s="7"/>
      <c r="L110" s="6" t="str">
        <v>Sem van de Wiel</v>
      </c>
      <c r="M110" s="2"/>
      <c r="N110" s="7"/>
      <c r="P110" s="6"/>
      <c r="Q110" s="2"/>
      <c r="R110" s="7"/>
      <c r="S110" s="6"/>
      <c r="T110" s="2"/>
      <c r="U110" s="7"/>
      <c r="W110" s="6"/>
      <c r="X110" s="2"/>
      <c r="Y110" s="7"/>
      <c r="Z110" s="6"/>
      <c r="AA110" s="2"/>
      <c r="AB110" s="7"/>
      <c r="AD110" s="6"/>
      <c r="AE110" s="2"/>
      <c r="AF110" s="7"/>
      <c r="AG110" s="6"/>
      <c r="AH110" s="2"/>
      <c r="AI110" s="7"/>
    </row>
    <row r="111" spans="1:49">
      <c r="A111" s="103"/>
      <c r="B111" s="6" t="str">
        <v>Karlijn Bakker</v>
      </c>
      <c r="C111" s="2"/>
      <c r="D111" s="7"/>
      <c r="E111" s="6"/>
      <c r="F111" s="2"/>
      <c r="G111" s="7"/>
      <c r="I111" s="6" t="str">
        <v>Vive Jacobs</v>
      </c>
      <c r="J111" s="2"/>
      <c r="K111" s="7"/>
      <c r="L111" s="6"/>
      <c r="M111" s="2"/>
      <c r="N111" s="7"/>
      <c r="P111" s="6"/>
      <c r="Q111" s="2"/>
      <c r="R111" s="7"/>
      <c r="S111" s="6"/>
      <c r="T111" s="2"/>
      <c r="U111" s="7"/>
      <c r="W111" s="6"/>
      <c r="X111" s="2"/>
      <c r="Y111" s="7"/>
      <c r="Z111" s="6"/>
      <c r="AA111" s="2"/>
      <c r="AB111" s="7"/>
      <c r="AD111" s="6"/>
      <c r="AE111" s="2"/>
      <c r="AF111" s="7"/>
      <c r="AG111" s="6"/>
      <c r="AH111" s="2"/>
      <c r="AI111" s="7"/>
    </row>
    <row r="112" spans="1:49">
      <c r="A112" s="103"/>
      <c r="B112" s="6" t="str">
        <v>Lara Mans</v>
      </c>
      <c r="C112" s="2"/>
      <c r="D112" s="7"/>
      <c r="E112" s="6"/>
      <c r="F112" s="2"/>
      <c r="G112" s="7"/>
      <c r="I112" s="6" t="str">
        <v>Wies van den Berg</v>
      </c>
      <c r="J112" s="2"/>
      <c r="K112" s="7"/>
      <c r="L112" s="6"/>
      <c r="M112" s="2"/>
      <c r="N112" s="7"/>
      <c r="P112" s="6"/>
      <c r="Q112" s="2"/>
      <c r="R112" s="7"/>
      <c r="S112" s="6"/>
      <c r="T112" s="2"/>
      <c r="U112" s="7"/>
      <c r="W112" s="6"/>
      <c r="X112" s="2"/>
      <c r="Y112" s="7"/>
      <c r="Z112" s="6"/>
      <c r="AA112" s="2"/>
      <c r="AB112" s="7"/>
      <c r="AD112" s="6"/>
      <c r="AE112" s="2"/>
      <c r="AF112" s="7"/>
      <c r="AG112" s="6"/>
      <c r="AH112" s="2"/>
      <c r="AI112" s="7"/>
    </row>
    <row r="113" spans="1:35">
      <c r="A113" s="103"/>
      <c r="B113" s="6"/>
      <c r="C113" s="2"/>
      <c r="D113" s="7"/>
      <c r="E113" s="6"/>
      <c r="F113" s="2"/>
      <c r="G113" s="7"/>
      <c r="I113" s="6"/>
      <c r="J113" s="2"/>
      <c r="K113" s="7"/>
      <c r="L113" s="6"/>
      <c r="M113" s="2"/>
      <c r="N113" s="7"/>
      <c r="P113" s="6"/>
      <c r="Q113" s="2"/>
      <c r="R113" s="7"/>
      <c r="S113" s="6"/>
      <c r="T113" s="2"/>
      <c r="U113" s="7"/>
      <c r="W113" s="6"/>
      <c r="X113" s="2"/>
      <c r="Y113" s="7"/>
      <c r="Z113" s="6"/>
      <c r="AA113" s="2"/>
      <c r="AB113" s="7"/>
      <c r="AD113" s="6"/>
      <c r="AE113" s="2"/>
      <c r="AF113" s="7"/>
      <c r="AG113" s="6"/>
      <c r="AH113" s="2"/>
      <c r="AI113" s="7"/>
    </row>
    <row r="114" spans="1:35" ht="15.75" thickBot="1">
      <c r="A114" s="103"/>
      <c r="B114" s="6"/>
      <c r="C114" s="2"/>
      <c r="D114" s="7"/>
      <c r="E114" s="6"/>
      <c r="F114" s="2"/>
      <c r="G114" s="7"/>
      <c r="I114" s="6"/>
      <c r="J114" s="2"/>
      <c r="K114" s="7"/>
      <c r="L114" s="6"/>
      <c r="M114" s="2"/>
      <c r="N114" s="7"/>
      <c r="P114" s="6"/>
      <c r="Q114" s="2"/>
      <c r="R114" s="7"/>
      <c r="S114" s="6"/>
      <c r="T114" s="2"/>
      <c r="U114" s="7"/>
      <c r="W114" s="6"/>
      <c r="X114" s="2"/>
      <c r="Y114" s="7"/>
      <c r="Z114" s="6"/>
      <c r="AA114" s="2"/>
      <c r="AB114" s="7"/>
      <c r="AD114" s="6"/>
      <c r="AE114" s="2"/>
      <c r="AF114" s="7"/>
      <c r="AG114" s="6"/>
      <c r="AH114" s="2"/>
      <c r="AI114" s="7"/>
    </row>
    <row r="115" spans="1:35">
      <c r="A115" s="103"/>
      <c r="B115" s="12" t="str" cm="1">
        <f t="array" ref="B115:B116">_xlfn._xlws.FILTER(Staf!$C:$C,Staf!$B:$B='Teams-deelversie'!B107,"")</f>
        <v>Trainer/Coach</v>
      </c>
      <c r="C115" s="13" t="str" cm="1">
        <f t="array" ref="C115:C116">_xlfn._xlws.FILTER(Staf!$A:$A,Staf!$B:$B='Teams-deelversie'!B107,"")</f>
        <v>Lianne Stomp - vd Burgt</v>
      </c>
      <c r="D115" s="13"/>
      <c r="E115" s="13"/>
      <c r="F115" s="13"/>
      <c r="G115" s="14"/>
      <c r="I115" s="12" t="str" cm="1">
        <f t="array" ref="I115:I118">_xlfn._xlws.FILTER(Staf!$C:$C,Staf!$B:$B='Teams-deelversie'!I107,"")</f>
        <v>Trainer/Coach</v>
      </c>
      <c r="J115" s="13" t="str" cm="1">
        <f t="array" ref="J115:J118">_xlfn._xlws.FILTER(Staf!$A:$A,Staf!$B:$B='Teams-deelversie'!I107,"")</f>
        <v>Seth vd Burgt</v>
      </c>
      <c r="K115" s="13"/>
      <c r="L115" s="13"/>
      <c r="M115" s="13"/>
      <c r="N115" s="14"/>
      <c r="P115" s="12" t="str" cm="1">
        <f t="array" ref="P115">_xlfn._xlws.FILTER(Staf!$C:$C,Staf!$B:$B='Teams-deelversie'!P107,"")</f>
        <v/>
      </c>
      <c r="Q115" s="13" t="str" cm="1">
        <f t="array" ref="Q115">_xlfn._xlws.FILTER(Staf!$A:$A,Staf!$B:$B='Teams-deelversie'!P107,"")</f>
        <v/>
      </c>
      <c r="R115" s="13"/>
      <c r="S115" s="13"/>
      <c r="T115" s="13"/>
      <c r="U115" s="14"/>
      <c r="W115" s="12" t="str" cm="1">
        <f t="array" ref="W115">_xlfn._xlws.FILTER(Staf!$C:$C,Staf!$B:$B='Teams-deelversie'!W107,"")</f>
        <v/>
      </c>
      <c r="X115" s="13" t="str" cm="1">
        <f t="array" ref="X115">_xlfn._xlws.FILTER(Staf!$A:$A,Staf!$B:$B='Teams-deelversie'!W107,"")</f>
        <v/>
      </c>
      <c r="Y115" s="13"/>
      <c r="Z115" s="13"/>
      <c r="AA115" s="13"/>
      <c r="AB115" s="14"/>
      <c r="AD115" s="12" t="str" cm="1">
        <f t="array" ref="AD115">_xlfn._xlws.FILTER(Staf!$C:$C,Staf!$B:$B='Teams-deelversie'!AD107,"")</f>
        <v/>
      </c>
      <c r="AE115" s="13" t="str" cm="1">
        <f t="array" ref="AE115">_xlfn._xlws.FILTER(Staf!$A:$A,Staf!$B:$B='Teams-deelversie'!AD107,"")</f>
        <v/>
      </c>
      <c r="AF115" s="13"/>
      <c r="AG115" s="13"/>
      <c r="AH115" s="13"/>
      <c r="AI115" s="14"/>
    </row>
    <row r="116" spans="1:35">
      <c r="A116" s="103"/>
      <c r="B116" s="15" t="str">
        <v>Trainer/Coach</v>
      </c>
      <c r="C116" s="16" t="str">
        <v>Noa Stomp</v>
      </c>
      <c r="D116" s="16"/>
      <c r="E116" s="16"/>
      <c r="F116" s="16"/>
      <c r="G116" s="17"/>
      <c r="I116" s="15" t="str">
        <v>Trainer/Coach</v>
      </c>
      <c r="J116" s="16" t="str">
        <v>Sophie Kilsdonk</v>
      </c>
      <c r="K116" s="16"/>
      <c r="L116" s="16"/>
      <c r="M116" s="16"/>
      <c r="N116" s="17"/>
      <c r="P116" s="15"/>
      <c r="Q116" s="16"/>
      <c r="R116" s="16"/>
      <c r="S116" s="16"/>
      <c r="T116" s="16"/>
      <c r="U116" s="17"/>
      <c r="W116" s="15"/>
      <c r="X116" s="16"/>
      <c r="Y116" s="16"/>
      <c r="Z116" s="16"/>
      <c r="AA116" s="16"/>
      <c r="AB116" s="17"/>
      <c r="AD116" s="15"/>
      <c r="AE116" s="16"/>
      <c r="AF116" s="16"/>
      <c r="AG116" s="16"/>
      <c r="AH116" s="16"/>
      <c r="AI116" s="17"/>
    </row>
    <row r="117" spans="1:35">
      <c r="A117" s="103"/>
      <c r="B117" s="15"/>
      <c r="C117" s="16"/>
      <c r="D117" s="16"/>
      <c r="E117" s="16"/>
      <c r="F117" s="16"/>
      <c r="G117" s="17"/>
      <c r="I117" s="15" t="str">
        <v>Trainer/Coach</v>
      </c>
      <c r="J117" s="16" t="str">
        <v>Jet van Trooijen</v>
      </c>
      <c r="K117" s="16"/>
      <c r="L117" s="16"/>
      <c r="M117" s="16"/>
      <c r="N117" s="17"/>
      <c r="P117" s="15"/>
      <c r="Q117" s="16"/>
      <c r="R117" s="16"/>
      <c r="S117" s="16"/>
      <c r="T117" s="16"/>
      <c r="U117" s="17"/>
      <c r="W117" s="15"/>
      <c r="X117" s="16"/>
      <c r="Y117" s="16"/>
      <c r="Z117" s="16"/>
      <c r="AA117" s="16"/>
      <c r="AB117" s="17"/>
      <c r="AD117" s="15"/>
      <c r="AE117" s="16"/>
      <c r="AF117" s="16"/>
      <c r="AG117" s="16"/>
      <c r="AH117" s="16"/>
      <c r="AI117" s="17"/>
    </row>
    <row r="118" spans="1:35" ht="15.75" thickBot="1">
      <c r="A118" s="103"/>
      <c r="B118" s="18"/>
      <c r="C118" s="19"/>
      <c r="D118" s="19"/>
      <c r="E118" s="19"/>
      <c r="F118" s="19"/>
      <c r="G118" s="20"/>
      <c r="I118" s="18" t="str">
        <v>Trainer/Coach</v>
      </c>
      <c r="J118" s="19" t="str">
        <v>Kimberly Jacobs</v>
      </c>
      <c r="K118" s="19"/>
      <c r="L118" s="19"/>
      <c r="M118" s="19"/>
      <c r="N118" s="20"/>
      <c r="P118" s="18"/>
      <c r="Q118" s="19"/>
      <c r="R118" s="19"/>
      <c r="S118" s="19"/>
      <c r="T118" s="19"/>
      <c r="U118" s="20"/>
      <c r="W118" s="18"/>
      <c r="X118" s="19"/>
      <c r="Y118" s="19"/>
      <c r="Z118" s="19"/>
      <c r="AA118" s="19"/>
      <c r="AB118" s="20"/>
      <c r="AD118" s="18"/>
      <c r="AE118" s="19"/>
      <c r="AF118" s="19"/>
      <c r="AG118" s="19"/>
      <c r="AH118" s="19"/>
      <c r="AI118" s="20"/>
    </row>
    <row r="119" spans="1:35" ht="15.75" thickBot="1"/>
    <row r="120" spans="1:35" ht="15.75" thickBot="1">
      <c r="A120" s="103" t="s">
        <v>53</v>
      </c>
      <c r="B120" s="21" t="s">
        <v>54</v>
      </c>
      <c r="C120" s="21"/>
      <c r="D120" s="21"/>
      <c r="E120" s="21"/>
      <c r="F120" s="21"/>
      <c r="G120" s="21"/>
    </row>
    <row r="121" spans="1:35" ht="15.75" thickBot="1">
      <c r="A121" s="103"/>
      <c r="B121" s="8" t="s">
        <v>938</v>
      </c>
      <c r="C121" s="9"/>
      <c r="D121" s="10"/>
      <c r="E121" s="8" t="s">
        <v>940</v>
      </c>
      <c r="F121" s="9"/>
      <c r="G121" s="10"/>
    </row>
    <row r="122" spans="1:35">
      <c r="A122" s="103"/>
      <c r="B122" s="3" t="str" cm="1">
        <f t="array" ref="B122">_xlfn._xlws.FILTER(Spelerslijst!$B:$B,Spelerslijst!$G:$G=B$120,"")</f>
        <v>Diede van den Boogaart</v>
      </c>
      <c r="C122" s="4"/>
      <c r="D122" s="5"/>
      <c r="E122" s="3" t="str" cm="1">
        <f t="array" ref="E122">_xlfn._xlws.FILTER(Spelerslijst!$L:$L,Spelerslijst!$Q:$Q=B$120,"")</f>
        <v/>
      </c>
      <c r="F122" s="4"/>
      <c r="G122" s="5"/>
    </row>
    <row r="123" spans="1:35">
      <c r="A123" s="103"/>
      <c r="B123" s="6"/>
      <c r="C123" s="2"/>
      <c r="D123" s="7"/>
      <c r="E123" s="6"/>
      <c r="F123" s="2"/>
      <c r="G123" s="7"/>
    </row>
    <row r="124" spans="1:35">
      <c r="A124" s="103"/>
      <c r="B124" s="6"/>
      <c r="C124" s="2"/>
      <c r="D124" s="7"/>
      <c r="E124" s="6"/>
      <c r="F124" s="2"/>
      <c r="G124" s="7"/>
    </row>
    <row r="125" spans="1:35">
      <c r="A125" s="103"/>
      <c r="B125" s="6"/>
      <c r="C125" s="2"/>
      <c r="D125" s="7"/>
      <c r="E125" s="6"/>
      <c r="F125" s="2"/>
      <c r="G125" s="7"/>
    </row>
    <row r="126" spans="1:35">
      <c r="A126" s="103"/>
      <c r="B126" s="6"/>
      <c r="C126" s="2"/>
      <c r="D126" s="7"/>
      <c r="E126" s="6"/>
      <c r="F126" s="2"/>
      <c r="G126" s="7"/>
    </row>
    <row r="127" spans="1:35">
      <c r="A127" s="103"/>
      <c r="B127" s="6"/>
      <c r="C127" s="2"/>
      <c r="D127" s="7"/>
      <c r="E127" s="6"/>
      <c r="F127" s="2"/>
      <c r="G127" s="7"/>
    </row>
    <row r="128" spans="1:35">
      <c r="A128" s="103"/>
      <c r="B128" s="6"/>
      <c r="C128" s="2"/>
      <c r="D128" s="7"/>
      <c r="E128" s="6"/>
      <c r="F128" s="2"/>
      <c r="G128" s="7"/>
    </row>
    <row r="129" spans="1:7" ht="15.75" thickBot="1">
      <c r="A129" s="103"/>
      <c r="B129" s="6"/>
      <c r="C129" s="2"/>
      <c r="D129" s="7"/>
      <c r="E129" s="6"/>
      <c r="F129" s="2"/>
      <c r="G129" s="7"/>
    </row>
    <row r="130" spans="1:7">
      <c r="A130" s="103"/>
      <c r="B130" s="12" t="str" cm="1">
        <f t="array" ref="B130">_xlfn._xlws.FILTER(Staf!$C:$C,Staf!$B:$B='Teams-deelversie'!B120,"")</f>
        <v/>
      </c>
      <c r="C130" s="13" t="str" cm="1">
        <f t="array" ref="C130">_xlfn._xlws.FILTER(Staf!$A:$A,Staf!$B:$B='Teams-deelversie'!B120,"")</f>
        <v/>
      </c>
      <c r="D130" s="13"/>
      <c r="E130" s="13"/>
      <c r="F130" s="13"/>
      <c r="G130" s="14"/>
    </row>
    <row r="131" spans="1:7">
      <c r="A131" s="103"/>
      <c r="B131" s="15"/>
      <c r="C131" s="16"/>
      <c r="D131" s="16"/>
      <c r="E131" s="16"/>
      <c r="F131" s="16"/>
      <c r="G131" s="17"/>
    </row>
    <row r="132" spans="1:7" ht="15.75" thickBot="1">
      <c r="A132" s="103"/>
      <c r="B132" s="18"/>
      <c r="C132" s="19"/>
      <c r="D132" s="19"/>
      <c r="E132" s="19"/>
      <c r="F132" s="19"/>
      <c r="G132" s="20"/>
    </row>
  </sheetData>
  <mergeCells count="9">
    <mergeCell ref="A95:A105"/>
    <mergeCell ref="A107:A118"/>
    <mergeCell ref="A120:A132"/>
    <mergeCell ref="A2:A24"/>
    <mergeCell ref="A26:A37"/>
    <mergeCell ref="A39:A52"/>
    <mergeCell ref="A54:A65"/>
    <mergeCell ref="A67:A79"/>
    <mergeCell ref="A81:A9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6F42-7DCB-44F4-B848-35E3940B68E0}">
  <sheetPr>
    <tabColor theme="5"/>
  </sheetPr>
  <dimension ref="A1:O29"/>
  <sheetViews>
    <sheetView topLeftCell="B1" zoomScale="115" zoomScaleNormal="115" workbookViewId="0">
      <selection activeCell="E19" sqref="E19"/>
    </sheetView>
  </sheetViews>
  <sheetFormatPr defaultColWidth="8.7109375" defaultRowHeight="15"/>
  <cols>
    <col min="1" max="1" width="9.7109375" bestFit="1" customWidth="1"/>
    <col min="2" max="2" width="21" bestFit="1" customWidth="1"/>
    <col min="3" max="3" width="10.28515625" bestFit="1" customWidth="1"/>
    <col min="4" max="4" width="15.42578125" customWidth="1"/>
    <col min="5" max="5" width="11.28515625" style="1" bestFit="1" customWidth="1"/>
    <col min="6" max="6" width="18.42578125" bestFit="1" customWidth="1"/>
    <col min="7" max="7" width="13.7109375" bestFit="1" customWidth="1"/>
    <col min="9" max="9" width="10" bestFit="1" customWidth="1"/>
    <col min="10" max="10" width="16.7109375" bestFit="1" customWidth="1"/>
    <col min="11" max="11" width="10.28515625" bestFit="1" customWidth="1"/>
    <col min="12" max="12" width="17.7109375" bestFit="1" customWidth="1"/>
    <col min="13" max="13" width="11.28515625" style="1" bestFit="1" customWidth="1"/>
    <col min="14" max="14" width="18.42578125" bestFit="1" customWidth="1"/>
    <col min="15" max="15" width="13.7109375" bestFit="1" customWidth="1"/>
  </cols>
  <sheetData>
    <row r="1" spans="1:15">
      <c r="A1" s="23" t="s">
        <v>55</v>
      </c>
      <c r="B1" s="23" t="s">
        <v>56</v>
      </c>
      <c r="C1" s="23" t="s">
        <v>57</v>
      </c>
      <c r="D1" s="23" t="s">
        <v>58</v>
      </c>
      <c r="E1" s="25" t="s">
        <v>59</v>
      </c>
      <c r="F1" s="23" t="s">
        <v>60</v>
      </c>
      <c r="G1" s="23" t="s">
        <v>1027</v>
      </c>
      <c r="I1" s="11" t="s">
        <v>55</v>
      </c>
      <c r="J1" s="11" t="s">
        <v>56</v>
      </c>
      <c r="K1" s="11" t="s">
        <v>57</v>
      </c>
      <c r="L1" s="11" t="s">
        <v>58</v>
      </c>
      <c r="M1" s="27" t="s">
        <v>59</v>
      </c>
      <c r="N1" s="11" t="s">
        <v>60</v>
      </c>
      <c r="O1" s="11" t="s">
        <v>1027</v>
      </c>
    </row>
    <row r="2" spans="1:15">
      <c r="A2" s="24" t="str" cm="1">
        <f t="array" ref="A2:A22">_xlfn._xlws.FILTER(Spelerslijst!A:A,Spelerslijst!$G:$G="Stopt","")</f>
        <v>NLY40X3</v>
      </c>
      <c r="B2" s="24" t="str" cm="1">
        <f t="array" ref="B2:B22">_xlfn._xlws.FILTER(Spelerslijst!B:B,Spelerslijst!$G:$G="Stopt","")</f>
        <v>Anjanette Matena</v>
      </c>
      <c r="C2" s="24" t="str" cm="1">
        <f t="array" ref="C2:C22">_xlfn._xlws.FILTER(Spelerslijst!C:C,Spelerslijst!$G:$G="Stopt","")</f>
        <v>Anjanette</v>
      </c>
      <c r="D2" s="24" cm="1">
        <f t="array" ref="D2:D22">_xlfn._xlws.FILTER(Spelerslijst!D:D,Spelerslijst!$G:$G="Stopt","")</f>
        <v>14</v>
      </c>
      <c r="E2" s="26" cm="1">
        <f t="array" ref="E2:E22">_xlfn._xlws.FILTER(Spelerslijst!E:E,Spelerslijst!$G:$G="Stopt","")</f>
        <v>39961</v>
      </c>
      <c r="F2" s="24" t="str" cm="1">
        <f t="array" ref="F2:F22">_xlfn._xlws.FILTER(Spelerslijst!F:F,Spelerslijst!$G:$G="Stopt","")</f>
        <v>B</v>
      </c>
      <c r="G2" s="24" t="str" cm="1">
        <f t="array" ref="G2:G22">_xlfn._xlws.FILTER(Spelerslijst!G:G,Spelerslijst!$G:$G="Stopt","")</f>
        <v>Stopt</v>
      </c>
      <c r="I2" s="24" t="str" cm="1">
        <f t="array" ref="I2:I20">_xlfn._xlws.FILTER(Spelerslijst!K:K,Spelerslijst!$Q:$Q="Stopt","")</f>
        <v>NLB70Y2</v>
      </c>
      <c r="J2" s="24" t="str" cm="1">
        <f t="array" ref="J2:J20">_xlfn._xlws.FILTER(Spelerslijst!L:L,Spelerslijst!$Q:$Q="Stopt","")</f>
        <v>Joeke Meijer</v>
      </c>
      <c r="K2" s="24" t="str" cm="1">
        <f t="array" ref="K2:K20">_xlfn._xlws.FILTER(Spelerslijst!M:M,Spelerslijst!$Q:$Q="Stopt","")</f>
        <v>Joeke</v>
      </c>
      <c r="L2" s="24" cm="1">
        <f t="array" ref="L2:L20">_xlfn._xlws.FILTER(Spelerslijst!N:N,Spelerslijst!$Q:$Q="Stopt","")</f>
        <v>18</v>
      </c>
      <c r="M2" s="26" cm="1">
        <f t="array" ref="M2:M20">_xlfn._xlws.FILTER(Spelerslijst!O:O,Spelerslijst!$Q:$Q="Stopt","")</f>
        <v>38617</v>
      </c>
      <c r="N2" s="24" t="str" cm="1">
        <f t="array" ref="N2:N20">_xlfn._xlws.FILTER(Spelerslijst!P:P,Spelerslijst!$Q:$Q="Stopt","")</f>
        <v>A</v>
      </c>
      <c r="O2" s="24" t="str" cm="1">
        <f t="array" ref="O2:O20">_xlfn._xlws.FILTER(Spelerslijst!Q:Q,Spelerslijst!$Q:$Q="Stopt","")</f>
        <v>Stopt</v>
      </c>
    </row>
    <row r="3" spans="1:15">
      <c r="A3" s="24" t="str">
        <v>NLC07S7</v>
      </c>
      <c r="B3" s="24" t="str">
        <v>Anna Everaarts</v>
      </c>
      <c r="C3" s="24" t="str">
        <v>Anna</v>
      </c>
      <c r="D3" s="24">
        <v>15</v>
      </c>
      <c r="E3" s="26">
        <v>39589</v>
      </c>
      <c r="F3" s="24" t="str">
        <v>B</v>
      </c>
      <c r="G3" s="24" t="str">
        <v>Stopt</v>
      </c>
      <c r="I3" s="24" t="str">
        <v>NMJ09L8</v>
      </c>
      <c r="J3" s="24" t="str">
        <v>Abdi Ibrahim</v>
      </c>
      <c r="K3" s="24" t="str">
        <v>Abdi</v>
      </c>
      <c r="L3" s="24">
        <v>16</v>
      </c>
      <c r="M3" s="26">
        <v>39402</v>
      </c>
      <c r="N3" s="24" t="str">
        <v>A</v>
      </c>
      <c r="O3" s="24" t="str">
        <v>Stopt</v>
      </c>
    </row>
    <row r="4" spans="1:15">
      <c r="A4" s="24" t="str">
        <v>NMH36F0</v>
      </c>
      <c r="B4" s="24" t="str">
        <v>Anouk Vreeling</v>
      </c>
      <c r="C4" s="24" t="str">
        <v>Anouk</v>
      </c>
      <c r="D4" s="24">
        <v>16</v>
      </c>
      <c r="E4" s="26">
        <v>39427</v>
      </c>
      <c r="F4" s="24" t="str">
        <v>A</v>
      </c>
      <c r="G4" s="24" t="str">
        <v>Stopt</v>
      </c>
      <c r="I4" s="24" t="str">
        <v>NKH56N2</v>
      </c>
      <c r="J4" s="24" t="str">
        <v>Alexander Wolff</v>
      </c>
      <c r="K4" s="24" t="str">
        <v>Alexander</v>
      </c>
      <c r="L4" s="24">
        <v>27</v>
      </c>
      <c r="M4" s="26">
        <v>35231</v>
      </c>
      <c r="N4" s="24" t="str">
        <v>S</v>
      </c>
      <c r="O4" s="24" t="str">
        <v>Stopt</v>
      </c>
    </row>
    <row r="5" spans="1:15">
      <c r="A5" s="24" t="str">
        <v>NLM86V5</v>
      </c>
      <c r="B5" s="24" t="str">
        <v>Britt Vaartmans</v>
      </c>
      <c r="C5" s="24" t="str">
        <v>Britt</v>
      </c>
      <c r="D5" s="24">
        <v>12</v>
      </c>
      <c r="E5" s="26">
        <v>40561</v>
      </c>
      <c r="F5" s="24" t="str">
        <v>C</v>
      </c>
      <c r="G5" s="24" t="str">
        <v>Stopt</v>
      </c>
      <c r="I5" s="24" t="str">
        <v>NLW47J4</v>
      </c>
      <c r="J5" s="24" t="str">
        <v>Ali Hashmei</v>
      </c>
      <c r="K5" s="24" t="str">
        <v>Ali</v>
      </c>
      <c r="L5" s="24">
        <v>16</v>
      </c>
      <c r="M5" s="26">
        <v>39402</v>
      </c>
      <c r="N5" s="24" t="str">
        <v>A</v>
      </c>
      <c r="O5" s="24" t="str">
        <v>Stopt</v>
      </c>
    </row>
    <row r="6" spans="1:15">
      <c r="A6" s="24" t="str">
        <v>NMN14W9</v>
      </c>
      <c r="B6" s="24" t="str">
        <v>Carlijn van den Broek</v>
      </c>
      <c r="C6" s="24" t="str">
        <v>Carlijn</v>
      </c>
      <c r="D6" s="24">
        <v>15</v>
      </c>
      <c r="E6" s="26">
        <v>39702</v>
      </c>
      <c r="F6" s="24" t="str">
        <v>B</v>
      </c>
      <c r="G6" s="24" t="str">
        <v>Stopt</v>
      </c>
      <c r="I6" s="24" t="str">
        <v>NJD52B5</v>
      </c>
      <c r="J6" s="24" t="str">
        <v>Bas Willemsteijn</v>
      </c>
      <c r="K6" s="24" t="str">
        <v>Bas</v>
      </c>
      <c r="L6" s="24">
        <v>29</v>
      </c>
      <c r="M6" s="26">
        <v>34435</v>
      </c>
      <c r="N6" s="24" t="str">
        <v>S</v>
      </c>
      <c r="O6" s="24" t="str">
        <v>Stopt</v>
      </c>
    </row>
    <row r="7" spans="1:15">
      <c r="A7" s="24" t="str">
        <v>NKC46R0</v>
      </c>
      <c r="B7" s="24" t="str">
        <v>Dionne Broere</v>
      </c>
      <c r="C7" s="24" t="str">
        <v>Dionne</v>
      </c>
      <c r="D7" s="24">
        <v>24</v>
      </c>
      <c r="E7" s="26">
        <v>36460</v>
      </c>
      <c r="F7" s="24" t="str">
        <v>S</v>
      </c>
      <c r="G7" s="24" t="str">
        <v>Stopt</v>
      </c>
      <c r="I7" s="24" t="str">
        <v>NLJ47N9</v>
      </c>
      <c r="J7" s="24" t="str">
        <v>Chris IJben</v>
      </c>
      <c r="K7" s="24" t="str">
        <v>Chris</v>
      </c>
      <c r="L7" s="24">
        <v>18</v>
      </c>
      <c r="M7" s="26">
        <v>38519</v>
      </c>
      <c r="N7" s="24" t="str">
        <v>A</v>
      </c>
      <c r="O7" s="24" t="str">
        <v>Stopt</v>
      </c>
    </row>
    <row r="8" spans="1:15">
      <c r="A8" s="24" t="str">
        <v>NMM29Q6</v>
      </c>
      <c r="B8" s="24" t="str">
        <v>Elin Vogelaar</v>
      </c>
      <c r="C8" s="24" t="str">
        <v>Elin</v>
      </c>
      <c r="D8" s="24">
        <v>6</v>
      </c>
      <c r="E8" s="26">
        <v>43083</v>
      </c>
      <c r="F8" s="24" t="str">
        <v>F</v>
      </c>
      <c r="G8" s="24" t="str">
        <v>Stopt</v>
      </c>
      <c r="I8" s="24" t="str">
        <v>NFW26Q8</v>
      </c>
      <c r="J8" s="24" t="str">
        <v>Egbert Vos</v>
      </c>
      <c r="K8" s="24" t="str">
        <v>Egbert</v>
      </c>
      <c r="L8" s="24">
        <v>42</v>
      </c>
      <c r="M8" s="26">
        <v>29725</v>
      </c>
      <c r="N8" s="24" t="str">
        <v>S</v>
      </c>
      <c r="O8" s="24" t="str">
        <v>Stopt</v>
      </c>
    </row>
    <row r="9" spans="1:15">
      <c r="A9" s="24" t="str">
        <v>NLS08K0</v>
      </c>
      <c r="B9" s="24" t="str">
        <v>Hanna Oomens</v>
      </c>
      <c r="C9" s="24" t="str">
        <v>Hanna</v>
      </c>
      <c r="D9" s="24">
        <v>15</v>
      </c>
      <c r="E9" s="26">
        <v>39635</v>
      </c>
      <c r="F9" s="24" t="str">
        <v>B</v>
      </c>
      <c r="G9" s="24" t="str">
        <v>Stopt</v>
      </c>
      <c r="I9" s="24" t="str">
        <v>NLL19X2</v>
      </c>
      <c r="J9" s="24" t="str">
        <v>Evan Altena</v>
      </c>
      <c r="K9" s="24" t="str">
        <v>Evan</v>
      </c>
      <c r="L9" s="24">
        <v>16</v>
      </c>
      <c r="M9" s="26">
        <v>39100</v>
      </c>
      <c r="N9" s="24" t="str">
        <v>A</v>
      </c>
      <c r="O9" s="24" t="str">
        <v>Stopt</v>
      </c>
    </row>
    <row r="10" spans="1:15">
      <c r="A10" s="24" t="str">
        <v>NKB62K8</v>
      </c>
      <c r="B10" s="24" t="str">
        <v>Hulsker, N.M.</v>
      </c>
      <c r="C10" s="24" t="str">
        <v>Nina</v>
      </c>
      <c r="D10" s="24">
        <v>24</v>
      </c>
      <c r="E10" s="26">
        <v>36385</v>
      </c>
      <c r="F10" s="24" t="str">
        <v>S</v>
      </c>
      <c r="G10" s="24" t="str">
        <v>Stopt</v>
      </c>
      <c r="I10" s="24" t="str">
        <v>NFW14Y3</v>
      </c>
      <c r="J10" s="24" t="str">
        <v>Jan-Peter Verwaal</v>
      </c>
      <c r="K10" s="24" t="str">
        <v>Jan-Peter</v>
      </c>
      <c r="L10" s="24">
        <v>54</v>
      </c>
      <c r="M10" s="26">
        <v>25273</v>
      </c>
      <c r="N10" s="24" t="str">
        <v>S</v>
      </c>
      <c r="O10" s="24" t="str">
        <v>Stopt</v>
      </c>
    </row>
    <row r="11" spans="1:15">
      <c r="A11" s="24" t="str">
        <v>NKW52X5</v>
      </c>
      <c r="B11" s="24" t="str">
        <v>Jana Driesprong</v>
      </c>
      <c r="C11" s="24" t="str">
        <v>Jana</v>
      </c>
      <c r="D11" s="24">
        <v>16</v>
      </c>
      <c r="E11" s="26">
        <v>39205</v>
      </c>
      <c r="F11" s="24" t="str">
        <v>A</v>
      </c>
      <c r="G11" s="24" t="str">
        <v>Stopt</v>
      </c>
      <c r="I11" s="24" t="str">
        <v>NLJ97M7</v>
      </c>
      <c r="J11" s="24" t="str">
        <v>Jesper Felix</v>
      </c>
      <c r="K11" s="24" t="str">
        <v>Jesper</v>
      </c>
      <c r="L11" s="24">
        <v>16</v>
      </c>
      <c r="M11" s="26">
        <v>39420</v>
      </c>
      <c r="N11" s="24" t="str">
        <v>A</v>
      </c>
      <c r="O11" s="24" t="str">
        <v>Stopt</v>
      </c>
    </row>
    <row r="12" spans="1:15">
      <c r="A12" s="24" t="str">
        <v>NKL60P7</v>
      </c>
      <c r="B12" s="24" t="str">
        <v>Kim de Reus</v>
      </c>
      <c r="C12" s="24" t="str">
        <v>Kim</v>
      </c>
      <c r="D12" s="24">
        <v>19</v>
      </c>
      <c r="E12" s="26">
        <v>38159</v>
      </c>
      <c r="F12" s="24" t="str">
        <v>S</v>
      </c>
      <c r="G12" s="24" t="str">
        <v>Stopt</v>
      </c>
      <c r="I12" s="24" t="str">
        <v>NLC07T4</v>
      </c>
      <c r="J12" s="24" t="str">
        <v>Jesse Everaarts</v>
      </c>
      <c r="K12" s="24" t="str">
        <v>Jesse</v>
      </c>
      <c r="L12" s="24">
        <v>19</v>
      </c>
      <c r="M12" s="26">
        <v>38346</v>
      </c>
      <c r="N12" s="24" t="str">
        <v>S</v>
      </c>
      <c r="O12" s="24" t="str">
        <v>Stopt</v>
      </c>
    </row>
    <row r="13" spans="1:15">
      <c r="A13" s="24" t="str">
        <v>NKK48D6</v>
      </c>
      <c r="B13" s="24" t="str">
        <v>Laura Mol</v>
      </c>
      <c r="C13" s="24" t="str">
        <v>Laura</v>
      </c>
      <c r="D13" s="24">
        <v>19</v>
      </c>
      <c r="E13" s="26">
        <v>38079</v>
      </c>
      <c r="F13" s="24" t="str">
        <v>S</v>
      </c>
      <c r="G13" s="24" t="str">
        <v>Stopt</v>
      </c>
      <c r="I13" s="24" t="str">
        <v>NFW13Y0</v>
      </c>
      <c r="J13" s="24" t="str">
        <v>Marco van Kalkeren</v>
      </c>
      <c r="K13" s="24" t="str">
        <v>Marco</v>
      </c>
      <c r="L13" s="24">
        <v>54</v>
      </c>
      <c r="M13" s="26">
        <v>25227</v>
      </c>
      <c r="N13" s="24" t="str">
        <v>S</v>
      </c>
      <c r="O13" s="24" t="str">
        <v>Stopt</v>
      </c>
    </row>
    <row r="14" spans="1:15">
      <c r="A14" s="24" t="str">
        <v>NLD26P4</v>
      </c>
      <c r="B14" s="24" t="str">
        <v>Lisa Taal</v>
      </c>
      <c r="C14" s="24" t="str">
        <v>Lisa</v>
      </c>
      <c r="D14" s="24">
        <v>20</v>
      </c>
      <c r="E14" s="26">
        <v>37931</v>
      </c>
      <c r="F14" s="24" t="str">
        <v>S</v>
      </c>
      <c r="G14" s="24" t="str">
        <v>Stopt</v>
      </c>
      <c r="I14" s="24" t="str">
        <v>NKW50D9</v>
      </c>
      <c r="J14" s="24" t="str">
        <v>Mathijs Lange</v>
      </c>
      <c r="K14" s="24" t="str">
        <v>Mathijs</v>
      </c>
      <c r="L14" s="24">
        <v>19</v>
      </c>
      <c r="M14" s="26">
        <v>38169</v>
      </c>
      <c r="N14" s="24" t="str">
        <v>S</v>
      </c>
      <c r="O14" s="24" t="str">
        <v>Stopt</v>
      </c>
    </row>
    <row r="15" spans="1:15">
      <c r="A15" s="24" t="str">
        <v>NKW49Y8</v>
      </c>
      <c r="B15" s="24" t="str">
        <v>Lisa Volker</v>
      </c>
      <c r="C15" s="24" t="str">
        <v>Lisa</v>
      </c>
      <c r="D15" s="24">
        <v>20</v>
      </c>
      <c r="E15" s="26">
        <v>37712</v>
      </c>
      <c r="F15" s="24" t="str">
        <v>S</v>
      </c>
      <c r="G15" s="24" t="str">
        <v>Stopt</v>
      </c>
      <c r="I15" s="24" t="str">
        <v>-</v>
      </c>
      <c r="J15" s="24" t="str">
        <v>Mats Verboom</v>
      </c>
      <c r="K15" s="24" t="str">
        <v>Mats</v>
      </c>
      <c r="L15" s="24">
        <v>7</v>
      </c>
      <c r="M15" s="26">
        <v>42522</v>
      </c>
      <c r="N15" s="24" t="str">
        <v>F</v>
      </c>
      <c r="O15" s="24" t="str">
        <v>Stopt</v>
      </c>
    </row>
    <row r="16" spans="1:15">
      <c r="A16" s="24" t="str">
        <v>NKQ40Q9</v>
      </c>
      <c r="B16" s="24" t="str">
        <v>Meike Driesprong</v>
      </c>
      <c r="C16" s="24" t="str">
        <v>Meike</v>
      </c>
      <c r="D16" s="24">
        <v>19</v>
      </c>
      <c r="E16" s="26">
        <v>38011</v>
      </c>
      <c r="F16" s="24" t="str">
        <v>S</v>
      </c>
      <c r="G16" s="24" t="str">
        <v>Stopt</v>
      </c>
      <c r="I16" s="24" t="str">
        <v>NML47D8</v>
      </c>
      <c r="J16" s="24" t="str">
        <v>Mels Goedegebuur</v>
      </c>
      <c r="K16" s="24" t="str">
        <v>Mels</v>
      </c>
      <c r="L16" s="24">
        <v>11</v>
      </c>
      <c r="M16" s="26">
        <v>40957</v>
      </c>
      <c r="N16" s="24" t="str">
        <v>D</v>
      </c>
      <c r="O16" s="24" t="str">
        <v>Stopt</v>
      </c>
    </row>
    <row r="17" spans="1:15">
      <c r="A17" s="24" t="str">
        <v>NJH51Q1</v>
      </c>
      <c r="B17" s="24" t="str">
        <v>Mirthe Verweij</v>
      </c>
      <c r="C17" s="24" t="str">
        <v>Mirthe</v>
      </c>
      <c r="D17" s="24">
        <v>29</v>
      </c>
      <c r="E17" s="26">
        <v>34650</v>
      </c>
      <c r="F17" s="24" t="str">
        <v>S</v>
      </c>
      <c r="G17" s="24" t="str">
        <v>Stopt</v>
      </c>
      <c r="I17" s="24" t="str">
        <v>NMM75S3</v>
      </c>
      <c r="J17" s="24" t="str">
        <v>Niek Figee</v>
      </c>
      <c r="K17" s="24" t="str">
        <v>Niek</v>
      </c>
      <c r="L17" s="24">
        <v>15</v>
      </c>
      <c r="M17" s="26">
        <v>39677</v>
      </c>
      <c r="N17" s="24" t="str">
        <v>B</v>
      </c>
      <c r="O17" s="24" t="str">
        <v>Stopt</v>
      </c>
    </row>
    <row r="18" spans="1:15">
      <c r="A18" s="24" t="str">
        <v>NMF09H6</v>
      </c>
      <c r="B18" s="24" t="str">
        <v>Roos in 't Veld</v>
      </c>
      <c r="C18" s="24" t="str">
        <v>Roos</v>
      </c>
      <c r="D18" s="24">
        <v>11</v>
      </c>
      <c r="E18" s="26">
        <v>40995</v>
      </c>
      <c r="F18" s="24" t="str">
        <v>D</v>
      </c>
      <c r="G18" s="24" t="str">
        <v>Stopt</v>
      </c>
      <c r="I18" s="24" t="str">
        <v>NKT15G2</v>
      </c>
      <c r="J18" s="24" t="str">
        <v>Sem Alberts</v>
      </c>
      <c r="K18" s="24" t="str">
        <v>Sem</v>
      </c>
      <c r="L18" s="24">
        <v>19</v>
      </c>
      <c r="M18" s="26">
        <v>38150</v>
      </c>
      <c r="N18" s="24" t="str">
        <v>S</v>
      </c>
      <c r="O18" s="24" t="str">
        <v>Stopt</v>
      </c>
    </row>
    <row r="19" spans="1:15">
      <c r="A19" s="24" t="str">
        <v>NLG57M4</v>
      </c>
      <c r="B19" s="24" t="str">
        <v>Senne ten Hoeve</v>
      </c>
      <c r="C19" s="24" t="str">
        <v>Senne</v>
      </c>
      <c r="D19" s="24">
        <v>17</v>
      </c>
      <c r="E19" s="26">
        <v>39006</v>
      </c>
      <c r="F19" s="24" t="str">
        <v>A</v>
      </c>
      <c r="G19" s="24" t="str">
        <v>Stopt</v>
      </c>
      <c r="I19" s="24" t="str">
        <v>NMQ91B6</v>
      </c>
      <c r="J19" s="24" t="str">
        <v>Siem van den Broek</v>
      </c>
      <c r="K19" s="24" t="str">
        <v>Siem</v>
      </c>
      <c r="L19" s="24">
        <v>5</v>
      </c>
      <c r="M19" s="26">
        <v>43436</v>
      </c>
      <c r="N19" s="24" t="str">
        <v>K</v>
      </c>
      <c r="O19" s="24" t="str">
        <v>Stopt</v>
      </c>
    </row>
    <row r="20" spans="1:15">
      <c r="A20" s="24" t="str">
        <v>NMM99N0</v>
      </c>
      <c r="B20" s="24" t="str">
        <v>Sofie Faber</v>
      </c>
      <c r="C20" s="24" t="str">
        <v>Sofie</v>
      </c>
      <c r="D20" s="24">
        <v>9</v>
      </c>
      <c r="E20" s="26">
        <v>41761</v>
      </c>
      <c r="F20" s="24" t="str">
        <v>E</v>
      </c>
      <c r="G20" s="24" t="str">
        <v>Stopt</v>
      </c>
      <c r="I20" s="24" t="str">
        <v>NKR20M2</v>
      </c>
      <c r="J20" s="24" t="str">
        <v>Tim Seevinck</v>
      </c>
      <c r="K20" s="24" t="str">
        <v>Tim</v>
      </c>
      <c r="L20" s="24">
        <v>20</v>
      </c>
      <c r="M20" s="26">
        <v>37932</v>
      </c>
      <c r="N20" s="24" t="str">
        <v>S</v>
      </c>
      <c r="O20" s="24" t="str">
        <v>Stopt</v>
      </c>
    </row>
    <row r="21" spans="1:15">
      <c r="A21" s="24" t="str">
        <v>NLX08D6</v>
      </c>
      <c r="B21" s="24" t="str">
        <v>Sterre Reijerkerk</v>
      </c>
      <c r="C21" s="24" t="str">
        <v>Sterre</v>
      </c>
      <c r="D21" s="24">
        <v>14</v>
      </c>
      <c r="E21" s="26">
        <v>39861</v>
      </c>
      <c r="F21" s="24" t="str">
        <v>B</v>
      </c>
      <c r="G21" s="24" t="str">
        <v>Stopt</v>
      </c>
      <c r="I21" s="24"/>
      <c r="J21" s="24"/>
      <c r="K21" s="24"/>
      <c r="L21" s="24"/>
      <c r="M21" s="26"/>
      <c r="N21" s="24"/>
      <c r="O21" s="24"/>
    </row>
    <row r="22" spans="1:15">
      <c r="A22" s="24" t="str">
        <v>NKS24M5</v>
      </c>
      <c r="B22" s="24" t="str">
        <v>Yente Verbeek</v>
      </c>
      <c r="C22" s="24" t="str">
        <v>Yente</v>
      </c>
      <c r="D22" s="24">
        <v>19</v>
      </c>
      <c r="E22" s="26">
        <v>38012</v>
      </c>
      <c r="F22" s="24" t="str">
        <v>S</v>
      </c>
      <c r="G22" s="24" t="str">
        <v>stopt</v>
      </c>
      <c r="I22" s="24"/>
      <c r="J22" s="24"/>
      <c r="K22" s="24"/>
      <c r="L22" s="24"/>
      <c r="M22" s="26"/>
      <c r="N22" s="24"/>
      <c r="O22" s="24"/>
    </row>
    <row r="23" spans="1:15">
      <c r="A23" s="24"/>
      <c r="B23" s="24"/>
      <c r="C23" s="24"/>
      <c r="D23" s="24"/>
      <c r="E23" s="26"/>
      <c r="F23" s="24"/>
      <c r="G23" s="24"/>
      <c r="I23" s="24"/>
      <c r="J23" s="24"/>
      <c r="K23" s="24"/>
      <c r="L23" s="24"/>
      <c r="M23" s="26"/>
      <c r="N23" s="24"/>
      <c r="O23" s="24"/>
    </row>
    <row r="24" spans="1:15">
      <c r="A24" s="24"/>
      <c r="B24" s="24"/>
      <c r="C24" s="24"/>
      <c r="D24" s="24"/>
      <c r="E24" s="26"/>
      <c r="F24" s="24"/>
      <c r="G24" s="24"/>
      <c r="I24" s="24"/>
      <c r="J24" s="24"/>
      <c r="K24" s="24"/>
      <c r="L24" s="24"/>
      <c r="M24" s="26"/>
      <c r="N24" s="24"/>
      <c r="O24" s="24"/>
    </row>
    <row r="25" spans="1:15">
      <c r="A25" s="24"/>
      <c r="B25" s="24"/>
      <c r="C25" s="24"/>
      <c r="D25" s="24"/>
      <c r="E25" s="26"/>
      <c r="F25" s="24"/>
      <c r="G25" s="24"/>
      <c r="I25" s="24"/>
      <c r="J25" s="24"/>
      <c r="K25" s="24"/>
      <c r="L25" s="24"/>
      <c r="M25" s="26"/>
      <c r="N25" s="24"/>
      <c r="O25" s="24"/>
    </row>
    <row r="26" spans="1:15">
      <c r="A26" s="24"/>
      <c r="B26" s="24"/>
      <c r="C26" s="24"/>
      <c r="D26" s="24"/>
      <c r="E26" s="26"/>
      <c r="F26" s="24"/>
      <c r="G26" s="24"/>
      <c r="I26" s="24"/>
      <c r="J26" s="24"/>
      <c r="K26" s="24"/>
      <c r="L26" s="24"/>
      <c r="M26" s="26"/>
      <c r="N26" s="24"/>
      <c r="O26" s="24"/>
    </row>
    <row r="27" spans="1:15">
      <c r="A27" s="24"/>
      <c r="B27" s="24"/>
      <c r="C27" s="24"/>
      <c r="D27" s="24"/>
      <c r="E27" s="26"/>
      <c r="F27" s="24"/>
      <c r="G27" s="24"/>
      <c r="I27" s="24"/>
      <c r="J27" s="24"/>
      <c r="K27" s="24"/>
      <c r="L27" s="24"/>
      <c r="M27" s="26"/>
      <c r="N27" s="24"/>
      <c r="O27" s="24"/>
    </row>
    <row r="28" spans="1:15">
      <c r="A28" s="24"/>
      <c r="B28" s="24"/>
      <c r="C28" s="24"/>
      <c r="D28" s="24"/>
      <c r="E28" s="26"/>
      <c r="F28" s="24"/>
      <c r="G28" s="24"/>
      <c r="I28" s="24"/>
      <c r="J28" s="24"/>
      <c r="K28" s="24"/>
      <c r="L28" s="24"/>
      <c r="M28" s="26"/>
      <c r="N28" s="24"/>
      <c r="O28" s="24"/>
    </row>
    <row r="29" spans="1:15">
      <c r="A29" s="24"/>
      <c r="B29" s="24"/>
      <c r="C29" s="24"/>
      <c r="D29" s="24"/>
      <c r="E29" s="26"/>
      <c r="F29" s="24"/>
      <c r="G29" s="24"/>
      <c r="I29" s="24"/>
      <c r="J29" s="24"/>
      <c r="K29" s="24"/>
      <c r="L29" s="24"/>
      <c r="M29" s="26"/>
      <c r="N29" s="24"/>
      <c r="O29"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24C7-B070-4E24-AC8F-FE4A64B46F3D}">
  <sheetPr>
    <tabColor theme="5"/>
  </sheetPr>
  <dimension ref="A1:O29"/>
  <sheetViews>
    <sheetView workbookViewId="0">
      <selection activeCell="D7" sqref="D7"/>
    </sheetView>
  </sheetViews>
  <sheetFormatPr defaultColWidth="8.7109375" defaultRowHeight="15"/>
  <cols>
    <col min="1" max="1" width="9.7109375" bestFit="1" customWidth="1"/>
    <col min="2" max="2" width="21" bestFit="1" customWidth="1"/>
    <col min="3" max="3" width="10.28515625" bestFit="1" customWidth="1"/>
    <col min="4" max="4" width="15.42578125" customWidth="1"/>
    <col min="5" max="5" width="10.7109375" style="1" bestFit="1" customWidth="1"/>
    <col min="6" max="6" width="18.42578125" bestFit="1" customWidth="1"/>
    <col min="7" max="7" width="13.7109375" bestFit="1" customWidth="1"/>
    <col min="9" max="9" width="10" bestFit="1" customWidth="1"/>
    <col min="10" max="10" width="16.7109375" bestFit="1" customWidth="1"/>
    <col min="11" max="11" width="10.28515625" bestFit="1" customWidth="1"/>
    <col min="12" max="12" width="17.7109375" bestFit="1" customWidth="1"/>
    <col min="13" max="13" width="10.7109375" style="1" bestFit="1" customWidth="1"/>
    <col min="14" max="14" width="18.42578125" bestFit="1" customWidth="1"/>
    <col min="15" max="15" width="13.7109375" bestFit="1" customWidth="1"/>
  </cols>
  <sheetData>
    <row r="1" spans="1:15">
      <c r="A1" s="23" t="s">
        <v>55</v>
      </c>
      <c r="B1" s="23" t="s">
        <v>56</v>
      </c>
      <c r="C1" s="23" t="s">
        <v>57</v>
      </c>
      <c r="D1" s="23" t="s">
        <v>58</v>
      </c>
      <c r="E1" s="25" t="s">
        <v>59</v>
      </c>
      <c r="F1" s="23" t="s">
        <v>60</v>
      </c>
      <c r="G1" s="23" t="s">
        <v>1027</v>
      </c>
      <c r="I1" s="11" t="s">
        <v>55</v>
      </c>
      <c r="J1" s="11" t="s">
        <v>56</v>
      </c>
      <c r="K1" s="11" t="s">
        <v>57</v>
      </c>
      <c r="L1" s="11" t="s">
        <v>58</v>
      </c>
      <c r="M1" s="27" t="s">
        <v>59</v>
      </c>
      <c r="N1" s="11" t="s">
        <v>60</v>
      </c>
      <c r="O1" s="11" t="s">
        <v>1027</v>
      </c>
    </row>
    <row r="2" spans="1:15">
      <c r="A2" s="24" t="str" cm="1">
        <f t="array" ref="A2">_xlfn._xlws.FILTER(Spelerslijst!A:A,Spelerslijst!$G:$G="?","")</f>
        <v/>
      </c>
      <c r="B2" s="24" t="str" cm="1">
        <f t="array" ref="B2">_xlfn._xlws.FILTER(Spelerslijst!B:B,Spelerslijst!$G:$G="?","")</f>
        <v/>
      </c>
      <c r="C2" s="24" t="str" cm="1">
        <f t="array" ref="C2">_xlfn._xlws.FILTER(Spelerslijst!C:C,Spelerslijst!$G:$G="?","")</f>
        <v/>
      </c>
      <c r="D2" s="24" t="str" cm="1">
        <f t="array" ref="D2">_xlfn._xlws.FILTER(Spelerslijst!D:D,Spelerslijst!$G:$G="?","")</f>
        <v/>
      </c>
      <c r="E2" s="26" t="str" cm="1">
        <f t="array" ref="E2">_xlfn._xlws.FILTER(Spelerslijst!E:E,Spelerslijst!$G:$G="?","")</f>
        <v/>
      </c>
      <c r="F2" s="24" t="str" cm="1">
        <f t="array" ref="F2">_xlfn._xlws.FILTER(Spelerslijst!F:F,Spelerslijst!$G:$G="?","")</f>
        <v/>
      </c>
      <c r="G2" s="24" t="str" cm="1">
        <f t="array" ref="G2">_xlfn._xlws.FILTER(Spelerslijst!G:G,Spelerslijst!$G:$G="?","")</f>
        <v/>
      </c>
      <c r="I2" s="24" t="str" cm="1">
        <f t="array" ref="I2">_xlfn._xlws.FILTER(Spelerslijst!K:K,Spelerslijst!$Q:$Q="?","")</f>
        <v/>
      </c>
      <c r="J2" s="24" t="str" cm="1">
        <f t="array" ref="J2">_xlfn._xlws.FILTER(Spelerslijst!L:L,Spelerslijst!$Q:$Q="?","")</f>
        <v/>
      </c>
      <c r="K2" s="24" t="str" cm="1">
        <f t="array" ref="K2">_xlfn._xlws.FILTER(Spelerslijst!M:M,Spelerslijst!$Q:$Q="?","")</f>
        <v/>
      </c>
      <c r="L2" s="24" t="str" cm="1">
        <f t="array" ref="L2">_xlfn._xlws.FILTER(Spelerslijst!N:N,Spelerslijst!$Q:$Q="?","")</f>
        <v/>
      </c>
      <c r="M2" s="24" t="str" cm="1">
        <f t="array" ref="M2">_xlfn._xlws.FILTER(Spelerslijst!O:O,Spelerslijst!$Q:$Q="?","")</f>
        <v/>
      </c>
      <c r="N2" s="24" t="str" cm="1">
        <f t="array" ref="N2">_xlfn._xlws.FILTER(Spelerslijst!P:P,Spelerslijst!$Q:$Q="?","")</f>
        <v/>
      </c>
      <c r="O2" s="24" t="str" cm="1">
        <f t="array" ref="O2">_xlfn._xlws.FILTER(Spelerslijst!Q:Q,Spelerslijst!$Q:$Q="?","")</f>
        <v/>
      </c>
    </row>
    <row r="3" spans="1:15">
      <c r="A3" s="24"/>
      <c r="B3" s="24"/>
      <c r="C3" s="24"/>
      <c r="D3" s="24"/>
      <c r="E3" s="26"/>
      <c r="F3" s="24"/>
      <c r="G3" s="24"/>
      <c r="I3" s="24"/>
      <c r="J3" s="24"/>
      <c r="K3" s="24"/>
      <c r="L3" s="24"/>
      <c r="M3" s="26"/>
      <c r="N3" s="24"/>
      <c r="O3" s="24"/>
    </row>
    <row r="4" spans="1:15">
      <c r="A4" s="24"/>
      <c r="B4" s="24"/>
      <c r="C4" s="24"/>
      <c r="D4" s="24"/>
      <c r="E4" s="26"/>
      <c r="F4" s="24"/>
      <c r="G4" s="24"/>
      <c r="I4" s="24"/>
      <c r="J4" s="24"/>
      <c r="K4" s="24"/>
      <c r="L4" s="24"/>
      <c r="M4" s="26"/>
      <c r="N4" s="24"/>
      <c r="O4" s="24"/>
    </row>
    <row r="5" spans="1:15">
      <c r="A5" s="24"/>
      <c r="B5" s="24"/>
      <c r="C5" s="24"/>
      <c r="D5" s="24"/>
      <c r="E5" s="26"/>
      <c r="F5" s="24"/>
      <c r="G5" s="24"/>
      <c r="I5" s="24"/>
      <c r="J5" s="24"/>
      <c r="K5" s="24"/>
      <c r="L5" s="24"/>
      <c r="M5" s="26"/>
      <c r="N5" s="24"/>
      <c r="O5" s="24"/>
    </row>
    <row r="6" spans="1:15">
      <c r="A6" s="24"/>
      <c r="B6" s="24"/>
      <c r="C6" s="24"/>
      <c r="D6" s="24"/>
      <c r="E6" s="26"/>
      <c r="F6" s="24"/>
      <c r="G6" s="24"/>
      <c r="I6" s="24"/>
      <c r="J6" s="24"/>
      <c r="K6" s="24"/>
      <c r="L6" s="24"/>
      <c r="M6" s="26"/>
      <c r="N6" s="24"/>
      <c r="O6" s="24"/>
    </row>
    <row r="7" spans="1:15">
      <c r="A7" s="24"/>
      <c r="B7" s="24"/>
      <c r="C7" s="24"/>
      <c r="D7" s="24"/>
      <c r="E7" s="26"/>
      <c r="F7" s="24"/>
      <c r="G7" s="24"/>
      <c r="I7" s="24"/>
      <c r="J7" s="24"/>
      <c r="K7" s="24"/>
      <c r="L7" s="24"/>
      <c r="M7" s="26"/>
      <c r="N7" s="24"/>
      <c r="O7" s="24"/>
    </row>
    <row r="8" spans="1:15">
      <c r="A8" s="24"/>
      <c r="B8" s="24"/>
      <c r="C8" s="24"/>
      <c r="D8" s="24"/>
      <c r="E8" s="26"/>
      <c r="F8" s="24"/>
      <c r="G8" s="24"/>
      <c r="I8" s="24"/>
      <c r="J8" s="24"/>
      <c r="K8" s="24"/>
      <c r="L8" s="24"/>
      <c r="M8" s="26"/>
      <c r="N8" s="24"/>
      <c r="O8" s="24"/>
    </row>
    <row r="9" spans="1:15">
      <c r="A9" s="24"/>
      <c r="B9" s="24"/>
      <c r="C9" s="24"/>
      <c r="D9" s="24"/>
      <c r="E9" s="26"/>
      <c r="F9" s="24"/>
      <c r="G9" s="24"/>
      <c r="I9" s="24"/>
      <c r="J9" s="24"/>
      <c r="K9" s="24"/>
      <c r="L9" s="24"/>
      <c r="M9" s="26"/>
      <c r="N9" s="24"/>
      <c r="O9" s="24"/>
    </row>
    <row r="10" spans="1:15">
      <c r="A10" s="24"/>
      <c r="B10" s="24"/>
      <c r="C10" s="24"/>
      <c r="D10" s="24"/>
      <c r="E10" s="26"/>
      <c r="F10" s="24"/>
      <c r="G10" s="24"/>
      <c r="I10" s="24"/>
      <c r="J10" s="24"/>
      <c r="K10" s="24"/>
      <c r="L10" s="24"/>
      <c r="M10" s="26"/>
      <c r="N10" s="24"/>
      <c r="O10" s="24"/>
    </row>
    <row r="11" spans="1:15">
      <c r="A11" s="24"/>
      <c r="B11" s="24"/>
      <c r="C11" s="24"/>
      <c r="D11" s="24"/>
      <c r="E11" s="26"/>
      <c r="F11" s="24"/>
      <c r="G11" s="24"/>
      <c r="I11" s="24"/>
      <c r="J11" s="24"/>
      <c r="K11" s="24"/>
      <c r="L11" s="24"/>
      <c r="M11" s="26"/>
      <c r="N11" s="24"/>
      <c r="O11" s="24"/>
    </row>
    <row r="12" spans="1:15">
      <c r="A12" s="24"/>
      <c r="B12" s="24"/>
      <c r="C12" s="24"/>
      <c r="D12" s="24"/>
      <c r="E12" s="26"/>
      <c r="F12" s="24"/>
      <c r="G12" s="24"/>
      <c r="I12" s="24"/>
      <c r="J12" s="24"/>
      <c r="K12" s="24"/>
      <c r="L12" s="24"/>
      <c r="M12" s="26"/>
      <c r="N12" s="24"/>
      <c r="O12" s="24"/>
    </row>
    <row r="13" spans="1:15">
      <c r="A13" s="24"/>
      <c r="B13" s="24"/>
      <c r="C13" s="24"/>
      <c r="D13" s="24"/>
      <c r="E13" s="26"/>
      <c r="F13" s="24"/>
      <c r="G13" s="24"/>
      <c r="I13" s="24"/>
      <c r="J13" s="24"/>
      <c r="K13" s="24"/>
      <c r="L13" s="24"/>
      <c r="M13" s="26"/>
      <c r="N13" s="24"/>
      <c r="O13" s="24"/>
    </row>
    <row r="14" spans="1:15">
      <c r="A14" s="24"/>
      <c r="B14" s="24"/>
      <c r="C14" s="24"/>
      <c r="D14" s="24"/>
      <c r="E14" s="26"/>
      <c r="F14" s="24"/>
      <c r="G14" s="24"/>
      <c r="I14" s="24"/>
      <c r="J14" s="24"/>
      <c r="K14" s="24"/>
      <c r="L14" s="24"/>
      <c r="M14" s="26"/>
      <c r="N14" s="24"/>
      <c r="O14" s="24"/>
    </row>
    <row r="15" spans="1:15">
      <c r="A15" s="24"/>
      <c r="B15" s="24"/>
      <c r="C15" s="24"/>
      <c r="D15" s="24"/>
      <c r="E15" s="26"/>
      <c r="F15" s="24"/>
      <c r="G15" s="24"/>
      <c r="I15" s="24"/>
      <c r="J15" s="24"/>
      <c r="K15" s="24"/>
      <c r="L15" s="24"/>
      <c r="M15" s="26"/>
      <c r="N15" s="24"/>
      <c r="O15" s="24"/>
    </row>
    <row r="16" spans="1:15">
      <c r="A16" s="24"/>
      <c r="B16" s="24"/>
      <c r="C16" s="24"/>
      <c r="D16" s="24"/>
      <c r="E16" s="26"/>
      <c r="F16" s="24"/>
      <c r="G16" s="24"/>
      <c r="I16" s="24"/>
      <c r="J16" s="24"/>
      <c r="K16" s="24"/>
      <c r="L16" s="24"/>
      <c r="M16" s="26"/>
      <c r="N16" s="24"/>
      <c r="O16" s="24"/>
    </row>
    <row r="17" spans="1:15">
      <c r="A17" s="24"/>
      <c r="B17" s="24"/>
      <c r="C17" s="24"/>
      <c r="D17" s="24"/>
      <c r="E17" s="26"/>
      <c r="F17" s="24"/>
      <c r="G17" s="24"/>
      <c r="I17" s="24"/>
      <c r="J17" s="24"/>
      <c r="K17" s="24"/>
      <c r="L17" s="24"/>
      <c r="M17" s="26"/>
      <c r="N17" s="24"/>
      <c r="O17" s="24"/>
    </row>
    <row r="18" spans="1:15">
      <c r="A18" s="24"/>
      <c r="B18" s="24"/>
      <c r="C18" s="24"/>
      <c r="D18" s="24"/>
      <c r="E18" s="26"/>
      <c r="F18" s="24"/>
      <c r="G18" s="24"/>
      <c r="I18" s="24"/>
      <c r="J18" s="24"/>
      <c r="K18" s="24"/>
      <c r="L18" s="24"/>
      <c r="M18" s="26"/>
      <c r="N18" s="24"/>
      <c r="O18" s="24"/>
    </row>
    <row r="19" spans="1:15">
      <c r="A19" s="24"/>
      <c r="B19" s="24"/>
      <c r="C19" s="24"/>
      <c r="D19" s="24"/>
      <c r="E19" s="26"/>
      <c r="F19" s="24"/>
      <c r="G19" s="24"/>
      <c r="I19" s="24"/>
      <c r="J19" s="24"/>
      <c r="K19" s="24"/>
      <c r="L19" s="24"/>
      <c r="M19" s="26"/>
      <c r="N19" s="24"/>
      <c r="O19" s="24"/>
    </row>
    <row r="20" spans="1:15">
      <c r="A20" s="24"/>
      <c r="B20" s="24"/>
      <c r="C20" s="24"/>
      <c r="D20" s="24"/>
      <c r="E20" s="26"/>
      <c r="F20" s="24"/>
      <c r="G20" s="24"/>
      <c r="I20" s="24"/>
      <c r="J20" s="24"/>
      <c r="K20" s="24"/>
      <c r="L20" s="24"/>
      <c r="M20" s="26"/>
      <c r="N20" s="24"/>
      <c r="O20" s="24"/>
    </row>
    <row r="21" spans="1:15">
      <c r="A21" s="24"/>
      <c r="B21" s="24"/>
      <c r="C21" s="24"/>
      <c r="D21" s="24"/>
      <c r="E21" s="26"/>
      <c r="F21" s="24"/>
      <c r="G21" s="24"/>
      <c r="I21" s="24"/>
      <c r="J21" s="24"/>
      <c r="K21" s="24"/>
      <c r="L21" s="24"/>
      <c r="M21" s="26"/>
      <c r="N21" s="24"/>
      <c r="O21" s="24"/>
    </row>
    <row r="22" spans="1:15">
      <c r="A22" s="24"/>
      <c r="B22" s="24"/>
      <c r="C22" s="24"/>
      <c r="D22" s="24"/>
      <c r="E22" s="26"/>
      <c r="F22" s="24"/>
      <c r="G22" s="24"/>
      <c r="I22" s="24"/>
      <c r="J22" s="24"/>
      <c r="K22" s="24"/>
      <c r="L22" s="24"/>
      <c r="M22" s="26"/>
      <c r="N22" s="24"/>
      <c r="O22" s="24"/>
    </row>
    <row r="23" spans="1:15">
      <c r="A23" s="24"/>
      <c r="B23" s="24"/>
      <c r="C23" s="24"/>
      <c r="D23" s="24"/>
      <c r="E23" s="26"/>
      <c r="F23" s="24"/>
      <c r="G23" s="24"/>
      <c r="I23" s="24"/>
      <c r="J23" s="24"/>
      <c r="K23" s="24"/>
      <c r="L23" s="24"/>
      <c r="M23" s="26"/>
      <c r="N23" s="24"/>
      <c r="O23" s="24"/>
    </row>
    <row r="24" spans="1:15">
      <c r="A24" s="24"/>
      <c r="B24" s="24"/>
      <c r="C24" s="24"/>
      <c r="D24" s="24"/>
      <c r="E24" s="26"/>
      <c r="F24" s="24"/>
      <c r="G24" s="24"/>
      <c r="I24" s="24"/>
      <c r="J24" s="24"/>
      <c r="K24" s="24"/>
      <c r="L24" s="24"/>
      <c r="M24" s="26"/>
      <c r="N24" s="24"/>
      <c r="O24" s="24"/>
    </row>
    <row r="25" spans="1:15">
      <c r="A25" s="24"/>
      <c r="B25" s="24"/>
      <c r="C25" s="24"/>
      <c r="D25" s="24"/>
      <c r="E25" s="26"/>
      <c r="F25" s="24"/>
      <c r="G25" s="24"/>
      <c r="I25" s="24"/>
      <c r="J25" s="24"/>
      <c r="K25" s="24"/>
      <c r="L25" s="24"/>
      <c r="M25" s="26"/>
      <c r="N25" s="24"/>
      <c r="O25" s="24"/>
    </row>
    <row r="26" spans="1:15">
      <c r="A26" s="24"/>
      <c r="B26" s="24"/>
      <c r="C26" s="24"/>
      <c r="D26" s="24"/>
      <c r="E26" s="26"/>
      <c r="F26" s="24"/>
      <c r="G26" s="24"/>
      <c r="I26" s="24"/>
      <c r="J26" s="24"/>
      <c r="K26" s="24"/>
      <c r="L26" s="24"/>
      <c r="M26" s="26"/>
      <c r="N26" s="24"/>
      <c r="O26" s="24"/>
    </row>
    <row r="27" spans="1:15">
      <c r="A27" s="24"/>
      <c r="B27" s="24"/>
      <c r="C27" s="24"/>
      <c r="D27" s="24"/>
      <c r="E27" s="26"/>
      <c r="F27" s="24"/>
      <c r="G27" s="24"/>
      <c r="I27" s="24"/>
      <c r="J27" s="24"/>
      <c r="K27" s="24"/>
      <c r="L27" s="24"/>
      <c r="M27" s="26"/>
      <c r="N27" s="24"/>
      <c r="O27" s="24"/>
    </row>
    <row r="28" spans="1:15">
      <c r="A28" s="24"/>
      <c r="B28" s="24"/>
      <c r="C28" s="24"/>
      <c r="D28" s="24"/>
      <c r="E28" s="26"/>
      <c r="F28" s="24"/>
      <c r="G28" s="24"/>
      <c r="I28" s="24"/>
      <c r="J28" s="24"/>
      <c r="K28" s="24"/>
      <c r="L28" s="24"/>
      <c r="M28" s="26"/>
      <c r="N28" s="24"/>
      <c r="O28" s="24"/>
    </row>
    <row r="29" spans="1:15">
      <c r="A29" s="24"/>
      <c r="B29" s="24"/>
      <c r="C29" s="24"/>
      <c r="D29" s="24"/>
      <c r="E29" s="26"/>
      <c r="F29" s="24"/>
      <c r="G29" s="24"/>
      <c r="I29" s="24"/>
      <c r="J29" s="24"/>
      <c r="K29" s="24"/>
      <c r="L29" s="24"/>
      <c r="M29" s="26"/>
      <c r="N29" s="24"/>
      <c r="O29" s="24"/>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0BC8-9225-4A1C-80FA-9AA6FB134146}">
  <dimension ref="A1"/>
  <sheetViews>
    <sheetView workbookViewId="0"/>
  </sheetViews>
  <sheetFormatPr defaultColWidth="8.7109375"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0561-E2A0-425E-A50F-AE1EBB83F46A}">
  <sheetPr>
    <tabColor theme="3"/>
  </sheetPr>
  <dimension ref="A1:X468"/>
  <sheetViews>
    <sheetView workbookViewId="0">
      <selection activeCell="G259" sqref="G259"/>
    </sheetView>
  </sheetViews>
  <sheetFormatPr defaultColWidth="8.7109375" defaultRowHeight="15"/>
  <cols>
    <col min="1" max="3" width="11.42578125" customWidth="1"/>
    <col min="4" max="4" width="9.140625"/>
    <col min="5" max="5" width="16.5703125" customWidth="1"/>
    <col min="6" max="6" width="9.140625"/>
    <col min="7" max="7" width="13" customWidth="1"/>
    <col min="8" max="8" width="9.140625"/>
    <col min="9" max="9" width="32.85546875" customWidth="1"/>
    <col min="10" max="12" width="9.140625"/>
    <col min="13" max="13" width="44.5703125" customWidth="1"/>
    <col min="14" max="14" width="9.140625"/>
    <col min="15" max="15" width="11.7109375" bestFit="1" customWidth="1"/>
    <col min="16" max="16" width="40.42578125" bestFit="1" customWidth="1"/>
    <col min="17" max="17" width="26" bestFit="1" customWidth="1"/>
    <col min="18" max="18" width="24.42578125" bestFit="1" customWidth="1"/>
    <col min="19" max="19" width="17.42578125" bestFit="1" customWidth="1"/>
    <col min="20" max="20" width="55.7109375" bestFit="1" customWidth="1"/>
    <col min="21" max="21" width="8.7109375" bestFit="1" customWidth="1"/>
    <col min="22" max="22" width="19.7109375" bestFit="1" customWidth="1"/>
    <col min="23" max="23" width="10.28515625" bestFit="1" customWidth="1"/>
    <col min="24" max="24" width="13.42578125" bestFit="1" customWidth="1"/>
  </cols>
  <sheetData>
    <row r="1" spans="1:24">
      <c r="A1" t="s">
        <v>1028</v>
      </c>
      <c r="B1" t="s">
        <v>1029</v>
      </c>
      <c r="C1" t="s">
        <v>1030</v>
      </c>
      <c r="D1" t="s">
        <v>1031</v>
      </c>
      <c r="E1" t="s">
        <v>1032</v>
      </c>
      <c r="F1" t="s">
        <v>57</v>
      </c>
      <c r="G1" t="s">
        <v>1033</v>
      </c>
      <c r="H1" t="s">
        <v>1034</v>
      </c>
      <c r="I1" t="s">
        <v>1035</v>
      </c>
      <c r="J1" t="s">
        <v>1036</v>
      </c>
      <c r="K1" t="s">
        <v>1037</v>
      </c>
      <c r="L1" t="s">
        <v>1038</v>
      </c>
      <c r="M1" t="s">
        <v>1039</v>
      </c>
      <c r="N1" t="s">
        <v>1040</v>
      </c>
    </row>
    <row r="2" spans="1:24">
      <c r="A2" t="b">
        <f>_xlfn.IFNA(VLOOKUP(D2,Spelerslijst!A:B,1,FALSE),FALSE)</f>
        <v>0</v>
      </c>
      <c r="B2" t="str">
        <f>_xlfn.IFNA(VLOOKUP(D2,Spelerslijst!K:L,1,FALSE),FALSE)</f>
        <v>NJC26C8</v>
      </c>
      <c r="C2" t="str">
        <f>IF(AND(A2=FALSE,B2=FALSE),"Onbekend","")</f>
        <v/>
      </c>
      <c r="D2" t="s">
        <v>672</v>
      </c>
      <c r="E2" t="s">
        <v>673</v>
      </c>
      <c r="F2" t="s">
        <v>674</v>
      </c>
      <c r="G2" s="1">
        <v>34464</v>
      </c>
      <c r="H2" t="s">
        <v>949</v>
      </c>
      <c r="I2" t="s">
        <v>1041</v>
      </c>
      <c r="J2" t="s">
        <v>1042</v>
      </c>
      <c r="K2">
        <v>200</v>
      </c>
      <c r="L2" t="s">
        <v>1043</v>
      </c>
      <c r="M2" t="s">
        <v>1044</v>
      </c>
      <c r="N2" s="1">
        <v>44746</v>
      </c>
      <c r="W2" s="1"/>
    </row>
    <row r="3" spans="1:24">
      <c r="A3" t="b">
        <f>_xlfn.IFNA(VLOOKUP(D3,Spelerslijst!A:B,1,FALSE),FALSE)</f>
        <v>0</v>
      </c>
      <c r="B3" t="str">
        <f>_xlfn.IFNA(VLOOKUP(D3,Spelerslijst!K:L,1,FALSE),FALSE)</f>
        <v>NKN65B6</v>
      </c>
      <c r="C3" t="str">
        <f t="shared" ref="C3:C66" si="0">IF(AND(A3=FALSE,B3=FALSE),"Onbekend","")</f>
        <v/>
      </c>
      <c r="D3" t="s">
        <v>744</v>
      </c>
      <c r="E3" t="s">
        <v>745</v>
      </c>
      <c r="F3" t="s">
        <v>746</v>
      </c>
      <c r="G3" s="1">
        <v>36929</v>
      </c>
      <c r="H3" t="s">
        <v>949</v>
      </c>
      <c r="I3" t="s">
        <v>1045</v>
      </c>
      <c r="J3" t="s">
        <v>1042</v>
      </c>
      <c r="K3">
        <v>200</v>
      </c>
      <c r="L3" t="s">
        <v>1043</v>
      </c>
      <c r="M3" t="s">
        <v>1044</v>
      </c>
      <c r="N3" s="1">
        <v>40087</v>
      </c>
      <c r="W3" s="1"/>
    </row>
    <row r="4" spans="1:24">
      <c r="A4" t="str">
        <f>_xlfn.IFNA(VLOOKUP(D4,Spelerslijst!A:B,1,FALSE),FALSE)</f>
        <v>NMM29Q6</v>
      </c>
      <c r="B4" t="b">
        <f>_xlfn.IFNA(VLOOKUP(D4,Spelerslijst!K:L,1,FALSE),FALSE)</f>
        <v>0</v>
      </c>
      <c r="C4" t="str">
        <f t="shared" si="0"/>
        <v/>
      </c>
      <c r="D4" t="s">
        <v>896</v>
      </c>
      <c r="E4" t="s">
        <v>897</v>
      </c>
      <c r="F4" t="s">
        <v>898</v>
      </c>
      <c r="G4" s="1">
        <v>43083</v>
      </c>
      <c r="H4" t="s">
        <v>1046</v>
      </c>
      <c r="I4" t="s">
        <v>1047</v>
      </c>
      <c r="J4" t="s">
        <v>1048</v>
      </c>
      <c r="K4">
        <v>240</v>
      </c>
      <c r="M4" t="s">
        <v>1044</v>
      </c>
      <c r="N4" s="1">
        <v>44326</v>
      </c>
      <c r="W4" s="1"/>
      <c r="X4" s="1"/>
    </row>
    <row r="5" spans="1:24">
      <c r="A5" t="str">
        <f>_xlfn.IFNA(VLOOKUP(D5,Spelerslijst!A:B,1,FALSE),FALSE)</f>
        <v>NMS09V7</v>
      </c>
      <c r="B5" t="b">
        <f>_xlfn.IFNA(VLOOKUP(D5,Spelerslijst!K:L,1,FALSE),FALSE)</f>
        <v>0</v>
      </c>
      <c r="C5" t="str">
        <f t="shared" si="0"/>
        <v/>
      </c>
      <c r="D5" t="s">
        <v>589</v>
      </c>
      <c r="E5" t="s">
        <v>590</v>
      </c>
      <c r="F5" t="s">
        <v>146</v>
      </c>
      <c r="G5" s="1">
        <v>42234</v>
      </c>
      <c r="H5" t="s">
        <v>1046</v>
      </c>
      <c r="I5" t="s">
        <v>1049</v>
      </c>
      <c r="J5" t="s">
        <v>1042</v>
      </c>
      <c r="K5">
        <v>230</v>
      </c>
      <c r="L5" t="s">
        <v>1043</v>
      </c>
      <c r="M5" t="s">
        <v>1044</v>
      </c>
      <c r="N5" s="1">
        <v>44817</v>
      </c>
      <c r="W5" s="1"/>
    </row>
    <row r="6" spans="1:24">
      <c r="A6" t="str">
        <f>_xlfn.IFNA(VLOOKUP(D6,Spelerslijst!A:B,1,FALSE),FALSE)</f>
        <v>NLB70X5</v>
      </c>
      <c r="B6" t="b">
        <f>_xlfn.IFNA(VLOOKUP(D6,Spelerslijst!K:L,1,FALSE),FALSE)</f>
        <v>0</v>
      </c>
      <c r="C6" t="str">
        <f t="shared" si="0"/>
        <v/>
      </c>
      <c r="D6" t="s">
        <v>809</v>
      </c>
      <c r="E6" t="s">
        <v>810</v>
      </c>
      <c r="F6" t="s">
        <v>811</v>
      </c>
      <c r="G6" s="1">
        <v>37541</v>
      </c>
      <c r="H6" t="s">
        <v>1046</v>
      </c>
      <c r="I6" t="s">
        <v>1050</v>
      </c>
      <c r="J6" t="s">
        <v>1042</v>
      </c>
      <c r="K6">
        <v>200</v>
      </c>
      <c r="L6" t="s">
        <v>1043</v>
      </c>
      <c r="M6" t="s">
        <v>1044</v>
      </c>
      <c r="N6" s="1">
        <v>41153</v>
      </c>
      <c r="W6" s="1"/>
    </row>
    <row r="7" spans="1:24">
      <c r="A7" t="str">
        <f>_xlfn.IFNA(VLOOKUP(D7,Spelerslijst!A:B,1,FALSE),FALSE)</f>
        <v>NKB62K8</v>
      </c>
      <c r="B7" t="b">
        <f>_xlfn.IFNA(VLOOKUP(D7,Spelerslijst!K:L,1,FALSE),FALSE)</f>
        <v>0</v>
      </c>
      <c r="C7" t="str">
        <f t="shared" si="0"/>
        <v/>
      </c>
      <c r="D7" t="s">
        <v>902</v>
      </c>
      <c r="E7" t="s">
        <v>1051</v>
      </c>
      <c r="F7" t="s">
        <v>904</v>
      </c>
      <c r="G7" s="1">
        <v>36385</v>
      </c>
      <c r="H7" t="s">
        <v>1046</v>
      </c>
      <c r="I7" t="s">
        <v>1052</v>
      </c>
      <c r="J7" t="s">
        <v>1048</v>
      </c>
      <c r="K7">
        <v>200</v>
      </c>
      <c r="L7" t="s">
        <v>1043</v>
      </c>
      <c r="M7" t="s">
        <v>1044</v>
      </c>
      <c r="N7" s="1">
        <v>39296</v>
      </c>
      <c r="W7" s="1"/>
      <c r="X7" s="1"/>
    </row>
    <row r="8" spans="1:24">
      <c r="A8" t="str">
        <f>_xlfn.IFNA(VLOOKUP(D8,Spelerslijst!A:B,1,FALSE),FALSE)</f>
        <v>NML00R5</v>
      </c>
      <c r="B8" t="b">
        <f>_xlfn.IFNA(VLOOKUP(D8,Spelerslijst!K:L,1,FALSE),FALSE)</f>
        <v>0</v>
      </c>
      <c r="C8" t="str">
        <f t="shared" si="0"/>
        <v/>
      </c>
      <c r="D8" t="s">
        <v>379</v>
      </c>
      <c r="E8" t="s">
        <v>380</v>
      </c>
      <c r="F8" t="s">
        <v>381</v>
      </c>
      <c r="G8" s="1">
        <v>40373</v>
      </c>
      <c r="H8" t="s">
        <v>1046</v>
      </c>
      <c r="I8" t="s">
        <v>1053</v>
      </c>
      <c r="J8" t="s">
        <v>1042</v>
      </c>
      <c r="K8">
        <v>220</v>
      </c>
      <c r="L8" t="s">
        <v>1043</v>
      </c>
      <c r="M8" t="s">
        <v>1044</v>
      </c>
      <c r="N8" s="1">
        <v>44099</v>
      </c>
      <c r="W8" s="1"/>
    </row>
    <row r="9" spans="1:24">
      <c r="A9" t="str">
        <f>_xlfn.IFNA(VLOOKUP(D9,Spelerslijst!A:B,1,FALSE),FALSE)</f>
        <v>NJW77M6</v>
      </c>
      <c r="B9" t="b">
        <f>_xlfn.IFNA(VLOOKUP(D9,Spelerslijst!K:L,1,FALSE),FALSE)</f>
        <v>0</v>
      </c>
      <c r="C9" t="str">
        <f t="shared" si="0"/>
        <v/>
      </c>
      <c r="D9" t="s">
        <v>185</v>
      </c>
      <c r="E9" t="s">
        <v>186</v>
      </c>
      <c r="F9" t="s">
        <v>105</v>
      </c>
      <c r="G9" s="1">
        <v>36432</v>
      </c>
      <c r="H9" t="s">
        <v>1046</v>
      </c>
      <c r="I9" t="s">
        <v>1054</v>
      </c>
      <c r="J9" t="s">
        <v>1042</v>
      </c>
      <c r="K9">
        <v>202</v>
      </c>
      <c r="L9" t="s">
        <v>1043</v>
      </c>
      <c r="M9" t="s">
        <v>1055</v>
      </c>
      <c r="N9" s="1">
        <v>38961</v>
      </c>
      <c r="W9" s="1"/>
    </row>
    <row r="10" spans="1:24">
      <c r="A10" t="str">
        <f>_xlfn.IFNA(VLOOKUP(D10,Spelerslijst!A:B,1,FALSE),FALSE)</f>
        <v>NFW15S4</v>
      </c>
      <c r="B10" t="b">
        <f>_xlfn.IFNA(VLOOKUP(D10,Spelerslijst!K:L,1,FALSE),FALSE)</f>
        <v>0</v>
      </c>
      <c r="C10" t="str">
        <f t="shared" si="0"/>
        <v/>
      </c>
      <c r="D10" t="s">
        <v>935</v>
      </c>
      <c r="E10" t="s">
        <v>1056</v>
      </c>
      <c r="F10" t="s">
        <v>937</v>
      </c>
      <c r="G10" s="1">
        <v>28329</v>
      </c>
      <c r="H10" t="s">
        <v>1046</v>
      </c>
      <c r="I10" t="s">
        <v>1057</v>
      </c>
      <c r="J10" t="s">
        <v>1042</v>
      </c>
      <c r="K10">
        <v>202</v>
      </c>
      <c r="L10" t="s">
        <v>1043</v>
      </c>
      <c r="M10" t="s">
        <v>1058</v>
      </c>
      <c r="N10" s="1">
        <v>41883</v>
      </c>
      <c r="W10" s="1"/>
    </row>
    <row r="11" spans="1:24">
      <c r="A11" t="b">
        <f>_xlfn.IFNA(VLOOKUP(D11,Spelerslijst!A:B,1,FALSE),FALSE)</f>
        <v>0</v>
      </c>
      <c r="B11" t="str">
        <f>_xlfn.IFNA(VLOOKUP(D11,Spelerslijst!K:L,1,FALSE),FALSE)</f>
        <v>NLL19V8</v>
      </c>
      <c r="C11" t="str">
        <f t="shared" si="0"/>
        <v/>
      </c>
      <c r="D11" t="s">
        <v>75</v>
      </c>
      <c r="E11" t="s">
        <v>76</v>
      </c>
      <c r="F11" t="s">
        <v>77</v>
      </c>
      <c r="G11" s="1">
        <v>39356</v>
      </c>
      <c r="H11" t="s">
        <v>949</v>
      </c>
      <c r="I11" t="s">
        <v>1057</v>
      </c>
      <c r="J11" t="s">
        <v>1042</v>
      </c>
      <c r="K11">
        <v>220</v>
      </c>
      <c r="L11" t="s">
        <v>1043</v>
      </c>
      <c r="M11" t="s">
        <v>1044</v>
      </c>
      <c r="N11" s="1">
        <v>41883</v>
      </c>
      <c r="W11" s="1"/>
    </row>
    <row r="12" spans="1:24">
      <c r="A12" t="str">
        <f>_xlfn.IFNA(VLOOKUP(D12,Spelerslijst!A:B,1,FALSE),FALSE)</f>
        <v>NLS76C3</v>
      </c>
      <c r="B12" t="b">
        <f>_xlfn.IFNA(VLOOKUP(D12,Spelerslijst!K:L,1,FALSE),FALSE)</f>
        <v>0</v>
      </c>
      <c r="C12" t="str">
        <f t="shared" si="0"/>
        <v/>
      </c>
      <c r="D12" t="s">
        <v>278</v>
      </c>
      <c r="E12" t="s">
        <v>279</v>
      </c>
      <c r="F12" t="s">
        <v>280</v>
      </c>
      <c r="G12" s="1">
        <v>40097</v>
      </c>
      <c r="H12" t="s">
        <v>1046</v>
      </c>
      <c r="I12" t="s">
        <v>1057</v>
      </c>
      <c r="J12" t="s">
        <v>1042</v>
      </c>
      <c r="K12">
        <v>220</v>
      </c>
      <c r="L12" t="s">
        <v>1043</v>
      </c>
      <c r="M12" t="s">
        <v>1044</v>
      </c>
      <c r="N12" s="1">
        <v>42532</v>
      </c>
      <c r="W12" s="1"/>
    </row>
    <row r="13" spans="1:24">
      <c r="A13" t="str">
        <f>_xlfn.IFNA(VLOOKUP(D13,Spelerslijst!A:B,1,FALSE),FALSE)</f>
        <v>NJK34W5</v>
      </c>
      <c r="B13" t="b">
        <f>_xlfn.IFNA(VLOOKUP(D13,Spelerslijst!K:L,1,FALSE),FALSE)</f>
        <v>0</v>
      </c>
      <c r="C13" t="str">
        <f t="shared" si="0"/>
        <v/>
      </c>
      <c r="D13" t="s">
        <v>798</v>
      </c>
      <c r="E13" t="s">
        <v>799</v>
      </c>
      <c r="F13" t="s">
        <v>800</v>
      </c>
      <c r="G13" s="1">
        <v>31732</v>
      </c>
      <c r="H13" t="s">
        <v>1046</v>
      </c>
      <c r="I13" t="s">
        <v>1059</v>
      </c>
      <c r="J13" t="s">
        <v>1042</v>
      </c>
      <c r="K13">
        <v>200</v>
      </c>
      <c r="L13" t="s">
        <v>1043</v>
      </c>
      <c r="M13" t="s">
        <v>1044</v>
      </c>
      <c r="N13" s="1">
        <v>42461</v>
      </c>
      <c r="W13" s="1"/>
    </row>
    <row r="14" spans="1:24">
      <c r="A14" t="str">
        <f>_xlfn.IFNA(VLOOKUP(D14,Spelerslijst!A:B,1,FALSE),FALSE)</f>
        <v>NFW28D3</v>
      </c>
      <c r="B14" t="b">
        <f>_xlfn.IFNA(VLOOKUP(D14,Spelerslijst!K:L,1,FALSE),FALSE)</f>
        <v>0</v>
      </c>
      <c r="C14" t="str">
        <f t="shared" si="0"/>
        <v/>
      </c>
      <c r="D14" t="s">
        <v>650</v>
      </c>
      <c r="E14" t="s">
        <v>651</v>
      </c>
      <c r="F14" t="s">
        <v>652</v>
      </c>
      <c r="G14" s="1">
        <v>31086</v>
      </c>
      <c r="H14" t="s">
        <v>1046</v>
      </c>
      <c r="I14" t="s">
        <v>1060</v>
      </c>
      <c r="J14" t="s">
        <v>1042</v>
      </c>
      <c r="K14">
        <v>203</v>
      </c>
      <c r="L14" t="s">
        <v>1043</v>
      </c>
      <c r="M14" t="s">
        <v>1061</v>
      </c>
      <c r="N14" s="1">
        <v>33909</v>
      </c>
      <c r="W14" s="1"/>
    </row>
    <row r="15" spans="1:24">
      <c r="A15" t="b">
        <f>_xlfn.IFNA(VLOOKUP(D15,Spelerslijst!A:B,1,FALSE),FALSE)</f>
        <v>0</v>
      </c>
      <c r="B15" t="str">
        <f>_xlfn.IFNA(VLOOKUP(D15,Spelerslijst!K:L,1,FALSE),FALSE)</f>
        <v>NKD39Q8</v>
      </c>
      <c r="C15" t="str">
        <f t="shared" si="0"/>
        <v/>
      </c>
      <c r="D15" t="s">
        <v>777</v>
      </c>
      <c r="E15" t="s">
        <v>778</v>
      </c>
      <c r="F15" t="s">
        <v>779</v>
      </c>
      <c r="G15" s="1">
        <v>36308</v>
      </c>
      <c r="H15" t="s">
        <v>949</v>
      </c>
      <c r="I15" t="s">
        <v>1062</v>
      </c>
      <c r="J15" t="s">
        <v>1042</v>
      </c>
      <c r="K15">
        <v>200</v>
      </c>
      <c r="L15" t="s">
        <v>1043</v>
      </c>
      <c r="M15" t="s">
        <v>1044</v>
      </c>
      <c r="N15" s="1">
        <v>39394</v>
      </c>
      <c r="W15" s="1"/>
    </row>
    <row r="16" spans="1:24">
      <c r="A16" t="str">
        <f>_xlfn.IFNA(VLOOKUP(D16,Spelerslijst!A:B,1,FALSE),FALSE)</f>
        <v>NLX64V0</v>
      </c>
      <c r="B16" t="b">
        <f>_xlfn.IFNA(VLOOKUP(D16,Spelerslijst!K:L,1,FALSE),FALSE)</f>
        <v>0</v>
      </c>
      <c r="C16" t="str">
        <f t="shared" si="0"/>
        <v/>
      </c>
      <c r="D16" t="s">
        <v>317</v>
      </c>
      <c r="E16" t="s">
        <v>1063</v>
      </c>
      <c r="F16" t="s">
        <v>1064</v>
      </c>
      <c r="G16" s="1">
        <v>40328</v>
      </c>
      <c r="H16" t="s">
        <v>1046</v>
      </c>
      <c r="I16" t="s">
        <v>1065</v>
      </c>
      <c r="J16" t="s">
        <v>1042</v>
      </c>
      <c r="K16">
        <v>220</v>
      </c>
      <c r="L16" t="s">
        <v>1043</v>
      </c>
      <c r="M16" t="s">
        <v>1044</v>
      </c>
      <c r="N16" s="1">
        <v>42912</v>
      </c>
      <c r="W16" s="1"/>
    </row>
    <row r="17" spans="1:24">
      <c r="A17" t="str">
        <f>_xlfn.IFNA(VLOOKUP(D17,Spelerslijst!A:B,1,FALSE),FALSE)</f>
        <v>NMG13P0</v>
      </c>
      <c r="B17" t="b">
        <f>_xlfn.IFNA(VLOOKUP(D17,Spelerslijst!K:L,1,FALSE),FALSE)</f>
        <v>0</v>
      </c>
      <c r="C17" t="str">
        <f t="shared" si="0"/>
        <v/>
      </c>
      <c r="D17" t="s">
        <v>477</v>
      </c>
      <c r="E17" t="s">
        <v>478</v>
      </c>
      <c r="F17" t="s">
        <v>479</v>
      </c>
      <c r="G17" s="1">
        <v>41474</v>
      </c>
      <c r="H17" t="s">
        <v>1046</v>
      </c>
      <c r="I17" t="s">
        <v>1065</v>
      </c>
      <c r="J17" t="s">
        <v>1042</v>
      </c>
      <c r="K17">
        <v>230</v>
      </c>
      <c r="L17" t="s">
        <v>1043</v>
      </c>
      <c r="M17" t="s">
        <v>1044</v>
      </c>
      <c r="N17" s="1">
        <v>43641</v>
      </c>
      <c r="W17" s="1"/>
    </row>
    <row r="18" spans="1:24">
      <c r="A18" t="b">
        <f>_xlfn.IFNA(VLOOKUP(D18,Spelerslijst!A:B,1,FALSE),FALSE)</f>
        <v>0</v>
      </c>
      <c r="B18" t="str">
        <f>_xlfn.IFNA(VLOOKUP(D18,Spelerslijst!K:L,1,FALSE),FALSE)</f>
        <v>NJH39X4</v>
      </c>
      <c r="C18" t="str">
        <f t="shared" si="0"/>
        <v/>
      </c>
      <c r="D18" t="s">
        <v>165</v>
      </c>
      <c r="E18" t="s">
        <v>166</v>
      </c>
      <c r="F18" t="s">
        <v>167</v>
      </c>
      <c r="G18" s="1">
        <v>34900</v>
      </c>
      <c r="H18" t="s">
        <v>949</v>
      </c>
      <c r="I18" t="s">
        <v>1066</v>
      </c>
      <c r="J18" t="s">
        <v>1042</v>
      </c>
      <c r="K18">
        <v>202</v>
      </c>
      <c r="L18" t="s">
        <v>1043</v>
      </c>
      <c r="M18" t="s">
        <v>1067</v>
      </c>
      <c r="N18" s="1">
        <v>38343</v>
      </c>
      <c r="W18" s="1"/>
    </row>
    <row r="19" spans="1:24">
      <c r="A19" t="b">
        <f>_xlfn.IFNA(VLOOKUP(D19,Spelerslijst!A:B,1,FALSE),FALSE)</f>
        <v>0</v>
      </c>
      <c r="B19" t="str">
        <f>_xlfn.IFNA(VLOOKUP(D19,Spelerslijst!K:L,1,FALSE),FALSE)</f>
        <v>NGW10M4</v>
      </c>
      <c r="C19" t="str">
        <f t="shared" si="0"/>
        <v/>
      </c>
      <c r="D19" t="s">
        <v>713</v>
      </c>
      <c r="E19" t="s">
        <v>714</v>
      </c>
      <c r="F19" t="s">
        <v>715</v>
      </c>
      <c r="G19" s="1">
        <v>33019</v>
      </c>
      <c r="H19" t="s">
        <v>949</v>
      </c>
      <c r="I19" t="s">
        <v>1068</v>
      </c>
      <c r="J19" t="s">
        <v>1042</v>
      </c>
      <c r="K19">
        <v>200</v>
      </c>
      <c r="L19" t="s">
        <v>1043</v>
      </c>
      <c r="M19" t="s">
        <v>1044</v>
      </c>
      <c r="N19" s="1">
        <v>35746</v>
      </c>
      <c r="W19" s="1"/>
    </row>
    <row r="20" spans="1:24">
      <c r="A20" t="str">
        <f>_xlfn.IFNA(VLOOKUP(D20,Spelerslijst!A:B,1,FALSE),FALSE)</f>
        <v>NMF09H6</v>
      </c>
      <c r="B20" t="b">
        <f>_xlfn.IFNA(VLOOKUP(D20,Spelerslijst!K:L,1,FALSE),FALSE)</f>
        <v>0</v>
      </c>
      <c r="C20" t="str">
        <f t="shared" si="0"/>
        <v/>
      </c>
      <c r="D20" t="s">
        <v>922</v>
      </c>
      <c r="E20" t="s">
        <v>923</v>
      </c>
      <c r="F20" t="s">
        <v>117</v>
      </c>
      <c r="G20" s="1">
        <v>40995</v>
      </c>
      <c r="H20" t="s">
        <v>1046</v>
      </c>
      <c r="I20" t="s">
        <v>1069</v>
      </c>
      <c r="J20" t="s">
        <v>1048</v>
      </c>
      <c r="K20">
        <v>230</v>
      </c>
      <c r="L20" t="s">
        <v>1043</v>
      </c>
      <c r="M20" t="s">
        <v>1044</v>
      </c>
      <c r="N20" s="1">
        <v>43498</v>
      </c>
      <c r="W20" s="1"/>
      <c r="X20" s="1"/>
    </row>
    <row r="21" spans="1:24">
      <c r="A21" t="b">
        <f>_xlfn.IFNA(VLOOKUP(D21,Spelerslijst!A:B,1,FALSE),FALSE)</f>
        <v>0</v>
      </c>
      <c r="B21" t="str">
        <f>_xlfn.IFNA(VLOOKUP(D21,Spelerslijst!K:L,1,FALSE),FALSE)</f>
        <v>NGP49B2</v>
      </c>
      <c r="C21" t="str">
        <f t="shared" si="0"/>
        <v/>
      </c>
      <c r="D21" t="s">
        <v>223</v>
      </c>
      <c r="E21" t="s">
        <v>224</v>
      </c>
      <c r="F21" t="s">
        <v>225</v>
      </c>
      <c r="G21" s="1">
        <v>32911</v>
      </c>
      <c r="H21" t="s">
        <v>949</v>
      </c>
      <c r="I21" t="s">
        <v>1070</v>
      </c>
      <c r="J21" t="s">
        <v>1042</v>
      </c>
      <c r="K21">
        <v>202</v>
      </c>
      <c r="L21" t="s">
        <v>1043</v>
      </c>
      <c r="M21" t="s">
        <v>1067</v>
      </c>
      <c r="N21" s="1">
        <v>35447</v>
      </c>
      <c r="W21" s="1"/>
    </row>
    <row r="22" spans="1:24">
      <c r="A22" t="b">
        <f>_xlfn.IFNA(VLOOKUP(D22,Spelerslijst!A:B,1,FALSE),FALSE)</f>
        <v>0</v>
      </c>
      <c r="B22" t="str">
        <f>_xlfn.IFNA(VLOOKUP(D22,Spelerslijst!K:L,1,FALSE),FALSE)</f>
        <v>NLB70Y2</v>
      </c>
      <c r="C22" t="str">
        <f t="shared" si="0"/>
        <v/>
      </c>
      <c r="D22" t="s">
        <v>93</v>
      </c>
      <c r="E22" t="s">
        <v>94</v>
      </c>
      <c r="F22" t="s">
        <v>95</v>
      </c>
      <c r="G22" s="1">
        <v>38617</v>
      </c>
      <c r="H22" t="s">
        <v>949</v>
      </c>
      <c r="I22" t="s">
        <v>1071</v>
      </c>
      <c r="J22" t="s">
        <v>1042</v>
      </c>
      <c r="K22">
        <v>210</v>
      </c>
      <c r="L22" t="s">
        <v>1043</v>
      </c>
      <c r="M22" t="s">
        <v>1044</v>
      </c>
      <c r="N22" s="1">
        <v>41153</v>
      </c>
      <c r="W22" s="1"/>
    </row>
    <row r="23" spans="1:24">
      <c r="A23" t="str">
        <f>_xlfn.IFNA(VLOOKUP(D23,Spelerslijst!A:B,1,FALSE),FALSE)</f>
        <v>NGG54V3</v>
      </c>
      <c r="B23" t="b">
        <f>_xlfn.IFNA(VLOOKUP(D23,Spelerslijst!K:L,1,FALSE),FALSE)</f>
        <v>0</v>
      </c>
      <c r="C23" t="str">
        <f t="shared" si="0"/>
        <v/>
      </c>
      <c r="D23" t="s">
        <v>747</v>
      </c>
      <c r="E23" t="s">
        <v>748</v>
      </c>
      <c r="F23" t="s">
        <v>749</v>
      </c>
      <c r="G23" s="1">
        <v>32050</v>
      </c>
      <c r="H23" t="s">
        <v>1046</v>
      </c>
      <c r="I23" t="s">
        <v>1072</v>
      </c>
      <c r="J23" t="s">
        <v>1042</v>
      </c>
      <c r="K23">
        <v>202</v>
      </c>
      <c r="M23" t="s">
        <v>1055</v>
      </c>
      <c r="N23" s="1">
        <v>34943</v>
      </c>
      <c r="W23" s="1"/>
    </row>
    <row r="24" spans="1:24">
      <c r="A24" t="str">
        <f>_xlfn.IFNA(VLOOKUP(D24,Spelerslijst!A:B,1,FALSE),FALSE)</f>
        <v>NKS24M5</v>
      </c>
      <c r="B24" t="b">
        <f>_xlfn.IFNA(VLOOKUP(D24,Spelerslijst!K:L,1,FALSE),FALSE)</f>
        <v>0</v>
      </c>
      <c r="C24" t="str">
        <f t="shared" si="0"/>
        <v/>
      </c>
      <c r="D24" t="s">
        <v>931</v>
      </c>
      <c r="E24" t="s">
        <v>932</v>
      </c>
      <c r="F24" t="s">
        <v>933</v>
      </c>
      <c r="G24" s="1">
        <v>38012</v>
      </c>
      <c r="H24" t="s">
        <v>1046</v>
      </c>
      <c r="I24" t="s">
        <v>1073</v>
      </c>
      <c r="J24" t="s">
        <v>1048</v>
      </c>
      <c r="K24">
        <v>210</v>
      </c>
      <c r="L24" t="s">
        <v>1043</v>
      </c>
      <c r="M24" t="s">
        <v>1044</v>
      </c>
      <c r="N24" s="1">
        <v>40422</v>
      </c>
      <c r="W24" s="1"/>
      <c r="X24" s="1"/>
    </row>
    <row r="25" spans="1:24">
      <c r="A25" t="b">
        <f>_xlfn.IFNA(VLOOKUP(D25,Spelerslijst!A:B,1,FALSE),FALSE)</f>
        <v>0</v>
      </c>
      <c r="B25" t="str">
        <f>_xlfn.IFNA(VLOOKUP(D25,Spelerslijst!K:L,1,FALSE),FALSE)</f>
        <v>NFZ85W0</v>
      </c>
      <c r="C25" t="str">
        <f t="shared" si="0"/>
        <v/>
      </c>
      <c r="D25" t="s">
        <v>587</v>
      </c>
      <c r="E25" t="s">
        <v>588</v>
      </c>
      <c r="F25" t="s">
        <v>213</v>
      </c>
      <c r="G25" s="1">
        <v>30083</v>
      </c>
      <c r="H25" t="s">
        <v>949</v>
      </c>
      <c r="I25" t="s">
        <v>1074</v>
      </c>
      <c r="J25" t="s">
        <v>1042</v>
      </c>
      <c r="K25" t="s">
        <v>1075</v>
      </c>
      <c r="M25" t="s">
        <v>1076</v>
      </c>
      <c r="N25" s="1">
        <v>34604</v>
      </c>
      <c r="W25" s="1"/>
    </row>
    <row r="26" spans="1:24">
      <c r="A26" t="str">
        <f>_xlfn.IFNA(VLOOKUP(D26,Spelerslijst!A:B,1,FALSE),FALSE)</f>
        <v>NKQ14R3</v>
      </c>
      <c r="B26" t="b">
        <f>_xlfn.IFNA(VLOOKUP(D26,Spelerslijst!K:L,1,FALSE),FALSE)</f>
        <v>0</v>
      </c>
      <c r="C26" t="str">
        <f t="shared" si="0"/>
        <v/>
      </c>
      <c r="D26" t="s">
        <v>870</v>
      </c>
      <c r="E26" t="s">
        <v>871</v>
      </c>
      <c r="F26" t="s">
        <v>872</v>
      </c>
      <c r="G26" s="1">
        <v>37104</v>
      </c>
      <c r="H26" t="s">
        <v>1046</v>
      </c>
      <c r="I26" t="s">
        <v>1077</v>
      </c>
      <c r="J26" t="s">
        <v>1042</v>
      </c>
      <c r="K26">
        <v>204</v>
      </c>
      <c r="L26" t="s">
        <v>1043</v>
      </c>
      <c r="M26" t="s">
        <v>1078</v>
      </c>
      <c r="N26" s="1">
        <v>40210</v>
      </c>
      <c r="W26" s="1"/>
    </row>
    <row r="27" spans="1:24">
      <c r="A27" t="str">
        <f>_xlfn.IFNA(VLOOKUP(D27,Spelerslijst!A:B,1,FALSE),FALSE)</f>
        <v>NKQ13Q3</v>
      </c>
      <c r="B27" t="b">
        <f>_xlfn.IFNA(VLOOKUP(D27,Spelerslijst!K:L,1,FALSE),FALSE)</f>
        <v>0</v>
      </c>
      <c r="C27" t="str">
        <f t="shared" si="0"/>
        <v/>
      </c>
      <c r="D27" t="s">
        <v>875</v>
      </c>
      <c r="E27" t="s">
        <v>876</v>
      </c>
      <c r="F27" t="s">
        <v>877</v>
      </c>
      <c r="G27" s="1">
        <v>37104</v>
      </c>
      <c r="H27" t="s">
        <v>1046</v>
      </c>
      <c r="I27" t="s">
        <v>1079</v>
      </c>
      <c r="J27" t="s">
        <v>1042</v>
      </c>
      <c r="K27">
        <v>204</v>
      </c>
      <c r="L27" t="s">
        <v>1043</v>
      </c>
      <c r="M27" t="s">
        <v>1078</v>
      </c>
      <c r="N27" s="1">
        <v>40222</v>
      </c>
      <c r="W27" s="1"/>
    </row>
    <row r="28" spans="1:24">
      <c r="A28" t="b">
        <f>_xlfn.IFNA(VLOOKUP(D28,Spelerslijst!A:B,1,FALSE),FALSE)</f>
        <v>0</v>
      </c>
      <c r="B28" t="str">
        <f>_xlfn.IFNA(VLOOKUP(D28,Spelerslijst!K:L,1,FALSE),FALSE)</f>
        <v>NFW26G8</v>
      </c>
      <c r="C28" t="str">
        <f t="shared" si="0"/>
        <v/>
      </c>
      <c r="D28" t="s">
        <v>703</v>
      </c>
      <c r="E28" t="s">
        <v>704</v>
      </c>
      <c r="F28" t="s">
        <v>705</v>
      </c>
      <c r="G28" s="1">
        <v>29523</v>
      </c>
      <c r="H28" t="s">
        <v>949</v>
      </c>
      <c r="I28" t="s">
        <v>1080</v>
      </c>
      <c r="J28" t="s">
        <v>1042</v>
      </c>
      <c r="K28">
        <v>200</v>
      </c>
      <c r="L28" t="s">
        <v>1043</v>
      </c>
      <c r="M28" t="s">
        <v>1044</v>
      </c>
      <c r="N28" s="1">
        <v>32051</v>
      </c>
      <c r="W28" s="1"/>
    </row>
    <row r="29" spans="1:24">
      <c r="A29" t="b">
        <f>_xlfn.IFNA(VLOOKUP(D29,Spelerslijst!A:B,1,FALSE),FALSE)</f>
        <v>0</v>
      </c>
      <c r="B29" t="str">
        <f>_xlfn.IFNA(VLOOKUP(D29,Spelerslijst!K:L,1,FALSE),FALSE)</f>
        <v>NMQ91B6</v>
      </c>
      <c r="C29" t="str">
        <f t="shared" si="0"/>
        <v/>
      </c>
      <c r="D29" t="s">
        <v>878</v>
      </c>
      <c r="E29" t="s">
        <v>879</v>
      </c>
      <c r="F29" t="s">
        <v>880</v>
      </c>
      <c r="G29" s="1">
        <v>43436</v>
      </c>
      <c r="H29" t="s">
        <v>949</v>
      </c>
      <c r="I29" t="s">
        <v>1081</v>
      </c>
      <c r="J29" t="s">
        <v>1048</v>
      </c>
      <c r="K29">
        <v>240</v>
      </c>
      <c r="M29" t="s">
        <v>1044</v>
      </c>
      <c r="N29" s="1">
        <v>44706</v>
      </c>
      <c r="W29" s="1"/>
      <c r="X29" s="1"/>
    </row>
    <row r="30" spans="1:24">
      <c r="A30" t="str">
        <f>_xlfn.IFNA(VLOOKUP(D30,Spelerslijst!A:B,1,FALSE),FALSE)</f>
        <v>NKL60P7</v>
      </c>
      <c r="B30" t="b">
        <f>_xlfn.IFNA(VLOOKUP(D30,Spelerslijst!K:L,1,FALSE),FALSE)</f>
        <v>0</v>
      </c>
      <c r="C30" t="str">
        <f t="shared" si="0"/>
        <v/>
      </c>
      <c r="D30" t="s">
        <v>908</v>
      </c>
      <c r="E30" t="s">
        <v>909</v>
      </c>
      <c r="F30" t="s">
        <v>658</v>
      </c>
      <c r="G30" s="1">
        <v>38159</v>
      </c>
      <c r="H30" t="s">
        <v>1046</v>
      </c>
      <c r="I30" t="s">
        <v>1082</v>
      </c>
      <c r="J30" t="s">
        <v>1042</v>
      </c>
      <c r="K30">
        <v>210</v>
      </c>
      <c r="L30" t="s">
        <v>1043</v>
      </c>
      <c r="M30" t="s">
        <v>1044</v>
      </c>
      <c r="N30" s="1">
        <v>39934</v>
      </c>
      <c r="W30" s="1"/>
    </row>
    <row r="31" spans="1:24">
      <c r="A31" t="str">
        <f>_xlfn.IFNA(VLOOKUP(D31,Spelerslijst!A:B,1,FALSE),FALSE)</f>
        <v>NLR34F7</v>
      </c>
      <c r="B31" t="b">
        <f>_xlfn.IFNA(VLOOKUP(D31,Spelerslijst!K:L,1,FALSE),FALSE)</f>
        <v>0</v>
      </c>
      <c r="C31" t="str">
        <f t="shared" si="0"/>
        <v/>
      </c>
      <c r="D31" t="s">
        <v>260</v>
      </c>
      <c r="E31" t="s">
        <v>261</v>
      </c>
      <c r="F31" t="s">
        <v>262</v>
      </c>
      <c r="G31" s="1">
        <v>40243</v>
      </c>
      <c r="H31" t="s">
        <v>1046</v>
      </c>
      <c r="I31" t="s">
        <v>1083</v>
      </c>
      <c r="J31" t="s">
        <v>1042</v>
      </c>
      <c r="K31">
        <v>220</v>
      </c>
      <c r="L31" t="s">
        <v>1043</v>
      </c>
      <c r="M31" t="s">
        <v>1044</v>
      </c>
      <c r="N31" s="1">
        <v>42339</v>
      </c>
      <c r="W31" s="1"/>
    </row>
    <row r="32" spans="1:24">
      <c r="A32" t="str">
        <f>_xlfn.IFNA(VLOOKUP(D32,Spelerslijst!A:B,1,FALSE),FALSE)</f>
        <v>NMN06Y4</v>
      </c>
      <c r="B32" t="b">
        <f>_xlfn.IFNA(VLOOKUP(D32,Spelerslijst!K:L,1,FALSE),FALSE)</f>
        <v>0</v>
      </c>
      <c r="C32" t="str">
        <f t="shared" si="0"/>
        <v/>
      </c>
      <c r="D32" t="s">
        <v>409</v>
      </c>
      <c r="E32" t="s">
        <v>410</v>
      </c>
      <c r="F32" t="s">
        <v>411</v>
      </c>
      <c r="G32" s="1">
        <v>40796</v>
      </c>
      <c r="H32" t="s">
        <v>1046</v>
      </c>
      <c r="I32" t="s">
        <v>1083</v>
      </c>
      <c r="J32" t="s">
        <v>1042</v>
      </c>
      <c r="K32">
        <v>230</v>
      </c>
      <c r="L32" t="s">
        <v>1043</v>
      </c>
      <c r="M32" t="s">
        <v>1044</v>
      </c>
      <c r="N32" s="1">
        <v>44376</v>
      </c>
      <c r="W32" s="1"/>
    </row>
    <row r="33" spans="1:24">
      <c r="A33" t="b">
        <f>_xlfn.IFNA(VLOOKUP(D33,Spelerslijst!A:B,1,FALSE),FALSE)</f>
        <v>0</v>
      </c>
      <c r="B33" t="str">
        <f>_xlfn.IFNA(VLOOKUP(D33,Spelerslijst!K:L,1,FALSE),FALSE)</f>
        <v>NMN65C7</v>
      </c>
      <c r="C33" t="str">
        <f t="shared" si="0"/>
        <v/>
      </c>
      <c r="D33" t="s">
        <v>530</v>
      </c>
      <c r="E33" t="s">
        <v>531</v>
      </c>
      <c r="F33" t="s">
        <v>532</v>
      </c>
      <c r="G33" s="1">
        <v>41760</v>
      </c>
      <c r="H33" t="s">
        <v>949</v>
      </c>
      <c r="I33" t="s">
        <v>1083</v>
      </c>
      <c r="J33" t="s">
        <v>1042</v>
      </c>
      <c r="K33">
        <v>230</v>
      </c>
      <c r="L33" t="s">
        <v>1043</v>
      </c>
      <c r="M33" t="s">
        <v>1044</v>
      </c>
      <c r="N33" s="1">
        <v>44445</v>
      </c>
      <c r="W33" s="1"/>
    </row>
    <row r="34" spans="1:24">
      <c r="A34" t="b">
        <f>_xlfn.IFNA(VLOOKUP(D34,Spelerslijst!A:B,1,FALSE),FALSE)</f>
        <v>0</v>
      </c>
      <c r="B34" t="str">
        <f>_xlfn.IFNA(VLOOKUP(D34,Spelerslijst!K:L,1,FALSE),FALSE)</f>
        <v>NMN66T9</v>
      </c>
      <c r="C34" t="str">
        <f t="shared" si="0"/>
        <v/>
      </c>
      <c r="D34" t="s">
        <v>536</v>
      </c>
      <c r="E34" t="s">
        <v>537</v>
      </c>
      <c r="F34" t="s">
        <v>419</v>
      </c>
      <c r="G34" s="1">
        <v>41760</v>
      </c>
      <c r="H34" t="s">
        <v>949</v>
      </c>
      <c r="I34" t="s">
        <v>1083</v>
      </c>
      <c r="J34" t="s">
        <v>1042</v>
      </c>
      <c r="K34">
        <v>230</v>
      </c>
      <c r="L34" t="s">
        <v>1043</v>
      </c>
      <c r="M34" t="s">
        <v>1044</v>
      </c>
      <c r="N34" s="1">
        <v>44445</v>
      </c>
      <c r="W34" s="1"/>
    </row>
    <row r="35" spans="1:24">
      <c r="A35" t="b">
        <f>_xlfn.IFNA(VLOOKUP(D35,Spelerslijst!A:B,1,FALSE),FALSE)</f>
        <v>0</v>
      </c>
      <c r="B35" t="str">
        <f>_xlfn.IFNA(VLOOKUP(D35,Spelerslijst!K:L,1,FALSE),FALSE)</f>
        <v>NMN65L0</v>
      </c>
      <c r="C35" t="str">
        <f t="shared" si="0"/>
        <v/>
      </c>
      <c r="D35" t="s">
        <v>519</v>
      </c>
      <c r="E35" t="s">
        <v>520</v>
      </c>
      <c r="F35" t="s">
        <v>521</v>
      </c>
      <c r="G35" s="1">
        <v>41662</v>
      </c>
      <c r="H35" t="s">
        <v>949</v>
      </c>
      <c r="I35" t="s">
        <v>1084</v>
      </c>
      <c r="J35" t="s">
        <v>1042</v>
      </c>
      <c r="K35">
        <v>230</v>
      </c>
      <c r="L35" t="s">
        <v>1043</v>
      </c>
      <c r="M35" t="s">
        <v>1044</v>
      </c>
      <c r="N35" s="1">
        <v>44445</v>
      </c>
      <c r="W35" s="1"/>
    </row>
    <row r="36" spans="1:24">
      <c r="A36" t="b">
        <f>_xlfn.IFNA(VLOOKUP(D36,Spelerslijst!A:B,1,FALSE),FALSE)</f>
        <v>0</v>
      </c>
      <c r="B36" t="str">
        <f>_xlfn.IFNA(VLOOKUP(D36,Spelerslijst!K:L,1,FALSE),FALSE)</f>
        <v>NJF24X2</v>
      </c>
      <c r="C36" t="str">
        <f t="shared" si="0"/>
        <v/>
      </c>
      <c r="D36" t="s">
        <v>659</v>
      </c>
      <c r="E36" t="s">
        <v>660</v>
      </c>
      <c r="F36" t="s">
        <v>280</v>
      </c>
      <c r="G36" s="1">
        <v>35246</v>
      </c>
      <c r="H36" t="s">
        <v>949</v>
      </c>
      <c r="I36" t="s">
        <v>1085</v>
      </c>
      <c r="J36" t="s">
        <v>1042</v>
      </c>
      <c r="K36">
        <v>200</v>
      </c>
      <c r="L36" t="s">
        <v>1043</v>
      </c>
      <c r="M36" t="s">
        <v>1044</v>
      </c>
      <c r="N36" s="1">
        <v>37650</v>
      </c>
      <c r="W36" s="1"/>
    </row>
    <row r="37" spans="1:24">
      <c r="A37" t="str">
        <f>_xlfn.IFNA(VLOOKUP(D37,Spelerslijst!A:B,1,FALSE),FALSE)</f>
        <v>NKJ95L7</v>
      </c>
      <c r="B37" t="b">
        <f>_xlfn.IFNA(VLOOKUP(D37,Spelerslijst!K:L,1,FALSE),FALSE)</f>
        <v>0</v>
      </c>
      <c r="C37" t="str">
        <f t="shared" si="0"/>
        <v/>
      </c>
      <c r="D37" t="s">
        <v>716</v>
      </c>
      <c r="E37" t="s">
        <v>717</v>
      </c>
      <c r="F37" t="s">
        <v>718</v>
      </c>
      <c r="G37" s="1">
        <v>37307</v>
      </c>
      <c r="H37" t="s">
        <v>1046</v>
      </c>
      <c r="I37" t="s">
        <v>1086</v>
      </c>
      <c r="J37" t="s">
        <v>1042</v>
      </c>
      <c r="K37">
        <v>200</v>
      </c>
      <c r="L37" t="s">
        <v>1043</v>
      </c>
      <c r="M37" t="s">
        <v>1044</v>
      </c>
      <c r="N37" s="1">
        <v>39753</v>
      </c>
      <c r="W37" s="1"/>
    </row>
    <row r="38" spans="1:24">
      <c r="A38" t="b">
        <f>_xlfn.IFNA(VLOOKUP(D38,Spelerslijst!A:B,1,FALSE),FALSE)</f>
        <v>0</v>
      </c>
      <c r="B38" t="str">
        <f>_xlfn.IFNA(VLOOKUP(D38,Spelerslijst!K:L,1,FALSE),FALSE)</f>
        <v>NJC17J5</v>
      </c>
      <c r="C38" t="str">
        <f t="shared" si="0"/>
        <v/>
      </c>
      <c r="D38" t="s">
        <v>683</v>
      </c>
      <c r="E38" t="s">
        <v>684</v>
      </c>
      <c r="F38" t="s">
        <v>207</v>
      </c>
      <c r="G38" s="1">
        <v>34711</v>
      </c>
      <c r="H38" t="s">
        <v>949</v>
      </c>
      <c r="I38" t="s">
        <v>1087</v>
      </c>
      <c r="J38" t="s">
        <v>1042</v>
      </c>
      <c r="K38">
        <v>200</v>
      </c>
      <c r="L38" t="s">
        <v>1043</v>
      </c>
      <c r="M38" t="s">
        <v>1044</v>
      </c>
      <c r="N38" s="1">
        <v>37153</v>
      </c>
      <c r="W38" s="1"/>
    </row>
    <row r="39" spans="1:24">
      <c r="A39" t="str">
        <f>_xlfn.IFNA(VLOOKUP(D39,Spelerslijst!A:B,1,FALSE),FALSE)</f>
        <v>NJF17P0</v>
      </c>
      <c r="B39" t="b">
        <f>_xlfn.IFNA(VLOOKUP(D39,Spelerslijst!K:L,1,FALSE),FALSE)</f>
        <v>0</v>
      </c>
      <c r="C39" t="str">
        <f t="shared" si="0"/>
        <v/>
      </c>
      <c r="D39" t="s">
        <v>769</v>
      </c>
      <c r="E39" t="s">
        <v>770</v>
      </c>
      <c r="F39" t="s">
        <v>280</v>
      </c>
      <c r="G39" s="1">
        <v>35195</v>
      </c>
      <c r="H39" t="s">
        <v>1046</v>
      </c>
      <c r="I39" t="s">
        <v>1088</v>
      </c>
      <c r="J39" t="s">
        <v>1042</v>
      </c>
      <c r="K39">
        <v>200</v>
      </c>
      <c r="L39" t="s">
        <v>1043</v>
      </c>
      <c r="M39" t="s">
        <v>1044</v>
      </c>
      <c r="N39" s="1">
        <v>37502</v>
      </c>
      <c r="W39" s="1"/>
    </row>
    <row r="40" spans="1:24">
      <c r="A40" t="str">
        <f>_xlfn.IFNA(VLOOKUP(D40,Spelerslijst!A:B,1,FALSE),FALSE)</f>
        <v>NLG57M4</v>
      </c>
      <c r="B40" t="b">
        <f>_xlfn.IFNA(VLOOKUP(D40,Spelerslijst!K:L,1,FALSE),FALSE)</f>
        <v>0</v>
      </c>
      <c r="C40" t="str">
        <f t="shared" si="0"/>
        <v/>
      </c>
      <c r="D40" t="s">
        <v>924</v>
      </c>
      <c r="E40" t="s">
        <v>925</v>
      </c>
      <c r="F40" t="s">
        <v>114</v>
      </c>
      <c r="G40" s="1">
        <v>39006</v>
      </c>
      <c r="H40" t="s">
        <v>1046</v>
      </c>
      <c r="I40" t="s">
        <v>1089</v>
      </c>
      <c r="J40" t="s">
        <v>1048</v>
      </c>
      <c r="K40">
        <v>210</v>
      </c>
      <c r="L40" t="s">
        <v>1043</v>
      </c>
      <c r="M40" t="s">
        <v>1044</v>
      </c>
      <c r="N40" s="1">
        <v>41518</v>
      </c>
      <c r="W40" s="1"/>
      <c r="X40" s="1"/>
    </row>
    <row r="41" spans="1:24">
      <c r="A41" t="str">
        <f>_xlfn.IFNA(VLOOKUP(D41,Spelerslijst!A:B,1,FALSE),FALSE)</f>
        <v>NLP78D3</v>
      </c>
      <c r="B41" t="b">
        <f>_xlfn.IFNA(VLOOKUP(D41,Spelerslijst!K:L,1,FALSE),FALSE)</f>
        <v>0</v>
      </c>
      <c r="C41" t="str">
        <f t="shared" si="0"/>
        <v/>
      </c>
      <c r="D41" t="s">
        <v>208</v>
      </c>
      <c r="E41" t="s">
        <v>209</v>
      </c>
      <c r="F41" t="s">
        <v>210</v>
      </c>
      <c r="G41" s="1">
        <v>39629</v>
      </c>
      <c r="H41" t="s">
        <v>1046</v>
      </c>
      <c r="I41" t="s">
        <v>1090</v>
      </c>
      <c r="J41" t="s">
        <v>1042</v>
      </c>
      <c r="K41">
        <v>220</v>
      </c>
      <c r="L41" t="s">
        <v>1043</v>
      </c>
      <c r="M41" t="s">
        <v>1044</v>
      </c>
      <c r="N41" s="1">
        <v>42248</v>
      </c>
      <c r="W41" s="1"/>
    </row>
    <row r="42" spans="1:24">
      <c r="A42" t="str">
        <f>_xlfn.IFNA(VLOOKUP(D42,Spelerslijst!A:B,1,FALSE),FALSE)</f>
        <v>NMH37W2</v>
      </c>
      <c r="B42" t="b">
        <f>_xlfn.IFNA(VLOOKUP(D42,Spelerslijst!K:L,1,FALSE),FALSE)</f>
        <v>0</v>
      </c>
      <c r="C42" t="str">
        <f t="shared" si="0"/>
        <v/>
      </c>
      <c r="D42" t="s">
        <v>538</v>
      </c>
      <c r="E42" t="s">
        <v>539</v>
      </c>
      <c r="F42" t="s">
        <v>540</v>
      </c>
      <c r="G42" s="1">
        <v>41662</v>
      </c>
      <c r="H42" t="s">
        <v>1046</v>
      </c>
      <c r="I42" t="s">
        <v>1091</v>
      </c>
      <c r="J42" t="s">
        <v>1042</v>
      </c>
      <c r="K42">
        <v>230</v>
      </c>
      <c r="L42" t="s">
        <v>1043</v>
      </c>
      <c r="M42" t="s">
        <v>1044</v>
      </c>
      <c r="N42" s="1">
        <v>43749</v>
      </c>
      <c r="W42" s="1"/>
    </row>
    <row r="43" spans="1:24">
      <c r="A43" t="b">
        <f>_xlfn.IFNA(VLOOKUP(D43,Spelerslijst!A:B,1,FALSE),FALSE)</f>
        <v>0</v>
      </c>
      <c r="B43" t="str">
        <f>_xlfn.IFNA(VLOOKUP(D43,Spelerslijst!K:L,1,FALSE),FALSE)</f>
        <v>NMV37K2</v>
      </c>
      <c r="C43" t="str">
        <f t="shared" si="0"/>
        <v/>
      </c>
      <c r="D43" t="s">
        <v>388</v>
      </c>
      <c r="E43" t="s">
        <v>389</v>
      </c>
      <c r="F43" t="s">
        <v>390</v>
      </c>
      <c r="G43" s="1">
        <v>40307</v>
      </c>
      <c r="H43" t="s">
        <v>949</v>
      </c>
      <c r="I43" t="s">
        <v>1091</v>
      </c>
      <c r="J43" t="s">
        <v>1042</v>
      </c>
      <c r="K43">
        <v>220</v>
      </c>
      <c r="L43" t="s">
        <v>1043</v>
      </c>
      <c r="M43" t="s">
        <v>1044</v>
      </c>
      <c r="N43" s="1">
        <v>45044</v>
      </c>
      <c r="W43" s="1"/>
    </row>
    <row r="44" spans="1:24">
      <c r="A44" t="str">
        <f>_xlfn.IFNA(VLOOKUP(D44,Spelerslijst!A:B,1,FALSE),FALSE)</f>
        <v>NLP78G4</v>
      </c>
      <c r="B44" t="b">
        <f>_xlfn.IFNA(VLOOKUP(D44,Spelerslijst!K:L,1,FALSE),FALSE)</f>
        <v>0</v>
      </c>
      <c r="C44" t="str">
        <f t="shared" si="0"/>
        <v/>
      </c>
      <c r="D44" t="s">
        <v>144</v>
      </c>
      <c r="E44" t="s">
        <v>145</v>
      </c>
      <c r="F44" t="s">
        <v>146</v>
      </c>
      <c r="G44" s="1">
        <v>39274</v>
      </c>
      <c r="H44" t="s">
        <v>1046</v>
      </c>
      <c r="I44" t="s">
        <v>1092</v>
      </c>
      <c r="J44" t="s">
        <v>1042</v>
      </c>
      <c r="K44">
        <v>220</v>
      </c>
      <c r="L44" t="s">
        <v>1043</v>
      </c>
      <c r="M44" t="s">
        <v>1044</v>
      </c>
      <c r="N44" s="1">
        <v>42248</v>
      </c>
      <c r="W44" s="1"/>
    </row>
    <row r="45" spans="1:24">
      <c r="A45" t="b">
        <f>_xlfn.IFNA(VLOOKUP(D45,Spelerslijst!A:B,1,FALSE),FALSE)</f>
        <v>0</v>
      </c>
      <c r="B45" t="str">
        <f>_xlfn.IFNA(VLOOKUP(D45,Spelerslijst!K:L,1,FALSE),FALSE)</f>
        <v>NMV71X5</v>
      </c>
      <c r="C45" t="str">
        <f t="shared" si="0"/>
        <v/>
      </c>
      <c r="D45" t="s">
        <v>560</v>
      </c>
      <c r="E45" t="s">
        <v>561</v>
      </c>
      <c r="F45" t="s">
        <v>562</v>
      </c>
      <c r="G45" s="1">
        <v>42901</v>
      </c>
      <c r="H45" t="s">
        <v>949</v>
      </c>
      <c r="I45" t="s">
        <v>1093</v>
      </c>
      <c r="J45" t="s">
        <v>1042</v>
      </c>
      <c r="K45">
        <v>240</v>
      </c>
      <c r="L45" t="s">
        <v>1043</v>
      </c>
      <c r="M45" t="s">
        <v>1044</v>
      </c>
      <c r="N45" s="1">
        <v>45084</v>
      </c>
      <c r="W45" s="1"/>
    </row>
    <row r="46" spans="1:24">
      <c r="A46" t="b">
        <f>_xlfn.IFNA(VLOOKUP(D46,Spelerslijst!A:B,1,FALSE),FALSE)</f>
        <v>0</v>
      </c>
      <c r="B46" t="str">
        <f>_xlfn.IFNA(VLOOKUP(D46,Spelerslijst!K:L,1,FALSE),FALSE)</f>
        <v>NMK85P5</v>
      </c>
      <c r="C46" t="str">
        <f t="shared" si="0"/>
        <v/>
      </c>
      <c r="D46" t="s">
        <v>308</v>
      </c>
      <c r="E46" t="s">
        <v>309</v>
      </c>
      <c r="F46" t="s">
        <v>310</v>
      </c>
      <c r="G46" s="1">
        <v>39996</v>
      </c>
      <c r="H46" t="s">
        <v>949</v>
      </c>
      <c r="I46" t="s">
        <v>1094</v>
      </c>
      <c r="J46" t="s">
        <v>1042</v>
      </c>
      <c r="K46">
        <v>220</v>
      </c>
      <c r="L46" t="s">
        <v>1043</v>
      </c>
      <c r="M46" t="s">
        <v>1044</v>
      </c>
      <c r="N46" s="1">
        <v>44089</v>
      </c>
      <c r="W46" s="1"/>
    </row>
    <row r="47" spans="1:24">
      <c r="A47" t="b">
        <f>_xlfn.IFNA(VLOOKUP(D47,Spelerslijst!A:B,1,FALSE),FALSE)</f>
        <v>0</v>
      </c>
      <c r="B47" t="str">
        <f>_xlfn.IFNA(VLOOKUP(D47,Spelerslijst!K:L,1,FALSE),FALSE)</f>
        <v>NMV70H0</v>
      </c>
      <c r="C47" t="str">
        <f t="shared" si="0"/>
        <v/>
      </c>
      <c r="D47" t="s">
        <v>556</v>
      </c>
      <c r="E47" t="s">
        <v>557</v>
      </c>
      <c r="F47" t="s">
        <v>310</v>
      </c>
      <c r="G47" s="1">
        <v>42324</v>
      </c>
      <c r="H47" t="s">
        <v>949</v>
      </c>
      <c r="I47" t="s">
        <v>1095</v>
      </c>
      <c r="J47" t="s">
        <v>1042</v>
      </c>
      <c r="K47">
        <v>230</v>
      </c>
      <c r="L47" t="s">
        <v>1043</v>
      </c>
      <c r="M47" t="s">
        <v>1044</v>
      </c>
      <c r="N47" s="1">
        <v>45170</v>
      </c>
      <c r="W47" s="1"/>
    </row>
    <row r="48" spans="1:24">
      <c r="A48" t="b">
        <f>_xlfn.IFNA(VLOOKUP(D48,Spelerslijst!A:B,1,FALSE),FALSE)</f>
        <v>0</v>
      </c>
      <c r="B48" t="str">
        <f>_xlfn.IFNA(VLOOKUP(D48,Spelerslijst!K:L,1,FALSE),FALSE)</f>
        <v>NKQ40P2</v>
      </c>
      <c r="C48" t="str">
        <f t="shared" si="0"/>
        <v/>
      </c>
      <c r="D48" t="s">
        <v>688</v>
      </c>
      <c r="E48" t="s">
        <v>689</v>
      </c>
      <c r="F48" t="s">
        <v>690</v>
      </c>
      <c r="G48" s="1">
        <v>30994</v>
      </c>
      <c r="H48" t="s">
        <v>949</v>
      </c>
      <c r="I48" t="s">
        <v>1096</v>
      </c>
      <c r="J48" t="s">
        <v>1042</v>
      </c>
      <c r="K48">
        <v>200</v>
      </c>
      <c r="L48" t="s">
        <v>1043</v>
      </c>
      <c r="M48" t="s">
        <v>1044</v>
      </c>
      <c r="N48" s="1">
        <v>40057</v>
      </c>
      <c r="W48" s="1"/>
    </row>
    <row r="49" spans="1:24">
      <c r="A49" t="str">
        <f>_xlfn.IFNA(VLOOKUP(D49,Spelerslijst!A:B,1,FALSE),FALSE)</f>
        <v>NMS99T8</v>
      </c>
      <c r="B49" t="b">
        <f>_xlfn.IFNA(VLOOKUP(D49,Spelerslijst!K:L,1,FALSE),FALSE)</f>
        <v>0</v>
      </c>
      <c r="C49" t="str">
        <f t="shared" si="0"/>
        <v/>
      </c>
      <c r="D49" t="s">
        <v>558</v>
      </c>
      <c r="E49" t="s">
        <v>559</v>
      </c>
      <c r="F49" t="s">
        <v>342</v>
      </c>
      <c r="G49" s="1">
        <v>42111</v>
      </c>
      <c r="H49" t="s">
        <v>1046</v>
      </c>
      <c r="I49" t="s">
        <v>1097</v>
      </c>
      <c r="J49" t="s">
        <v>1042</v>
      </c>
      <c r="K49">
        <v>230</v>
      </c>
      <c r="L49" t="s">
        <v>1043</v>
      </c>
      <c r="M49" t="s">
        <v>1044</v>
      </c>
      <c r="N49" s="1">
        <v>44886</v>
      </c>
      <c r="W49" s="1"/>
    </row>
    <row r="50" spans="1:24">
      <c r="A50" t="b">
        <f>_xlfn.IFNA(VLOOKUP(D50,Spelerslijst!A:B,1,FALSE),FALSE)</f>
        <v>0</v>
      </c>
      <c r="B50" t="str">
        <f>_xlfn.IFNA(VLOOKUP(D50,Spelerslijst!K:L,1,FALSE),FALSE)</f>
        <v>NMG18G2</v>
      </c>
      <c r="C50" t="str">
        <f t="shared" si="0"/>
        <v/>
      </c>
      <c r="D50" t="s">
        <v>314</v>
      </c>
      <c r="E50" t="s">
        <v>315</v>
      </c>
      <c r="F50" t="s">
        <v>316</v>
      </c>
      <c r="G50" s="1">
        <v>40557</v>
      </c>
      <c r="H50" t="s">
        <v>949</v>
      </c>
      <c r="I50" t="s">
        <v>1098</v>
      </c>
      <c r="J50" t="s">
        <v>1042</v>
      </c>
      <c r="K50">
        <v>230</v>
      </c>
      <c r="L50" t="s">
        <v>1043</v>
      </c>
      <c r="M50" t="s">
        <v>1044</v>
      </c>
      <c r="N50" s="1">
        <v>43646</v>
      </c>
      <c r="W50" s="1"/>
    </row>
    <row r="51" spans="1:24">
      <c r="A51" t="str">
        <f>_xlfn.IFNA(VLOOKUP(D51,Spelerslijst!A:B,1,FALSE),FALSE)</f>
        <v>NKQ40Q9</v>
      </c>
      <c r="B51" t="b">
        <f>_xlfn.IFNA(VLOOKUP(D51,Spelerslijst!K:L,1,FALSE),FALSE)</f>
        <v>0</v>
      </c>
      <c r="C51" t="str">
        <f t="shared" si="0"/>
        <v/>
      </c>
      <c r="D51" t="s">
        <v>916</v>
      </c>
      <c r="E51" t="s">
        <v>917</v>
      </c>
      <c r="F51" t="s">
        <v>918</v>
      </c>
      <c r="G51" s="1">
        <v>38011</v>
      </c>
      <c r="H51" t="s">
        <v>1046</v>
      </c>
      <c r="I51" t="s">
        <v>1099</v>
      </c>
      <c r="J51" t="s">
        <v>1048</v>
      </c>
      <c r="K51">
        <v>210</v>
      </c>
      <c r="L51" t="s">
        <v>1043</v>
      </c>
      <c r="M51" t="s">
        <v>1044</v>
      </c>
      <c r="N51" s="1">
        <v>40238</v>
      </c>
      <c r="W51" s="1"/>
      <c r="X51" s="1"/>
    </row>
    <row r="52" spans="1:24">
      <c r="A52" t="str">
        <f>_xlfn.IFNA(VLOOKUP(D52,Spelerslijst!A:B,1,FALSE),FALSE)</f>
        <v>NKW52X5</v>
      </c>
      <c r="B52" t="b">
        <f>_xlfn.IFNA(VLOOKUP(D52,Spelerslijst!K:L,1,FALSE),FALSE)</f>
        <v>0</v>
      </c>
      <c r="C52" t="str">
        <f t="shared" si="0"/>
        <v/>
      </c>
      <c r="D52" t="s">
        <v>905</v>
      </c>
      <c r="E52" t="s">
        <v>906</v>
      </c>
      <c r="F52" t="s">
        <v>907</v>
      </c>
      <c r="G52" s="1">
        <v>39205</v>
      </c>
      <c r="H52" t="s">
        <v>1046</v>
      </c>
      <c r="I52" t="s">
        <v>1100</v>
      </c>
      <c r="J52" t="s">
        <v>1048</v>
      </c>
      <c r="K52">
        <v>220</v>
      </c>
      <c r="L52" t="s">
        <v>1043</v>
      </c>
      <c r="M52" t="s">
        <v>1044</v>
      </c>
      <c r="N52" s="1">
        <v>40787</v>
      </c>
      <c r="W52" s="1"/>
      <c r="X52" s="1"/>
    </row>
    <row r="53" spans="1:24">
      <c r="A53" t="b">
        <f>_xlfn.IFNA(VLOOKUP(D53,Spelerslijst!A:B,1,FALSE),FALSE)</f>
        <v>0</v>
      </c>
      <c r="B53" t="str">
        <f>_xlfn.IFNA(VLOOKUP(D53,Spelerslijst!K:L,1,FALSE),FALSE)</f>
        <v>NLD36P9</v>
      </c>
      <c r="C53" t="str">
        <f t="shared" si="0"/>
        <v/>
      </c>
      <c r="D53" t="s">
        <v>269</v>
      </c>
      <c r="E53" t="s">
        <v>270</v>
      </c>
      <c r="F53" t="s">
        <v>271</v>
      </c>
      <c r="G53" s="1">
        <v>39655</v>
      </c>
      <c r="H53" t="s">
        <v>949</v>
      </c>
      <c r="I53" t="s">
        <v>1101</v>
      </c>
      <c r="J53" t="s">
        <v>1042</v>
      </c>
      <c r="K53">
        <v>220</v>
      </c>
      <c r="L53" t="s">
        <v>1043</v>
      </c>
      <c r="M53" t="s">
        <v>1044</v>
      </c>
      <c r="N53" s="1">
        <v>41214</v>
      </c>
      <c r="W53" s="1"/>
    </row>
    <row r="54" spans="1:24">
      <c r="A54" t="b">
        <f>_xlfn.IFNA(VLOOKUP(D54,Spelerslijst!A:B,1,FALSE),FALSE)</f>
        <v>0</v>
      </c>
      <c r="B54" t="str">
        <f>_xlfn.IFNA(VLOOKUP(D54,Spelerslijst!K:L,1,FALSE),FALSE)</f>
        <v>NKT15G2</v>
      </c>
      <c r="C54" t="str">
        <f t="shared" si="0"/>
        <v/>
      </c>
      <c r="D54" t="s">
        <v>873</v>
      </c>
      <c r="E54" t="s">
        <v>874</v>
      </c>
      <c r="F54" t="s">
        <v>572</v>
      </c>
      <c r="G54" s="1">
        <v>38150</v>
      </c>
      <c r="H54" t="s">
        <v>949</v>
      </c>
      <c r="I54" t="s">
        <v>1102</v>
      </c>
      <c r="J54" t="s">
        <v>1048</v>
      </c>
      <c r="K54">
        <v>210</v>
      </c>
      <c r="L54" t="s">
        <v>1043</v>
      </c>
      <c r="M54" t="s">
        <v>1044</v>
      </c>
      <c r="N54" s="1">
        <v>40452</v>
      </c>
      <c r="W54" s="1"/>
      <c r="X54" s="1"/>
    </row>
    <row r="55" spans="1:24">
      <c r="A55" t="b">
        <f>_xlfn.IFNA(VLOOKUP(D55,Spelerslijst!A:B,1,FALSE),FALSE)</f>
        <v>0</v>
      </c>
      <c r="B55" t="str">
        <f>_xlfn.IFNA(VLOOKUP(D55,Spelerslijst!K:L,1,FALSE),FALSE)</f>
        <v>NMN39T3</v>
      </c>
      <c r="C55" t="str">
        <f t="shared" si="0"/>
        <v/>
      </c>
      <c r="D55" t="s">
        <v>541</v>
      </c>
      <c r="E55" t="s">
        <v>542</v>
      </c>
      <c r="F55" t="s">
        <v>543</v>
      </c>
      <c r="G55" s="1">
        <v>42040</v>
      </c>
      <c r="H55" t="s">
        <v>949</v>
      </c>
      <c r="I55" t="s">
        <v>1103</v>
      </c>
      <c r="J55" t="s">
        <v>1042</v>
      </c>
      <c r="K55">
        <v>230</v>
      </c>
      <c r="L55" t="s">
        <v>1043</v>
      </c>
      <c r="M55" t="s">
        <v>1044</v>
      </c>
      <c r="N55" s="1">
        <v>44426</v>
      </c>
      <c r="W55" s="1"/>
    </row>
    <row r="56" spans="1:24">
      <c r="A56" t="str">
        <f>_xlfn.IFNA(VLOOKUP(D56,Spelerslijst!A:B,1,FALSE),FALSE)</f>
        <v>NMJ53F3</v>
      </c>
      <c r="B56" t="b">
        <f>_xlfn.IFNA(VLOOKUP(D56,Spelerslijst!K:L,1,FALSE),FALSE)</f>
        <v>0</v>
      </c>
      <c r="C56" t="str">
        <f t="shared" si="0"/>
        <v/>
      </c>
      <c r="D56" t="s">
        <v>322</v>
      </c>
      <c r="E56" t="s">
        <v>323</v>
      </c>
      <c r="F56" t="s">
        <v>324</v>
      </c>
      <c r="G56" s="1">
        <v>41167</v>
      </c>
      <c r="H56" t="s">
        <v>1046</v>
      </c>
      <c r="I56" t="s">
        <v>1104</v>
      </c>
      <c r="J56" t="s">
        <v>1042</v>
      </c>
      <c r="K56">
        <v>230</v>
      </c>
      <c r="L56" t="s">
        <v>1043</v>
      </c>
      <c r="M56" t="s">
        <v>1044</v>
      </c>
      <c r="N56" s="1">
        <v>43890</v>
      </c>
      <c r="W56" s="1"/>
    </row>
    <row r="57" spans="1:24">
      <c r="A57" t="b">
        <f>_xlfn.IFNA(VLOOKUP(D57,Spelerslijst!A:B,1,FALSE),FALSE)</f>
        <v>0</v>
      </c>
      <c r="B57" t="str">
        <f>_xlfn.IFNA(VLOOKUP(D57,Spelerslijst!K:L,1,FALSE),FALSE)</f>
        <v>NJH51W3</v>
      </c>
      <c r="C57" t="str">
        <f t="shared" si="0"/>
        <v/>
      </c>
      <c r="D57" t="s">
        <v>211</v>
      </c>
      <c r="E57" t="s">
        <v>212</v>
      </c>
      <c r="F57" t="s">
        <v>213</v>
      </c>
      <c r="G57" s="1">
        <v>35488</v>
      </c>
      <c r="H57" t="s">
        <v>949</v>
      </c>
      <c r="I57" t="s">
        <v>1105</v>
      </c>
      <c r="J57" t="s">
        <v>1042</v>
      </c>
      <c r="K57">
        <v>202</v>
      </c>
      <c r="M57" t="s">
        <v>1067</v>
      </c>
      <c r="N57" s="1">
        <v>38200</v>
      </c>
      <c r="W57" s="1"/>
    </row>
    <row r="58" spans="1:24">
      <c r="A58" t="b">
        <f>_xlfn.IFNA(VLOOKUP(D58,Spelerslijst!A:B,1,FALSE),FALSE)</f>
        <v>0</v>
      </c>
      <c r="B58" t="str">
        <f>_xlfn.IFNA(VLOOKUP(D58,Spelerslijst!K:L,1,FALSE),FALSE)</f>
        <v>NMV01T2</v>
      </c>
      <c r="C58" t="str">
        <f t="shared" si="0"/>
        <v/>
      </c>
      <c r="D58" t="s">
        <v>546</v>
      </c>
      <c r="E58" t="s">
        <v>547</v>
      </c>
      <c r="F58" t="s">
        <v>219</v>
      </c>
      <c r="G58" s="1">
        <v>42156</v>
      </c>
      <c r="H58" t="s">
        <v>949</v>
      </c>
      <c r="I58" t="s">
        <v>1106</v>
      </c>
      <c r="J58" t="s">
        <v>1042</v>
      </c>
      <c r="K58">
        <v>230</v>
      </c>
      <c r="L58" t="s">
        <v>1043</v>
      </c>
      <c r="M58" t="s">
        <v>1044</v>
      </c>
      <c r="N58" s="1">
        <v>45008</v>
      </c>
      <c r="W58" s="1"/>
    </row>
    <row r="59" spans="1:24">
      <c r="A59" t="b">
        <f>_xlfn.IFNA(VLOOKUP(D59,Spelerslijst!A:B,1,FALSE),FALSE)</f>
        <v>0</v>
      </c>
      <c r="B59" t="str">
        <f>_xlfn.IFNA(VLOOKUP(D59,Spelerslijst!K:L,1,FALSE),FALSE)</f>
        <v>NMC41W4</v>
      </c>
      <c r="C59" t="str">
        <f t="shared" si="0"/>
        <v/>
      </c>
      <c r="D59" t="s">
        <v>417</v>
      </c>
      <c r="E59" t="s">
        <v>418</v>
      </c>
      <c r="F59" t="s">
        <v>419</v>
      </c>
      <c r="G59" s="1">
        <v>40929</v>
      </c>
      <c r="H59" t="s">
        <v>949</v>
      </c>
      <c r="I59" t="s">
        <v>1107</v>
      </c>
      <c r="J59" t="s">
        <v>1042</v>
      </c>
      <c r="K59">
        <v>230</v>
      </c>
      <c r="L59" t="s">
        <v>1043</v>
      </c>
      <c r="M59" t="s">
        <v>1044</v>
      </c>
      <c r="N59" s="1">
        <v>43345</v>
      </c>
      <c r="W59" s="1"/>
    </row>
    <row r="60" spans="1:24">
      <c r="A60" t="b">
        <f>_xlfn.IFNA(VLOOKUP(D60,Spelerslijst!A:B,1,FALSE),FALSE)</f>
        <v>0</v>
      </c>
      <c r="B60" t="str">
        <f>_xlfn.IFNA(VLOOKUP(D60,Spelerslijst!K:L,1,FALSE),FALSE)</f>
        <v>NMK59H6</v>
      </c>
      <c r="C60" t="str">
        <f t="shared" si="0"/>
        <v/>
      </c>
      <c r="D60" t="s">
        <v>507</v>
      </c>
      <c r="E60" t="s">
        <v>508</v>
      </c>
      <c r="F60" t="s">
        <v>509</v>
      </c>
      <c r="G60" s="1">
        <v>41780</v>
      </c>
      <c r="H60" t="s">
        <v>949</v>
      </c>
      <c r="I60" t="s">
        <v>1107</v>
      </c>
      <c r="J60" t="s">
        <v>1042</v>
      </c>
      <c r="K60">
        <v>230</v>
      </c>
      <c r="L60" t="s">
        <v>1043</v>
      </c>
      <c r="M60" t="s">
        <v>1044</v>
      </c>
      <c r="N60" s="1">
        <v>44075</v>
      </c>
      <c r="W60" s="1"/>
    </row>
    <row r="61" spans="1:24">
      <c r="A61" t="b">
        <f>_xlfn.IFNA(VLOOKUP(D61,Spelerslijst!A:B,1,FALSE),FALSE)</f>
        <v>0</v>
      </c>
      <c r="B61" t="str">
        <f>_xlfn.IFNA(VLOOKUP(D61,Spelerslijst!K:L,1,FALSE),FALSE)</f>
        <v>NJZ00W3</v>
      </c>
      <c r="C61" t="str">
        <f t="shared" si="0"/>
        <v/>
      </c>
      <c r="D61" t="s">
        <v>668</v>
      </c>
      <c r="E61" t="s">
        <v>669</v>
      </c>
      <c r="F61" t="s">
        <v>231</v>
      </c>
      <c r="G61" s="1">
        <v>36567</v>
      </c>
      <c r="H61" t="s">
        <v>949</v>
      </c>
      <c r="I61" t="s">
        <v>1108</v>
      </c>
      <c r="J61" t="s">
        <v>1042</v>
      </c>
      <c r="K61">
        <v>200</v>
      </c>
      <c r="L61" t="s">
        <v>1043</v>
      </c>
      <c r="M61" t="s">
        <v>1044</v>
      </c>
      <c r="N61" s="1">
        <v>39142</v>
      </c>
      <c r="W61" s="1"/>
    </row>
    <row r="62" spans="1:24">
      <c r="A62" t="str">
        <f>_xlfn.IFNA(VLOOKUP(D62,Spelerslijst!A:B,1,FALSE),FALSE)</f>
        <v>NKY17P6</v>
      </c>
      <c r="B62" t="b">
        <f>_xlfn.IFNA(VLOOKUP(D62,Spelerslijst!K:L,1,FALSE),FALSE)</f>
        <v>0</v>
      </c>
      <c r="C62" t="str">
        <f t="shared" si="0"/>
        <v/>
      </c>
      <c r="D62" t="s">
        <v>115</v>
      </c>
      <c r="E62" t="s">
        <v>116</v>
      </c>
      <c r="F62" t="s">
        <v>117</v>
      </c>
      <c r="G62" s="1">
        <v>38432</v>
      </c>
      <c r="H62" t="s">
        <v>1046</v>
      </c>
      <c r="I62" t="s">
        <v>1109</v>
      </c>
      <c r="J62" t="s">
        <v>1042</v>
      </c>
      <c r="K62">
        <v>210</v>
      </c>
      <c r="L62" t="s">
        <v>1043</v>
      </c>
      <c r="M62" t="s">
        <v>1044</v>
      </c>
      <c r="N62" s="1">
        <v>40817</v>
      </c>
      <c r="W62" s="1"/>
    </row>
    <row r="63" spans="1:24">
      <c r="A63" t="str">
        <f>_xlfn.IFNA(VLOOKUP(D63,Spelerslijst!A:B,1,FALSE),FALSE)</f>
        <v>NKR20L5</v>
      </c>
      <c r="B63" t="b">
        <f>_xlfn.IFNA(VLOOKUP(D63,Spelerslijst!K:L,1,FALSE),FALSE)</f>
        <v>0</v>
      </c>
      <c r="C63" t="str">
        <f t="shared" si="0"/>
        <v/>
      </c>
      <c r="D63" t="s">
        <v>695</v>
      </c>
      <c r="E63" t="s">
        <v>696</v>
      </c>
      <c r="F63" t="s">
        <v>697</v>
      </c>
      <c r="G63" s="1">
        <v>37246</v>
      </c>
      <c r="H63" t="s">
        <v>1046</v>
      </c>
      <c r="I63" t="s">
        <v>1110</v>
      </c>
      <c r="J63" t="s">
        <v>1042</v>
      </c>
      <c r="K63">
        <v>200</v>
      </c>
      <c r="L63" t="s">
        <v>1043</v>
      </c>
      <c r="M63" t="s">
        <v>1044</v>
      </c>
      <c r="N63" s="1">
        <v>40422</v>
      </c>
      <c r="W63" s="1"/>
    </row>
    <row r="64" spans="1:24">
      <c r="A64" t="b">
        <f>_xlfn.IFNA(VLOOKUP(D64,Spelerslijst!A:B,1,FALSE),FALSE)</f>
        <v>0</v>
      </c>
      <c r="B64" t="str">
        <f>_xlfn.IFNA(VLOOKUP(D64,Spelerslijst!K:L,1,FALSE),FALSE)</f>
        <v>NKR20M2</v>
      </c>
      <c r="C64" t="str">
        <f t="shared" si="0"/>
        <v/>
      </c>
      <c r="D64" t="s">
        <v>884</v>
      </c>
      <c r="E64" t="s">
        <v>885</v>
      </c>
      <c r="F64" t="s">
        <v>231</v>
      </c>
      <c r="G64" s="1">
        <v>37932</v>
      </c>
      <c r="H64" t="s">
        <v>949</v>
      </c>
      <c r="I64" t="s">
        <v>1111</v>
      </c>
      <c r="J64" t="s">
        <v>1042</v>
      </c>
      <c r="K64">
        <v>200</v>
      </c>
      <c r="L64" t="s">
        <v>1043</v>
      </c>
      <c r="M64" t="s">
        <v>1044</v>
      </c>
      <c r="N64" s="1">
        <v>40422</v>
      </c>
      <c r="W64" s="1"/>
    </row>
    <row r="65" spans="1:24">
      <c r="A65" t="b">
        <f>_xlfn.IFNA(VLOOKUP(D65,Spelerslijst!A:B,1,FALSE),FALSE)</f>
        <v>0</v>
      </c>
      <c r="B65" t="str">
        <f>_xlfn.IFNA(VLOOKUP(D65,Spelerslijst!K:L,1,FALSE),FALSE)</f>
        <v>NKX66V9</v>
      </c>
      <c r="C65" t="str">
        <f t="shared" si="0"/>
        <v/>
      </c>
      <c r="D65" t="s">
        <v>171</v>
      </c>
      <c r="E65" t="s">
        <v>172</v>
      </c>
      <c r="F65" t="s">
        <v>173</v>
      </c>
      <c r="G65" s="1">
        <v>22358</v>
      </c>
      <c r="H65" t="s">
        <v>949</v>
      </c>
      <c r="I65" t="s">
        <v>1112</v>
      </c>
      <c r="J65" t="s">
        <v>1042</v>
      </c>
      <c r="K65">
        <v>202</v>
      </c>
      <c r="L65" t="s">
        <v>1043</v>
      </c>
      <c r="M65" t="s">
        <v>1067</v>
      </c>
      <c r="N65" s="1">
        <v>40787</v>
      </c>
      <c r="W65" s="1"/>
    </row>
    <row r="66" spans="1:24">
      <c r="A66" t="str">
        <f>_xlfn.IFNA(VLOOKUP(D66,Spelerslijst!A:B,1,FALSE),FALSE)</f>
        <v>NMN14R4</v>
      </c>
      <c r="B66" t="b">
        <f>_xlfn.IFNA(VLOOKUP(D66,Spelerslijst!K:L,1,FALSE),FALSE)</f>
        <v>0</v>
      </c>
      <c r="C66" t="str">
        <f t="shared" si="0"/>
        <v/>
      </c>
      <c r="D66" t="s">
        <v>488</v>
      </c>
      <c r="E66" t="s">
        <v>489</v>
      </c>
      <c r="F66" t="s">
        <v>490</v>
      </c>
      <c r="G66" s="1">
        <v>41323</v>
      </c>
      <c r="H66" t="s">
        <v>1046</v>
      </c>
      <c r="I66" t="s">
        <v>1113</v>
      </c>
      <c r="J66" t="s">
        <v>1042</v>
      </c>
      <c r="K66">
        <v>230</v>
      </c>
      <c r="L66" t="s">
        <v>1043</v>
      </c>
      <c r="M66" t="s">
        <v>1044</v>
      </c>
      <c r="N66" s="1">
        <v>44381</v>
      </c>
      <c r="W66" s="1"/>
    </row>
    <row r="67" spans="1:24">
      <c r="A67" t="b">
        <f>_xlfn.IFNA(VLOOKUP(D67,Spelerslijst!A:B,1,FALSE),FALSE)</f>
        <v>0</v>
      </c>
      <c r="B67" t="str">
        <f>_xlfn.IFNA(VLOOKUP(D67,Spelerslijst!K:L,1,FALSE),FALSE)</f>
        <v>NLG57P5</v>
      </c>
      <c r="C67" t="str">
        <f t="shared" ref="C67:C130" si="1">IF(AND(A67=FALSE,B67=FALSE),"Onbekend","")</f>
        <v/>
      </c>
      <c r="D67" t="s">
        <v>124</v>
      </c>
      <c r="E67" t="s">
        <v>1114</v>
      </c>
      <c r="F67" t="s">
        <v>126</v>
      </c>
      <c r="G67" s="1">
        <v>39239</v>
      </c>
      <c r="H67" t="s">
        <v>949</v>
      </c>
      <c r="I67" t="s">
        <v>1115</v>
      </c>
      <c r="J67" t="s">
        <v>1042</v>
      </c>
      <c r="K67">
        <v>220</v>
      </c>
      <c r="L67" t="s">
        <v>1043</v>
      </c>
      <c r="M67" t="s">
        <v>1044</v>
      </c>
      <c r="N67" s="1">
        <v>41518</v>
      </c>
      <c r="W67" s="1"/>
    </row>
    <row r="68" spans="1:24">
      <c r="A68" t="str">
        <f>_xlfn.IFNA(VLOOKUP(D68,Spelerslijst!A:B,1,FALSE),FALSE)</f>
        <v>NLT96R9</v>
      </c>
      <c r="B68" t="b">
        <f>_xlfn.IFNA(VLOOKUP(D68,Spelerslijst!K:L,1,FALSE),FALSE)</f>
        <v>0</v>
      </c>
      <c r="C68" t="str">
        <f t="shared" si="1"/>
        <v/>
      </c>
      <c r="D68" t="s">
        <v>220</v>
      </c>
      <c r="E68" t="s">
        <v>221</v>
      </c>
      <c r="F68" t="s">
        <v>222</v>
      </c>
      <c r="G68" s="1">
        <v>39751</v>
      </c>
      <c r="H68" t="s">
        <v>1046</v>
      </c>
      <c r="I68" t="s">
        <v>1116</v>
      </c>
      <c r="J68" t="s">
        <v>1042</v>
      </c>
      <c r="K68">
        <v>220</v>
      </c>
      <c r="L68" t="s">
        <v>1043</v>
      </c>
      <c r="M68" t="s">
        <v>1044</v>
      </c>
      <c r="N68" s="1">
        <v>42641</v>
      </c>
      <c r="W68" s="1"/>
    </row>
    <row r="69" spans="1:24">
      <c r="A69" t="b">
        <f>_xlfn.IFNA(VLOOKUP(D69,Spelerslijst!A:B,1,FALSE),FALSE)</f>
        <v>0</v>
      </c>
      <c r="B69" t="str">
        <f>_xlfn.IFNA(VLOOKUP(D69,Spelerslijst!K:L,1,FALSE),FALSE)</f>
        <v>NKT73W8</v>
      </c>
      <c r="C69" t="str">
        <f t="shared" si="1"/>
        <v/>
      </c>
      <c r="D69" t="s">
        <v>750</v>
      </c>
      <c r="E69" t="s">
        <v>751</v>
      </c>
      <c r="F69" t="s">
        <v>752</v>
      </c>
      <c r="G69" s="1">
        <v>36666</v>
      </c>
      <c r="H69" t="s">
        <v>949</v>
      </c>
      <c r="I69" t="s">
        <v>1117</v>
      </c>
      <c r="J69" t="s">
        <v>1042</v>
      </c>
      <c r="K69">
        <v>200</v>
      </c>
      <c r="L69" t="s">
        <v>1043</v>
      </c>
      <c r="M69" t="s">
        <v>1044</v>
      </c>
      <c r="N69" s="1">
        <v>40483</v>
      </c>
      <c r="W69" s="1"/>
    </row>
    <row r="70" spans="1:24">
      <c r="A70" t="str">
        <f>_xlfn.IFNA(VLOOKUP(D70,Spelerslijst!A:B,1,FALSE),FALSE)</f>
        <v>NMV75Z1</v>
      </c>
      <c r="B70" t="b">
        <f>_xlfn.IFNA(VLOOKUP(D70,Spelerslijst!K:L,1,FALSE),FALSE)</f>
        <v>0</v>
      </c>
      <c r="C70" t="str">
        <f t="shared" si="1"/>
        <v/>
      </c>
      <c r="D70" t="s">
        <v>638</v>
      </c>
      <c r="E70" t="s">
        <v>639</v>
      </c>
      <c r="F70" t="s">
        <v>640</v>
      </c>
      <c r="G70" s="1">
        <v>42713</v>
      </c>
      <c r="H70" t="s">
        <v>1046</v>
      </c>
      <c r="I70" t="s">
        <v>1118</v>
      </c>
      <c r="J70" t="s">
        <v>1042</v>
      </c>
      <c r="K70">
        <v>230</v>
      </c>
      <c r="L70" t="s">
        <v>1043</v>
      </c>
      <c r="M70" t="s">
        <v>1044</v>
      </c>
      <c r="N70" s="1">
        <v>45089</v>
      </c>
      <c r="W70" s="1"/>
    </row>
    <row r="71" spans="1:24">
      <c r="A71" t="str">
        <f>_xlfn.IFNA(VLOOKUP(D71,Spelerslijst!A:B,1,FALSE),FALSE)</f>
        <v>NKY54N3</v>
      </c>
      <c r="B71" t="b">
        <f>_xlfn.IFNA(VLOOKUP(D71,Spelerslijst!K:L,1,FALSE),FALSE)</f>
        <v>0</v>
      </c>
      <c r="C71" t="str">
        <f t="shared" si="1"/>
        <v/>
      </c>
      <c r="D71" t="s">
        <v>150</v>
      </c>
      <c r="E71" t="s">
        <v>151</v>
      </c>
      <c r="F71" t="s">
        <v>152</v>
      </c>
      <c r="G71" s="1">
        <v>39199</v>
      </c>
      <c r="H71" t="s">
        <v>1046</v>
      </c>
      <c r="I71" t="s">
        <v>1119</v>
      </c>
      <c r="J71" t="s">
        <v>1042</v>
      </c>
      <c r="K71">
        <v>220</v>
      </c>
      <c r="L71" t="s">
        <v>1043</v>
      </c>
      <c r="M71" t="s">
        <v>1044</v>
      </c>
      <c r="N71" s="1">
        <v>41944</v>
      </c>
      <c r="W71" s="1"/>
    </row>
    <row r="72" spans="1:24">
      <c r="A72" t="str">
        <f>_xlfn.IFNA(VLOOKUP(D72,Spelerslijst!A:B,1,FALSE),FALSE)</f>
        <v>NLM40K0</v>
      </c>
      <c r="B72" t="b">
        <f>_xlfn.IFNA(VLOOKUP(D72,Spelerslijst!K:L,1,FALSE),FALSE)</f>
        <v>0</v>
      </c>
      <c r="C72" t="str">
        <f t="shared" si="1"/>
        <v/>
      </c>
      <c r="D72" t="s">
        <v>350</v>
      </c>
      <c r="E72" t="s">
        <v>351</v>
      </c>
      <c r="F72" t="s">
        <v>352</v>
      </c>
      <c r="G72" s="1">
        <v>40512</v>
      </c>
      <c r="H72" t="s">
        <v>1046</v>
      </c>
      <c r="I72" t="s">
        <v>1120</v>
      </c>
      <c r="J72" t="s">
        <v>1042</v>
      </c>
      <c r="K72">
        <v>230</v>
      </c>
      <c r="L72" t="s">
        <v>1043</v>
      </c>
      <c r="M72" t="s">
        <v>1044</v>
      </c>
      <c r="N72" s="1">
        <v>41944</v>
      </c>
      <c r="W72" s="1"/>
    </row>
    <row r="73" spans="1:24">
      <c r="A73" t="str">
        <f>_xlfn.IFNA(VLOOKUP(D73,Spelerslijst!A:B,1,FALSE),FALSE)</f>
        <v>NKW49Y8</v>
      </c>
      <c r="B73" t="b">
        <f>_xlfn.IFNA(VLOOKUP(D73,Spelerslijst!K:L,1,FALSE),FALSE)</f>
        <v>0</v>
      </c>
      <c r="C73" t="str">
        <f t="shared" si="1"/>
        <v/>
      </c>
      <c r="D73" t="s">
        <v>914</v>
      </c>
      <c r="E73" t="s">
        <v>915</v>
      </c>
      <c r="F73" t="s">
        <v>246</v>
      </c>
      <c r="G73" s="1">
        <v>37712</v>
      </c>
      <c r="H73" t="s">
        <v>1046</v>
      </c>
      <c r="I73" t="s">
        <v>1121</v>
      </c>
      <c r="J73" t="s">
        <v>1048</v>
      </c>
      <c r="K73">
        <v>200</v>
      </c>
      <c r="L73" t="s">
        <v>1043</v>
      </c>
      <c r="M73" t="s">
        <v>1044</v>
      </c>
      <c r="N73" s="1">
        <v>40787</v>
      </c>
      <c r="W73" s="1"/>
      <c r="X73" s="1"/>
    </row>
    <row r="74" spans="1:24">
      <c r="A74" t="str">
        <f>_xlfn.IFNA(VLOOKUP(D74,Spelerslijst!A:B,1,FALSE),FALSE)</f>
        <v>NLP89W4</v>
      </c>
      <c r="B74" t="b">
        <f>_xlfn.IFNA(VLOOKUP(D74,Spelerslijst!K:L,1,FALSE),FALSE)</f>
        <v>0</v>
      </c>
      <c r="C74" t="str">
        <f t="shared" si="1"/>
        <v/>
      </c>
      <c r="D74" t="s">
        <v>340</v>
      </c>
      <c r="E74" t="s">
        <v>341</v>
      </c>
      <c r="F74" t="s">
        <v>342</v>
      </c>
      <c r="G74" s="1">
        <v>40227</v>
      </c>
      <c r="H74" t="s">
        <v>1046</v>
      </c>
      <c r="I74" t="s">
        <v>1122</v>
      </c>
      <c r="J74" t="s">
        <v>1042</v>
      </c>
      <c r="K74">
        <v>220</v>
      </c>
      <c r="L74" t="s">
        <v>1043</v>
      </c>
      <c r="M74" t="s">
        <v>1044</v>
      </c>
      <c r="N74" s="1">
        <v>42248</v>
      </c>
      <c r="W74" s="1"/>
    </row>
    <row r="75" spans="1:24">
      <c r="A75" t="b">
        <f>_xlfn.IFNA(VLOOKUP(D75,Spelerslijst!A:B,1,FALSE),FALSE)</f>
        <v>0</v>
      </c>
      <c r="B75" t="str">
        <f>_xlfn.IFNA(VLOOKUP(D75,Spelerslijst!K:L,1,FALSE),FALSE)</f>
        <v>NMN23L4</v>
      </c>
      <c r="C75" t="str">
        <f t="shared" si="1"/>
        <v/>
      </c>
      <c r="D75" t="s">
        <v>462</v>
      </c>
      <c r="E75" t="s">
        <v>463</v>
      </c>
      <c r="F75" t="s">
        <v>464</v>
      </c>
      <c r="G75" s="1">
        <v>41375</v>
      </c>
      <c r="H75" t="s">
        <v>949</v>
      </c>
      <c r="I75" t="s">
        <v>1123</v>
      </c>
      <c r="J75" t="s">
        <v>1042</v>
      </c>
      <c r="K75">
        <v>230</v>
      </c>
      <c r="L75" t="s">
        <v>1043</v>
      </c>
      <c r="M75" t="s">
        <v>1044</v>
      </c>
      <c r="N75" s="1">
        <v>44392</v>
      </c>
      <c r="W75" s="1"/>
    </row>
    <row r="76" spans="1:24">
      <c r="A76" t="str">
        <f>_xlfn.IFNA(VLOOKUP(D76,Spelerslijst!A:B,1,FALSE),FALSE)</f>
        <v>NMK12F1</v>
      </c>
      <c r="B76" t="b">
        <f>_xlfn.IFNA(VLOOKUP(D76,Spelerslijst!K:L,1,FALSE),FALSE)</f>
        <v>0</v>
      </c>
      <c r="C76" t="str">
        <f t="shared" si="1"/>
        <v/>
      </c>
      <c r="D76" t="s">
        <v>391</v>
      </c>
      <c r="E76" t="s">
        <v>392</v>
      </c>
      <c r="F76" t="s">
        <v>393</v>
      </c>
      <c r="G76" s="1">
        <v>40329</v>
      </c>
      <c r="H76" t="s">
        <v>1046</v>
      </c>
      <c r="I76" t="s">
        <v>1124</v>
      </c>
      <c r="J76" t="s">
        <v>1042</v>
      </c>
      <c r="K76">
        <v>220</v>
      </c>
      <c r="L76" t="s">
        <v>1043</v>
      </c>
      <c r="M76" t="s">
        <v>1044</v>
      </c>
      <c r="N76" s="1">
        <v>44020</v>
      </c>
      <c r="W76" s="1"/>
    </row>
    <row r="77" spans="1:24">
      <c r="A77" t="str">
        <f>_xlfn.IFNA(VLOOKUP(D77,Spelerslijst!A:B,1,FALSE),FALSE)</f>
        <v>NMQ57X8</v>
      </c>
      <c r="B77" t="b">
        <f>_xlfn.IFNA(VLOOKUP(D77,Spelerslijst!K:L,1,FALSE),FALSE)</f>
        <v>0</v>
      </c>
      <c r="C77" t="str">
        <f t="shared" si="1"/>
        <v/>
      </c>
      <c r="D77" t="s">
        <v>373</v>
      </c>
      <c r="E77" t="s">
        <v>374</v>
      </c>
      <c r="F77" t="s">
        <v>375</v>
      </c>
      <c r="G77" s="1">
        <v>40700</v>
      </c>
      <c r="H77" t="s">
        <v>1046</v>
      </c>
      <c r="I77" t="s">
        <v>1125</v>
      </c>
      <c r="J77" t="s">
        <v>1042</v>
      </c>
      <c r="K77">
        <v>230</v>
      </c>
      <c r="L77" t="s">
        <v>1043</v>
      </c>
      <c r="M77" t="s">
        <v>1044</v>
      </c>
      <c r="N77" s="1">
        <v>44656</v>
      </c>
      <c r="W77" s="1"/>
    </row>
    <row r="78" spans="1:24">
      <c r="A78" t="b">
        <f>_xlfn.IFNA(VLOOKUP(D78,Spelerslijst!A:B,1,FALSE),FALSE)</f>
        <v>0</v>
      </c>
      <c r="B78" t="str">
        <f>_xlfn.IFNA(VLOOKUP(D78,Spelerslijst!K:L,1,FALSE),FALSE)</f>
        <v>NMQ45V3</v>
      </c>
      <c r="C78" t="str">
        <f t="shared" si="1"/>
        <v/>
      </c>
      <c r="D78" t="s">
        <v>524</v>
      </c>
      <c r="E78" t="s">
        <v>525</v>
      </c>
      <c r="F78" t="s">
        <v>526</v>
      </c>
      <c r="G78" s="1">
        <v>41722</v>
      </c>
      <c r="H78" t="s">
        <v>949</v>
      </c>
      <c r="I78" t="s">
        <v>1126</v>
      </c>
      <c r="J78" t="s">
        <v>1042</v>
      </c>
      <c r="K78">
        <v>230</v>
      </c>
      <c r="M78" t="s">
        <v>1044</v>
      </c>
      <c r="N78" s="1">
        <v>45170</v>
      </c>
      <c r="W78" s="1"/>
    </row>
    <row r="79" spans="1:24">
      <c r="A79" t="str">
        <f>_xlfn.IFNA(VLOOKUP(D79,Spelerslijst!A:B,1,FALSE),FALSE)</f>
        <v>NMN07F4</v>
      </c>
      <c r="B79" t="b">
        <f>_xlfn.IFNA(VLOOKUP(D79,Spelerslijst!K:L,1,FALSE),FALSE)</f>
        <v>0</v>
      </c>
      <c r="C79" t="str">
        <f t="shared" si="1"/>
        <v/>
      </c>
      <c r="D79" t="s">
        <v>397</v>
      </c>
      <c r="E79" t="s">
        <v>398</v>
      </c>
      <c r="F79" t="s">
        <v>399</v>
      </c>
      <c r="G79" s="1">
        <v>40637</v>
      </c>
      <c r="H79" t="s">
        <v>1046</v>
      </c>
      <c r="I79" t="s">
        <v>1127</v>
      </c>
      <c r="J79" t="s">
        <v>1042</v>
      </c>
      <c r="K79">
        <v>230</v>
      </c>
      <c r="L79" t="s">
        <v>1043</v>
      </c>
      <c r="M79" t="s">
        <v>1044</v>
      </c>
      <c r="N79" s="1">
        <v>44376</v>
      </c>
      <c r="W79" s="1"/>
    </row>
    <row r="80" spans="1:24">
      <c r="A80" t="str">
        <f>_xlfn.IFNA(VLOOKUP(D80,Spelerslijst!A:B,1,FALSE),FALSE)</f>
        <v>NMK01M2</v>
      </c>
      <c r="B80" t="b">
        <f>_xlfn.IFNA(VLOOKUP(D80,Spelerslijst!K:L,1,FALSE),FALSE)</f>
        <v>0</v>
      </c>
      <c r="C80" t="str">
        <f t="shared" si="1"/>
        <v/>
      </c>
      <c r="D80" t="s">
        <v>471</v>
      </c>
      <c r="E80" t="s">
        <v>472</v>
      </c>
      <c r="F80" t="s">
        <v>473</v>
      </c>
      <c r="G80" s="1">
        <v>41108</v>
      </c>
      <c r="H80" t="s">
        <v>1046</v>
      </c>
      <c r="I80" t="s">
        <v>1128</v>
      </c>
      <c r="J80" t="s">
        <v>1042</v>
      </c>
      <c r="K80">
        <v>230</v>
      </c>
      <c r="L80" t="s">
        <v>1043</v>
      </c>
      <c r="M80" t="s">
        <v>1044</v>
      </c>
      <c r="N80" s="1">
        <v>44013</v>
      </c>
      <c r="W80" s="1"/>
    </row>
    <row r="81" spans="1:23">
      <c r="A81" t="b">
        <f>_xlfn.IFNA(VLOOKUP(D81,Spelerslijst!A:B,1,FALSE),FALSE)</f>
        <v>0</v>
      </c>
      <c r="B81" t="str">
        <f>_xlfn.IFNA(VLOOKUP(D81,Spelerslijst!K:L,1,FALSE),FALSE)</f>
        <v>NMV76G1</v>
      </c>
      <c r="C81" t="str">
        <f t="shared" si="1"/>
        <v/>
      </c>
      <c r="D81" t="s">
        <v>566</v>
      </c>
      <c r="E81" t="s">
        <v>567</v>
      </c>
      <c r="F81" t="s">
        <v>568</v>
      </c>
      <c r="G81" s="1">
        <v>42955</v>
      </c>
      <c r="H81" t="s">
        <v>949</v>
      </c>
      <c r="I81" t="s">
        <v>1129</v>
      </c>
      <c r="J81" t="s">
        <v>1042</v>
      </c>
      <c r="K81">
        <v>230</v>
      </c>
      <c r="L81" t="s">
        <v>1043</v>
      </c>
      <c r="M81" t="s">
        <v>1044</v>
      </c>
      <c r="N81" s="1">
        <v>45089</v>
      </c>
      <c r="W81" s="1"/>
    </row>
    <row r="82" spans="1:23">
      <c r="A82" t="b">
        <f>_xlfn.IFNA(VLOOKUP(D82,Spelerslijst!A:B,1,FALSE),FALSE)</f>
        <v>0</v>
      </c>
      <c r="B82" t="str">
        <f>_xlfn.IFNA(VLOOKUP(D82,Spelerslijst!K:L,1,FALSE),FALSE)</f>
        <v>NKD19Y4</v>
      </c>
      <c r="C82" t="str">
        <f t="shared" si="1"/>
        <v/>
      </c>
      <c r="D82" t="s">
        <v>613</v>
      </c>
      <c r="E82" t="s">
        <v>614</v>
      </c>
      <c r="F82" t="s">
        <v>167</v>
      </c>
      <c r="G82" s="1">
        <v>36077</v>
      </c>
      <c r="H82" t="s">
        <v>949</v>
      </c>
      <c r="I82" t="s">
        <v>1130</v>
      </c>
      <c r="J82" t="s">
        <v>1042</v>
      </c>
      <c r="K82">
        <v>200</v>
      </c>
      <c r="L82" t="s">
        <v>1043</v>
      </c>
      <c r="M82" t="s">
        <v>1044</v>
      </c>
      <c r="N82" s="1">
        <v>39390</v>
      </c>
      <c r="W82" s="1"/>
    </row>
    <row r="83" spans="1:23">
      <c r="A83" t="b">
        <f>_xlfn.IFNA(VLOOKUP(D83,Spelerslijst!A:B,1,FALSE),FALSE)</f>
        <v>0</v>
      </c>
      <c r="B83" t="str">
        <f>_xlfn.IFNA(VLOOKUP(D83,Spelerslijst!K:L,1,FALSE),FALSE)</f>
        <v>NJZ26Z2</v>
      </c>
      <c r="C83" t="str">
        <f t="shared" si="1"/>
        <v/>
      </c>
      <c r="D83" t="s">
        <v>729</v>
      </c>
      <c r="E83" t="s">
        <v>1131</v>
      </c>
      <c r="F83" t="s">
        <v>1132</v>
      </c>
      <c r="G83" s="1">
        <v>37566</v>
      </c>
      <c r="H83" t="s">
        <v>949</v>
      </c>
      <c r="I83" t="s">
        <v>1133</v>
      </c>
      <c r="J83" t="s">
        <v>1042</v>
      </c>
      <c r="K83">
        <v>200</v>
      </c>
      <c r="L83" t="s">
        <v>1043</v>
      </c>
      <c r="M83" t="s">
        <v>1044</v>
      </c>
      <c r="N83" s="1">
        <v>44627</v>
      </c>
      <c r="W83" s="1"/>
    </row>
    <row r="84" spans="1:23">
      <c r="A84" t="str">
        <f>_xlfn.IFNA(VLOOKUP(D84,Spelerslijst!A:B,1,FALSE),FALSE)</f>
        <v>NLS08G2</v>
      </c>
      <c r="B84" t="b">
        <f>_xlfn.IFNA(VLOOKUP(D84,Spelerslijst!K:L,1,FALSE),FALSE)</f>
        <v>0</v>
      </c>
      <c r="C84" t="str">
        <f t="shared" si="1"/>
        <v/>
      </c>
      <c r="D84" t="s">
        <v>844</v>
      </c>
      <c r="E84" t="s">
        <v>845</v>
      </c>
      <c r="F84" t="s">
        <v>375</v>
      </c>
      <c r="G84" s="1">
        <v>37295</v>
      </c>
      <c r="H84" t="s">
        <v>1046</v>
      </c>
      <c r="I84" t="s">
        <v>1134</v>
      </c>
      <c r="J84" t="s">
        <v>1042</v>
      </c>
      <c r="K84">
        <v>200</v>
      </c>
      <c r="L84" t="s">
        <v>1043</v>
      </c>
      <c r="M84" t="s">
        <v>1044</v>
      </c>
      <c r="N84" s="1">
        <v>42430</v>
      </c>
      <c r="W84" s="1"/>
    </row>
    <row r="85" spans="1:23">
      <c r="A85" t="str">
        <f>_xlfn.IFNA(VLOOKUP(D85,Spelerslijst!A:B,1,FALSE),FALSE)</f>
        <v>NLF29C4</v>
      </c>
      <c r="B85" t="b">
        <f>_xlfn.IFNA(VLOOKUP(D85,Spelerslijst!K:L,1,FALSE),FALSE)</f>
        <v>0</v>
      </c>
      <c r="C85" t="str">
        <f t="shared" si="1"/>
        <v/>
      </c>
      <c r="D85" t="s">
        <v>827</v>
      </c>
      <c r="E85" t="s">
        <v>828</v>
      </c>
      <c r="F85" t="s">
        <v>829</v>
      </c>
      <c r="G85" s="1">
        <v>37807</v>
      </c>
      <c r="H85" t="s">
        <v>1046</v>
      </c>
      <c r="I85" t="s">
        <v>1135</v>
      </c>
      <c r="J85" t="s">
        <v>1042</v>
      </c>
      <c r="K85">
        <v>200</v>
      </c>
      <c r="L85" t="s">
        <v>1043</v>
      </c>
      <c r="M85" t="s">
        <v>1044</v>
      </c>
      <c r="N85" s="1">
        <v>44100</v>
      </c>
      <c r="W85" s="1"/>
    </row>
    <row r="86" spans="1:23">
      <c r="A86" t="str">
        <f>_xlfn.IFNA(VLOOKUP(D86,Spelerslijst!A:B,1,FALSE),FALSE)</f>
        <v>NJQ72J4</v>
      </c>
      <c r="B86" t="b">
        <f>_xlfn.IFNA(VLOOKUP(D86,Spelerslijst!K:L,1,FALSE),FALSE)</f>
        <v>0</v>
      </c>
      <c r="C86" t="str">
        <f t="shared" si="1"/>
        <v/>
      </c>
      <c r="D86" t="s">
        <v>774</v>
      </c>
      <c r="E86" t="s">
        <v>775</v>
      </c>
      <c r="F86" t="s">
        <v>776</v>
      </c>
      <c r="G86" s="1">
        <v>34635</v>
      </c>
      <c r="H86" t="s">
        <v>1046</v>
      </c>
      <c r="I86" t="s">
        <v>1136</v>
      </c>
      <c r="J86" t="s">
        <v>1042</v>
      </c>
      <c r="K86">
        <v>202</v>
      </c>
      <c r="L86" t="s">
        <v>1043</v>
      </c>
      <c r="M86" t="s">
        <v>1067</v>
      </c>
      <c r="N86" s="1">
        <v>38625</v>
      </c>
      <c r="W86" s="1"/>
    </row>
    <row r="87" spans="1:23">
      <c r="A87" t="str">
        <f>_xlfn.IFNA(VLOOKUP(D87,Spelerslijst!A:B,1,FALSE),FALSE)</f>
        <v>NJK27R4</v>
      </c>
      <c r="B87" t="b">
        <f>_xlfn.IFNA(VLOOKUP(D87,Spelerslijst!K:L,1,FALSE),FALSE)</f>
        <v>0</v>
      </c>
      <c r="C87" t="str">
        <f t="shared" si="1"/>
        <v/>
      </c>
      <c r="D87" t="s">
        <v>675</v>
      </c>
      <c r="E87" t="s">
        <v>676</v>
      </c>
      <c r="F87" t="s">
        <v>375</v>
      </c>
      <c r="G87" s="1">
        <v>33211</v>
      </c>
      <c r="H87" t="s">
        <v>1046</v>
      </c>
      <c r="I87" t="s">
        <v>1137</v>
      </c>
      <c r="J87" t="s">
        <v>1042</v>
      </c>
      <c r="K87">
        <v>203</v>
      </c>
      <c r="L87" t="s">
        <v>1043</v>
      </c>
      <c r="M87" t="s">
        <v>1061</v>
      </c>
      <c r="N87" s="1">
        <v>36054</v>
      </c>
      <c r="W87" s="1"/>
    </row>
    <row r="88" spans="1:23">
      <c r="A88" t="str">
        <f>_xlfn.IFNA(VLOOKUP(D88,Spelerslijst!A:B,1,FALSE),FALSE)</f>
        <v>NKK27G4</v>
      </c>
      <c r="B88" t="b">
        <f>_xlfn.IFNA(VLOOKUP(D88,Spelerslijst!K:L,1,FALSE),FALSE)</f>
        <v>0</v>
      </c>
      <c r="C88" t="str">
        <f t="shared" si="1"/>
        <v/>
      </c>
      <c r="D88" t="s">
        <v>865</v>
      </c>
      <c r="E88" t="s">
        <v>866</v>
      </c>
      <c r="F88" t="s">
        <v>867</v>
      </c>
      <c r="G88" s="1">
        <v>37702</v>
      </c>
      <c r="H88" t="s">
        <v>1046</v>
      </c>
      <c r="I88" t="s">
        <v>1138</v>
      </c>
      <c r="J88" t="s">
        <v>1042</v>
      </c>
      <c r="K88">
        <v>200</v>
      </c>
      <c r="L88" t="s">
        <v>1043</v>
      </c>
      <c r="M88" t="s">
        <v>1044</v>
      </c>
      <c r="N88" s="1">
        <v>39783</v>
      </c>
      <c r="W88" s="1"/>
    </row>
    <row r="89" spans="1:23">
      <c r="A89" t="b">
        <f>_xlfn.IFNA(VLOOKUP(D89,Spelerslijst!A:B,1,FALSE),FALSE)</f>
        <v>0</v>
      </c>
      <c r="B89" t="str">
        <f>_xlfn.IFNA(VLOOKUP(D89,Spelerslijst!K:L,1,FALSE),FALSE)</f>
        <v>NLG57L7</v>
      </c>
      <c r="C89" t="str">
        <f t="shared" si="1"/>
        <v/>
      </c>
      <c r="D89" t="s">
        <v>81</v>
      </c>
      <c r="E89" t="s">
        <v>82</v>
      </c>
      <c r="F89" t="s">
        <v>83</v>
      </c>
      <c r="G89" s="1">
        <v>39367</v>
      </c>
      <c r="H89" t="s">
        <v>949</v>
      </c>
      <c r="I89" t="s">
        <v>1139</v>
      </c>
      <c r="J89" t="s">
        <v>1042</v>
      </c>
      <c r="K89">
        <v>220</v>
      </c>
      <c r="L89" t="s">
        <v>1043</v>
      </c>
      <c r="M89" t="s">
        <v>1044</v>
      </c>
      <c r="N89" s="1">
        <v>41518</v>
      </c>
      <c r="W89" s="1"/>
    </row>
    <row r="90" spans="1:23">
      <c r="A90" t="str">
        <f>_xlfn.IFNA(VLOOKUP(D90,Spelerslijst!A:B,1,FALSE),FALSE)</f>
        <v>NJC46R3</v>
      </c>
      <c r="B90" t="b">
        <f>_xlfn.IFNA(VLOOKUP(D90,Spelerslijst!K:L,1,FALSE),FALSE)</f>
        <v>0</v>
      </c>
      <c r="C90" t="str">
        <f t="shared" si="1"/>
        <v/>
      </c>
      <c r="D90" t="s">
        <v>792</v>
      </c>
      <c r="E90" t="s">
        <v>793</v>
      </c>
      <c r="F90" t="s">
        <v>490</v>
      </c>
      <c r="G90" s="1">
        <v>33690</v>
      </c>
      <c r="H90" t="s">
        <v>1046</v>
      </c>
      <c r="I90" t="s">
        <v>1140</v>
      </c>
      <c r="J90" t="s">
        <v>1042</v>
      </c>
      <c r="K90">
        <v>200</v>
      </c>
      <c r="L90" t="s">
        <v>1043</v>
      </c>
      <c r="M90" t="s">
        <v>1044</v>
      </c>
      <c r="N90" s="1">
        <v>36448</v>
      </c>
      <c r="W90" s="1"/>
    </row>
    <row r="91" spans="1:23">
      <c r="A91" t="str">
        <f>_xlfn.IFNA(VLOOKUP(D91,Spelerslijst!A:B,1,FALSE),FALSE)</f>
        <v>NMN85P8</v>
      </c>
      <c r="B91" t="b">
        <f>_xlfn.IFNA(VLOOKUP(D91,Spelerslijst!K:L,1,FALSE),FALSE)</f>
        <v>0</v>
      </c>
      <c r="C91" t="str">
        <f t="shared" si="1"/>
        <v/>
      </c>
      <c r="D91" t="s">
        <v>465</v>
      </c>
      <c r="E91" t="s">
        <v>466</v>
      </c>
      <c r="F91" t="s">
        <v>467</v>
      </c>
      <c r="G91" s="1">
        <v>41068</v>
      </c>
      <c r="H91" t="s">
        <v>1046</v>
      </c>
      <c r="I91" t="s">
        <v>1141</v>
      </c>
      <c r="J91" t="s">
        <v>1042</v>
      </c>
      <c r="K91">
        <v>230</v>
      </c>
      <c r="L91" t="s">
        <v>1043</v>
      </c>
      <c r="M91" t="s">
        <v>1044</v>
      </c>
      <c r="N91" s="1">
        <v>44453</v>
      </c>
      <c r="W91" s="1"/>
    </row>
    <row r="92" spans="1:23">
      <c r="A92" t="str">
        <f>_xlfn.IFNA(VLOOKUP(D92,Spelerslijst!A:B,1,FALSE),FALSE)</f>
        <v>NLS08H9</v>
      </c>
      <c r="B92" t="b">
        <f>_xlfn.IFNA(VLOOKUP(D92,Spelerslijst!K:L,1,FALSE),FALSE)</f>
        <v>0</v>
      </c>
      <c r="C92" t="str">
        <f t="shared" si="1"/>
        <v/>
      </c>
      <c r="D92" t="s">
        <v>244</v>
      </c>
      <c r="E92" t="s">
        <v>245</v>
      </c>
      <c r="F92" t="s">
        <v>246</v>
      </c>
      <c r="G92" s="1">
        <v>39993</v>
      </c>
      <c r="H92" t="s">
        <v>1046</v>
      </c>
      <c r="I92" t="s">
        <v>1142</v>
      </c>
      <c r="J92" t="s">
        <v>1042</v>
      </c>
      <c r="K92">
        <v>220</v>
      </c>
      <c r="L92" t="s">
        <v>1043</v>
      </c>
      <c r="M92" t="s">
        <v>1044</v>
      </c>
      <c r="N92" s="1">
        <v>42430</v>
      </c>
      <c r="W92" s="1"/>
    </row>
    <row r="93" spans="1:23">
      <c r="A93" t="b">
        <f>_xlfn.IFNA(VLOOKUP(D93,Spelerslijst!A:B,1,FALSE),FALSE)</f>
        <v>0</v>
      </c>
      <c r="B93" t="str">
        <f>_xlfn.IFNA(VLOOKUP(D93,Spelerslijst!K:L,1,FALSE),FALSE)</f>
        <v>NFX11D8</v>
      </c>
      <c r="C93" t="str">
        <f t="shared" si="1"/>
        <v/>
      </c>
      <c r="D93" t="s">
        <v>205</v>
      </c>
      <c r="E93" t="s">
        <v>206</v>
      </c>
      <c r="F93" t="s">
        <v>207</v>
      </c>
      <c r="G93" s="1">
        <v>24583</v>
      </c>
      <c r="H93" t="s">
        <v>949</v>
      </c>
      <c r="I93" t="s">
        <v>1143</v>
      </c>
      <c r="J93" t="s">
        <v>1042</v>
      </c>
      <c r="K93">
        <v>202</v>
      </c>
      <c r="L93" t="s">
        <v>1043</v>
      </c>
      <c r="M93" t="s">
        <v>1067</v>
      </c>
      <c r="N93" s="1">
        <v>40835</v>
      </c>
      <c r="W93" s="1"/>
    </row>
    <row r="94" spans="1:23">
      <c r="A94" t="b">
        <f>_xlfn.IFNA(VLOOKUP(D94,Spelerslijst!A:B,1,FALSE),FALSE)</f>
        <v>0</v>
      </c>
      <c r="B94" t="str">
        <f>_xlfn.IFNA(VLOOKUP(D94,Spelerslijst!K:L,1,FALSE),FALSE)</f>
        <v>NMC41D1</v>
      </c>
      <c r="C94" t="str">
        <f t="shared" si="1"/>
        <v/>
      </c>
      <c r="D94" t="s">
        <v>406</v>
      </c>
      <c r="E94" t="s">
        <v>407</v>
      </c>
      <c r="F94" t="s">
        <v>408</v>
      </c>
      <c r="G94" s="1">
        <v>40093</v>
      </c>
      <c r="H94" t="s">
        <v>949</v>
      </c>
      <c r="I94" t="s">
        <v>1144</v>
      </c>
      <c r="J94" t="s">
        <v>1042</v>
      </c>
      <c r="K94">
        <v>220</v>
      </c>
      <c r="L94" t="s">
        <v>1043</v>
      </c>
      <c r="M94" t="s">
        <v>1044</v>
      </c>
      <c r="N94" s="1">
        <v>43345</v>
      </c>
      <c r="W94" s="1"/>
    </row>
    <row r="95" spans="1:23">
      <c r="A95" t="b">
        <f>_xlfn.IFNA(VLOOKUP(D95,Spelerslijst!A:B,1,FALSE),FALSE)</f>
        <v>0</v>
      </c>
      <c r="B95" t="str">
        <f>_xlfn.IFNA(VLOOKUP(D95,Spelerslijst!K:L,1,FALSE),FALSE)</f>
        <v>NMB42C6</v>
      </c>
      <c r="C95" t="str">
        <f t="shared" si="1"/>
        <v/>
      </c>
      <c r="D95" t="s">
        <v>382</v>
      </c>
      <c r="E95" t="s">
        <v>383</v>
      </c>
      <c r="F95" t="s">
        <v>384</v>
      </c>
      <c r="G95" s="1">
        <v>40253</v>
      </c>
      <c r="H95" t="s">
        <v>949</v>
      </c>
      <c r="I95" t="s">
        <v>1145</v>
      </c>
      <c r="J95" t="s">
        <v>1042</v>
      </c>
      <c r="K95">
        <v>220</v>
      </c>
      <c r="L95" t="s">
        <v>1043</v>
      </c>
      <c r="M95" t="s">
        <v>1044</v>
      </c>
      <c r="N95" s="1">
        <v>43242</v>
      </c>
      <c r="W95" s="1"/>
    </row>
    <row r="96" spans="1:23">
      <c r="A96" t="b">
        <f>_xlfn.IFNA(VLOOKUP(D96,Spelerslijst!A:B,1,FALSE),FALSE)</f>
        <v>0</v>
      </c>
      <c r="B96" t="str">
        <f>_xlfn.IFNA(VLOOKUP(D96,Spelerslijst!K:L,1,FALSE),FALSE)</f>
        <v>NMQ51D0</v>
      </c>
      <c r="C96" t="str">
        <f t="shared" si="1"/>
        <v/>
      </c>
      <c r="D96" t="s">
        <v>400</v>
      </c>
      <c r="E96" t="s">
        <v>401</v>
      </c>
      <c r="F96" t="s">
        <v>402</v>
      </c>
      <c r="G96" s="1">
        <v>40547</v>
      </c>
      <c r="H96" t="s">
        <v>949</v>
      </c>
      <c r="I96" t="s">
        <v>1146</v>
      </c>
      <c r="J96" t="s">
        <v>1042</v>
      </c>
      <c r="K96">
        <v>230</v>
      </c>
      <c r="L96" t="s">
        <v>1043</v>
      </c>
      <c r="M96" t="s">
        <v>1044</v>
      </c>
      <c r="N96" s="1">
        <v>44650</v>
      </c>
      <c r="W96" s="1"/>
    </row>
    <row r="97" spans="1:24">
      <c r="A97" t="str">
        <f>_xlfn.IFNA(VLOOKUP(D97,Spelerslijst!A:B,1,FALSE),FALSE)</f>
        <v>NJY82Z9</v>
      </c>
      <c r="B97" t="b">
        <f>_xlfn.IFNA(VLOOKUP(D97,Spelerslijst!K:L,1,FALSE),FALSE)</f>
        <v>0</v>
      </c>
      <c r="C97" t="str">
        <f t="shared" si="1"/>
        <v/>
      </c>
      <c r="D97" t="s">
        <v>849</v>
      </c>
      <c r="E97" t="s">
        <v>850</v>
      </c>
      <c r="F97" t="s">
        <v>158</v>
      </c>
      <c r="G97" s="1">
        <v>36865</v>
      </c>
      <c r="H97" t="s">
        <v>1046</v>
      </c>
      <c r="I97" t="s">
        <v>1147</v>
      </c>
      <c r="J97" t="s">
        <v>1042</v>
      </c>
      <c r="K97">
        <v>200</v>
      </c>
      <c r="L97" t="s">
        <v>1043</v>
      </c>
      <c r="M97" t="s">
        <v>1044</v>
      </c>
      <c r="N97" s="1">
        <v>39114</v>
      </c>
      <c r="W97" s="1"/>
    </row>
    <row r="98" spans="1:24">
      <c r="A98" t="b">
        <f>_xlfn.IFNA(VLOOKUP(D98,Spelerslijst!A:B,1,FALSE),FALSE)</f>
        <v>0</v>
      </c>
      <c r="B98" t="str">
        <f>_xlfn.IFNA(VLOOKUP(D98,Spelerslijst!K:L,1,FALSE),FALSE)</f>
        <v>NJY83B4</v>
      </c>
      <c r="C98" t="str">
        <f t="shared" si="1"/>
        <v/>
      </c>
      <c r="D98" t="s">
        <v>756</v>
      </c>
      <c r="E98" t="s">
        <v>757</v>
      </c>
      <c r="F98" t="s">
        <v>758</v>
      </c>
      <c r="G98" s="1">
        <v>36865</v>
      </c>
      <c r="H98" t="s">
        <v>949</v>
      </c>
      <c r="I98" t="s">
        <v>1148</v>
      </c>
      <c r="J98" t="s">
        <v>1042</v>
      </c>
      <c r="K98">
        <v>200</v>
      </c>
      <c r="L98" t="s">
        <v>1043</v>
      </c>
      <c r="M98" t="s">
        <v>1044</v>
      </c>
      <c r="N98" s="1">
        <v>39114</v>
      </c>
      <c r="W98" s="1"/>
    </row>
    <row r="99" spans="1:24">
      <c r="A99" t="b">
        <f>_xlfn.IFNA(VLOOKUP(D99,Spelerslijst!A:B,1,FALSE),FALSE)</f>
        <v>0</v>
      </c>
      <c r="B99" t="str">
        <f>_xlfn.IFNA(VLOOKUP(D99,Spelerslijst!K:L,1,FALSE),FALSE)</f>
        <v>NLL19X2</v>
      </c>
      <c r="C99" t="str">
        <f t="shared" si="1"/>
        <v/>
      </c>
      <c r="D99" t="s">
        <v>824</v>
      </c>
      <c r="E99" t="s">
        <v>825</v>
      </c>
      <c r="F99" t="s">
        <v>826</v>
      </c>
      <c r="G99" s="1">
        <v>39100</v>
      </c>
      <c r="H99" t="s">
        <v>949</v>
      </c>
      <c r="I99" t="s">
        <v>1149</v>
      </c>
      <c r="J99" t="s">
        <v>1048</v>
      </c>
      <c r="K99">
        <v>220</v>
      </c>
      <c r="L99" t="s">
        <v>1043</v>
      </c>
      <c r="M99" t="s">
        <v>1044</v>
      </c>
      <c r="N99" s="1">
        <v>41883</v>
      </c>
      <c r="W99" s="1"/>
      <c r="X99" s="1"/>
    </row>
    <row r="100" spans="1:24">
      <c r="A100" t="str">
        <f>_xlfn.IFNA(VLOOKUP(D100,Spelerslijst!A:B,1,FALSE),FALSE)</f>
        <v>NLN05N7</v>
      </c>
      <c r="B100" t="b">
        <f>_xlfn.IFNA(VLOOKUP(D100,Spelerslijst!K:L,1,FALSE),FALSE)</f>
        <v>0</v>
      </c>
      <c r="C100" t="str">
        <f t="shared" si="1"/>
        <v/>
      </c>
      <c r="D100" t="s">
        <v>214</v>
      </c>
      <c r="E100" t="s">
        <v>215</v>
      </c>
      <c r="F100" t="s">
        <v>216</v>
      </c>
      <c r="G100" s="1">
        <v>39760</v>
      </c>
      <c r="H100" t="s">
        <v>1046</v>
      </c>
      <c r="I100" t="s">
        <v>1150</v>
      </c>
      <c r="J100" t="s">
        <v>1042</v>
      </c>
      <c r="K100">
        <v>220</v>
      </c>
      <c r="L100" t="s">
        <v>1043</v>
      </c>
      <c r="M100" t="s">
        <v>1044</v>
      </c>
      <c r="N100" s="1">
        <v>42005</v>
      </c>
      <c r="W100" s="1"/>
    </row>
    <row r="101" spans="1:24">
      <c r="A101" t="str">
        <f>_xlfn.IFNA(VLOOKUP(D101,Spelerslijst!A:B,1,FALSE),FALSE)</f>
        <v>NLP77Z4</v>
      </c>
      <c r="B101" t="b">
        <f>_xlfn.IFNA(VLOOKUP(D101,Spelerslijst!K:L,1,FALSE),FALSE)</f>
        <v>0</v>
      </c>
      <c r="C101" t="str">
        <f t="shared" si="1"/>
        <v/>
      </c>
      <c r="D101" t="s">
        <v>289</v>
      </c>
      <c r="E101" t="s">
        <v>290</v>
      </c>
      <c r="F101" t="s">
        <v>291</v>
      </c>
      <c r="G101" s="1">
        <v>40239</v>
      </c>
      <c r="H101" t="s">
        <v>1046</v>
      </c>
      <c r="I101" t="s">
        <v>1151</v>
      </c>
      <c r="J101" t="s">
        <v>1042</v>
      </c>
      <c r="K101">
        <v>220</v>
      </c>
      <c r="L101" t="s">
        <v>1043</v>
      </c>
      <c r="M101" t="s">
        <v>1044</v>
      </c>
      <c r="N101" s="1">
        <v>42248</v>
      </c>
      <c r="W101" s="1"/>
    </row>
    <row r="102" spans="1:24">
      <c r="A102" t="b">
        <f>_xlfn.IFNA(VLOOKUP(D102,Spelerslijst!A:B,1,FALSE),FALSE)</f>
        <v>0</v>
      </c>
      <c r="B102" t="str">
        <f>_xlfn.IFNA(VLOOKUP(D102,Spelerslijst!K:L,1,FALSE),FALSE)</f>
        <v>NLR06X4</v>
      </c>
      <c r="C102" t="str">
        <f t="shared" si="1"/>
        <v/>
      </c>
      <c r="D102" t="s">
        <v>153</v>
      </c>
      <c r="E102" t="s">
        <v>154</v>
      </c>
      <c r="F102" t="s">
        <v>155</v>
      </c>
      <c r="G102" s="1">
        <v>39187</v>
      </c>
      <c r="H102" t="s">
        <v>949</v>
      </c>
      <c r="I102" t="s">
        <v>1152</v>
      </c>
      <c r="J102" t="s">
        <v>1042</v>
      </c>
      <c r="K102">
        <v>220</v>
      </c>
      <c r="L102" t="s">
        <v>1043</v>
      </c>
      <c r="M102" t="s">
        <v>1044</v>
      </c>
      <c r="N102" s="1">
        <v>42339</v>
      </c>
      <c r="W102" s="1"/>
    </row>
    <row r="103" spans="1:24">
      <c r="A103" t="b">
        <f>_xlfn.IFNA(VLOOKUP(D103,Spelerslijst!A:B,1,FALSE),FALSE)</f>
        <v>0</v>
      </c>
      <c r="B103" t="str">
        <f>_xlfn.IFNA(VLOOKUP(D103,Spelerslijst!K:L,1,FALSE),FALSE)</f>
        <v>NGT92Q5</v>
      </c>
      <c r="C103" t="str">
        <f t="shared" si="1"/>
        <v/>
      </c>
      <c r="D103" t="s">
        <v>719</v>
      </c>
      <c r="E103" t="s">
        <v>720</v>
      </c>
      <c r="F103" t="s">
        <v>721</v>
      </c>
      <c r="G103" s="1">
        <v>33058</v>
      </c>
      <c r="H103" t="s">
        <v>949</v>
      </c>
      <c r="I103" t="s">
        <v>1153</v>
      </c>
      <c r="J103" t="s">
        <v>1042</v>
      </c>
      <c r="K103">
        <v>200</v>
      </c>
      <c r="L103" t="s">
        <v>1043</v>
      </c>
      <c r="M103" t="s">
        <v>1044</v>
      </c>
      <c r="N103" s="1">
        <v>35719</v>
      </c>
      <c r="W103" s="1"/>
    </row>
    <row r="104" spans="1:24">
      <c r="A104" t="str">
        <f>_xlfn.IFNA(VLOOKUP(D104,Spelerslijst!A:B,1,FALSE),FALSE)</f>
        <v>NMD22V1</v>
      </c>
      <c r="B104" t="b">
        <f>_xlfn.IFNA(VLOOKUP(D104,Spelerslijst!K:L,1,FALSE),FALSE)</f>
        <v>0</v>
      </c>
      <c r="C104" t="str">
        <f t="shared" si="1"/>
        <v/>
      </c>
      <c r="D104" t="s">
        <v>430</v>
      </c>
      <c r="E104" t="s">
        <v>431</v>
      </c>
      <c r="F104" t="s">
        <v>324</v>
      </c>
      <c r="G104" s="1">
        <v>41014</v>
      </c>
      <c r="H104" t="s">
        <v>1046</v>
      </c>
      <c r="I104" t="s">
        <v>1154</v>
      </c>
      <c r="J104" t="s">
        <v>1042</v>
      </c>
      <c r="K104">
        <v>230</v>
      </c>
      <c r="L104" t="s">
        <v>1043</v>
      </c>
      <c r="M104" t="s">
        <v>1044</v>
      </c>
      <c r="N104" s="1">
        <v>43395</v>
      </c>
      <c r="W104" s="1"/>
    </row>
    <row r="105" spans="1:24">
      <c r="A105" t="str">
        <f>_xlfn.IFNA(VLOOKUP(D105,Spelerslijst!A:B,1,FALSE),FALSE)</f>
        <v>NLB70S0</v>
      </c>
      <c r="B105" t="b">
        <f>_xlfn.IFNA(VLOOKUP(D105,Spelerslijst!K:L,1,FALSE),FALSE)</f>
        <v>0</v>
      </c>
      <c r="C105" t="str">
        <f t="shared" si="1"/>
        <v/>
      </c>
      <c r="D105" t="s">
        <v>78</v>
      </c>
      <c r="E105" t="s">
        <v>1155</v>
      </c>
      <c r="F105" t="s">
        <v>80</v>
      </c>
      <c r="G105" s="1">
        <v>38509</v>
      </c>
      <c r="H105" t="s">
        <v>1046</v>
      </c>
      <c r="I105" t="s">
        <v>1156</v>
      </c>
      <c r="J105" t="s">
        <v>1042</v>
      </c>
      <c r="K105">
        <v>210</v>
      </c>
      <c r="L105" t="s">
        <v>1043</v>
      </c>
      <c r="M105" t="s">
        <v>1044</v>
      </c>
      <c r="N105" s="1">
        <v>41153</v>
      </c>
      <c r="W105" s="1"/>
    </row>
    <row r="106" spans="1:24">
      <c r="A106" t="b">
        <f>_xlfn.IFNA(VLOOKUP(D106,Spelerslijst!A:B,1,FALSE),FALSE)</f>
        <v>0</v>
      </c>
      <c r="B106" t="str">
        <f>_xlfn.IFNA(VLOOKUP(D106,Spelerslijst!K:L,1,FALSE),FALSE)</f>
        <v>NLV35B6</v>
      </c>
      <c r="C106" t="str">
        <f t="shared" si="1"/>
        <v/>
      </c>
      <c r="D106" t="s">
        <v>303</v>
      </c>
      <c r="E106" t="s">
        <v>304</v>
      </c>
      <c r="F106" t="s">
        <v>305</v>
      </c>
      <c r="G106" s="1">
        <v>39878</v>
      </c>
      <c r="H106" t="s">
        <v>949</v>
      </c>
      <c r="I106" t="s">
        <v>1157</v>
      </c>
      <c r="J106" t="s">
        <v>1042</v>
      </c>
      <c r="K106">
        <v>220</v>
      </c>
      <c r="L106" t="s">
        <v>1043</v>
      </c>
      <c r="M106" t="s">
        <v>1044</v>
      </c>
      <c r="N106" s="1">
        <v>42670</v>
      </c>
      <c r="W106" s="1"/>
    </row>
    <row r="107" spans="1:24">
      <c r="A107" t="b">
        <f>_xlfn.IFNA(VLOOKUP(D107,Spelerslijst!A:B,1,FALSE),FALSE)</f>
        <v>0</v>
      </c>
      <c r="B107" t="str">
        <f>_xlfn.IFNA(VLOOKUP(D107,Spelerslijst!K:L,1,FALSE),FALSE)</f>
        <v>NJD65S8</v>
      </c>
      <c r="C107" t="str">
        <f t="shared" si="1"/>
        <v/>
      </c>
      <c r="D107" t="s">
        <v>635</v>
      </c>
      <c r="E107" t="s">
        <v>636</v>
      </c>
      <c r="F107" t="s">
        <v>637</v>
      </c>
      <c r="G107" s="1">
        <v>35873</v>
      </c>
      <c r="H107" t="s">
        <v>949</v>
      </c>
      <c r="I107" t="s">
        <v>1158</v>
      </c>
      <c r="J107" t="s">
        <v>1042</v>
      </c>
      <c r="K107">
        <v>200</v>
      </c>
      <c r="L107" t="s">
        <v>1043</v>
      </c>
      <c r="M107" t="s">
        <v>1044</v>
      </c>
      <c r="N107" s="1">
        <v>38049</v>
      </c>
      <c r="W107" s="1"/>
    </row>
    <row r="108" spans="1:24">
      <c r="A108" t="b">
        <f>_xlfn.IFNA(VLOOKUP(D108,Spelerslijst!A:B,1,FALSE),FALSE)</f>
        <v>0</v>
      </c>
      <c r="B108" t="str">
        <f>_xlfn.IFNA(VLOOKUP(D108,Spelerslijst!K:L,1,FALSE),FALSE)</f>
        <v>NJF95S5</v>
      </c>
      <c r="C108" t="str">
        <f t="shared" si="1"/>
        <v/>
      </c>
      <c r="D108" t="s">
        <v>618</v>
      </c>
      <c r="E108" t="s">
        <v>619</v>
      </c>
      <c r="F108" t="s">
        <v>620</v>
      </c>
      <c r="G108" s="1">
        <v>35372</v>
      </c>
      <c r="H108" t="s">
        <v>949</v>
      </c>
      <c r="I108" t="s">
        <v>1159</v>
      </c>
      <c r="J108" t="s">
        <v>1042</v>
      </c>
      <c r="K108">
        <v>200</v>
      </c>
      <c r="L108" t="s">
        <v>1043</v>
      </c>
      <c r="M108" t="s">
        <v>1044</v>
      </c>
      <c r="N108" s="1">
        <v>37362</v>
      </c>
      <c r="W108" s="1"/>
    </row>
    <row r="109" spans="1:24">
      <c r="A109" t="str">
        <f>_xlfn.IFNA(VLOOKUP(D109,Spelerslijst!A:B,1,FALSE),FALSE)</f>
        <v>NKF94H2</v>
      </c>
      <c r="B109" t="b">
        <f>_xlfn.IFNA(VLOOKUP(D109,Spelerslijst!K:L,1,FALSE),FALSE)</f>
        <v>0</v>
      </c>
      <c r="C109" t="str">
        <f t="shared" si="1"/>
        <v/>
      </c>
      <c r="D109" t="s">
        <v>196</v>
      </c>
      <c r="E109" t="s">
        <v>197</v>
      </c>
      <c r="F109" t="s">
        <v>198</v>
      </c>
      <c r="G109" s="1">
        <v>35817</v>
      </c>
      <c r="H109" t="s">
        <v>1046</v>
      </c>
      <c r="I109" t="s">
        <v>1160</v>
      </c>
      <c r="J109" t="s">
        <v>1042</v>
      </c>
      <c r="K109">
        <v>202</v>
      </c>
      <c r="L109" t="s">
        <v>1043</v>
      </c>
      <c r="M109" t="s">
        <v>1067</v>
      </c>
      <c r="N109" s="1">
        <v>39559</v>
      </c>
      <c r="W109" s="1"/>
    </row>
    <row r="110" spans="1:24">
      <c r="A110" t="b">
        <f>_xlfn.IFNA(VLOOKUP(D110,Spelerslijst!A:B,1,FALSE),FALSE)</f>
        <v>0</v>
      </c>
      <c r="B110" t="str">
        <f>_xlfn.IFNA(VLOOKUP(D110,Spelerslijst!K:L,1,FALSE),FALSE)</f>
        <v>NMN23M1</v>
      </c>
      <c r="C110" t="str">
        <f t="shared" si="1"/>
        <v/>
      </c>
      <c r="D110" t="s">
        <v>468</v>
      </c>
      <c r="E110" t="s">
        <v>469</v>
      </c>
      <c r="F110" t="s">
        <v>470</v>
      </c>
      <c r="G110" s="1">
        <v>41611</v>
      </c>
      <c r="H110" t="s">
        <v>949</v>
      </c>
      <c r="I110" t="s">
        <v>1161</v>
      </c>
      <c r="J110" t="s">
        <v>1042</v>
      </c>
      <c r="K110">
        <v>230</v>
      </c>
      <c r="L110" t="s">
        <v>1043</v>
      </c>
      <c r="M110" t="s">
        <v>1044</v>
      </c>
      <c r="N110" s="1">
        <v>44392</v>
      </c>
      <c r="W110" s="1"/>
    </row>
    <row r="111" spans="1:24">
      <c r="A111" t="str">
        <f>_xlfn.IFNA(VLOOKUP(D111,Spelerslijst!A:B,1,FALSE),FALSE)</f>
        <v>NMN23N8</v>
      </c>
      <c r="B111" t="b">
        <f>_xlfn.IFNA(VLOOKUP(D111,Spelerslijst!K:L,1,FALSE),FALSE)</f>
        <v>0</v>
      </c>
      <c r="C111" t="str">
        <f t="shared" si="1"/>
        <v/>
      </c>
      <c r="D111" t="s">
        <v>385</v>
      </c>
      <c r="E111" t="s">
        <v>386</v>
      </c>
      <c r="F111" t="s">
        <v>387</v>
      </c>
      <c r="G111" s="1">
        <v>40075</v>
      </c>
      <c r="H111" t="s">
        <v>1046</v>
      </c>
      <c r="I111" t="s">
        <v>1161</v>
      </c>
      <c r="J111" t="s">
        <v>1042</v>
      </c>
      <c r="K111">
        <v>220</v>
      </c>
      <c r="L111" t="s">
        <v>1043</v>
      </c>
      <c r="M111" t="s">
        <v>1044</v>
      </c>
      <c r="N111" s="1">
        <v>44392</v>
      </c>
      <c r="W111" s="1"/>
    </row>
    <row r="112" spans="1:24">
      <c r="A112" t="str">
        <f>_xlfn.IFNA(VLOOKUP(D112,Spelerslijst!A:B,1,FALSE),FALSE)</f>
        <v>NLX25R5</v>
      </c>
      <c r="B112" t="b">
        <f>_xlfn.IFNA(VLOOKUP(D112,Spelerslijst!K:L,1,FALSE),FALSE)</f>
        <v>0</v>
      </c>
      <c r="C112" t="str">
        <f t="shared" si="1"/>
        <v/>
      </c>
      <c r="D112" t="s">
        <v>295</v>
      </c>
      <c r="E112" t="s">
        <v>296</v>
      </c>
      <c r="F112" t="s">
        <v>297</v>
      </c>
      <c r="G112" s="1">
        <v>40327</v>
      </c>
      <c r="H112" t="s">
        <v>1046</v>
      </c>
      <c r="I112" t="s">
        <v>1162</v>
      </c>
      <c r="J112" t="s">
        <v>1042</v>
      </c>
      <c r="K112">
        <v>220</v>
      </c>
      <c r="L112" t="s">
        <v>1043</v>
      </c>
      <c r="M112" t="s">
        <v>1044</v>
      </c>
      <c r="N112" s="1">
        <v>42891</v>
      </c>
      <c r="W112" s="1"/>
    </row>
    <row r="113" spans="1:23">
      <c r="A113" t="str">
        <f>_xlfn.IFNA(VLOOKUP(D113,Spelerslijst!A:B,1,FALSE),FALSE)</f>
        <v>NMP92X2</v>
      </c>
      <c r="B113" t="b">
        <f>_xlfn.IFNA(VLOOKUP(D113,Spelerslijst!K:L,1,FALSE),FALSE)</f>
        <v>0</v>
      </c>
      <c r="C113" t="str">
        <f t="shared" si="1"/>
        <v/>
      </c>
      <c r="D113" t="s">
        <v>435</v>
      </c>
      <c r="E113" t="s">
        <v>436</v>
      </c>
      <c r="F113" t="s">
        <v>437</v>
      </c>
      <c r="G113" s="1">
        <v>41303</v>
      </c>
      <c r="H113" t="s">
        <v>1046</v>
      </c>
      <c r="I113" t="s">
        <v>1163</v>
      </c>
      <c r="J113" t="s">
        <v>1042</v>
      </c>
      <c r="K113">
        <v>230</v>
      </c>
      <c r="L113" t="s">
        <v>1043</v>
      </c>
      <c r="M113" t="s">
        <v>1044</v>
      </c>
      <c r="N113" s="1">
        <v>44536</v>
      </c>
      <c r="W113" s="1"/>
    </row>
    <row r="114" spans="1:23">
      <c r="A114" t="str">
        <f>_xlfn.IFNA(VLOOKUP(D114,Spelerslijst!A:B,1,FALSE),FALSE)</f>
        <v>NKX20W8</v>
      </c>
      <c r="B114" t="b">
        <f>_xlfn.IFNA(VLOOKUP(D114,Spelerslijst!K:L,1,FALSE),FALSE)</f>
        <v>0</v>
      </c>
      <c r="C114" t="str">
        <f t="shared" si="1"/>
        <v/>
      </c>
      <c r="D114" t="s">
        <v>138</v>
      </c>
      <c r="E114" t="s">
        <v>139</v>
      </c>
      <c r="F114" t="s">
        <v>140</v>
      </c>
      <c r="G114" s="1">
        <v>38263</v>
      </c>
      <c r="H114" t="s">
        <v>1046</v>
      </c>
      <c r="I114" t="s">
        <v>1164</v>
      </c>
      <c r="J114" t="s">
        <v>1042</v>
      </c>
      <c r="K114">
        <v>210</v>
      </c>
      <c r="L114" t="s">
        <v>1043</v>
      </c>
      <c r="M114" t="s">
        <v>1044</v>
      </c>
      <c r="N114" s="1">
        <v>44724</v>
      </c>
      <c r="W114" s="1"/>
    </row>
    <row r="115" spans="1:23">
      <c r="A115" t="str">
        <f>_xlfn.IFNA(VLOOKUP(D115,Spelerslijst!A:B,1,FALSE),FALSE)</f>
        <v>NMN23K7</v>
      </c>
      <c r="B115" t="b">
        <f>_xlfn.IFNA(VLOOKUP(D115,Spelerslijst!K:L,1,FALSE),FALSE)</f>
        <v>0</v>
      </c>
      <c r="C115" t="str">
        <f t="shared" si="1"/>
        <v/>
      </c>
      <c r="D115" t="s">
        <v>425</v>
      </c>
      <c r="E115" t="s">
        <v>426</v>
      </c>
      <c r="F115" t="s">
        <v>427</v>
      </c>
      <c r="G115" s="1">
        <v>41398</v>
      </c>
      <c r="H115" t="s">
        <v>1046</v>
      </c>
      <c r="I115" t="s">
        <v>1165</v>
      </c>
      <c r="J115" t="s">
        <v>1042</v>
      </c>
      <c r="K115">
        <v>230</v>
      </c>
      <c r="L115" t="s">
        <v>1043</v>
      </c>
      <c r="M115" t="s">
        <v>1044</v>
      </c>
      <c r="N115" s="1">
        <v>44392</v>
      </c>
      <c r="W115" s="1"/>
    </row>
    <row r="116" spans="1:23">
      <c r="A116" t="str">
        <f>_xlfn.IFNA(VLOOKUP(D116,Spelerslijst!A:B,1,FALSE),FALSE)</f>
        <v>NMT44W0</v>
      </c>
      <c r="B116" t="b">
        <f>_xlfn.IFNA(VLOOKUP(D116,Spelerslijst!K:L,1,FALSE),FALSE)</f>
        <v>0</v>
      </c>
      <c r="C116" t="str">
        <f t="shared" si="1"/>
        <v/>
      </c>
      <c r="D116" t="s">
        <v>415</v>
      </c>
      <c r="E116" t="s">
        <v>416</v>
      </c>
      <c r="F116" t="s">
        <v>375</v>
      </c>
      <c r="G116" s="1">
        <v>40273</v>
      </c>
      <c r="H116" t="s">
        <v>1046</v>
      </c>
      <c r="I116" t="s">
        <v>1166</v>
      </c>
      <c r="J116" t="s">
        <v>1042</v>
      </c>
      <c r="K116">
        <v>220</v>
      </c>
      <c r="L116" t="s">
        <v>1043</v>
      </c>
      <c r="M116" t="s">
        <v>1044</v>
      </c>
      <c r="N116" s="1">
        <v>44942</v>
      </c>
      <c r="W116" s="1"/>
    </row>
    <row r="117" spans="1:23">
      <c r="A117" t="str">
        <f>_xlfn.IFNA(VLOOKUP(D117,Spelerslijst!A:B,1,FALSE),FALSE)</f>
        <v>NFX24T4</v>
      </c>
      <c r="B117" t="b">
        <f>_xlfn.IFNA(VLOOKUP(D117,Spelerslijst!K:L,1,FALSE),FALSE)</f>
        <v>0</v>
      </c>
      <c r="C117" t="str">
        <f t="shared" si="1"/>
        <v/>
      </c>
      <c r="D117" t="s">
        <v>680</v>
      </c>
      <c r="E117" t="s">
        <v>681</v>
      </c>
      <c r="F117" t="s">
        <v>682</v>
      </c>
      <c r="G117" s="1">
        <v>32197</v>
      </c>
      <c r="H117" t="s">
        <v>1046</v>
      </c>
      <c r="I117" t="s">
        <v>1167</v>
      </c>
      <c r="J117" t="s">
        <v>1042</v>
      </c>
      <c r="K117">
        <v>203</v>
      </c>
      <c r="L117" t="s">
        <v>1043</v>
      </c>
      <c r="M117" t="s">
        <v>1061</v>
      </c>
      <c r="N117" s="1">
        <v>40269</v>
      </c>
      <c r="W117" s="1"/>
    </row>
    <row r="118" spans="1:23">
      <c r="A118" t="str">
        <f>_xlfn.IFNA(VLOOKUP(D118,Spelerslijst!A:B,1,FALSE),FALSE)</f>
        <v>NMQ42K7</v>
      </c>
      <c r="B118" t="b">
        <f>_xlfn.IFNA(VLOOKUP(D118,Spelerslijst!K:L,1,FALSE),FALSE)</f>
        <v>0</v>
      </c>
      <c r="C118" t="str">
        <f t="shared" si="1"/>
        <v/>
      </c>
      <c r="D118" t="s">
        <v>627</v>
      </c>
      <c r="E118" t="s">
        <v>628</v>
      </c>
      <c r="F118" t="s">
        <v>629</v>
      </c>
      <c r="G118" s="1">
        <v>43006</v>
      </c>
      <c r="H118" t="s">
        <v>1046</v>
      </c>
      <c r="I118" t="s">
        <v>1168</v>
      </c>
      <c r="J118" t="s">
        <v>1042</v>
      </c>
      <c r="K118">
        <v>240</v>
      </c>
      <c r="M118" t="s">
        <v>1044</v>
      </c>
      <c r="N118" s="1">
        <v>44637</v>
      </c>
      <c r="W118" s="1"/>
    </row>
    <row r="119" spans="1:23">
      <c r="A119" t="str">
        <f>_xlfn.IFNA(VLOOKUP(D119,Spelerslijst!A:B,1,FALSE),FALSE)</f>
        <v>NLS45N2</v>
      </c>
      <c r="B119" t="b">
        <f>_xlfn.IFNA(VLOOKUP(D119,Spelerslijst!K:L,1,FALSE),FALSE)</f>
        <v>0</v>
      </c>
      <c r="C119" t="str">
        <f t="shared" si="1"/>
        <v/>
      </c>
      <c r="D119" t="s">
        <v>249</v>
      </c>
      <c r="E119" t="s">
        <v>250</v>
      </c>
      <c r="F119" t="s">
        <v>251</v>
      </c>
      <c r="G119" s="1">
        <v>39538</v>
      </c>
      <c r="H119" t="s">
        <v>1046</v>
      </c>
      <c r="I119" t="s">
        <v>1169</v>
      </c>
      <c r="J119" t="s">
        <v>1042</v>
      </c>
      <c r="K119">
        <v>220</v>
      </c>
      <c r="L119" t="s">
        <v>1043</v>
      </c>
      <c r="M119" t="s">
        <v>1044</v>
      </c>
      <c r="N119" s="1">
        <v>42614</v>
      </c>
      <c r="W119" s="1"/>
    </row>
    <row r="120" spans="1:23">
      <c r="A120" t="str">
        <f>_xlfn.IFNA(VLOOKUP(D120,Spelerslijst!A:B,1,FALSE),FALSE)</f>
        <v>NKK27B9</v>
      </c>
      <c r="B120" t="b">
        <f>_xlfn.IFNA(VLOOKUP(D120,Spelerslijst!K:L,1,FALSE),FALSE)</f>
        <v>0</v>
      </c>
      <c r="C120" t="str">
        <f t="shared" si="1"/>
        <v/>
      </c>
      <c r="D120" t="s">
        <v>710</v>
      </c>
      <c r="E120" t="s">
        <v>1170</v>
      </c>
      <c r="F120" t="s">
        <v>1171</v>
      </c>
      <c r="G120" s="1">
        <v>37684</v>
      </c>
      <c r="H120" t="s">
        <v>1046</v>
      </c>
      <c r="I120" t="s">
        <v>1172</v>
      </c>
      <c r="J120" t="s">
        <v>1042</v>
      </c>
      <c r="K120">
        <v>200</v>
      </c>
      <c r="L120" t="s">
        <v>1043</v>
      </c>
      <c r="M120" t="s">
        <v>1044</v>
      </c>
      <c r="N120" s="1">
        <v>39783</v>
      </c>
      <c r="W120" s="1"/>
    </row>
    <row r="121" spans="1:23">
      <c r="A121" t="str">
        <f>_xlfn.IFNA(VLOOKUP(D121,Spelerslijst!A:B,1,FALSE),FALSE)</f>
        <v>NMB60Y4</v>
      </c>
      <c r="B121" t="b">
        <f>_xlfn.IFNA(VLOOKUP(D121,Spelerslijst!K:L,1,FALSE),FALSE)</f>
        <v>0</v>
      </c>
      <c r="C121" t="str">
        <f t="shared" si="1"/>
        <v/>
      </c>
      <c r="D121" t="s">
        <v>301</v>
      </c>
      <c r="E121" t="s">
        <v>302</v>
      </c>
      <c r="F121" t="s">
        <v>297</v>
      </c>
      <c r="G121" s="1">
        <v>40189</v>
      </c>
      <c r="H121" t="s">
        <v>1046</v>
      </c>
      <c r="I121" t="s">
        <v>1173</v>
      </c>
      <c r="J121" t="s">
        <v>1042</v>
      </c>
      <c r="K121">
        <v>220</v>
      </c>
      <c r="L121" t="s">
        <v>1043</v>
      </c>
      <c r="M121" t="s">
        <v>1044</v>
      </c>
      <c r="N121" s="1">
        <v>43258</v>
      </c>
      <c r="W121" s="1"/>
    </row>
    <row r="122" spans="1:23">
      <c r="A122" t="b">
        <f>_xlfn.IFNA(VLOOKUP(D122,Spelerslijst!A:B,1,FALSE),FALSE)</f>
        <v>0</v>
      </c>
      <c r="B122" t="str">
        <f>_xlfn.IFNA(VLOOKUP(D122,Spelerslijst!K:L,1,FALSE),FALSE)</f>
        <v>NLX04H2</v>
      </c>
      <c r="C122" t="str">
        <f t="shared" si="1"/>
        <v/>
      </c>
      <c r="D122" t="s">
        <v>359</v>
      </c>
      <c r="E122" t="s">
        <v>360</v>
      </c>
      <c r="F122" t="s">
        <v>361</v>
      </c>
      <c r="G122" s="1">
        <v>40309</v>
      </c>
      <c r="H122" t="s">
        <v>949</v>
      </c>
      <c r="I122" t="s">
        <v>1174</v>
      </c>
      <c r="J122" t="s">
        <v>1042</v>
      </c>
      <c r="K122">
        <v>220</v>
      </c>
      <c r="L122" t="s">
        <v>1043</v>
      </c>
      <c r="M122" t="s">
        <v>1044</v>
      </c>
      <c r="N122" s="1">
        <v>42884</v>
      </c>
      <c r="W122" s="1"/>
    </row>
    <row r="123" spans="1:23">
      <c r="A123" t="str">
        <f>_xlfn.IFNA(VLOOKUP(D123,Spelerslijst!A:B,1,FALSE),FALSE)</f>
        <v>NLS54M7</v>
      </c>
      <c r="B123" t="b">
        <f>_xlfn.IFNA(VLOOKUP(D123,Spelerslijst!K:L,1,FALSE),FALSE)</f>
        <v>0</v>
      </c>
      <c r="C123" t="str">
        <f t="shared" si="1"/>
        <v/>
      </c>
      <c r="D123" t="s">
        <v>367</v>
      </c>
      <c r="E123" t="s">
        <v>368</v>
      </c>
      <c r="F123" t="s">
        <v>369</v>
      </c>
      <c r="G123" s="1">
        <v>40498</v>
      </c>
      <c r="H123" t="s">
        <v>1046</v>
      </c>
      <c r="I123" t="s">
        <v>1175</v>
      </c>
      <c r="J123" t="s">
        <v>1042</v>
      </c>
      <c r="K123">
        <v>220</v>
      </c>
      <c r="L123" t="s">
        <v>1043</v>
      </c>
      <c r="M123" t="s">
        <v>1044</v>
      </c>
      <c r="N123" s="1">
        <v>42613</v>
      </c>
      <c r="W123" s="1"/>
    </row>
    <row r="124" spans="1:23">
      <c r="A124" t="str">
        <f>_xlfn.IFNA(VLOOKUP(D124,Spelerslijst!A:B,1,FALSE),FALSE)</f>
        <v>NKG59H8</v>
      </c>
      <c r="B124" t="b">
        <f>_xlfn.IFNA(VLOOKUP(D124,Spelerslijst!K:L,1,FALSE),FALSE)</f>
        <v>0</v>
      </c>
      <c r="C124" t="str">
        <f t="shared" si="1"/>
        <v/>
      </c>
      <c r="D124" t="s">
        <v>706</v>
      </c>
      <c r="E124" t="s">
        <v>707</v>
      </c>
      <c r="F124" t="s">
        <v>658</v>
      </c>
      <c r="G124" s="1">
        <v>36993</v>
      </c>
      <c r="H124" t="s">
        <v>1046</v>
      </c>
      <c r="I124" t="s">
        <v>1176</v>
      </c>
      <c r="J124" t="s">
        <v>1042</v>
      </c>
      <c r="K124">
        <v>200</v>
      </c>
      <c r="L124" t="s">
        <v>1043</v>
      </c>
      <c r="M124" t="s">
        <v>1044</v>
      </c>
      <c r="N124" s="1">
        <v>39624</v>
      </c>
      <c r="W124" s="1"/>
    </row>
    <row r="125" spans="1:23">
      <c r="A125" t="b">
        <f>_xlfn.IFNA(VLOOKUP(D125,Spelerslijst!A:B,1,FALSE),FALSE)</f>
        <v>0</v>
      </c>
      <c r="B125" t="str">
        <f>_xlfn.IFNA(VLOOKUP(D125,Spelerslijst!K:L,1,FALSE),FALSE)</f>
        <v>NLS85H0</v>
      </c>
      <c r="C125" t="str">
        <f t="shared" si="1"/>
        <v/>
      </c>
      <c r="D125" t="s">
        <v>275</v>
      </c>
      <c r="E125" t="s">
        <v>276</v>
      </c>
      <c r="F125" t="s">
        <v>277</v>
      </c>
      <c r="G125" s="1">
        <v>39623</v>
      </c>
      <c r="H125" t="s">
        <v>949</v>
      </c>
      <c r="I125" t="s">
        <v>1177</v>
      </c>
      <c r="J125" t="s">
        <v>1042</v>
      </c>
      <c r="K125">
        <v>220</v>
      </c>
      <c r="L125" t="s">
        <v>1043</v>
      </c>
      <c r="M125" t="s">
        <v>1044</v>
      </c>
      <c r="N125" s="1">
        <v>42536</v>
      </c>
      <c r="W125" s="1"/>
    </row>
    <row r="126" spans="1:23">
      <c r="A126" t="b">
        <f>_xlfn.IFNA(VLOOKUP(D126,Spelerslijst!A:B,1,FALSE),FALSE)</f>
        <v>0</v>
      </c>
      <c r="B126" t="str">
        <f>_xlfn.IFNA(VLOOKUP(D126,Spelerslijst!K:L,1,FALSE),FALSE)</f>
        <v>NMC61P5</v>
      </c>
      <c r="C126" t="str">
        <f t="shared" si="1"/>
        <v/>
      </c>
      <c r="D126" t="s">
        <v>331</v>
      </c>
      <c r="E126" t="s">
        <v>332</v>
      </c>
      <c r="F126" t="s">
        <v>333</v>
      </c>
      <c r="G126" s="1">
        <v>40626</v>
      </c>
      <c r="H126" t="s">
        <v>949</v>
      </c>
      <c r="I126" t="s">
        <v>1177</v>
      </c>
      <c r="J126" t="s">
        <v>1042</v>
      </c>
      <c r="K126">
        <v>230</v>
      </c>
      <c r="L126" t="s">
        <v>1043</v>
      </c>
      <c r="M126" t="s">
        <v>1044</v>
      </c>
      <c r="N126" s="1">
        <v>43352</v>
      </c>
      <c r="W126" s="1"/>
    </row>
    <row r="127" spans="1:23">
      <c r="A127" t="b">
        <f>_xlfn.IFNA(VLOOKUP(D127,Spelerslijst!A:B,1,FALSE),FALSE)</f>
        <v>0</v>
      </c>
      <c r="B127" t="str">
        <f>_xlfn.IFNA(VLOOKUP(D127,Spelerslijst!K:L,1,FALSE),FALSE)</f>
        <v>NMN09P0</v>
      </c>
      <c r="C127" t="str">
        <f t="shared" si="1"/>
        <v/>
      </c>
      <c r="D127" t="s">
        <v>496</v>
      </c>
      <c r="E127" t="s">
        <v>497</v>
      </c>
      <c r="F127" t="s">
        <v>498</v>
      </c>
      <c r="G127" s="1">
        <v>41867</v>
      </c>
      <c r="H127" t="s">
        <v>949</v>
      </c>
      <c r="I127" t="s">
        <v>1177</v>
      </c>
      <c r="J127" t="s">
        <v>1042</v>
      </c>
      <c r="K127">
        <v>230</v>
      </c>
      <c r="L127" t="s">
        <v>1043</v>
      </c>
      <c r="M127" t="s">
        <v>1044</v>
      </c>
      <c r="N127" s="1">
        <v>44377</v>
      </c>
      <c r="W127" s="1"/>
    </row>
    <row r="128" spans="1:23">
      <c r="A128" t="b">
        <f>_xlfn.IFNA(VLOOKUP(D128,Spelerslijst!A:B,1,FALSE),FALSE)</f>
        <v>0</v>
      </c>
      <c r="B128" t="str">
        <f>_xlfn.IFNA(VLOOKUP(D128,Spelerslijst!K:L,1,FALSE),FALSE)</f>
        <v>NMK07M0</v>
      </c>
      <c r="C128" t="str">
        <f t="shared" si="1"/>
        <v/>
      </c>
      <c r="D128" t="s">
        <v>513</v>
      </c>
      <c r="E128" t="s">
        <v>514</v>
      </c>
      <c r="F128" t="s">
        <v>515</v>
      </c>
      <c r="G128" s="1">
        <v>41737</v>
      </c>
      <c r="H128" t="s">
        <v>949</v>
      </c>
      <c r="I128" t="s">
        <v>1178</v>
      </c>
      <c r="J128" t="s">
        <v>1042</v>
      </c>
      <c r="K128">
        <v>230</v>
      </c>
      <c r="L128" t="s">
        <v>1043</v>
      </c>
      <c r="M128" t="s">
        <v>1044</v>
      </c>
      <c r="N128" s="1">
        <v>44075</v>
      </c>
      <c r="W128" s="1"/>
    </row>
    <row r="129" spans="1:23">
      <c r="A129" t="str">
        <f>_xlfn.IFNA(VLOOKUP(D129,Spelerslijst!A:B,1,FALSE),FALSE)</f>
        <v>NJH13R4</v>
      </c>
      <c r="B129" t="b">
        <f>_xlfn.IFNA(VLOOKUP(D129,Spelerslijst!K:L,1,FALSE),FALSE)</f>
        <v>0</v>
      </c>
      <c r="C129" t="str">
        <f t="shared" si="1"/>
        <v/>
      </c>
      <c r="D129" t="s">
        <v>821</v>
      </c>
      <c r="E129" t="s">
        <v>822</v>
      </c>
      <c r="F129" t="s">
        <v>823</v>
      </c>
      <c r="G129" s="1">
        <v>36013</v>
      </c>
      <c r="H129" t="s">
        <v>1046</v>
      </c>
      <c r="I129" t="s">
        <v>1179</v>
      </c>
      <c r="J129" t="s">
        <v>1042</v>
      </c>
      <c r="K129">
        <v>200</v>
      </c>
      <c r="L129" t="s">
        <v>1043</v>
      </c>
      <c r="M129" t="s">
        <v>1044</v>
      </c>
      <c r="N129" s="1">
        <v>40764</v>
      </c>
      <c r="W129" s="1"/>
    </row>
    <row r="130" spans="1:23">
      <c r="A130" t="b">
        <f>_xlfn.IFNA(VLOOKUP(D130,Spelerslijst!A:B,1,FALSE),FALSE)</f>
        <v>0</v>
      </c>
      <c r="B130" t="str">
        <f>_xlfn.IFNA(VLOOKUP(D130,Spelerslijst!K:L,1,FALSE),FALSE)</f>
        <v>NFW13Y0</v>
      </c>
      <c r="C130" t="str">
        <f t="shared" si="1"/>
        <v/>
      </c>
      <c r="D130" t="s">
        <v>846</v>
      </c>
      <c r="E130" t="s">
        <v>847</v>
      </c>
      <c r="F130" t="s">
        <v>848</v>
      </c>
      <c r="G130" s="1">
        <v>25227</v>
      </c>
      <c r="H130" t="s">
        <v>949</v>
      </c>
      <c r="I130" t="s">
        <v>1180</v>
      </c>
      <c r="J130" t="s">
        <v>1042</v>
      </c>
      <c r="K130">
        <v>203</v>
      </c>
      <c r="L130" t="s">
        <v>1043</v>
      </c>
      <c r="M130" t="s">
        <v>1061</v>
      </c>
      <c r="N130" s="1">
        <v>28642</v>
      </c>
      <c r="W130" s="1"/>
    </row>
    <row r="131" spans="1:23">
      <c r="A131" t="b">
        <f>_xlfn.IFNA(VLOOKUP(D131,Spelerslijst!A:B,1,FALSE),FALSE)</f>
        <v>0</v>
      </c>
      <c r="B131" t="str">
        <f>_xlfn.IFNA(VLOOKUP(D131,Spelerslijst!K:L,1,FALSE),FALSE)</f>
        <v>NMN49T8</v>
      </c>
      <c r="C131" t="str">
        <f t="shared" ref="C131:C194" si="2">IF(AND(A131=FALSE,B131=FALSE),"Onbekend","")</f>
        <v/>
      </c>
      <c r="D131" t="s">
        <v>444</v>
      </c>
      <c r="E131" t="s">
        <v>445</v>
      </c>
      <c r="F131" t="s">
        <v>446</v>
      </c>
      <c r="G131" s="1">
        <v>41282</v>
      </c>
      <c r="H131" t="s">
        <v>949</v>
      </c>
      <c r="I131" t="s">
        <v>1181</v>
      </c>
      <c r="J131" t="s">
        <v>1042</v>
      </c>
      <c r="K131">
        <v>230</v>
      </c>
      <c r="L131" t="s">
        <v>1043</v>
      </c>
      <c r="M131" t="s">
        <v>1044</v>
      </c>
      <c r="N131" s="1">
        <v>44437</v>
      </c>
      <c r="W131" s="1"/>
    </row>
    <row r="132" spans="1:23">
      <c r="A132" t="str">
        <f>_xlfn.IFNA(VLOOKUP(D132,Spelerslijst!A:B,1,FALSE),FALSE)</f>
        <v>NKT92K1</v>
      </c>
      <c r="B132" t="b">
        <f>_xlfn.IFNA(VLOOKUP(D132,Spelerslijst!K:L,1,FALSE),FALSE)</f>
        <v>0</v>
      </c>
      <c r="C132" t="str">
        <f t="shared" si="2"/>
        <v/>
      </c>
      <c r="D132" t="s">
        <v>72</v>
      </c>
      <c r="E132" t="s">
        <v>73</v>
      </c>
      <c r="F132" t="s">
        <v>74</v>
      </c>
      <c r="G132" s="1">
        <v>38597</v>
      </c>
      <c r="H132" t="s">
        <v>1046</v>
      </c>
      <c r="I132" t="s">
        <v>1182</v>
      </c>
      <c r="J132" t="s">
        <v>1042</v>
      </c>
      <c r="K132">
        <v>210</v>
      </c>
      <c r="L132" t="s">
        <v>1043</v>
      </c>
      <c r="M132" t="s">
        <v>1044</v>
      </c>
      <c r="N132" s="1">
        <v>40513</v>
      </c>
      <c r="W132" s="1"/>
    </row>
    <row r="133" spans="1:23">
      <c r="A133" t="b">
        <f>_xlfn.IFNA(VLOOKUP(D133,Spelerslijst!A:B,1,FALSE),FALSE)</f>
        <v>0</v>
      </c>
      <c r="B133" t="str">
        <f>_xlfn.IFNA(VLOOKUP(D133,Spelerslijst!K:L,1,FALSE),FALSE)</f>
        <v>NKZ28R9</v>
      </c>
      <c r="C133" t="str">
        <f t="shared" si="2"/>
        <v/>
      </c>
      <c r="D133" t="s">
        <v>147</v>
      </c>
      <c r="E133" t="s">
        <v>148</v>
      </c>
      <c r="F133" t="s">
        <v>149</v>
      </c>
      <c r="G133" s="1">
        <v>39363</v>
      </c>
      <c r="H133" t="s">
        <v>949</v>
      </c>
      <c r="I133" t="s">
        <v>1182</v>
      </c>
      <c r="J133" t="s">
        <v>1042</v>
      </c>
      <c r="K133">
        <v>220</v>
      </c>
      <c r="L133" t="s">
        <v>1043</v>
      </c>
      <c r="M133" t="s">
        <v>1044</v>
      </c>
      <c r="N133" s="1">
        <v>43255</v>
      </c>
      <c r="W133" s="1"/>
    </row>
    <row r="134" spans="1:23">
      <c r="A134" t="b">
        <f>_xlfn.IFNA(VLOOKUP(D134,Spelerslijst!A:B,1,FALSE),FALSE)</f>
        <v>0</v>
      </c>
      <c r="B134" t="str">
        <f>_xlfn.IFNA(VLOOKUP(D134,Spelerslijst!K:L,1,FALSE),FALSE)</f>
        <v>NKY88T2</v>
      </c>
      <c r="C134" t="str">
        <f t="shared" si="2"/>
        <v/>
      </c>
      <c r="D134" t="s">
        <v>624</v>
      </c>
      <c r="E134" t="s">
        <v>625</v>
      </c>
      <c r="F134" t="s">
        <v>626</v>
      </c>
      <c r="G134" s="1">
        <v>37832</v>
      </c>
      <c r="H134" t="s">
        <v>949</v>
      </c>
      <c r="I134" t="s">
        <v>1183</v>
      </c>
      <c r="J134" t="s">
        <v>1042</v>
      </c>
      <c r="K134">
        <v>200</v>
      </c>
      <c r="L134" t="s">
        <v>1043</v>
      </c>
      <c r="M134" t="s">
        <v>1044</v>
      </c>
      <c r="N134" s="1">
        <v>40909</v>
      </c>
      <c r="W134" s="1"/>
    </row>
    <row r="135" spans="1:23">
      <c r="A135" t="str">
        <f>_xlfn.IFNA(VLOOKUP(D135,Spelerslijst!A:B,1,FALSE),FALSE)</f>
        <v>NJG35B7</v>
      </c>
      <c r="B135" t="b">
        <f>_xlfn.IFNA(VLOOKUP(D135,Spelerslijst!K:L,1,FALSE),FALSE)</f>
        <v>0</v>
      </c>
      <c r="C135" t="str">
        <f t="shared" si="2"/>
        <v/>
      </c>
      <c r="D135" t="s">
        <v>722</v>
      </c>
      <c r="E135" t="s">
        <v>723</v>
      </c>
      <c r="F135" t="s">
        <v>724</v>
      </c>
      <c r="G135" s="1">
        <v>36011</v>
      </c>
      <c r="H135" t="s">
        <v>1046</v>
      </c>
      <c r="I135" t="s">
        <v>1184</v>
      </c>
      <c r="J135" t="s">
        <v>1042</v>
      </c>
      <c r="K135">
        <v>200</v>
      </c>
      <c r="L135" t="s">
        <v>1043</v>
      </c>
      <c r="M135" t="s">
        <v>1044</v>
      </c>
      <c r="N135" s="1">
        <v>38017</v>
      </c>
      <c r="W135" s="1"/>
    </row>
    <row r="136" spans="1:23">
      <c r="A136" t="str">
        <f>_xlfn.IFNA(VLOOKUP(D136,Spelerslijst!A:B,1,FALSE),FALSE)</f>
        <v>NMP73C8</v>
      </c>
      <c r="B136" t="b">
        <f>_xlfn.IFNA(VLOOKUP(D136,Spelerslijst!K:L,1,FALSE),FALSE)</f>
        <v>0</v>
      </c>
      <c r="C136" t="str">
        <f t="shared" si="2"/>
        <v/>
      </c>
      <c r="D136" t="s">
        <v>522</v>
      </c>
      <c r="E136" t="s">
        <v>523</v>
      </c>
      <c r="F136" t="s">
        <v>342</v>
      </c>
      <c r="G136" s="1">
        <v>41582</v>
      </c>
      <c r="H136" t="s">
        <v>1046</v>
      </c>
      <c r="I136" t="s">
        <v>1185</v>
      </c>
      <c r="J136" t="s">
        <v>1042</v>
      </c>
      <c r="K136">
        <v>230</v>
      </c>
      <c r="L136" t="s">
        <v>1043</v>
      </c>
      <c r="M136" t="s">
        <v>1044</v>
      </c>
      <c r="N136" s="1">
        <v>44519</v>
      </c>
      <c r="W136" s="1"/>
    </row>
    <row r="137" spans="1:23">
      <c r="A137" t="b">
        <f>_xlfn.IFNA(VLOOKUP(D137,Spelerslijst!A:B,1,FALSE),FALSE)</f>
        <v>0</v>
      </c>
      <c r="B137" t="str">
        <f>_xlfn.IFNA(VLOOKUP(D137,Spelerslijst!K:L,1,FALSE),FALSE)</f>
        <v>NMQ65B3</v>
      </c>
      <c r="C137" t="str">
        <f t="shared" si="2"/>
        <v/>
      </c>
      <c r="D137" t="s">
        <v>456</v>
      </c>
      <c r="E137" t="s">
        <v>457</v>
      </c>
      <c r="F137" t="s">
        <v>458</v>
      </c>
      <c r="G137" s="1">
        <v>41365</v>
      </c>
      <c r="H137" t="s">
        <v>949</v>
      </c>
      <c r="I137" t="s">
        <v>1186</v>
      </c>
      <c r="J137" t="s">
        <v>1042</v>
      </c>
      <c r="K137">
        <v>230</v>
      </c>
      <c r="L137" t="s">
        <v>1043</v>
      </c>
      <c r="M137" t="s">
        <v>1044</v>
      </c>
      <c r="N137" s="1">
        <v>44665</v>
      </c>
      <c r="W137" s="1"/>
    </row>
    <row r="138" spans="1:23">
      <c r="A138" t="b">
        <f>_xlfn.IFNA(VLOOKUP(D138,Spelerslijst!A:B,1,FALSE),FALSE)</f>
        <v>0</v>
      </c>
      <c r="B138" t="str">
        <f>_xlfn.IFNA(VLOOKUP(D138,Spelerslijst!K:L,1,FALSE),FALSE)</f>
        <v>NKW50C2</v>
      </c>
      <c r="C138" t="str">
        <f t="shared" si="2"/>
        <v/>
      </c>
      <c r="D138" t="s">
        <v>761</v>
      </c>
      <c r="E138" t="s">
        <v>762</v>
      </c>
      <c r="F138" t="s">
        <v>372</v>
      </c>
      <c r="G138" s="1">
        <v>37960</v>
      </c>
      <c r="H138" t="s">
        <v>949</v>
      </c>
      <c r="I138" t="s">
        <v>1187</v>
      </c>
      <c r="J138" t="s">
        <v>1042</v>
      </c>
      <c r="K138">
        <v>200</v>
      </c>
      <c r="L138" t="s">
        <v>1043</v>
      </c>
      <c r="M138" t="s">
        <v>1044</v>
      </c>
      <c r="N138" s="1">
        <v>40787</v>
      </c>
      <c r="W138" s="1"/>
    </row>
    <row r="139" spans="1:23">
      <c r="A139" t="str">
        <f>_xlfn.IFNA(VLOOKUP(D139,Spelerslijst!A:B,1,FALSE),FALSE)</f>
        <v>NLL81G4</v>
      </c>
      <c r="B139" t="b">
        <f>_xlfn.IFNA(VLOOKUP(D139,Spelerslijst!K:L,1,FALSE),FALSE)</f>
        <v>0</v>
      </c>
      <c r="C139" t="str">
        <f t="shared" si="2"/>
        <v/>
      </c>
      <c r="D139" t="s">
        <v>103</v>
      </c>
      <c r="E139" t="s">
        <v>104</v>
      </c>
      <c r="F139" t="s">
        <v>105</v>
      </c>
      <c r="G139" s="1">
        <v>39324</v>
      </c>
      <c r="H139" t="s">
        <v>1046</v>
      </c>
      <c r="I139" t="s">
        <v>1188</v>
      </c>
      <c r="J139" t="s">
        <v>1042</v>
      </c>
      <c r="K139">
        <v>220</v>
      </c>
      <c r="L139" t="s">
        <v>1043</v>
      </c>
      <c r="M139" t="s">
        <v>1044</v>
      </c>
      <c r="N139" s="1">
        <v>41913</v>
      </c>
      <c r="W139" s="1"/>
    </row>
    <row r="140" spans="1:23">
      <c r="A140" t="str">
        <f>_xlfn.IFNA(VLOOKUP(D140,Spelerslijst!A:B,1,FALSE),FALSE)</f>
        <v>NKR88F7</v>
      </c>
      <c r="B140" t="b">
        <f>_xlfn.IFNA(VLOOKUP(D140,Spelerslijst!K:L,1,FALSE),FALSE)</f>
        <v>0</v>
      </c>
      <c r="C140" t="str">
        <f t="shared" si="2"/>
        <v/>
      </c>
      <c r="D140" t="s">
        <v>685</v>
      </c>
      <c r="E140" t="s">
        <v>686</v>
      </c>
      <c r="F140" t="s">
        <v>687</v>
      </c>
      <c r="G140" s="1">
        <v>37771</v>
      </c>
      <c r="H140" t="s">
        <v>1046</v>
      </c>
      <c r="I140" t="s">
        <v>1189</v>
      </c>
      <c r="J140" t="s">
        <v>1042</v>
      </c>
      <c r="K140">
        <v>200</v>
      </c>
      <c r="L140" t="s">
        <v>1043</v>
      </c>
      <c r="M140" t="s">
        <v>1044</v>
      </c>
      <c r="N140" s="1">
        <v>41183</v>
      </c>
      <c r="W140" s="1"/>
    </row>
    <row r="141" spans="1:23">
      <c r="A141" t="str">
        <f>_xlfn.IFNA(VLOOKUP(D141,Spelerslijst!A:B,1,FALSE),FALSE)</f>
        <v>NMM21T3</v>
      </c>
      <c r="B141" t="b">
        <f>_xlfn.IFNA(VLOOKUP(D141,Spelerslijst!K:L,1,FALSE),FALSE)</f>
        <v>0</v>
      </c>
      <c r="C141" t="str">
        <f t="shared" si="2"/>
        <v/>
      </c>
      <c r="D141" t="s">
        <v>504</v>
      </c>
      <c r="E141" t="s">
        <v>505</v>
      </c>
      <c r="F141" t="s">
        <v>506</v>
      </c>
      <c r="G141" s="1">
        <v>41557</v>
      </c>
      <c r="H141" t="s">
        <v>1046</v>
      </c>
      <c r="I141" t="s">
        <v>1190</v>
      </c>
      <c r="J141" t="s">
        <v>1042</v>
      </c>
      <c r="K141">
        <v>230</v>
      </c>
      <c r="L141" t="s">
        <v>1043</v>
      </c>
      <c r="M141" t="s">
        <v>1044</v>
      </c>
      <c r="N141" s="1">
        <v>44316</v>
      </c>
      <c r="W141" s="1"/>
    </row>
    <row r="142" spans="1:23">
      <c r="A142" t="str">
        <f>_xlfn.IFNA(VLOOKUP(D142,Spelerslijst!A:B,1,FALSE),FALSE)</f>
        <v>NMR70L4</v>
      </c>
      <c r="B142" t="b">
        <f>_xlfn.IFNA(VLOOKUP(D142,Spelerslijst!K:L,1,FALSE),FALSE)</f>
        <v>0</v>
      </c>
      <c r="C142" t="str">
        <f t="shared" si="2"/>
        <v/>
      </c>
      <c r="D142" t="s">
        <v>644</v>
      </c>
      <c r="E142" t="s">
        <v>645</v>
      </c>
      <c r="F142" t="s">
        <v>646</v>
      </c>
      <c r="G142" s="1">
        <v>43409</v>
      </c>
      <c r="H142" t="s">
        <v>1046</v>
      </c>
      <c r="I142" t="s">
        <v>1190</v>
      </c>
      <c r="J142" t="s">
        <v>1042</v>
      </c>
      <c r="K142">
        <v>240</v>
      </c>
      <c r="M142" t="s">
        <v>1044</v>
      </c>
      <c r="N142" s="1">
        <v>44795</v>
      </c>
      <c r="W142" s="1"/>
    </row>
    <row r="143" spans="1:23">
      <c r="A143" t="str">
        <f>_xlfn.IFNA(VLOOKUP(D143,Spelerslijst!A:B,1,FALSE),FALSE)</f>
        <v>NMP10M9</v>
      </c>
      <c r="B143" t="b">
        <f>_xlfn.IFNA(VLOOKUP(D143,Spelerslijst!K:L,1,FALSE),FALSE)</f>
        <v>0</v>
      </c>
      <c r="C143" t="str">
        <f t="shared" si="2"/>
        <v/>
      </c>
      <c r="D143" t="s">
        <v>272</v>
      </c>
      <c r="E143" t="s">
        <v>273</v>
      </c>
      <c r="F143" t="s">
        <v>274</v>
      </c>
      <c r="G143" s="1">
        <v>40541</v>
      </c>
      <c r="H143" t="s">
        <v>1046</v>
      </c>
      <c r="I143" t="s">
        <v>1191</v>
      </c>
      <c r="J143" t="s">
        <v>1042</v>
      </c>
      <c r="K143">
        <v>220</v>
      </c>
      <c r="L143" t="s">
        <v>1043</v>
      </c>
      <c r="M143" t="s">
        <v>1044</v>
      </c>
      <c r="N143" s="1">
        <v>44469</v>
      </c>
      <c r="W143" s="1"/>
    </row>
    <row r="144" spans="1:23">
      <c r="A144" t="str">
        <f>_xlfn.IFNA(VLOOKUP(D144,Spelerslijst!A:B,1,FALSE),FALSE)</f>
        <v>NMR12K3</v>
      </c>
      <c r="B144" t="b">
        <f>_xlfn.IFNA(VLOOKUP(D144,Spelerslijst!K:L,1,FALSE),FALSE)</f>
        <v>0</v>
      </c>
      <c r="C144" t="str">
        <f t="shared" si="2"/>
        <v/>
      </c>
      <c r="D144" t="s">
        <v>499</v>
      </c>
      <c r="E144" t="s">
        <v>500</v>
      </c>
      <c r="F144" t="s">
        <v>501</v>
      </c>
      <c r="G144" s="1">
        <v>41569</v>
      </c>
      <c r="H144" t="s">
        <v>1046</v>
      </c>
      <c r="I144" t="s">
        <v>1191</v>
      </c>
      <c r="J144" t="s">
        <v>1042</v>
      </c>
      <c r="K144">
        <v>230</v>
      </c>
      <c r="L144" t="s">
        <v>1043</v>
      </c>
      <c r="M144" t="s">
        <v>1044</v>
      </c>
      <c r="N144" s="1">
        <v>44726</v>
      </c>
      <c r="W144" s="1"/>
    </row>
    <row r="145" spans="1:24">
      <c r="A145" t="str">
        <f>_xlfn.IFNA(VLOOKUP(D145,Spelerslijst!A:B,1,FALSE),FALSE)</f>
        <v>NMS40B0</v>
      </c>
      <c r="B145" t="b">
        <f>_xlfn.IFNA(VLOOKUP(D145,Spelerslijst!K:L,1,FALSE),FALSE)</f>
        <v>0</v>
      </c>
      <c r="C145" t="str">
        <f t="shared" si="2"/>
        <v/>
      </c>
      <c r="D145" t="s">
        <v>578</v>
      </c>
      <c r="E145" t="s">
        <v>579</v>
      </c>
      <c r="F145" t="s">
        <v>580</v>
      </c>
      <c r="G145" s="1">
        <v>42308</v>
      </c>
      <c r="H145" t="s">
        <v>1046</v>
      </c>
      <c r="I145" t="s">
        <v>1191</v>
      </c>
      <c r="J145" t="s">
        <v>1042</v>
      </c>
      <c r="K145">
        <v>230</v>
      </c>
      <c r="L145" t="s">
        <v>1043</v>
      </c>
      <c r="M145" t="s">
        <v>1044</v>
      </c>
      <c r="N145" s="1">
        <v>44838</v>
      </c>
      <c r="W145" s="1"/>
    </row>
    <row r="146" spans="1:24">
      <c r="A146" t="str">
        <f>_xlfn.IFNA(VLOOKUP(D146,Spelerslijst!A:B,1,FALSE),FALSE)</f>
        <v>NJF85B1</v>
      </c>
      <c r="B146" t="b">
        <f>_xlfn.IFNA(VLOOKUP(D146,Spelerslijst!K:L,1,FALSE),FALSE)</f>
        <v>0</v>
      </c>
      <c r="C146" t="str">
        <f t="shared" si="2"/>
        <v/>
      </c>
      <c r="D146" t="s">
        <v>737</v>
      </c>
      <c r="E146" t="s">
        <v>738</v>
      </c>
      <c r="F146" t="s">
        <v>739</v>
      </c>
      <c r="G146" s="1">
        <v>34885</v>
      </c>
      <c r="H146" t="s">
        <v>1046</v>
      </c>
      <c r="I146" t="s">
        <v>1192</v>
      </c>
      <c r="J146" t="s">
        <v>1042</v>
      </c>
      <c r="K146">
        <v>200</v>
      </c>
      <c r="L146" t="s">
        <v>1043</v>
      </c>
      <c r="M146" t="s">
        <v>1044</v>
      </c>
      <c r="N146" s="1">
        <v>37261</v>
      </c>
      <c r="W146" s="1"/>
    </row>
    <row r="147" spans="1:24">
      <c r="A147" t="b">
        <f>_xlfn.IFNA(VLOOKUP(D147,Spelerslijst!A:B,1,FALSE),FALSE)</f>
        <v>0</v>
      </c>
      <c r="B147" t="str">
        <f>_xlfn.IFNA(VLOOKUP(D147,Spelerslijst!K:L,1,FALSE),FALSE)</f>
        <v>NLJ47N9</v>
      </c>
      <c r="C147" t="str">
        <f t="shared" si="2"/>
        <v/>
      </c>
      <c r="D147" t="s">
        <v>812</v>
      </c>
      <c r="E147" t="s">
        <v>813</v>
      </c>
      <c r="F147" t="s">
        <v>814</v>
      </c>
      <c r="G147" s="1">
        <v>38519</v>
      </c>
      <c r="H147" t="s">
        <v>949</v>
      </c>
      <c r="I147" t="s">
        <v>1193</v>
      </c>
      <c r="J147" t="s">
        <v>1048</v>
      </c>
      <c r="K147">
        <v>202</v>
      </c>
      <c r="L147" t="s">
        <v>1043</v>
      </c>
      <c r="M147" t="s">
        <v>1067</v>
      </c>
      <c r="N147" s="1">
        <v>41640</v>
      </c>
      <c r="W147" s="1"/>
      <c r="X147" s="1"/>
    </row>
    <row r="148" spans="1:24">
      <c r="A148" t="b">
        <f>_xlfn.IFNA(VLOOKUP(D148,Spelerslijst!A:B,1,FALSE),FALSE)</f>
        <v>0</v>
      </c>
      <c r="B148" t="str">
        <f>_xlfn.IFNA(VLOOKUP(D148,Spelerslijst!K:L,1,FALSE),FALSE)</f>
        <v>NLY32T6</v>
      </c>
      <c r="C148" t="str">
        <f t="shared" si="2"/>
        <v/>
      </c>
      <c r="D148" t="s">
        <v>347</v>
      </c>
      <c r="E148" t="s">
        <v>348</v>
      </c>
      <c r="F148" t="s">
        <v>349</v>
      </c>
      <c r="G148" s="1">
        <v>40413</v>
      </c>
      <c r="H148" t="s">
        <v>949</v>
      </c>
      <c r="I148" t="s">
        <v>1194</v>
      </c>
      <c r="J148" t="s">
        <v>1042</v>
      </c>
      <c r="K148">
        <v>220</v>
      </c>
      <c r="L148" t="s">
        <v>1043</v>
      </c>
      <c r="M148" t="s">
        <v>1044</v>
      </c>
      <c r="N148" s="1">
        <v>42991</v>
      </c>
      <c r="W148" s="1"/>
    </row>
    <row r="149" spans="1:24">
      <c r="A149" t="b">
        <f>_xlfn.IFNA(VLOOKUP(D149,Spelerslijst!A:B,1,FALSE),FALSE)</f>
        <v>0</v>
      </c>
      <c r="B149" t="str">
        <f>_xlfn.IFNA(VLOOKUP(D149,Spelerslijst!K:L,1,FALSE),FALSE)</f>
        <v>NLZ21F1</v>
      </c>
      <c r="C149" t="str">
        <f t="shared" si="2"/>
        <v/>
      </c>
      <c r="D149" t="s">
        <v>432</v>
      </c>
      <c r="E149" t="s">
        <v>433</v>
      </c>
      <c r="F149" t="s">
        <v>434</v>
      </c>
      <c r="G149" s="1">
        <v>41668</v>
      </c>
      <c r="H149" t="s">
        <v>949</v>
      </c>
      <c r="I149" t="s">
        <v>1194</v>
      </c>
      <c r="J149" t="s">
        <v>1042</v>
      </c>
      <c r="K149">
        <v>230</v>
      </c>
      <c r="L149" t="s">
        <v>1043</v>
      </c>
      <c r="M149" t="s">
        <v>1044</v>
      </c>
      <c r="N149" s="1">
        <v>43055</v>
      </c>
      <c r="W149" s="1"/>
    </row>
    <row r="150" spans="1:24">
      <c r="A150" t="str">
        <f>_xlfn.IFNA(VLOOKUP(D150,Spelerslijst!A:B,1,FALSE),FALSE)</f>
        <v>NLL19T4</v>
      </c>
      <c r="B150" t="b">
        <f>_xlfn.IFNA(VLOOKUP(D150,Spelerslijst!K:L,1,FALSE),FALSE)</f>
        <v>0</v>
      </c>
      <c r="C150" t="str">
        <f t="shared" si="2"/>
        <v/>
      </c>
      <c r="D150" t="s">
        <v>109</v>
      </c>
      <c r="E150" t="s">
        <v>110</v>
      </c>
      <c r="F150" t="s">
        <v>111</v>
      </c>
      <c r="G150" s="1">
        <v>39433</v>
      </c>
      <c r="H150" t="s">
        <v>1046</v>
      </c>
      <c r="I150" t="s">
        <v>1195</v>
      </c>
      <c r="J150" t="s">
        <v>1042</v>
      </c>
      <c r="K150">
        <v>220</v>
      </c>
      <c r="L150" t="s">
        <v>1043</v>
      </c>
      <c r="M150" t="s">
        <v>1044</v>
      </c>
      <c r="N150" s="1">
        <v>41883</v>
      </c>
      <c r="W150" s="1"/>
    </row>
    <row r="151" spans="1:24">
      <c r="A151" t="b">
        <f>_xlfn.IFNA(VLOOKUP(D151,Spelerslijst!A:B,1,FALSE),FALSE)</f>
        <v>0</v>
      </c>
      <c r="B151" t="str">
        <f>_xlfn.IFNA(VLOOKUP(D151,Spelerslijst!K:L,1,FALSE),FALSE)</f>
        <v>NFS90V6</v>
      </c>
      <c r="C151" t="str">
        <f t="shared" si="2"/>
        <v/>
      </c>
      <c r="D151" t="s">
        <v>708</v>
      </c>
      <c r="E151" t="s">
        <v>709</v>
      </c>
      <c r="F151" t="s">
        <v>167</v>
      </c>
      <c r="G151" s="1">
        <v>29031</v>
      </c>
      <c r="H151" t="s">
        <v>949</v>
      </c>
      <c r="I151" t="s">
        <v>1195</v>
      </c>
      <c r="J151" t="s">
        <v>1042</v>
      </c>
      <c r="K151">
        <v>200</v>
      </c>
      <c r="L151" t="s">
        <v>1043</v>
      </c>
      <c r="M151" t="s">
        <v>1044</v>
      </c>
      <c r="N151" s="1">
        <v>43279</v>
      </c>
      <c r="W151" s="1"/>
    </row>
    <row r="152" spans="1:24">
      <c r="A152" t="b">
        <f>_xlfn.IFNA(VLOOKUP(D152,Spelerslijst!A:B,1,FALSE),FALSE)</f>
        <v>0</v>
      </c>
      <c r="B152" t="str">
        <f>_xlfn.IFNA(VLOOKUP(D152,Spelerslijst!K:L,1,FALSE),FALSE)</f>
        <v>NMJ57G2</v>
      </c>
      <c r="C152" t="str">
        <f t="shared" si="2"/>
        <v/>
      </c>
      <c r="D152" t="s">
        <v>491</v>
      </c>
      <c r="E152" t="s">
        <v>1196</v>
      </c>
      <c r="F152" t="s">
        <v>493</v>
      </c>
      <c r="G152" s="1">
        <v>41801</v>
      </c>
      <c r="H152" t="s">
        <v>949</v>
      </c>
      <c r="I152" t="s">
        <v>1197</v>
      </c>
      <c r="J152" t="s">
        <v>1042</v>
      </c>
      <c r="K152">
        <v>230</v>
      </c>
      <c r="L152" t="s">
        <v>1043</v>
      </c>
      <c r="M152" t="s">
        <v>1044</v>
      </c>
      <c r="N152" s="1">
        <v>43896</v>
      </c>
      <c r="W152" s="1"/>
    </row>
    <row r="153" spans="1:24">
      <c r="A153" t="str">
        <f>_xlfn.IFNA(VLOOKUP(D153,Spelerslijst!A:B,1,FALSE),FALSE)</f>
        <v>NMT10Q1</v>
      </c>
      <c r="B153" t="b">
        <f>_xlfn.IFNA(VLOOKUP(D153,Spelerslijst!K:L,1,FALSE),FALSE)</f>
        <v>0</v>
      </c>
      <c r="C153" t="str">
        <f t="shared" si="2"/>
        <v/>
      </c>
      <c r="D153" t="s">
        <v>670</v>
      </c>
      <c r="E153" t="s">
        <v>671</v>
      </c>
      <c r="F153" t="s">
        <v>192</v>
      </c>
      <c r="G153" s="1">
        <v>29257</v>
      </c>
      <c r="H153" t="s">
        <v>1046</v>
      </c>
      <c r="I153" t="s">
        <v>1197</v>
      </c>
      <c r="J153" t="s">
        <v>1042</v>
      </c>
      <c r="K153">
        <v>203</v>
      </c>
      <c r="L153" t="s">
        <v>1043</v>
      </c>
      <c r="M153" t="s">
        <v>1061</v>
      </c>
      <c r="N153" s="1">
        <v>44894</v>
      </c>
      <c r="W153" s="1"/>
    </row>
    <row r="154" spans="1:24">
      <c r="A154" t="b">
        <f>_xlfn.IFNA(VLOOKUP(D154,Spelerslijst!A:B,1,FALSE),FALSE)</f>
        <v>0</v>
      </c>
      <c r="B154" t="str">
        <f>_xlfn.IFNA(VLOOKUP(D154,Spelerslijst!K:L,1,FALSE),FALSE)</f>
        <v>NKX66T5</v>
      </c>
      <c r="C154" t="str">
        <f t="shared" si="2"/>
        <v/>
      </c>
      <c r="D154" t="s">
        <v>100</v>
      </c>
      <c r="E154" t="s">
        <v>1198</v>
      </c>
      <c r="F154" t="s">
        <v>1199</v>
      </c>
      <c r="G154" s="1">
        <v>38502</v>
      </c>
      <c r="H154" t="s">
        <v>949</v>
      </c>
      <c r="I154" t="s">
        <v>1200</v>
      </c>
      <c r="J154" t="s">
        <v>1042</v>
      </c>
      <c r="K154">
        <v>210</v>
      </c>
      <c r="L154" t="s">
        <v>1043</v>
      </c>
      <c r="M154" t="s">
        <v>1044</v>
      </c>
      <c r="N154" s="1">
        <v>41883</v>
      </c>
      <c r="W154" s="1"/>
    </row>
    <row r="155" spans="1:24">
      <c r="A155" t="str">
        <f>_xlfn.IFNA(VLOOKUP(D155,Spelerslijst!A:B,1,FALSE),FALSE)</f>
        <v>NLB70Z9</v>
      </c>
      <c r="B155" t="b">
        <f>_xlfn.IFNA(VLOOKUP(D155,Spelerslijst!K:L,1,FALSE),FALSE)</f>
        <v>0</v>
      </c>
      <c r="C155" t="str">
        <f t="shared" si="2"/>
        <v/>
      </c>
      <c r="D155" t="s">
        <v>815</v>
      </c>
      <c r="E155" t="s">
        <v>816</v>
      </c>
      <c r="F155" t="s">
        <v>817</v>
      </c>
      <c r="G155" s="1">
        <v>38267</v>
      </c>
      <c r="H155" t="s">
        <v>1046</v>
      </c>
      <c r="I155" t="s">
        <v>1201</v>
      </c>
      <c r="J155" t="s">
        <v>1042</v>
      </c>
      <c r="K155">
        <v>210</v>
      </c>
      <c r="L155" t="s">
        <v>1043</v>
      </c>
      <c r="M155" t="s">
        <v>1044</v>
      </c>
      <c r="N155" s="1">
        <v>41153</v>
      </c>
      <c r="W155" s="1"/>
    </row>
    <row r="156" spans="1:24">
      <c r="A156" t="str">
        <f>_xlfn.IFNA(VLOOKUP(D156,Spelerslijst!A:B,1,FALSE),FALSE)</f>
        <v>NKC46S7</v>
      </c>
      <c r="B156" t="b">
        <f>_xlfn.IFNA(VLOOKUP(D156,Spelerslijst!K:L,1,FALSE),FALSE)</f>
        <v>0</v>
      </c>
      <c r="C156" t="str">
        <f t="shared" si="2"/>
        <v/>
      </c>
      <c r="D156" t="s">
        <v>839</v>
      </c>
      <c r="E156" t="s">
        <v>840</v>
      </c>
      <c r="F156" t="s">
        <v>617</v>
      </c>
      <c r="G156" s="1">
        <v>36887</v>
      </c>
      <c r="H156" t="s">
        <v>1046</v>
      </c>
      <c r="I156" t="s">
        <v>1202</v>
      </c>
      <c r="J156" t="s">
        <v>1042</v>
      </c>
      <c r="K156">
        <v>204</v>
      </c>
      <c r="L156" t="s">
        <v>1043</v>
      </c>
      <c r="M156" t="s">
        <v>1078</v>
      </c>
      <c r="N156" s="1">
        <v>39356</v>
      </c>
      <c r="W156" s="1"/>
    </row>
    <row r="157" spans="1:24">
      <c r="A157" t="b">
        <f>_xlfn.IFNA(VLOOKUP(D157,Spelerslijst!A:B,1,FALSE),FALSE)</f>
        <v>0</v>
      </c>
      <c r="B157" t="str">
        <f>_xlfn.IFNA(VLOOKUP(D157,Spelerslijst!K:L,1,FALSE),FALSE)</f>
        <v>NFW15F3</v>
      </c>
      <c r="C157" t="str">
        <f t="shared" si="2"/>
        <v/>
      </c>
      <c r="D157" t="s">
        <v>193</v>
      </c>
      <c r="E157" t="s">
        <v>194</v>
      </c>
      <c r="F157" t="s">
        <v>195</v>
      </c>
      <c r="G157" s="1">
        <v>24003</v>
      </c>
      <c r="H157" t="s">
        <v>949</v>
      </c>
      <c r="I157" t="s">
        <v>1203</v>
      </c>
      <c r="J157" t="s">
        <v>1042</v>
      </c>
      <c r="K157">
        <v>202</v>
      </c>
      <c r="L157" t="s">
        <v>1043</v>
      </c>
      <c r="M157" t="s">
        <v>1067</v>
      </c>
      <c r="N157" s="1">
        <v>27546</v>
      </c>
      <c r="W157" s="1"/>
    </row>
    <row r="158" spans="1:24">
      <c r="A158" t="str">
        <f>_xlfn.IFNA(VLOOKUP(D158,Spelerslijst!A:B,1,FALSE),FALSE)</f>
        <v>NKG59L6</v>
      </c>
      <c r="B158" t="b">
        <f>_xlfn.IFNA(VLOOKUP(D158,Spelerslijst!K:L,1,FALSE),FALSE)</f>
        <v>0</v>
      </c>
      <c r="C158" t="str">
        <f t="shared" si="2"/>
        <v/>
      </c>
      <c r="D158" t="s">
        <v>691</v>
      </c>
      <c r="E158" t="s">
        <v>692</v>
      </c>
      <c r="F158" t="s">
        <v>297</v>
      </c>
      <c r="G158" s="1">
        <v>36938</v>
      </c>
      <c r="H158" t="s">
        <v>1046</v>
      </c>
      <c r="I158" t="s">
        <v>1204</v>
      </c>
      <c r="J158" t="s">
        <v>1042</v>
      </c>
      <c r="K158">
        <v>200</v>
      </c>
      <c r="L158" t="s">
        <v>1043</v>
      </c>
      <c r="M158" t="s">
        <v>1044</v>
      </c>
      <c r="N158" s="1">
        <v>39624</v>
      </c>
      <c r="W158" s="1"/>
    </row>
    <row r="159" spans="1:24">
      <c r="A159" t="str">
        <f>_xlfn.IFNA(VLOOKUP(D159,Spelerslijst!A:B,1,FALSE),FALSE)</f>
        <v>NLB70T7</v>
      </c>
      <c r="B159" t="b">
        <f>_xlfn.IFNA(VLOOKUP(D159,Spelerslijst!K:L,1,FALSE),FALSE)</f>
        <v>0</v>
      </c>
      <c r="C159" t="str">
        <f t="shared" si="2"/>
        <v/>
      </c>
      <c r="D159" t="s">
        <v>127</v>
      </c>
      <c r="E159" t="s">
        <v>128</v>
      </c>
      <c r="F159" t="s">
        <v>68</v>
      </c>
      <c r="G159" s="1">
        <v>38480</v>
      </c>
      <c r="H159" t="s">
        <v>1046</v>
      </c>
      <c r="I159" t="s">
        <v>1205</v>
      </c>
      <c r="J159" t="s">
        <v>1042</v>
      </c>
      <c r="K159">
        <v>210</v>
      </c>
      <c r="L159" t="s">
        <v>1043</v>
      </c>
      <c r="M159" t="s">
        <v>1044</v>
      </c>
      <c r="N159" s="1">
        <v>41061</v>
      </c>
      <c r="W159" s="1"/>
    </row>
    <row r="160" spans="1:24">
      <c r="A160" t="str">
        <f>_xlfn.IFNA(VLOOKUP(D160,Spelerslijst!A:B,1,FALSE),FALSE)</f>
        <v>NKX56Q9</v>
      </c>
      <c r="B160" t="b">
        <f>_xlfn.IFNA(VLOOKUP(D160,Spelerslijst!K:L,1,FALSE),FALSE)</f>
        <v>0</v>
      </c>
      <c r="C160" t="str">
        <f t="shared" si="2"/>
        <v/>
      </c>
      <c r="D160" t="s">
        <v>174</v>
      </c>
      <c r="E160" t="s">
        <v>175</v>
      </c>
      <c r="F160" t="s">
        <v>176</v>
      </c>
      <c r="G160" s="1">
        <v>28948</v>
      </c>
      <c r="H160" t="s">
        <v>1046</v>
      </c>
      <c r="I160" t="s">
        <v>1206</v>
      </c>
      <c r="J160" t="s">
        <v>1042</v>
      </c>
      <c r="K160">
        <v>202</v>
      </c>
      <c r="L160" t="s">
        <v>1043</v>
      </c>
      <c r="M160" t="s">
        <v>1067</v>
      </c>
      <c r="N160" s="1">
        <v>40787</v>
      </c>
      <c r="W160" s="1"/>
    </row>
    <row r="161" spans="1:24">
      <c r="A161" t="str">
        <f>_xlfn.IFNA(VLOOKUP(D161,Spelerslijst!A:B,1,FALSE),FALSE)</f>
        <v>NLC07S7</v>
      </c>
      <c r="B161" t="b">
        <f>_xlfn.IFNA(VLOOKUP(D161,Spelerslijst!K:L,1,FALSE),FALSE)</f>
        <v>0</v>
      </c>
      <c r="C161" t="str">
        <f t="shared" si="2"/>
        <v/>
      </c>
      <c r="D161" t="s">
        <v>881</v>
      </c>
      <c r="E161" t="s">
        <v>882</v>
      </c>
      <c r="F161" t="s">
        <v>883</v>
      </c>
      <c r="G161" s="1">
        <v>39589</v>
      </c>
      <c r="H161" t="s">
        <v>1046</v>
      </c>
      <c r="I161" t="s">
        <v>1207</v>
      </c>
      <c r="J161" t="s">
        <v>1048</v>
      </c>
      <c r="K161">
        <v>220</v>
      </c>
      <c r="L161" t="s">
        <v>1043</v>
      </c>
      <c r="M161" t="s">
        <v>1044</v>
      </c>
      <c r="N161" s="1">
        <v>42248</v>
      </c>
      <c r="W161" s="1"/>
      <c r="X161" s="1"/>
    </row>
    <row r="162" spans="1:24">
      <c r="A162" t="b">
        <f>_xlfn.IFNA(VLOOKUP(D162,Spelerslijst!A:B,1,FALSE),FALSE)</f>
        <v>0</v>
      </c>
      <c r="B162" t="str">
        <f>_xlfn.IFNA(VLOOKUP(D162,Spelerslijst!K:L,1,FALSE),FALSE)</f>
        <v>NMJ03L0</v>
      </c>
      <c r="C162" t="str">
        <f t="shared" si="2"/>
        <v/>
      </c>
      <c r="D162" t="s">
        <v>486</v>
      </c>
      <c r="E162" t="s">
        <v>487</v>
      </c>
      <c r="F162" t="s">
        <v>396</v>
      </c>
      <c r="G162" s="1">
        <v>41832</v>
      </c>
      <c r="H162" t="s">
        <v>949</v>
      </c>
      <c r="I162" t="s">
        <v>1206</v>
      </c>
      <c r="J162" t="s">
        <v>1042</v>
      </c>
      <c r="K162">
        <v>230</v>
      </c>
      <c r="L162" t="s">
        <v>1043</v>
      </c>
      <c r="M162" t="s">
        <v>1044</v>
      </c>
      <c r="N162" s="1">
        <v>43811</v>
      </c>
      <c r="W162" s="1"/>
    </row>
    <row r="163" spans="1:24">
      <c r="A163" t="str">
        <f>_xlfn.IFNA(VLOOKUP(D163,Spelerslijst!A:B,1,FALSE),FALSE)</f>
        <v>NMH07D4</v>
      </c>
      <c r="B163" t="b">
        <f>_xlfn.IFNA(VLOOKUP(D163,Spelerslijst!K:L,1,FALSE),FALSE)</f>
        <v>0</v>
      </c>
      <c r="C163" t="str">
        <f t="shared" si="2"/>
        <v/>
      </c>
      <c r="D163" t="s">
        <v>527</v>
      </c>
      <c r="E163" t="s">
        <v>528</v>
      </c>
      <c r="F163" t="s">
        <v>529</v>
      </c>
      <c r="G163" s="1">
        <v>41692</v>
      </c>
      <c r="H163" t="s">
        <v>1046</v>
      </c>
      <c r="I163" t="s">
        <v>1208</v>
      </c>
      <c r="J163" t="s">
        <v>1042</v>
      </c>
      <c r="K163">
        <v>230</v>
      </c>
      <c r="L163" t="s">
        <v>1043</v>
      </c>
      <c r="M163" t="s">
        <v>1044</v>
      </c>
      <c r="N163" s="1">
        <v>43727</v>
      </c>
      <c r="W163" s="1"/>
    </row>
    <row r="164" spans="1:24">
      <c r="A164" t="str">
        <f>_xlfn.IFNA(VLOOKUP(D164,Spelerslijst!A:B,1,FALSE),FALSE)</f>
        <v>NML06D5</v>
      </c>
      <c r="B164" t="b">
        <f>_xlfn.IFNA(VLOOKUP(D164,Spelerslijst!K:L,1,FALSE),FALSE)</f>
        <v>0</v>
      </c>
      <c r="C164" t="str">
        <f t="shared" si="2"/>
        <v/>
      </c>
      <c r="D164" t="s">
        <v>447</v>
      </c>
      <c r="E164" t="s">
        <v>448</v>
      </c>
      <c r="F164" t="s">
        <v>449</v>
      </c>
      <c r="G164" s="1">
        <v>40937</v>
      </c>
      <c r="H164" t="s">
        <v>1046</v>
      </c>
      <c r="I164" t="s">
        <v>1209</v>
      </c>
      <c r="J164" t="s">
        <v>1042</v>
      </c>
      <c r="K164">
        <v>230</v>
      </c>
      <c r="L164" t="s">
        <v>1043</v>
      </c>
      <c r="M164" t="s">
        <v>1044</v>
      </c>
      <c r="N164" s="1">
        <v>44102</v>
      </c>
      <c r="W164" s="1"/>
    </row>
    <row r="165" spans="1:24">
      <c r="A165" t="b">
        <f>_xlfn.IFNA(VLOOKUP(D165,Spelerslijst!A:B,1,FALSE),FALSE)</f>
        <v>0</v>
      </c>
      <c r="B165" t="str">
        <f>_xlfn.IFNA(VLOOKUP(D165,Spelerslijst!K:L,1,FALSE),FALSE)</f>
        <v>NLL37Q7</v>
      </c>
      <c r="C165" t="str">
        <f t="shared" si="2"/>
        <v/>
      </c>
      <c r="D165" t="s">
        <v>641</v>
      </c>
      <c r="E165" t="s">
        <v>642</v>
      </c>
      <c r="F165" t="s">
        <v>643</v>
      </c>
      <c r="G165" s="1">
        <v>38010</v>
      </c>
      <c r="H165" t="s">
        <v>949</v>
      </c>
      <c r="I165" t="s">
        <v>1210</v>
      </c>
      <c r="J165" t="s">
        <v>1042</v>
      </c>
      <c r="K165">
        <v>210</v>
      </c>
      <c r="L165" t="s">
        <v>1043</v>
      </c>
      <c r="M165" t="s">
        <v>1044</v>
      </c>
      <c r="N165" s="1">
        <v>41883</v>
      </c>
      <c r="W165" s="1"/>
    </row>
    <row r="166" spans="1:24">
      <c r="A166" t="str">
        <f>_xlfn.IFNA(VLOOKUP(D166,Spelerslijst!A:B,1,FALSE),FALSE)</f>
        <v>NMM85F7</v>
      </c>
      <c r="B166" t="b">
        <f>_xlfn.IFNA(VLOOKUP(D166,Spelerslijst!K:L,1,FALSE),FALSE)</f>
        <v>0</v>
      </c>
      <c r="C166" t="str">
        <f t="shared" si="2"/>
        <v/>
      </c>
      <c r="D166" t="s">
        <v>516</v>
      </c>
      <c r="E166" t="s">
        <v>517</v>
      </c>
      <c r="F166" t="s">
        <v>518</v>
      </c>
      <c r="G166" s="1">
        <v>41574</v>
      </c>
      <c r="H166" t="s">
        <v>1046</v>
      </c>
      <c r="I166" t="s">
        <v>1211</v>
      </c>
      <c r="J166" t="s">
        <v>1042</v>
      </c>
      <c r="K166">
        <v>230</v>
      </c>
      <c r="L166" t="s">
        <v>1043</v>
      </c>
      <c r="M166" t="s">
        <v>1044</v>
      </c>
      <c r="N166" s="1">
        <v>44358</v>
      </c>
      <c r="W166" s="1"/>
    </row>
    <row r="167" spans="1:24">
      <c r="A167" t="str">
        <f>_xlfn.IFNA(VLOOKUP(D167,Spelerslijst!A:B,1,FALSE),FALSE)</f>
        <v>NLJ47P3</v>
      </c>
      <c r="B167" t="b">
        <f>_xlfn.IFNA(VLOOKUP(D167,Spelerslijst!K:L,1,FALSE),FALSE)</f>
        <v>0</v>
      </c>
      <c r="C167" t="str">
        <f t="shared" si="2"/>
        <v/>
      </c>
      <c r="D167" t="s">
        <v>156</v>
      </c>
      <c r="E167" t="s">
        <v>157</v>
      </c>
      <c r="F167" t="s">
        <v>158</v>
      </c>
      <c r="G167" s="1">
        <v>38900</v>
      </c>
      <c r="H167" t="s">
        <v>1046</v>
      </c>
      <c r="I167" t="s">
        <v>1212</v>
      </c>
      <c r="J167" t="s">
        <v>1042</v>
      </c>
      <c r="K167">
        <v>210</v>
      </c>
      <c r="L167" t="s">
        <v>1043</v>
      </c>
      <c r="M167" t="s">
        <v>1044</v>
      </c>
      <c r="N167" s="1">
        <v>41640</v>
      </c>
      <c r="W167" s="1"/>
    </row>
    <row r="168" spans="1:24">
      <c r="A168" t="b">
        <f>_xlfn.IFNA(VLOOKUP(D168,Spelerslijst!A:B,1,FALSE),FALSE)</f>
        <v>0</v>
      </c>
      <c r="B168" t="str">
        <f>_xlfn.IFNA(VLOOKUP(D168,Spelerslijst!K:L,1,FALSE),FALSE)</f>
        <v>NKX56T0</v>
      </c>
      <c r="C168" t="str">
        <f t="shared" si="2"/>
        <v/>
      </c>
      <c r="D168" t="s">
        <v>141</v>
      </c>
      <c r="E168" t="s">
        <v>142</v>
      </c>
      <c r="F168" t="s">
        <v>143</v>
      </c>
      <c r="G168" s="1">
        <v>38090</v>
      </c>
      <c r="H168" t="s">
        <v>949</v>
      </c>
      <c r="I168" t="s">
        <v>1213</v>
      </c>
      <c r="J168" t="s">
        <v>1042</v>
      </c>
      <c r="K168">
        <v>210</v>
      </c>
      <c r="L168" t="s">
        <v>1043</v>
      </c>
      <c r="M168" t="s">
        <v>1044</v>
      </c>
      <c r="N168" s="1">
        <v>40787</v>
      </c>
      <c r="W168" s="1"/>
    </row>
    <row r="169" spans="1:24">
      <c r="A169" t="str">
        <f>_xlfn.IFNA(VLOOKUP(D169,Spelerslijst!A:B,1,FALSE),FALSE)</f>
        <v>NMK12D7</v>
      </c>
      <c r="B169" t="b">
        <f>_xlfn.IFNA(VLOOKUP(D169,Spelerslijst!K:L,1,FALSE),FALSE)</f>
        <v>0</v>
      </c>
      <c r="C169" t="str">
        <f t="shared" si="2"/>
        <v/>
      </c>
      <c r="D169" t="s">
        <v>459</v>
      </c>
      <c r="E169" t="s">
        <v>460</v>
      </c>
      <c r="F169" t="s">
        <v>461</v>
      </c>
      <c r="G169" s="1">
        <v>41477</v>
      </c>
      <c r="H169" t="s">
        <v>1046</v>
      </c>
      <c r="I169" t="s">
        <v>1214</v>
      </c>
      <c r="J169" t="s">
        <v>1042</v>
      </c>
      <c r="K169">
        <v>230</v>
      </c>
      <c r="L169" t="s">
        <v>1043</v>
      </c>
      <c r="M169" t="s">
        <v>1044</v>
      </c>
      <c r="N169" s="1">
        <v>44020</v>
      </c>
      <c r="W169" s="1"/>
    </row>
    <row r="170" spans="1:24">
      <c r="A170" t="b">
        <f>_xlfn.IFNA(VLOOKUP(D170,Spelerslijst!A:B,1,FALSE),FALSE)</f>
        <v>0</v>
      </c>
      <c r="B170" t="str">
        <f>_xlfn.IFNA(VLOOKUP(D170,Spelerslijst!K:L,1,FALSE),FALSE)</f>
        <v>NLG59G8</v>
      </c>
      <c r="C170" t="str">
        <f t="shared" si="2"/>
        <v/>
      </c>
      <c r="D170" t="s">
        <v>112</v>
      </c>
      <c r="E170" t="s">
        <v>113</v>
      </c>
      <c r="F170" t="s">
        <v>114</v>
      </c>
      <c r="G170" s="1">
        <v>38657</v>
      </c>
      <c r="H170" t="s">
        <v>949</v>
      </c>
      <c r="I170" t="s">
        <v>1215</v>
      </c>
      <c r="J170" t="s">
        <v>1042</v>
      </c>
      <c r="K170">
        <v>210</v>
      </c>
      <c r="L170" t="s">
        <v>1043</v>
      </c>
      <c r="M170" t="s">
        <v>1044</v>
      </c>
      <c r="N170" s="1">
        <v>41518</v>
      </c>
      <c r="W170" s="1"/>
    </row>
    <row r="171" spans="1:24">
      <c r="A171" t="str">
        <f>_xlfn.IFNA(VLOOKUP(D171,Spelerslijst!A:B,1,FALSE),FALSE)</f>
        <v>NKJ29C1</v>
      </c>
      <c r="B171" t="b">
        <f>_xlfn.IFNA(VLOOKUP(D171,Spelerslijst!K:L,1,FALSE),FALSE)</f>
        <v>0</v>
      </c>
      <c r="C171" t="str">
        <f t="shared" si="2"/>
        <v/>
      </c>
      <c r="D171" t="s">
        <v>854</v>
      </c>
      <c r="E171" t="s">
        <v>855</v>
      </c>
      <c r="F171" t="s">
        <v>856</v>
      </c>
      <c r="G171" s="1">
        <v>37324</v>
      </c>
      <c r="H171" t="s">
        <v>1046</v>
      </c>
      <c r="I171" t="s">
        <v>1216</v>
      </c>
      <c r="J171" t="s">
        <v>1042</v>
      </c>
      <c r="K171">
        <v>200</v>
      </c>
      <c r="L171" t="s">
        <v>1043</v>
      </c>
      <c r="M171" t="s">
        <v>1044</v>
      </c>
      <c r="N171" s="1">
        <v>39731</v>
      </c>
      <c r="W171" s="1"/>
    </row>
    <row r="172" spans="1:24">
      <c r="A172" t="b">
        <f>_xlfn.IFNA(VLOOKUP(D172,Spelerslijst!A:B,1,FALSE),FALSE)</f>
        <v>0</v>
      </c>
      <c r="B172" t="str">
        <f>_xlfn.IFNA(VLOOKUP(D172,Spelerslijst!K:L,1,FALSE),FALSE)</f>
        <v>NLB71B4</v>
      </c>
      <c r="C172" t="str">
        <f t="shared" si="2"/>
        <v/>
      </c>
      <c r="D172" t="s">
        <v>159</v>
      </c>
      <c r="E172" t="s">
        <v>160</v>
      </c>
      <c r="F172" t="s">
        <v>161</v>
      </c>
      <c r="G172" s="1">
        <v>39123</v>
      </c>
      <c r="H172" t="s">
        <v>949</v>
      </c>
      <c r="I172" t="s">
        <v>1217</v>
      </c>
      <c r="J172" t="s">
        <v>1042</v>
      </c>
      <c r="K172">
        <v>220</v>
      </c>
      <c r="L172" t="s">
        <v>1043</v>
      </c>
      <c r="M172" t="s">
        <v>1044</v>
      </c>
      <c r="N172" s="1">
        <v>41153</v>
      </c>
      <c r="W172" s="1"/>
    </row>
    <row r="173" spans="1:24">
      <c r="A173" t="b">
        <f>_xlfn.IFNA(VLOOKUP(D173,Spelerslijst!A:B,1,FALSE),FALSE)</f>
        <v>0</v>
      </c>
      <c r="B173" t="str">
        <f>_xlfn.IFNA(VLOOKUP(D173,Spelerslijst!K:L,1,FALSE),FALSE)</f>
        <v>NLB71F2</v>
      </c>
      <c r="C173" t="str">
        <f t="shared" si="2"/>
        <v/>
      </c>
      <c r="D173" t="s">
        <v>135</v>
      </c>
      <c r="E173" t="s">
        <v>136</v>
      </c>
      <c r="F173" t="s">
        <v>137</v>
      </c>
      <c r="G173" s="1">
        <v>38517</v>
      </c>
      <c r="H173" t="s">
        <v>949</v>
      </c>
      <c r="I173" t="s">
        <v>1217</v>
      </c>
      <c r="J173" t="s">
        <v>1042</v>
      </c>
      <c r="K173">
        <v>210</v>
      </c>
      <c r="L173" t="s">
        <v>1043</v>
      </c>
      <c r="M173" t="s">
        <v>1044</v>
      </c>
      <c r="N173" s="1">
        <v>41153</v>
      </c>
      <c r="W173" s="1"/>
    </row>
    <row r="174" spans="1:24">
      <c r="A174" t="b">
        <f>_xlfn.IFNA(VLOOKUP(D174,Spelerslijst!A:B,1,FALSE),FALSE)</f>
        <v>0</v>
      </c>
      <c r="B174" t="str">
        <f>_xlfn.IFNA(VLOOKUP(D174,Spelerslijst!K:L,1,FALSE),FALSE)</f>
        <v>NKV95Q4</v>
      </c>
      <c r="C174" t="str">
        <f t="shared" si="2"/>
        <v/>
      </c>
      <c r="D174" t="s">
        <v>766</v>
      </c>
      <c r="E174" t="s">
        <v>767</v>
      </c>
      <c r="F174" t="s">
        <v>768</v>
      </c>
      <c r="G174" s="1">
        <v>37810</v>
      </c>
      <c r="H174" t="s">
        <v>949</v>
      </c>
      <c r="I174" t="s">
        <v>1218</v>
      </c>
      <c r="J174" t="s">
        <v>1042</v>
      </c>
      <c r="K174">
        <v>200</v>
      </c>
      <c r="L174" t="s">
        <v>1043</v>
      </c>
      <c r="M174" t="s">
        <v>1044</v>
      </c>
      <c r="N174" s="1">
        <v>40634</v>
      </c>
      <c r="W174" s="1"/>
    </row>
    <row r="175" spans="1:24">
      <c r="A175" t="str">
        <f>_xlfn.IFNA(VLOOKUP(D175,Spelerslijst!A:B,1,FALSE),FALSE)</f>
        <v>NLF50K8</v>
      </c>
      <c r="B175" t="b">
        <f>_xlfn.IFNA(VLOOKUP(D175,Spelerslijst!K:L,1,FALSE),FALSE)</f>
        <v>0</v>
      </c>
      <c r="C175" t="str">
        <f t="shared" si="2"/>
        <v/>
      </c>
      <c r="D175" t="s">
        <v>90</v>
      </c>
      <c r="E175" t="s">
        <v>91</v>
      </c>
      <c r="F175" t="s">
        <v>92</v>
      </c>
      <c r="G175" s="1">
        <v>38656</v>
      </c>
      <c r="H175" t="s">
        <v>1046</v>
      </c>
      <c r="I175" t="s">
        <v>1219</v>
      </c>
      <c r="J175" t="s">
        <v>1042</v>
      </c>
      <c r="K175">
        <v>210</v>
      </c>
      <c r="L175" t="s">
        <v>1043</v>
      </c>
      <c r="M175" t="s">
        <v>1044</v>
      </c>
      <c r="N175" s="1">
        <v>41365</v>
      </c>
      <c r="W175" s="1"/>
    </row>
    <row r="176" spans="1:24">
      <c r="A176" t="str">
        <f>_xlfn.IFNA(VLOOKUP(D176,Spelerslijst!A:B,1,FALSE),FALSE)</f>
        <v>NLP78N3</v>
      </c>
      <c r="B176" t="b">
        <f>_xlfn.IFNA(VLOOKUP(D176,Spelerslijst!K:L,1,FALSE),FALSE)</f>
        <v>0</v>
      </c>
      <c r="C176" t="str">
        <f t="shared" si="2"/>
        <v/>
      </c>
      <c r="D176" t="s">
        <v>84</v>
      </c>
      <c r="E176" t="s">
        <v>85</v>
      </c>
      <c r="F176" t="s">
        <v>86</v>
      </c>
      <c r="G176" s="1">
        <v>39328</v>
      </c>
      <c r="H176" t="s">
        <v>1046</v>
      </c>
      <c r="I176" t="s">
        <v>1220</v>
      </c>
      <c r="J176" t="s">
        <v>1042</v>
      </c>
      <c r="K176">
        <v>220</v>
      </c>
      <c r="L176" t="s">
        <v>1043</v>
      </c>
      <c r="M176" t="s">
        <v>1044</v>
      </c>
      <c r="N176" s="1">
        <v>42248</v>
      </c>
      <c r="W176" s="1"/>
    </row>
    <row r="177" spans="1:23">
      <c r="A177" t="str">
        <f>_xlfn.IFNA(VLOOKUP(D177,Spelerslijst!A:B,1,FALSE),FALSE)</f>
        <v>NKG18N7</v>
      </c>
      <c r="B177" t="b">
        <f>_xlfn.IFNA(VLOOKUP(D177,Spelerslijst!K:L,1,FALSE),FALSE)</f>
        <v>0</v>
      </c>
      <c r="C177" t="str">
        <f t="shared" si="2"/>
        <v/>
      </c>
      <c r="D177" t="s">
        <v>701</v>
      </c>
      <c r="E177" t="s">
        <v>702</v>
      </c>
      <c r="F177" t="s">
        <v>324</v>
      </c>
      <c r="G177" s="1">
        <v>37551</v>
      </c>
      <c r="H177" t="s">
        <v>1046</v>
      </c>
      <c r="I177" t="s">
        <v>1221</v>
      </c>
      <c r="J177" t="s">
        <v>1042</v>
      </c>
      <c r="K177">
        <v>200</v>
      </c>
      <c r="L177" t="s">
        <v>1043</v>
      </c>
      <c r="M177" t="s">
        <v>1044</v>
      </c>
      <c r="N177" s="1">
        <v>39594</v>
      </c>
      <c r="W177" s="1"/>
    </row>
    <row r="178" spans="1:23">
      <c r="A178" t="str">
        <f>_xlfn.IFNA(VLOOKUP(D178,Spelerslijst!A:B,1,FALSE),FALSE)</f>
        <v>NMQ40P6</v>
      </c>
      <c r="B178" t="b">
        <f>_xlfn.IFNA(VLOOKUP(D178,Spelerslijst!K:L,1,FALSE),FALSE)</f>
        <v>0</v>
      </c>
      <c r="C178" t="str">
        <f t="shared" si="2"/>
        <v/>
      </c>
      <c r="D178" t="s">
        <v>548</v>
      </c>
      <c r="E178" t="s">
        <v>549</v>
      </c>
      <c r="F178" t="s">
        <v>550</v>
      </c>
      <c r="G178" s="1">
        <v>41586</v>
      </c>
      <c r="H178" t="s">
        <v>1046</v>
      </c>
      <c r="I178" t="s">
        <v>1222</v>
      </c>
      <c r="J178" t="s">
        <v>1042</v>
      </c>
      <c r="K178">
        <v>230</v>
      </c>
      <c r="L178" t="s">
        <v>1043</v>
      </c>
      <c r="M178" t="s">
        <v>1044</v>
      </c>
      <c r="N178" s="1">
        <v>44635</v>
      </c>
      <c r="W178" s="1"/>
    </row>
    <row r="179" spans="1:23">
      <c r="A179" t="str">
        <f>_xlfn.IFNA(VLOOKUP(D179,Spelerslijst!A:B,1,FALSE),FALSE)</f>
        <v>NKS24S7</v>
      </c>
      <c r="B179" t="b">
        <f>_xlfn.IFNA(VLOOKUP(D179,Spelerslijst!K:L,1,FALSE),FALSE)</f>
        <v>0</v>
      </c>
      <c r="C179" t="str">
        <f t="shared" si="2"/>
        <v/>
      </c>
      <c r="D179" t="s">
        <v>132</v>
      </c>
      <c r="E179" t="s">
        <v>133</v>
      </c>
      <c r="F179" t="s">
        <v>134</v>
      </c>
      <c r="G179" s="1">
        <v>38928</v>
      </c>
      <c r="H179" t="s">
        <v>1046</v>
      </c>
      <c r="I179" t="s">
        <v>1223</v>
      </c>
      <c r="J179" t="s">
        <v>1042</v>
      </c>
      <c r="K179">
        <v>210</v>
      </c>
      <c r="L179" t="s">
        <v>1043</v>
      </c>
      <c r="M179" t="s">
        <v>1044</v>
      </c>
      <c r="N179" s="1">
        <v>40422</v>
      </c>
      <c r="W179" s="1"/>
    </row>
    <row r="180" spans="1:23">
      <c r="A180" t="b">
        <f>_xlfn.IFNA(VLOOKUP(D180,Spelerslijst!A:B,1,FALSE),FALSE)</f>
        <v>0</v>
      </c>
      <c r="B180" t="str">
        <f>_xlfn.IFNA(VLOOKUP(D180,Spelerslijst!K:L,1,FALSE),FALSE)</f>
        <v>NMC29Z9</v>
      </c>
      <c r="C180" t="str">
        <f t="shared" si="2"/>
        <v/>
      </c>
      <c r="D180" t="s">
        <v>422</v>
      </c>
      <c r="E180" t="s">
        <v>423</v>
      </c>
      <c r="F180" t="s">
        <v>424</v>
      </c>
      <c r="G180" s="1">
        <v>41121</v>
      </c>
      <c r="H180" t="s">
        <v>949</v>
      </c>
      <c r="I180" t="s">
        <v>1224</v>
      </c>
      <c r="J180" t="s">
        <v>1042</v>
      </c>
      <c r="K180">
        <v>230</v>
      </c>
      <c r="L180" t="s">
        <v>1043</v>
      </c>
      <c r="M180" t="s">
        <v>1044</v>
      </c>
      <c r="N180" s="1">
        <v>43336</v>
      </c>
      <c r="W180" s="1"/>
    </row>
    <row r="181" spans="1:23">
      <c r="A181" t="b">
        <f>_xlfn.IFNA(VLOOKUP(D181,Spelerslijst!A:B,1,FALSE),FALSE)</f>
        <v>0</v>
      </c>
      <c r="B181" t="str">
        <f>_xlfn.IFNA(VLOOKUP(D181,Spelerslijst!K:L,1,FALSE),FALSE)</f>
        <v>NJH51J2</v>
      </c>
      <c r="C181" t="str">
        <f t="shared" si="2"/>
        <v/>
      </c>
      <c r="D181" t="s">
        <v>187</v>
      </c>
      <c r="E181" t="s">
        <v>188</v>
      </c>
      <c r="F181" t="s">
        <v>189</v>
      </c>
      <c r="G181" s="1">
        <v>35145</v>
      </c>
      <c r="H181" t="s">
        <v>949</v>
      </c>
      <c r="I181" t="s">
        <v>1225</v>
      </c>
      <c r="J181" t="s">
        <v>1042</v>
      </c>
      <c r="K181">
        <v>202</v>
      </c>
      <c r="L181" t="s">
        <v>1043</v>
      </c>
      <c r="M181" t="s">
        <v>1067</v>
      </c>
      <c r="N181" s="1">
        <v>38200</v>
      </c>
      <c r="W181" s="1"/>
    </row>
    <row r="182" spans="1:23">
      <c r="A182" t="b">
        <f>_xlfn.IFNA(VLOOKUP(D182,Spelerslijst!A:B,1,FALSE),FALSE)</f>
        <v>0</v>
      </c>
      <c r="B182" t="str">
        <f>_xlfn.IFNA(VLOOKUP(D182,Spelerslijst!K:L,1,FALSE),FALSE)</f>
        <v>NGT42V5</v>
      </c>
      <c r="C182" t="str">
        <f t="shared" si="2"/>
        <v/>
      </c>
      <c r="D182" t="s">
        <v>217</v>
      </c>
      <c r="E182" t="s">
        <v>218</v>
      </c>
      <c r="F182" t="s">
        <v>219</v>
      </c>
      <c r="G182" s="1">
        <v>33211</v>
      </c>
      <c r="H182" t="s">
        <v>949</v>
      </c>
      <c r="I182" t="s">
        <v>1226</v>
      </c>
      <c r="J182" t="s">
        <v>1042</v>
      </c>
      <c r="K182">
        <v>202</v>
      </c>
      <c r="L182" t="s">
        <v>1043</v>
      </c>
      <c r="M182" t="s">
        <v>1067</v>
      </c>
      <c r="N182" s="1">
        <v>35459</v>
      </c>
      <c r="W182" s="1"/>
    </row>
    <row r="183" spans="1:23">
      <c r="A183" t="b">
        <f>_xlfn.IFNA(VLOOKUP(D183,Spelerslijst!A:B,1,FALSE),FALSE)</f>
        <v>0</v>
      </c>
      <c r="B183" t="str">
        <f>_xlfn.IFNA(VLOOKUP(D183,Spelerslijst!K:L,1,FALSE),FALSE)</f>
        <v>NMB99X9</v>
      </c>
      <c r="C183" t="str">
        <f t="shared" si="2"/>
        <v/>
      </c>
      <c r="D183" t="s">
        <v>480</v>
      </c>
      <c r="E183" t="s">
        <v>481</v>
      </c>
      <c r="F183" t="s">
        <v>482</v>
      </c>
      <c r="G183" s="1">
        <v>41706</v>
      </c>
      <c r="H183" t="s">
        <v>949</v>
      </c>
      <c r="I183" t="s">
        <v>1227</v>
      </c>
      <c r="J183" t="s">
        <v>1042</v>
      </c>
      <c r="K183">
        <v>230</v>
      </c>
      <c r="L183" t="s">
        <v>1043</v>
      </c>
      <c r="M183" t="s">
        <v>1044</v>
      </c>
      <c r="N183" s="1">
        <v>44631</v>
      </c>
      <c r="W183" s="1"/>
    </row>
    <row r="184" spans="1:23">
      <c r="A184" t="str">
        <f>_xlfn.IFNA(VLOOKUP(D184,Spelerslijst!A:B,1,FALSE),FALSE)</f>
        <v>NLH27P1</v>
      </c>
      <c r="B184" t="b">
        <f>_xlfn.IFNA(VLOOKUP(D184,Spelerslijst!K:L,1,FALSE),FALSE)</f>
        <v>0</v>
      </c>
      <c r="C184" t="str">
        <f t="shared" si="2"/>
        <v/>
      </c>
      <c r="D184" t="s">
        <v>66</v>
      </c>
      <c r="E184" t="s">
        <v>67</v>
      </c>
      <c r="F184" t="s">
        <v>68</v>
      </c>
      <c r="G184" s="1">
        <v>39114</v>
      </c>
      <c r="H184" t="s">
        <v>1046</v>
      </c>
      <c r="I184" t="s">
        <v>1228</v>
      </c>
      <c r="J184" t="s">
        <v>1042</v>
      </c>
      <c r="K184">
        <v>220</v>
      </c>
      <c r="L184" t="s">
        <v>1043</v>
      </c>
      <c r="M184" t="s">
        <v>1044</v>
      </c>
      <c r="N184" s="1">
        <v>44358</v>
      </c>
      <c r="W184" s="1"/>
    </row>
    <row r="185" spans="1:23">
      <c r="A185" t="b">
        <f>_xlfn.IFNA(VLOOKUP(D185,Spelerslijst!A:B,1,FALSE),FALSE)</f>
        <v>0</v>
      </c>
      <c r="B185" t="str">
        <f>_xlfn.IFNA(VLOOKUP(D185,Spelerslijst!K:L,1,FALSE),FALSE)</f>
        <v>NMN10V0</v>
      </c>
      <c r="C185" t="str">
        <f t="shared" si="2"/>
        <v/>
      </c>
      <c r="D185" t="s">
        <v>502</v>
      </c>
      <c r="E185" t="s">
        <v>503</v>
      </c>
      <c r="F185" t="s">
        <v>201</v>
      </c>
      <c r="G185" s="1">
        <v>41686</v>
      </c>
      <c r="H185" t="s">
        <v>949</v>
      </c>
      <c r="I185" t="s">
        <v>1229</v>
      </c>
      <c r="J185" t="s">
        <v>1042</v>
      </c>
      <c r="K185">
        <v>230</v>
      </c>
      <c r="L185" t="s">
        <v>1043</v>
      </c>
      <c r="M185" t="s">
        <v>1044</v>
      </c>
      <c r="N185" s="1">
        <v>44378</v>
      </c>
      <c r="W185" s="1"/>
    </row>
    <row r="186" spans="1:23">
      <c r="A186" t="str">
        <f>_xlfn.IFNA(VLOOKUP(D186,Spelerslijst!A:B,1,FALSE),FALSE)</f>
        <v>NLQ98H2</v>
      </c>
      <c r="B186" t="b">
        <f>_xlfn.IFNA(VLOOKUP(D186,Spelerslijst!K:L,1,FALSE),FALSE)</f>
        <v>0</v>
      </c>
      <c r="C186" t="str">
        <f t="shared" si="2"/>
        <v/>
      </c>
      <c r="D186" t="s">
        <v>362</v>
      </c>
      <c r="E186" t="s">
        <v>363</v>
      </c>
      <c r="F186" t="s">
        <v>364</v>
      </c>
      <c r="G186" s="1">
        <v>40344</v>
      </c>
      <c r="H186" t="s">
        <v>1046</v>
      </c>
      <c r="I186" t="s">
        <v>1230</v>
      </c>
      <c r="J186" t="s">
        <v>1042</v>
      </c>
      <c r="K186">
        <v>220</v>
      </c>
      <c r="L186" t="s">
        <v>1043</v>
      </c>
      <c r="M186" t="s">
        <v>1044</v>
      </c>
      <c r="N186" s="1">
        <v>42309</v>
      </c>
      <c r="W186" s="1"/>
    </row>
    <row r="187" spans="1:23">
      <c r="A187" t="str">
        <f>_xlfn.IFNA(VLOOKUP(D187,Spelerslijst!A:B,1,FALSE),FALSE)</f>
        <v>NLZ39C9</v>
      </c>
      <c r="B187" t="b">
        <f>_xlfn.IFNA(VLOOKUP(D187,Spelerslijst!K:L,1,FALSE),FALSE)</f>
        <v>0</v>
      </c>
      <c r="C187" t="str">
        <f t="shared" si="2"/>
        <v/>
      </c>
      <c r="D187" t="s">
        <v>420</v>
      </c>
      <c r="E187" t="s">
        <v>421</v>
      </c>
      <c r="F187" t="s">
        <v>74</v>
      </c>
      <c r="G187" s="1">
        <v>41214</v>
      </c>
      <c r="H187" t="s">
        <v>1046</v>
      </c>
      <c r="I187" t="s">
        <v>1230</v>
      </c>
      <c r="J187" t="s">
        <v>1042</v>
      </c>
      <c r="K187">
        <v>230</v>
      </c>
      <c r="L187" t="s">
        <v>1043</v>
      </c>
      <c r="M187" t="s">
        <v>1044</v>
      </c>
      <c r="N187" s="1">
        <v>43076</v>
      </c>
      <c r="W187" s="1"/>
    </row>
    <row r="188" spans="1:23">
      <c r="A188" t="str">
        <f>_xlfn.IFNA(VLOOKUP(D188,Spelerslijst!A:B,1,FALSE),FALSE)</f>
        <v>NMQ48V2</v>
      </c>
      <c r="B188" t="b">
        <f>_xlfn.IFNA(VLOOKUP(D188,Spelerslijst!K:L,1,FALSE),FALSE)</f>
        <v>0</v>
      </c>
      <c r="C188" t="str">
        <f t="shared" si="2"/>
        <v/>
      </c>
      <c r="D188" t="s">
        <v>610</v>
      </c>
      <c r="E188" t="s">
        <v>611</v>
      </c>
      <c r="F188" t="s">
        <v>612</v>
      </c>
      <c r="G188" s="1">
        <v>42549</v>
      </c>
      <c r="H188" t="s">
        <v>1046</v>
      </c>
      <c r="I188" t="s">
        <v>1230</v>
      </c>
      <c r="J188" t="s">
        <v>1042</v>
      </c>
      <c r="K188">
        <v>230</v>
      </c>
      <c r="L188" t="s">
        <v>1043</v>
      </c>
      <c r="M188" t="s">
        <v>1044</v>
      </c>
      <c r="N188" s="1">
        <v>44648</v>
      </c>
      <c r="W188" s="1"/>
    </row>
    <row r="189" spans="1:23">
      <c r="A189" t="str">
        <f>_xlfn.IFNA(VLOOKUP(D189,Spelerslijst!A:B,1,FALSE),FALSE)</f>
        <v>NLN41L1</v>
      </c>
      <c r="B189" t="b">
        <f>_xlfn.IFNA(VLOOKUP(D189,Spelerslijst!K:L,1,FALSE),FALSE)</f>
        <v>0</v>
      </c>
      <c r="C189" t="str">
        <f t="shared" si="2"/>
        <v/>
      </c>
      <c r="D189" t="s">
        <v>311</v>
      </c>
      <c r="E189" t="s">
        <v>312</v>
      </c>
      <c r="F189" t="s">
        <v>313</v>
      </c>
      <c r="G189" s="1">
        <v>40439</v>
      </c>
      <c r="H189" t="s">
        <v>1046</v>
      </c>
      <c r="I189" t="s">
        <v>1231</v>
      </c>
      <c r="J189" t="s">
        <v>1042</v>
      </c>
      <c r="K189">
        <v>220</v>
      </c>
      <c r="L189" t="s">
        <v>1043</v>
      </c>
      <c r="M189" t="s">
        <v>1044</v>
      </c>
      <c r="N189" s="1">
        <v>42064</v>
      </c>
      <c r="W189" s="1"/>
    </row>
    <row r="190" spans="1:23">
      <c r="A190" t="str">
        <f>_xlfn.IFNA(VLOOKUP(D190,Spelerslijst!A:B,1,FALSE),FALSE)</f>
        <v>NMV61M3</v>
      </c>
      <c r="B190" t="b">
        <f>_xlfn.IFNA(VLOOKUP(D190,Spelerslijst!K:L,1,FALSE),FALSE)</f>
        <v>0</v>
      </c>
      <c r="C190" t="str">
        <f t="shared" si="2"/>
        <v/>
      </c>
      <c r="D190" t="s">
        <v>597</v>
      </c>
      <c r="E190" t="s">
        <v>598</v>
      </c>
      <c r="F190" t="s">
        <v>599</v>
      </c>
      <c r="G190" s="1">
        <v>42919</v>
      </c>
      <c r="H190" t="s">
        <v>1046</v>
      </c>
      <c r="I190" t="s">
        <v>1232</v>
      </c>
      <c r="J190" t="s">
        <v>1042</v>
      </c>
      <c r="K190">
        <v>230</v>
      </c>
      <c r="L190" t="s">
        <v>1043</v>
      </c>
      <c r="M190" t="s">
        <v>1044</v>
      </c>
      <c r="N190" s="1">
        <v>45069</v>
      </c>
      <c r="W190" s="1"/>
    </row>
    <row r="191" spans="1:23">
      <c r="A191" t="b">
        <f>_xlfn.IFNA(VLOOKUP(D191,Spelerslijst!A:B,1,FALSE),FALSE)</f>
        <v>0</v>
      </c>
      <c r="B191" t="str">
        <f>_xlfn.IFNA(VLOOKUP(D191,Spelerslijst!K:L,1,FALSE),FALSE)</f>
        <v>NKW21H5</v>
      </c>
      <c r="C191" t="str">
        <f t="shared" si="2"/>
        <v/>
      </c>
      <c r="D191" t="s">
        <v>734</v>
      </c>
      <c r="E191" t="s">
        <v>735</v>
      </c>
      <c r="F191" t="s">
        <v>736</v>
      </c>
      <c r="G191" s="1">
        <v>37971</v>
      </c>
      <c r="H191" t="s">
        <v>949</v>
      </c>
      <c r="I191" t="s">
        <v>1233</v>
      </c>
      <c r="J191" t="s">
        <v>1042</v>
      </c>
      <c r="K191">
        <v>200</v>
      </c>
      <c r="L191" t="s">
        <v>1043</v>
      </c>
      <c r="M191" t="s">
        <v>1044</v>
      </c>
      <c r="N191" s="1">
        <v>40787</v>
      </c>
      <c r="W191" s="1"/>
    </row>
    <row r="192" spans="1:23">
      <c r="A192" t="b">
        <f>_xlfn.IFNA(VLOOKUP(D192,Spelerslijst!A:B,1,FALSE),FALSE)</f>
        <v>0</v>
      </c>
      <c r="B192" t="str">
        <f>_xlfn.IFNA(VLOOKUP(D192,Spelerslijst!K:L,1,FALSE),FALSE)</f>
        <v>NLN28Y3</v>
      </c>
      <c r="C192" t="str">
        <f t="shared" si="2"/>
        <v/>
      </c>
      <c r="D192" t="s">
        <v>298</v>
      </c>
      <c r="E192" t="s">
        <v>299</v>
      </c>
      <c r="F192" t="s">
        <v>300</v>
      </c>
      <c r="G192" s="1">
        <v>39629</v>
      </c>
      <c r="H192" t="s">
        <v>949</v>
      </c>
      <c r="I192" t="s">
        <v>1234</v>
      </c>
      <c r="J192" t="s">
        <v>1042</v>
      </c>
      <c r="K192">
        <v>220</v>
      </c>
      <c r="L192" t="s">
        <v>1043</v>
      </c>
      <c r="M192" t="s">
        <v>1044</v>
      </c>
      <c r="N192" s="1">
        <v>42036</v>
      </c>
      <c r="W192" s="1"/>
    </row>
    <row r="193" spans="1:23">
      <c r="A193" t="b">
        <f>_xlfn.IFNA(VLOOKUP(D193,Spelerslijst!A:B,1,FALSE),FALSE)</f>
        <v>0</v>
      </c>
      <c r="B193" t="str">
        <f>_xlfn.IFNA(VLOOKUP(D193,Spelerslijst!K:L,1,FALSE),FALSE)</f>
        <v>NKW30G0</v>
      </c>
      <c r="C193" t="str">
        <f t="shared" si="2"/>
        <v/>
      </c>
      <c r="D193" t="s">
        <v>740</v>
      </c>
      <c r="E193" t="s">
        <v>741</v>
      </c>
      <c r="F193" t="s">
        <v>89</v>
      </c>
      <c r="G193" s="1">
        <v>37974</v>
      </c>
      <c r="H193" t="s">
        <v>949</v>
      </c>
      <c r="I193" t="s">
        <v>1235</v>
      </c>
      <c r="J193" t="s">
        <v>1042</v>
      </c>
      <c r="K193">
        <v>200</v>
      </c>
      <c r="L193" t="s">
        <v>1043</v>
      </c>
      <c r="M193" t="s">
        <v>1044</v>
      </c>
      <c r="N193" s="1">
        <v>40787</v>
      </c>
      <c r="W193" s="1"/>
    </row>
    <row r="194" spans="1:23">
      <c r="A194" t="b">
        <f>_xlfn.IFNA(VLOOKUP(D194,Spelerslijst!A:B,1,FALSE),FALSE)</f>
        <v>0</v>
      </c>
      <c r="B194" t="str">
        <f>_xlfn.IFNA(VLOOKUP(D194,Spelerslijst!K:L,1,FALSE),FALSE)</f>
        <v>NLX00G3</v>
      </c>
      <c r="C194" t="str">
        <f t="shared" si="2"/>
        <v/>
      </c>
      <c r="D194" t="s">
        <v>252</v>
      </c>
      <c r="E194" t="s">
        <v>253</v>
      </c>
      <c r="F194" t="s">
        <v>184</v>
      </c>
      <c r="G194" s="1">
        <v>40100</v>
      </c>
      <c r="H194" t="s">
        <v>949</v>
      </c>
      <c r="I194" t="s">
        <v>1236</v>
      </c>
      <c r="J194" t="s">
        <v>1042</v>
      </c>
      <c r="K194">
        <v>220</v>
      </c>
      <c r="L194" t="s">
        <v>1043</v>
      </c>
      <c r="M194" t="s">
        <v>1044</v>
      </c>
      <c r="N194" s="1">
        <v>42876</v>
      </c>
      <c r="W194" s="1"/>
    </row>
    <row r="195" spans="1:23">
      <c r="A195" t="b">
        <f>_xlfn.IFNA(VLOOKUP(D195,Spelerslijst!A:B,1,FALSE),FALSE)</f>
        <v>0</v>
      </c>
      <c r="B195" t="str">
        <f>_xlfn.IFNA(VLOOKUP(D195,Spelerslijst!K:L,1,FALSE),FALSE)</f>
        <v>NJF53H2</v>
      </c>
      <c r="C195" t="str">
        <f t="shared" ref="C195:C258" si="3">IF(AND(A195=FALSE,B195=FALSE),"Onbekend","")</f>
        <v/>
      </c>
      <c r="D195" t="s">
        <v>199</v>
      </c>
      <c r="E195" t="s">
        <v>200</v>
      </c>
      <c r="F195" t="s">
        <v>201</v>
      </c>
      <c r="G195" s="1">
        <v>35330</v>
      </c>
      <c r="H195" t="s">
        <v>949</v>
      </c>
      <c r="I195" t="s">
        <v>1237</v>
      </c>
      <c r="J195" t="s">
        <v>1042</v>
      </c>
      <c r="K195">
        <v>202</v>
      </c>
      <c r="L195" t="s">
        <v>1043</v>
      </c>
      <c r="M195" t="s">
        <v>1067</v>
      </c>
      <c r="N195" s="1">
        <v>37923</v>
      </c>
      <c r="W195" s="1"/>
    </row>
    <row r="196" spans="1:23">
      <c r="A196" t="b">
        <f>_xlfn.IFNA(VLOOKUP(D196,Spelerslijst!A:B,1,FALSE),FALSE)</f>
        <v>0</v>
      </c>
      <c r="B196" t="str">
        <f>_xlfn.IFNA(VLOOKUP(D196,Spelerslijst!K:L,1,FALSE),FALSE)</f>
        <v>NLM05B2</v>
      </c>
      <c r="C196" t="str">
        <f t="shared" si="3"/>
        <v/>
      </c>
      <c r="D196" t="s">
        <v>129</v>
      </c>
      <c r="E196" t="s">
        <v>130</v>
      </c>
      <c r="F196" t="s">
        <v>131</v>
      </c>
      <c r="G196" s="1">
        <v>39346</v>
      </c>
      <c r="H196" t="s">
        <v>949</v>
      </c>
      <c r="I196" t="s">
        <v>1238</v>
      </c>
      <c r="J196" t="s">
        <v>1042</v>
      </c>
      <c r="K196">
        <v>220</v>
      </c>
      <c r="L196" t="s">
        <v>1043</v>
      </c>
      <c r="M196" t="s">
        <v>1044</v>
      </c>
      <c r="N196" s="1">
        <v>41913</v>
      </c>
      <c r="W196" s="1"/>
    </row>
    <row r="197" spans="1:23">
      <c r="A197" t="b">
        <f>_xlfn.IFNA(VLOOKUP(D197,Spelerslijst!A:B,1,FALSE),FALSE)</f>
        <v>0</v>
      </c>
      <c r="B197" t="str">
        <f>_xlfn.IFNA(VLOOKUP(D197,Spelerslijst!K:L,1,FALSE),FALSE)</f>
        <v>NLS85J4</v>
      </c>
      <c r="C197" t="str">
        <f t="shared" si="3"/>
        <v/>
      </c>
      <c r="D197" t="s">
        <v>257</v>
      </c>
      <c r="E197" t="s">
        <v>258</v>
      </c>
      <c r="F197" t="s">
        <v>259</v>
      </c>
      <c r="G197" s="1">
        <v>40058</v>
      </c>
      <c r="H197" t="s">
        <v>949</v>
      </c>
      <c r="I197" t="s">
        <v>1238</v>
      </c>
      <c r="J197" t="s">
        <v>1042</v>
      </c>
      <c r="K197">
        <v>220</v>
      </c>
      <c r="L197" t="s">
        <v>1043</v>
      </c>
      <c r="M197" t="s">
        <v>1044</v>
      </c>
      <c r="N197" s="1">
        <v>42548</v>
      </c>
      <c r="W197" s="1"/>
    </row>
    <row r="198" spans="1:23">
      <c r="A198" t="b">
        <f>_xlfn.IFNA(VLOOKUP(D198,Spelerslijst!A:B,1,FALSE),FALSE)</f>
        <v>0</v>
      </c>
      <c r="B198" t="str">
        <f>_xlfn.IFNA(VLOOKUP(D198,Spelerslijst!K:L,1,FALSE),FALSE)</f>
        <v>NJF77Y3</v>
      </c>
      <c r="C198" t="str">
        <f t="shared" si="3"/>
        <v/>
      </c>
      <c r="D198" t="s">
        <v>647</v>
      </c>
      <c r="E198" t="s">
        <v>648</v>
      </c>
      <c r="F198" t="s">
        <v>649</v>
      </c>
      <c r="G198" s="1">
        <v>35550</v>
      </c>
      <c r="H198" t="s">
        <v>949</v>
      </c>
      <c r="I198" t="s">
        <v>1239</v>
      </c>
      <c r="J198" t="s">
        <v>1042</v>
      </c>
      <c r="K198">
        <v>200</v>
      </c>
      <c r="L198" t="s">
        <v>1043</v>
      </c>
      <c r="M198" t="s">
        <v>1044</v>
      </c>
      <c r="N198" s="1">
        <v>37860</v>
      </c>
      <c r="W198" s="1"/>
    </row>
    <row r="199" spans="1:23">
      <c r="A199" t="str">
        <f>_xlfn.IFNA(VLOOKUP(D199,Spelerslijst!A:B,1,FALSE),FALSE)</f>
        <v>NKD19X7</v>
      </c>
      <c r="B199" t="b">
        <f>_xlfn.IFNA(VLOOKUP(D199,Spelerslijst!K:L,1,FALSE),FALSE)</f>
        <v>0</v>
      </c>
      <c r="C199" t="str">
        <f t="shared" si="3"/>
        <v/>
      </c>
      <c r="D199" t="s">
        <v>168</v>
      </c>
      <c r="E199" t="s">
        <v>169</v>
      </c>
      <c r="F199" t="s">
        <v>170</v>
      </c>
      <c r="G199" s="1">
        <v>36727</v>
      </c>
      <c r="H199" t="s">
        <v>1046</v>
      </c>
      <c r="I199" t="s">
        <v>1240</v>
      </c>
      <c r="J199" t="s">
        <v>1042</v>
      </c>
      <c r="K199">
        <v>202</v>
      </c>
      <c r="L199" t="s">
        <v>1043</v>
      </c>
      <c r="M199" t="s">
        <v>1067</v>
      </c>
      <c r="N199" s="1">
        <v>39390</v>
      </c>
      <c r="W199" s="1"/>
    </row>
    <row r="200" spans="1:23">
      <c r="A200" t="b">
        <f>_xlfn.IFNA(VLOOKUP(D200,Spelerslijst!A:B,1,FALSE),FALSE)</f>
        <v>0</v>
      </c>
      <c r="B200" t="str">
        <f>_xlfn.IFNA(VLOOKUP(D200,Spelerslijst!K:L,1,FALSE),FALSE)</f>
        <v>NGD51N5</v>
      </c>
      <c r="C200" t="str">
        <f t="shared" si="3"/>
        <v/>
      </c>
      <c r="D200" t="s">
        <v>693</v>
      </c>
      <c r="E200" t="s">
        <v>694</v>
      </c>
      <c r="F200" t="s">
        <v>327</v>
      </c>
      <c r="G200" s="1">
        <v>32357</v>
      </c>
      <c r="H200" t="s">
        <v>949</v>
      </c>
      <c r="I200" t="s">
        <v>1241</v>
      </c>
      <c r="J200" t="s">
        <v>1042</v>
      </c>
      <c r="K200">
        <v>200</v>
      </c>
      <c r="L200" t="s">
        <v>1043</v>
      </c>
      <c r="M200" t="s">
        <v>1044</v>
      </c>
      <c r="N200" s="1">
        <v>34731</v>
      </c>
      <c r="W200" s="1"/>
    </row>
    <row r="201" spans="1:23">
      <c r="A201" t="str">
        <f>_xlfn.IFNA(VLOOKUP(D201,Spelerslijst!A:B,1,FALSE),FALSE)</f>
        <v>NJK42D1</v>
      </c>
      <c r="B201" t="b">
        <f>_xlfn.IFNA(VLOOKUP(D201,Spelerslijst!K:L,1,FALSE),FALSE)</f>
        <v>0</v>
      </c>
      <c r="C201" t="str">
        <f t="shared" si="3"/>
        <v/>
      </c>
      <c r="D201" t="s">
        <v>753</v>
      </c>
      <c r="E201" t="s">
        <v>754</v>
      </c>
      <c r="F201" t="s">
        <v>755</v>
      </c>
      <c r="G201" s="1">
        <v>33696</v>
      </c>
      <c r="H201" t="s">
        <v>1046</v>
      </c>
      <c r="I201" t="s">
        <v>1242</v>
      </c>
      <c r="J201" t="s">
        <v>1042</v>
      </c>
      <c r="K201">
        <v>200</v>
      </c>
      <c r="L201" t="s">
        <v>1043</v>
      </c>
      <c r="M201" t="s">
        <v>1044</v>
      </c>
      <c r="N201" s="1">
        <v>36103</v>
      </c>
      <c r="W201" s="1"/>
    </row>
    <row r="202" spans="1:23">
      <c r="A202" t="b">
        <f>_xlfn.IFNA(VLOOKUP(D202,Spelerslijst!A:B,1,FALSE),FALSE)</f>
        <v>0</v>
      </c>
      <c r="B202" t="str">
        <f>_xlfn.IFNA(VLOOKUP(D202,Spelerslijst!K:L,1,FALSE),FALSE)</f>
        <v>NLP78P7</v>
      </c>
      <c r="C202" t="str">
        <f t="shared" si="3"/>
        <v/>
      </c>
      <c r="D202" t="s">
        <v>320</v>
      </c>
      <c r="E202" t="s">
        <v>321</v>
      </c>
      <c r="F202" t="s">
        <v>271</v>
      </c>
      <c r="G202" s="1">
        <v>40381</v>
      </c>
      <c r="H202" t="s">
        <v>949</v>
      </c>
      <c r="I202" t="s">
        <v>1243</v>
      </c>
      <c r="J202" t="s">
        <v>1042</v>
      </c>
      <c r="K202">
        <v>220</v>
      </c>
      <c r="L202" t="s">
        <v>1043</v>
      </c>
      <c r="M202" t="s">
        <v>1044</v>
      </c>
      <c r="N202" s="1">
        <v>42248</v>
      </c>
      <c r="W202" s="1"/>
    </row>
    <row r="203" spans="1:23">
      <c r="A203" t="b">
        <f>_xlfn.IFNA(VLOOKUP(D203,Spelerslijst!A:B,1,FALSE),FALSE)</f>
        <v>0</v>
      </c>
      <c r="B203" t="str">
        <f>_xlfn.IFNA(VLOOKUP(D203,Spelerslijst!K:L,1,FALSE),FALSE)</f>
        <v>NLP78Q4</v>
      </c>
      <c r="C203" t="str">
        <f t="shared" si="3"/>
        <v/>
      </c>
      <c r="D203" t="s">
        <v>263</v>
      </c>
      <c r="E203" t="s">
        <v>264</v>
      </c>
      <c r="F203" t="s">
        <v>265</v>
      </c>
      <c r="G203" s="1">
        <v>39686</v>
      </c>
      <c r="H203" t="s">
        <v>949</v>
      </c>
      <c r="I203" t="s">
        <v>1243</v>
      </c>
      <c r="J203" t="s">
        <v>1042</v>
      </c>
      <c r="K203">
        <v>220</v>
      </c>
      <c r="L203" t="s">
        <v>1043</v>
      </c>
      <c r="M203" t="s">
        <v>1044</v>
      </c>
      <c r="N203" s="1">
        <v>42248</v>
      </c>
      <c r="W203" s="1"/>
    </row>
    <row r="204" spans="1:23">
      <c r="A204" t="str">
        <f>_xlfn.IFNA(VLOOKUP(D204,Spelerslijst!A:B,1,FALSE),FALSE)</f>
        <v>NLL20B6</v>
      </c>
      <c r="B204" t="b">
        <f>_xlfn.IFNA(VLOOKUP(D204,Spelerslijst!K:L,1,FALSE),FALSE)</f>
        <v>0</v>
      </c>
      <c r="C204" t="str">
        <f t="shared" si="3"/>
        <v/>
      </c>
      <c r="D204" t="s">
        <v>97</v>
      </c>
      <c r="E204" t="s">
        <v>98</v>
      </c>
      <c r="F204" t="s">
        <v>99</v>
      </c>
      <c r="G204" s="1">
        <v>38451</v>
      </c>
      <c r="H204" t="s">
        <v>1046</v>
      </c>
      <c r="I204" t="s">
        <v>1244</v>
      </c>
      <c r="J204" t="s">
        <v>1042</v>
      </c>
      <c r="K204">
        <v>210</v>
      </c>
      <c r="L204" t="s">
        <v>1043</v>
      </c>
      <c r="M204" t="s">
        <v>1044</v>
      </c>
      <c r="N204" s="1">
        <v>41883</v>
      </c>
      <c r="W204" s="1"/>
    </row>
    <row r="205" spans="1:23">
      <c r="A205" t="str">
        <f>_xlfn.IFNA(VLOOKUP(D205,Spelerslijst!A:B,1,FALSE),FALSE)</f>
        <v>NMB03R4</v>
      </c>
      <c r="B205" t="b">
        <f>_xlfn.IFNA(VLOOKUP(D205,Spelerslijst!K:L,1,FALSE),FALSE)</f>
        <v>0</v>
      </c>
      <c r="C205" t="str">
        <f t="shared" si="3"/>
        <v/>
      </c>
      <c r="D205" t="s">
        <v>441</v>
      </c>
      <c r="E205" t="s">
        <v>442</v>
      </c>
      <c r="F205" t="s">
        <v>443</v>
      </c>
      <c r="G205" s="1">
        <v>41047</v>
      </c>
      <c r="H205" t="s">
        <v>1046</v>
      </c>
      <c r="I205" t="s">
        <v>1245</v>
      </c>
      <c r="J205" t="s">
        <v>1042</v>
      </c>
      <c r="K205">
        <v>230</v>
      </c>
      <c r="L205" t="s">
        <v>1043</v>
      </c>
      <c r="M205" t="s">
        <v>1044</v>
      </c>
      <c r="N205" s="1">
        <v>43181</v>
      </c>
      <c r="W205" s="1"/>
    </row>
    <row r="206" spans="1:23">
      <c r="A206" t="str">
        <f>_xlfn.IFNA(VLOOKUP(D206,Spelerslijst!A:B,1,FALSE),FALSE)</f>
        <v>NMD34T8</v>
      </c>
      <c r="B206" t="b">
        <f>_xlfn.IFNA(VLOOKUP(D206,Spelerslijst!K:L,1,FALSE),FALSE)</f>
        <v>0</v>
      </c>
      <c r="C206" t="str">
        <f t="shared" si="3"/>
        <v/>
      </c>
      <c r="D206" t="s">
        <v>544</v>
      </c>
      <c r="E206" t="s">
        <v>545</v>
      </c>
      <c r="F206" t="s">
        <v>246</v>
      </c>
      <c r="G206" s="1">
        <v>41807</v>
      </c>
      <c r="H206" t="s">
        <v>1046</v>
      </c>
      <c r="I206" t="s">
        <v>1245</v>
      </c>
      <c r="J206" t="s">
        <v>1042</v>
      </c>
      <c r="K206">
        <v>230</v>
      </c>
      <c r="L206" t="s">
        <v>1043</v>
      </c>
      <c r="M206" t="s">
        <v>1044</v>
      </c>
      <c r="N206" s="1">
        <v>43407</v>
      </c>
      <c r="W206" s="1"/>
    </row>
    <row r="207" spans="1:23">
      <c r="A207" t="b">
        <f>_xlfn.IFNA(VLOOKUP(D207,Spelerslijst!A:B,1,FALSE),FALSE)</f>
        <v>0</v>
      </c>
      <c r="B207" t="str">
        <f>_xlfn.IFNA(VLOOKUP(D207,Spelerslijst!K:L,1,FALSE),FALSE)</f>
        <v>NJH76N5</v>
      </c>
      <c r="C207" t="str">
        <f t="shared" si="3"/>
        <v/>
      </c>
      <c r="D207" t="s">
        <v>653</v>
      </c>
      <c r="E207" t="s">
        <v>654</v>
      </c>
      <c r="F207" t="s">
        <v>655</v>
      </c>
      <c r="G207" s="1">
        <v>36143</v>
      </c>
      <c r="H207" t="s">
        <v>949</v>
      </c>
      <c r="I207" t="s">
        <v>1246</v>
      </c>
      <c r="J207" t="s">
        <v>1042</v>
      </c>
      <c r="K207">
        <v>200</v>
      </c>
      <c r="L207" t="s">
        <v>1043</v>
      </c>
      <c r="M207" t="s">
        <v>1044</v>
      </c>
      <c r="N207" s="1">
        <v>38231</v>
      </c>
      <c r="W207" s="1"/>
    </row>
    <row r="208" spans="1:23">
      <c r="A208" t="b">
        <f>_xlfn.IFNA(VLOOKUP(D208,Spelerslijst!A:B,1,FALSE),FALSE)</f>
        <v>0</v>
      </c>
      <c r="B208" t="str">
        <f>_xlfn.IFNA(VLOOKUP(D208,Spelerslijst!K:L,1,FALSE),FALSE)</f>
        <v>NFW92M3</v>
      </c>
      <c r="C208" t="str">
        <f t="shared" si="3"/>
        <v/>
      </c>
      <c r="D208" t="s">
        <v>698</v>
      </c>
      <c r="E208" t="s">
        <v>699</v>
      </c>
      <c r="F208" t="s">
        <v>700</v>
      </c>
      <c r="G208" s="1">
        <v>29340</v>
      </c>
      <c r="H208" t="s">
        <v>949</v>
      </c>
      <c r="I208" t="s">
        <v>1247</v>
      </c>
      <c r="J208" t="s">
        <v>1042</v>
      </c>
      <c r="K208">
        <v>200</v>
      </c>
      <c r="L208" t="s">
        <v>1043</v>
      </c>
      <c r="M208" t="s">
        <v>1044</v>
      </c>
      <c r="N208" s="1">
        <v>37921</v>
      </c>
      <c r="W208" s="1"/>
    </row>
    <row r="209" spans="1:23">
      <c r="A209" t="b">
        <f>_xlfn.IFNA(VLOOKUP(D209,Spelerslijst!A:B,1,FALSE),FALSE)</f>
        <v>0</v>
      </c>
      <c r="B209" t="str">
        <f>_xlfn.IFNA(VLOOKUP(D209,Spelerslijst!K:L,1,FALSE),FALSE)</f>
        <v>NLV80M3</v>
      </c>
      <c r="C209" t="str">
        <f t="shared" si="3"/>
        <v/>
      </c>
      <c r="D209" t="s">
        <v>343</v>
      </c>
      <c r="E209" t="s">
        <v>344</v>
      </c>
      <c r="F209" t="s">
        <v>71</v>
      </c>
      <c r="G209" s="1">
        <v>41044</v>
      </c>
      <c r="H209" t="s">
        <v>949</v>
      </c>
      <c r="I209" t="s">
        <v>1248</v>
      </c>
      <c r="J209" t="s">
        <v>1042</v>
      </c>
      <c r="K209">
        <v>230</v>
      </c>
      <c r="L209" t="s">
        <v>1043</v>
      </c>
      <c r="M209" t="s">
        <v>1044</v>
      </c>
      <c r="N209" s="1">
        <v>42711</v>
      </c>
      <c r="W209" s="1"/>
    </row>
    <row r="210" spans="1:23">
      <c r="A210" t="str">
        <f>_xlfn.IFNA(VLOOKUP(D210,Spelerslijst!A:B,1,FALSE),FALSE)</f>
        <v>NMM97Y1</v>
      </c>
      <c r="B210" t="b">
        <f>_xlfn.IFNA(VLOOKUP(D210,Spelerslijst!K:L,1,FALSE),FALSE)</f>
        <v>0</v>
      </c>
      <c r="C210" t="str">
        <f t="shared" si="3"/>
        <v/>
      </c>
      <c r="D210" t="s">
        <v>563</v>
      </c>
      <c r="E210" t="s">
        <v>564</v>
      </c>
      <c r="F210" t="s">
        <v>565</v>
      </c>
      <c r="G210" s="1">
        <v>42058</v>
      </c>
      <c r="H210" t="s">
        <v>1046</v>
      </c>
      <c r="I210" t="s">
        <v>1247</v>
      </c>
      <c r="J210" t="s">
        <v>1042</v>
      </c>
      <c r="K210">
        <v>230</v>
      </c>
      <c r="L210" t="s">
        <v>1043</v>
      </c>
      <c r="M210" t="s">
        <v>1044</v>
      </c>
      <c r="N210" s="1">
        <v>44369</v>
      </c>
      <c r="W210" s="1"/>
    </row>
    <row r="211" spans="1:23">
      <c r="A211" t="b">
        <f>_xlfn.IFNA(VLOOKUP(D211,Spelerslijst!A:B,1,FALSE),FALSE)</f>
        <v>0</v>
      </c>
      <c r="B211" t="str">
        <f>_xlfn.IFNA(VLOOKUP(D211,Spelerslijst!K:L,1,FALSE),FALSE)</f>
        <v>NLG58X4</v>
      </c>
      <c r="C211" t="str">
        <f t="shared" si="3"/>
        <v/>
      </c>
      <c r="D211" t="s">
        <v>69</v>
      </c>
      <c r="E211" t="s">
        <v>70</v>
      </c>
      <c r="F211" t="s">
        <v>71</v>
      </c>
      <c r="G211" s="1">
        <v>39196</v>
      </c>
      <c r="H211" t="s">
        <v>949</v>
      </c>
      <c r="I211" t="s">
        <v>1249</v>
      </c>
      <c r="J211" t="s">
        <v>1042</v>
      </c>
      <c r="K211">
        <v>220</v>
      </c>
      <c r="L211" t="s">
        <v>1043</v>
      </c>
      <c r="M211" t="s">
        <v>1044</v>
      </c>
      <c r="N211" s="1">
        <v>41518</v>
      </c>
      <c r="W211" s="1"/>
    </row>
    <row r="212" spans="1:23">
      <c r="A212" t="str">
        <f>_xlfn.IFNA(VLOOKUP(D212,Spelerslijst!A:B,1,FALSE),FALSE)</f>
        <v>NLL53K3</v>
      </c>
      <c r="B212" t="b">
        <f>_xlfn.IFNA(VLOOKUP(D212,Spelerslijst!K:L,1,FALSE),FALSE)</f>
        <v>0</v>
      </c>
      <c r="C212" t="str">
        <f t="shared" si="3"/>
        <v/>
      </c>
      <c r="D212" t="s">
        <v>266</v>
      </c>
      <c r="E212" t="s">
        <v>267</v>
      </c>
      <c r="F212" t="s">
        <v>268</v>
      </c>
      <c r="G212" s="1">
        <v>40143</v>
      </c>
      <c r="H212" t="s">
        <v>1046</v>
      </c>
      <c r="I212" t="s">
        <v>1249</v>
      </c>
      <c r="J212" t="s">
        <v>1042</v>
      </c>
      <c r="K212">
        <v>220</v>
      </c>
      <c r="L212" t="s">
        <v>1043</v>
      </c>
      <c r="M212" t="s">
        <v>1044</v>
      </c>
      <c r="N212" s="1">
        <v>41883</v>
      </c>
      <c r="W212" s="1"/>
    </row>
    <row r="213" spans="1:23">
      <c r="A213" t="str">
        <f>_xlfn.IFNA(VLOOKUP(D213,Spelerslijst!A:B,1,FALSE),FALSE)</f>
        <v>NMJ35H3</v>
      </c>
      <c r="B213" t="b">
        <f>_xlfn.IFNA(VLOOKUP(D213,Spelerslijst!K:L,1,FALSE),FALSE)</f>
        <v>0</v>
      </c>
      <c r="C213" t="str">
        <f t="shared" si="3"/>
        <v/>
      </c>
      <c r="D213" t="s">
        <v>533</v>
      </c>
      <c r="E213" t="s">
        <v>534</v>
      </c>
      <c r="F213" t="s">
        <v>535</v>
      </c>
      <c r="G213" s="1">
        <v>41901</v>
      </c>
      <c r="H213" t="s">
        <v>1046</v>
      </c>
      <c r="I213" t="s">
        <v>1249</v>
      </c>
      <c r="J213" t="s">
        <v>1042</v>
      </c>
      <c r="K213">
        <v>230</v>
      </c>
      <c r="L213" t="s">
        <v>1043</v>
      </c>
      <c r="M213" t="s">
        <v>1044</v>
      </c>
      <c r="N213" s="1">
        <v>43860</v>
      </c>
      <c r="W213" s="1"/>
    </row>
    <row r="214" spans="1:23">
      <c r="A214" t="b">
        <f>_xlfn.IFNA(VLOOKUP(D214,Spelerslijst!A:B,1,FALSE),FALSE)</f>
        <v>0</v>
      </c>
      <c r="B214" t="str">
        <f>_xlfn.IFNA(VLOOKUP(D214,Spelerslijst!K:L,1,FALSE),FALSE)</f>
        <v>NLL20F4</v>
      </c>
      <c r="C214" t="str">
        <f t="shared" si="3"/>
        <v/>
      </c>
      <c r="D214" t="s">
        <v>118</v>
      </c>
      <c r="E214" t="s">
        <v>119</v>
      </c>
      <c r="F214" t="s">
        <v>120</v>
      </c>
      <c r="G214" s="1">
        <v>39018</v>
      </c>
      <c r="H214" t="s">
        <v>949</v>
      </c>
      <c r="I214" t="s">
        <v>1250</v>
      </c>
      <c r="J214" t="s">
        <v>1042</v>
      </c>
      <c r="K214">
        <v>210</v>
      </c>
      <c r="L214" t="s">
        <v>1043</v>
      </c>
      <c r="M214" t="s">
        <v>1044</v>
      </c>
      <c r="N214" s="1">
        <v>41883</v>
      </c>
      <c r="W214" s="1"/>
    </row>
    <row r="215" spans="1:23">
      <c r="A215" t="str">
        <f>_xlfn.IFNA(VLOOKUP(D215,Spelerslijst!A:B,1,FALSE),FALSE)</f>
        <v>NLL20G1</v>
      </c>
      <c r="B215" t="b">
        <f>_xlfn.IFNA(VLOOKUP(D215,Spelerslijst!K:L,1,FALSE),FALSE)</f>
        <v>0</v>
      </c>
      <c r="C215" t="str">
        <f t="shared" si="3"/>
        <v/>
      </c>
      <c r="D215" t="s">
        <v>226</v>
      </c>
      <c r="E215" t="s">
        <v>227</v>
      </c>
      <c r="F215" t="s">
        <v>228</v>
      </c>
      <c r="G215" s="1">
        <v>39804</v>
      </c>
      <c r="H215" t="s">
        <v>1046</v>
      </c>
      <c r="I215" t="s">
        <v>1251</v>
      </c>
      <c r="J215" t="s">
        <v>1042</v>
      </c>
      <c r="K215">
        <v>220</v>
      </c>
      <c r="L215" t="s">
        <v>1043</v>
      </c>
      <c r="M215" t="s">
        <v>1044</v>
      </c>
      <c r="N215" s="1">
        <v>41883</v>
      </c>
      <c r="W215" s="1"/>
    </row>
    <row r="216" spans="1:23">
      <c r="A216" t="str">
        <f>_xlfn.IFNA(VLOOKUP(D216,Spelerslijst!A:B,1,FALSE),FALSE)</f>
        <v>NLL20H8</v>
      </c>
      <c r="B216" t="b">
        <f>_xlfn.IFNA(VLOOKUP(D216,Spelerslijst!K:L,1,FALSE),FALSE)</f>
        <v>0</v>
      </c>
      <c r="C216" t="str">
        <f t="shared" si="3"/>
        <v/>
      </c>
      <c r="D216" t="s">
        <v>328</v>
      </c>
      <c r="E216" t="s">
        <v>329</v>
      </c>
      <c r="F216" t="s">
        <v>330</v>
      </c>
      <c r="G216" s="1">
        <v>40429</v>
      </c>
      <c r="H216" t="s">
        <v>1046</v>
      </c>
      <c r="I216" t="s">
        <v>1251</v>
      </c>
      <c r="J216" t="s">
        <v>1042</v>
      </c>
      <c r="K216">
        <v>220</v>
      </c>
      <c r="L216" t="s">
        <v>1043</v>
      </c>
      <c r="M216" t="s">
        <v>1044</v>
      </c>
      <c r="N216" s="1">
        <v>41883</v>
      </c>
      <c r="W216" s="1"/>
    </row>
    <row r="217" spans="1:23">
      <c r="A217" t="str">
        <f>_xlfn.IFNA(VLOOKUP(D217,Spelerslijst!A:B,1,FALSE),FALSE)</f>
        <v>NMV90Z6</v>
      </c>
      <c r="B217" t="b">
        <f>_xlfn.IFNA(VLOOKUP(D217,Spelerslijst!K:L,1,FALSE),FALSE)</f>
        <v>0</v>
      </c>
      <c r="C217" t="str">
        <f t="shared" si="3"/>
        <v/>
      </c>
      <c r="D217" t="s">
        <v>621</v>
      </c>
      <c r="E217" t="s">
        <v>622</v>
      </c>
      <c r="F217" t="s">
        <v>623</v>
      </c>
      <c r="G217" s="1">
        <v>42979</v>
      </c>
      <c r="H217" t="s">
        <v>1046</v>
      </c>
      <c r="I217" t="s">
        <v>1252</v>
      </c>
      <c r="J217" t="s">
        <v>1042</v>
      </c>
      <c r="K217">
        <v>240</v>
      </c>
      <c r="L217" t="s">
        <v>1043</v>
      </c>
      <c r="M217" t="s">
        <v>1044</v>
      </c>
      <c r="N217" s="1">
        <v>45103</v>
      </c>
      <c r="W217" s="1"/>
    </row>
    <row r="218" spans="1:23">
      <c r="A218" t="str">
        <f>_xlfn.IFNA(VLOOKUP(D218,Spelerslijst!A:B,1,FALSE),FALSE)</f>
        <v>NML14J6</v>
      </c>
      <c r="B218" t="b">
        <f>_xlfn.IFNA(VLOOKUP(D218,Spelerslijst!K:L,1,FALSE),FALSE)</f>
        <v>0</v>
      </c>
      <c r="C218" t="str">
        <f t="shared" si="3"/>
        <v/>
      </c>
      <c r="D218" t="s">
        <v>553</v>
      </c>
      <c r="E218" t="s">
        <v>554</v>
      </c>
      <c r="F218" t="s">
        <v>555</v>
      </c>
      <c r="G218" s="1">
        <v>42188</v>
      </c>
      <c r="H218" t="s">
        <v>1046</v>
      </c>
      <c r="I218" t="s">
        <v>1253</v>
      </c>
      <c r="J218" t="s">
        <v>1042</v>
      </c>
      <c r="K218">
        <v>230</v>
      </c>
      <c r="L218" t="s">
        <v>1043</v>
      </c>
      <c r="M218" t="s">
        <v>1044</v>
      </c>
      <c r="N218" s="1">
        <v>44894</v>
      </c>
      <c r="W218" s="1"/>
    </row>
    <row r="219" spans="1:23">
      <c r="A219" t="b">
        <f>_xlfn.IFNA(VLOOKUP(D219,Spelerslijst!A:B,1,FALSE),FALSE)</f>
        <v>0</v>
      </c>
      <c r="B219" t="str">
        <f>_xlfn.IFNA(VLOOKUP(D219,Spelerslijst!K:L,1,FALSE),FALSE)</f>
        <v>NMG03C4</v>
      </c>
      <c r="C219" t="str">
        <f t="shared" si="3"/>
        <v/>
      </c>
      <c r="D219" t="s">
        <v>412</v>
      </c>
      <c r="E219" t="s">
        <v>413</v>
      </c>
      <c r="F219" t="s">
        <v>414</v>
      </c>
      <c r="G219" s="1">
        <v>40974</v>
      </c>
      <c r="H219" t="s">
        <v>949</v>
      </c>
      <c r="I219" t="s">
        <v>1254</v>
      </c>
      <c r="J219" t="s">
        <v>1042</v>
      </c>
      <c r="K219">
        <v>230</v>
      </c>
      <c r="L219" t="s">
        <v>1043</v>
      </c>
      <c r="M219" t="s">
        <v>1044</v>
      </c>
      <c r="N219" s="1">
        <v>43628</v>
      </c>
      <c r="W219" s="1"/>
    </row>
    <row r="220" spans="1:23">
      <c r="A220" t="str">
        <f>_xlfn.IFNA(VLOOKUP(D220,Spelerslijst!A:B,1,FALSE),FALSE)</f>
        <v>NMK64V4</v>
      </c>
      <c r="B220" t="b">
        <f>_xlfn.IFNA(VLOOKUP(D220,Spelerslijst!K:L,1,FALSE),FALSE)</f>
        <v>0</v>
      </c>
      <c r="C220" t="str">
        <f t="shared" si="3"/>
        <v/>
      </c>
      <c r="D220" t="s">
        <v>569</v>
      </c>
      <c r="E220" t="s">
        <v>570</v>
      </c>
      <c r="F220" t="s">
        <v>280</v>
      </c>
      <c r="G220" s="1">
        <v>42249</v>
      </c>
      <c r="H220" t="s">
        <v>1046</v>
      </c>
      <c r="I220" t="s">
        <v>1255</v>
      </c>
      <c r="J220" t="s">
        <v>1042</v>
      </c>
      <c r="K220">
        <v>230</v>
      </c>
      <c r="L220" t="s">
        <v>1043</v>
      </c>
      <c r="M220" t="s">
        <v>1044</v>
      </c>
      <c r="N220" s="1">
        <v>44077</v>
      </c>
      <c r="W220" s="1"/>
    </row>
    <row r="221" spans="1:23">
      <c r="A221" t="str">
        <f>_xlfn.IFNA(VLOOKUP(D221,Spelerslijst!A:B,1,FALSE),FALSE)</f>
        <v>NMV77N3</v>
      </c>
      <c r="B221" t="b">
        <f>_xlfn.IFNA(VLOOKUP(D221,Spelerslijst!K:L,1,FALSE),FALSE)</f>
        <v>0</v>
      </c>
      <c r="C221" t="str">
        <f t="shared" si="3"/>
        <v/>
      </c>
      <c r="D221" t="s">
        <v>615</v>
      </c>
      <c r="E221" t="s">
        <v>616</v>
      </c>
      <c r="F221" t="s">
        <v>617</v>
      </c>
      <c r="G221" s="1">
        <v>43215</v>
      </c>
      <c r="H221" t="s">
        <v>1046</v>
      </c>
      <c r="I221" t="s">
        <v>1255</v>
      </c>
      <c r="J221" t="s">
        <v>1042</v>
      </c>
      <c r="K221">
        <v>240</v>
      </c>
      <c r="L221" t="s">
        <v>1043</v>
      </c>
      <c r="M221" t="s">
        <v>1044</v>
      </c>
      <c r="N221" s="1">
        <v>45090</v>
      </c>
      <c r="W221" s="1"/>
    </row>
    <row r="222" spans="1:23">
      <c r="A222" t="str">
        <f>_xlfn.IFNA(VLOOKUP(D222,Spelerslijst!A:B,1,FALSE),FALSE)</f>
        <v>NMK74C6</v>
      </c>
      <c r="B222" t="b">
        <f>_xlfn.IFNA(VLOOKUP(D222,Spelerslijst!K:L,1,FALSE),FALSE)</f>
        <v>0</v>
      </c>
      <c r="C222" t="str">
        <f t="shared" si="3"/>
        <v/>
      </c>
      <c r="D222" t="s">
        <v>356</v>
      </c>
      <c r="E222" t="s">
        <v>357</v>
      </c>
      <c r="F222" t="s">
        <v>358</v>
      </c>
      <c r="G222" s="1">
        <v>40722</v>
      </c>
      <c r="H222" t="s">
        <v>1046</v>
      </c>
      <c r="I222" t="s">
        <v>1256</v>
      </c>
      <c r="J222" t="s">
        <v>1042</v>
      </c>
      <c r="K222">
        <v>230</v>
      </c>
      <c r="L222" t="s">
        <v>1043</v>
      </c>
      <c r="M222" t="s">
        <v>1044</v>
      </c>
      <c r="N222" s="1">
        <v>44081</v>
      </c>
      <c r="W222" s="1"/>
    </row>
    <row r="223" spans="1:23">
      <c r="A223" t="b">
        <f>_xlfn.IFNA(VLOOKUP(D223,Spelerslijst!A:B,1,FALSE),FALSE)</f>
        <v>0</v>
      </c>
      <c r="B223" t="str">
        <f>_xlfn.IFNA(VLOOKUP(D223,Spelerslijst!K:L,1,FALSE),FALSE)</f>
        <v>NLG59F1</v>
      </c>
      <c r="C223" t="str">
        <f t="shared" si="3"/>
        <v/>
      </c>
      <c r="D223" t="s">
        <v>87</v>
      </c>
      <c r="E223" t="s">
        <v>88</v>
      </c>
      <c r="F223" t="s">
        <v>89</v>
      </c>
      <c r="G223" s="1">
        <v>38578</v>
      </c>
      <c r="H223" t="s">
        <v>949</v>
      </c>
      <c r="I223" t="s">
        <v>1257</v>
      </c>
      <c r="J223" t="s">
        <v>1042</v>
      </c>
      <c r="K223">
        <v>210</v>
      </c>
      <c r="L223" t="s">
        <v>1043</v>
      </c>
      <c r="M223" t="s">
        <v>1044</v>
      </c>
      <c r="N223" s="1">
        <v>41518</v>
      </c>
      <c r="W223" s="1"/>
    </row>
    <row r="224" spans="1:23">
      <c r="A224" t="str">
        <f>_xlfn.IFNA(VLOOKUP(D224,Spelerslijst!A:B,1,FALSE),FALSE)</f>
        <v>NLJ04Z4</v>
      </c>
      <c r="B224" t="b">
        <f>_xlfn.IFNA(VLOOKUP(D224,Spelerslijst!K:L,1,FALSE),FALSE)</f>
        <v>0</v>
      </c>
      <c r="C224" t="str">
        <f t="shared" si="3"/>
        <v/>
      </c>
      <c r="D224" t="s">
        <v>232</v>
      </c>
      <c r="E224" t="s">
        <v>233</v>
      </c>
      <c r="F224" t="s">
        <v>234</v>
      </c>
      <c r="G224" s="1">
        <v>39878</v>
      </c>
      <c r="H224" t="s">
        <v>1046</v>
      </c>
      <c r="I224" t="s">
        <v>1258</v>
      </c>
      <c r="J224" t="s">
        <v>1042</v>
      </c>
      <c r="K224">
        <v>220</v>
      </c>
      <c r="L224" t="s">
        <v>1043</v>
      </c>
      <c r="M224" t="s">
        <v>1044</v>
      </c>
      <c r="N224" s="1">
        <v>41579</v>
      </c>
      <c r="W224" s="1"/>
    </row>
    <row r="225" spans="1:24">
      <c r="A225" t="b">
        <f>_xlfn.IFNA(VLOOKUP(D225,Spelerslijst!A:B,1,FALSE),FALSE)</f>
        <v>0</v>
      </c>
      <c r="B225" t="str">
        <f>_xlfn.IFNA(VLOOKUP(D225,Spelerslijst!K:L,1,FALSE),FALSE)</f>
        <v>NMG85H5</v>
      </c>
      <c r="C225" t="str">
        <f t="shared" si="3"/>
        <v/>
      </c>
      <c r="D225" t="s">
        <v>337</v>
      </c>
      <c r="E225" t="s">
        <v>338</v>
      </c>
      <c r="F225" t="s">
        <v>339</v>
      </c>
      <c r="G225" s="1">
        <v>40112</v>
      </c>
      <c r="H225" t="s">
        <v>949</v>
      </c>
      <c r="I225" t="s">
        <v>1259</v>
      </c>
      <c r="J225" t="s">
        <v>1042</v>
      </c>
      <c r="K225">
        <v>220</v>
      </c>
      <c r="L225" t="s">
        <v>1043</v>
      </c>
      <c r="M225" t="s">
        <v>1044</v>
      </c>
      <c r="N225" s="1">
        <v>43713</v>
      </c>
      <c r="W225" s="1"/>
    </row>
    <row r="226" spans="1:24">
      <c r="A226" t="b">
        <f>_xlfn.IFNA(VLOOKUP(D226,Spelerslijst!A:B,1,FALSE),FALSE)</f>
        <v>0</v>
      </c>
      <c r="B226" t="str">
        <f>_xlfn.IFNA(VLOOKUP(D226,Spelerslijst!K:L,1,FALSE),FALSE)</f>
        <v>NLG58W7</v>
      </c>
      <c r="C226" t="str">
        <f t="shared" si="3"/>
        <v/>
      </c>
      <c r="D226" t="s">
        <v>106</v>
      </c>
      <c r="E226" t="s">
        <v>107</v>
      </c>
      <c r="F226" t="s">
        <v>108</v>
      </c>
      <c r="G226" s="1">
        <v>39069</v>
      </c>
      <c r="H226" t="s">
        <v>949</v>
      </c>
      <c r="I226" t="s">
        <v>1260</v>
      </c>
      <c r="J226" t="s">
        <v>1042</v>
      </c>
      <c r="K226">
        <v>210</v>
      </c>
      <c r="L226" t="s">
        <v>1043</v>
      </c>
      <c r="M226" t="s">
        <v>1044</v>
      </c>
      <c r="N226" s="1">
        <v>41518</v>
      </c>
      <c r="W226" s="1"/>
    </row>
    <row r="227" spans="1:24">
      <c r="A227" t="str">
        <f>_xlfn.IFNA(VLOOKUP(D227,Spelerslijst!A:B,1,FALSE),FALSE)</f>
        <v>NLM86V5</v>
      </c>
      <c r="B227" t="b">
        <f>_xlfn.IFNA(VLOOKUP(D227,Spelerslijst!K:L,1,FALSE),FALSE)</f>
        <v>0</v>
      </c>
      <c r="C227" t="str">
        <f t="shared" si="3"/>
        <v/>
      </c>
      <c r="D227" t="s">
        <v>888</v>
      </c>
      <c r="E227" t="s">
        <v>889</v>
      </c>
      <c r="F227" t="s">
        <v>890</v>
      </c>
      <c r="G227" s="1">
        <v>40561</v>
      </c>
      <c r="H227" t="s">
        <v>1046</v>
      </c>
      <c r="I227" t="s">
        <v>1260</v>
      </c>
      <c r="J227" t="s">
        <v>1048</v>
      </c>
      <c r="K227">
        <v>230</v>
      </c>
      <c r="L227" t="s">
        <v>1043</v>
      </c>
      <c r="M227" t="s">
        <v>1044</v>
      </c>
      <c r="N227" s="1">
        <v>41974</v>
      </c>
      <c r="W227" s="1"/>
      <c r="X227" s="1"/>
    </row>
    <row r="228" spans="1:24">
      <c r="A228" t="b">
        <f>_xlfn.IFNA(VLOOKUP(D228,Spelerslijst!A:B,1,FALSE),FALSE)</f>
        <v>0</v>
      </c>
      <c r="B228" t="str">
        <f>_xlfn.IFNA(VLOOKUP(D228,Spelerslijst!K:L,1,FALSE),FALSE)</f>
        <v>NLY54F4</v>
      </c>
      <c r="C228" t="str">
        <f t="shared" si="3"/>
        <v/>
      </c>
      <c r="D228" t="s">
        <v>292</v>
      </c>
      <c r="E228" t="s">
        <v>293</v>
      </c>
      <c r="F228" t="s">
        <v>294</v>
      </c>
      <c r="G228" s="1">
        <v>39829</v>
      </c>
      <c r="H228" t="s">
        <v>949</v>
      </c>
      <c r="I228" t="s">
        <v>1261</v>
      </c>
      <c r="J228" t="s">
        <v>1042</v>
      </c>
      <c r="K228">
        <v>220</v>
      </c>
      <c r="L228" t="s">
        <v>1043</v>
      </c>
      <c r="M228" t="s">
        <v>1044</v>
      </c>
      <c r="N228" s="1">
        <v>43008</v>
      </c>
      <c r="W228" s="1"/>
    </row>
    <row r="229" spans="1:24">
      <c r="A229" t="b">
        <f>_xlfn.IFNA(VLOOKUP(D229,Spelerslijst!A:B,1,FALSE),FALSE)</f>
        <v>0</v>
      </c>
      <c r="B229" t="str">
        <f>_xlfn.IFNA(VLOOKUP(D229,Spelerslijst!K:L,1,FALSE),FALSE)</f>
        <v>NMD51K6</v>
      </c>
      <c r="C229" t="str">
        <f t="shared" si="3"/>
        <v/>
      </c>
      <c r="D229" t="s">
        <v>325</v>
      </c>
      <c r="E229" t="s">
        <v>326</v>
      </c>
      <c r="F229" t="s">
        <v>327</v>
      </c>
      <c r="G229" s="1">
        <v>40446</v>
      </c>
      <c r="H229" t="s">
        <v>949</v>
      </c>
      <c r="I229" t="s">
        <v>1261</v>
      </c>
      <c r="J229" t="s">
        <v>1042</v>
      </c>
      <c r="K229">
        <v>220</v>
      </c>
      <c r="L229" t="s">
        <v>1043</v>
      </c>
      <c r="M229" t="s">
        <v>1044</v>
      </c>
      <c r="N229" s="1">
        <v>43421</v>
      </c>
      <c r="W229" s="1"/>
    </row>
    <row r="230" spans="1:24">
      <c r="A230" t="b">
        <f>_xlfn.IFNA(VLOOKUP(D230,Spelerslijst!A:B,1,FALSE),FALSE)</f>
        <v>0</v>
      </c>
      <c r="B230" t="str">
        <f>_xlfn.IFNA(VLOOKUP(D230,Spelerslijst!K:L,1,FALSE),FALSE)</f>
        <v>NKX56P2</v>
      </c>
      <c r="C230" t="str">
        <f t="shared" si="3"/>
        <v/>
      </c>
      <c r="D230" t="s">
        <v>771</v>
      </c>
      <c r="E230" t="s">
        <v>772</v>
      </c>
      <c r="F230" t="s">
        <v>773</v>
      </c>
      <c r="G230" s="1">
        <v>36465</v>
      </c>
      <c r="H230" t="s">
        <v>949</v>
      </c>
      <c r="I230" t="s">
        <v>1262</v>
      </c>
      <c r="J230" t="s">
        <v>1042</v>
      </c>
      <c r="K230">
        <v>200</v>
      </c>
      <c r="L230" t="s">
        <v>1043</v>
      </c>
      <c r="M230" t="s">
        <v>1044</v>
      </c>
      <c r="N230" s="1">
        <v>40787</v>
      </c>
      <c r="W230" s="1"/>
    </row>
    <row r="231" spans="1:24">
      <c r="A231" t="str">
        <f>_xlfn.IFNA(VLOOKUP(D231,Spelerslijst!A:B,1,FALSE),FALSE)</f>
        <v>NLX00H0</v>
      </c>
      <c r="B231" t="b">
        <f>_xlfn.IFNA(VLOOKUP(D231,Spelerslijst!K:L,1,FALSE),FALSE)</f>
        <v>0</v>
      </c>
      <c r="C231" t="str">
        <f t="shared" si="3"/>
        <v/>
      </c>
      <c r="D231" t="s">
        <v>238</v>
      </c>
      <c r="E231" t="s">
        <v>239</v>
      </c>
      <c r="F231" t="s">
        <v>240</v>
      </c>
      <c r="G231" s="1">
        <v>40169</v>
      </c>
      <c r="H231" t="s">
        <v>1046</v>
      </c>
      <c r="I231" t="s">
        <v>1263</v>
      </c>
      <c r="J231" t="s">
        <v>1042</v>
      </c>
      <c r="K231">
        <v>220</v>
      </c>
      <c r="L231" t="s">
        <v>1043</v>
      </c>
      <c r="M231" t="s">
        <v>1044</v>
      </c>
      <c r="N231" s="1">
        <v>42877</v>
      </c>
      <c r="W231" s="1"/>
    </row>
    <row r="232" spans="1:24">
      <c r="A232" t="b">
        <f>_xlfn.IFNA(VLOOKUP(D232,Spelerslijst!A:B,1,FALSE),FALSE)</f>
        <v>0</v>
      </c>
      <c r="B232" t="str">
        <f>_xlfn.IFNA(VLOOKUP(D232,Spelerslijst!K:L,1,FALSE),FALSE)</f>
        <v>NMJ72N6</v>
      </c>
      <c r="C232" t="str">
        <f t="shared" si="3"/>
        <v/>
      </c>
      <c r="D232" t="s">
        <v>247</v>
      </c>
      <c r="E232" t="s">
        <v>248</v>
      </c>
      <c r="F232" t="s">
        <v>83</v>
      </c>
      <c r="G232" s="1">
        <v>40169</v>
      </c>
      <c r="H232" t="s">
        <v>949</v>
      </c>
      <c r="I232" t="s">
        <v>1263</v>
      </c>
      <c r="J232" t="s">
        <v>1042</v>
      </c>
      <c r="K232">
        <v>220</v>
      </c>
      <c r="L232" t="s">
        <v>1043</v>
      </c>
      <c r="M232" t="s">
        <v>1044</v>
      </c>
      <c r="N232" s="1">
        <v>43977</v>
      </c>
      <c r="W232" s="1"/>
    </row>
    <row r="233" spans="1:24">
      <c r="A233" t="b">
        <f>_xlfn.IFNA(VLOOKUP(D233,Spelerslijst!A:B,1,FALSE),FALSE)</f>
        <v>0</v>
      </c>
      <c r="B233" t="str">
        <f>_xlfn.IFNA(VLOOKUP(D233,Spelerslijst!K:L,1,FALSE),FALSE)</f>
        <v>NMJ72P0</v>
      </c>
      <c r="C233" t="str">
        <f t="shared" si="3"/>
        <v/>
      </c>
      <c r="D233" t="s">
        <v>450</v>
      </c>
      <c r="E233" t="s">
        <v>451</v>
      </c>
      <c r="F233" t="s">
        <v>452</v>
      </c>
      <c r="G233" s="1">
        <v>41299</v>
      </c>
      <c r="H233" t="s">
        <v>949</v>
      </c>
      <c r="I233" t="s">
        <v>1263</v>
      </c>
      <c r="J233" t="s">
        <v>1042</v>
      </c>
      <c r="K233">
        <v>230</v>
      </c>
      <c r="L233" t="s">
        <v>1043</v>
      </c>
      <c r="M233" t="s">
        <v>1044</v>
      </c>
      <c r="N233" s="1">
        <v>43977</v>
      </c>
      <c r="W233" s="1"/>
    </row>
    <row r="234" spans="1:24">
      <c r="A234" t="b">
        <f>_xlfn.IFNA(VLOOKUP(D234,Spelerslijst!A:B,1,FALSE),FALSE)</f>
        <v>0</v>
      </c>
      <c r="B234" t="str">
        <f>_xlfn.IFNA(VLOOKUP(D234,Spelerslijst!K:L,1,FALSE),FALSE)</f>
        <v>NMJ72R4</v>
      </c>
      <c r="C234" t="str">
        <f t="shared" si="3"/>
        <v/>
      </c>
      <c r="D234" t="s">
        <v>438</v>
      </c>
      <c r="E234" t="s">
        <v>439</v>
      </c>
      <c r="F234" t="s">
        <v>440</v>
      </c>
      <c r="G234" s="1">
        <v>41299</v>
      </c>
      <c r="H234" t="s">
        <v>949</v>
      </c>
      <c r="I234" t="s">
        <v>1263</v>
      </c>
      <c r="J234" t="s">
        <v>1042</v>
      </c>
      <c r="K234">
        <v>230</v>
      </c>
      <c r="L234" t="s">
        <v>1043</v>
      </c>
      <c r="M234" t="s">
        <v>1044</v>
      </c>
      <c r="N234" s="1">
        <v>43977</v>
      </c>
      <c r="W234" s="1"/>
    </row>
    <row r="235" spans="1:24">
      <c r="A235" t="str">
        <f>_xlfn.IFNA(VLOOKUP(D235,Spelerslijst!A:B,1,FALSE),FALSE)</f>
        <v>NMK31G5</v>
      </c>
      <c r="B235" t="b">
        <f>_xlfn.IFNA(VLOOKUP(D235,Spelerslijst!K:L,1,FALSE),FALSE)</f>
        <v>0</v>
      </c>
      <c r="C235" t="str">
        <f t="shared" si="3"/>
        <v/>
      </c>
      <c r="D235" t="s">
        <v>494</v>
      </c>
      <c r="E235" t="s">
        <v>495</v>
      </c>
      <c r="F235" t="s">
        <v>330</v>
      </c>
      <c r="G235" s="1">
        <v>41159</v>
      </c>
      <c r="H235" t="s">
        <v>1046</v>
      </c>
      <c r="I235" t="s">
        <v>1264</v>
      </c>
      <c r="J235" t="s">
        <v>1042</v>
      </c>
      <c r="K235">
        <v>230</v>
      </c>
      <c r="L235" t="s">
        <v>1043</v>
      </c>
      <c r="M235" t="s">
        <v>1044</v>
      </c>
      <c r="N235" s="1">
        <v>44056</v>
      </c>
      <c r="W235" s="1"/>
    </row>
    <row r="236" spans="1:24">
      <c r="A236" t="b">
        <f>_xlfn.IFNA(VLOOKUP(D236,Spelerslijst!A:B,1,FALSE),FALSE)</f>
        <v>0</v>
      </c>
      <c r="B236" t="str">
        <f>_xlfn.IFNA(VLOOKUP(D236,Spelerslijst!K:L,1,FALSE),FALSE)</f>
        <v>NJF34K6</v>
      </c>
      <c r="C236" t="str">
        <f t="shared" si="3"/>
        <v/>
      </c>
      <c r="D236" t="s">
        <v>235</v>
      </c>
      <c r="E236" t="s">
        <v>236</v>
      </c>
      <c r="F236" t="s">
        <v>237</v>
      </c>
      <c r="G236" s="1">
        <v>35092</v>
      </c>
      <c r="H236" t="s">
        <v>949</v>
      </c>
      <c r="I236" t="s">
        <v>1265</v>
      </c>
      <c r="J236" t="s">
        <v>1042</v>
      </c>
      <c r="K236">
        <v>202</v>
      </c>
      <c r="L236" t="s">
        <v>1043</v>
      </c>
      <c r="M236" t="s">
        <v>1067</v>
      </c>
      <c r="N236" s="1">
        <v>41883</v>
      </c>
      <c r="W236" s="1"/>
    </row>
    <row r="237" spans="1:24">
      <c r="A237" t="str">
        <f>_xlfn.IFNA(VLOOKUP(D237,Spelerslijst!A:B,1,FALSE),FALSE)</f>
        <v>NFW41S7</v>
      </c>
      <c r="B237" t="b">
        <f>_xlfn.IFNA(VLOOKUP(D237,Spelerslijst!K:L,1,FALSE),FALSE)</f>
        <v>0</v>
      </c>
      <c r="C237" t="str">
        <f t="shared" si="3"/>
        <v/>
      </c>
      <c r="D237" t="s">
        <v>780</v>
      </c>
      <c r="E237" t="s">
        <v>781</v>
      </c>
      <c r="F237" t="s">
        <v>782</v>
      </c>
      <c r="G237" s="1">
        <v>29885</v>
      </c>
      <c r="H237" t="s">
        <v>1046</v>
      </c>
      <c r="I237" t="s">
        <v>1266</v>
      </c>
      <c r="J237" t="s">
        <v>1042</v>
      </c>
      <c r="K237">
        <v>202</v>
      </c>
      <c r="L237" t="s">
        <v>1043</v>
      </c>
      <c r="M237" t="s">
        <v>1067</v>
      </c>
      <c r="N237" s="1">
        <v>32021</v>
      </c>
      <c r="W237" s="1"/>
    </row>
    <row r="238" spans="1:24">
      <c r="A238" t="b">
        <f>_xlfn.IFNA(VLOOKUP(D238,Spelerslijst!A:B,1,FALSE),FALSE)</f>
        <v>0</v>
      </c>
      <c r="B238" t="str">
        <f>_xlfn.IFNA(VLOOKUP(D238,Spelerslijst!K:L,1,FALSE),FALSE)</f>
        <v>NLL37S1</v>
      </c>
      <c r="C238" t="str">
        <f t="shared" si="3"/>
        <v/>
      </c>
      <c r="D238" t="s">
        <v>281</v>
      </c>
      <c r="E238" t="s">
        <v>282</v>
      </c>
      <c r="F238" t="s">
        <v>126</v>
      </c>
      <c r="G238" s="1">
        <v>39744</v>
      </c>
      <c r="H238" t="s">
        <v>949</v>
      </c>
      <c r="I238" t="s">
        <v>1267</v>
      </c>
      <c r="J238" t="s">
        <v>1042</v>
      </c>
      <c r="K238">
        <v>220</v>
      </c>
      <c r="L238" t="s">
        <v>1043</v>
      </c>
      <c r="M238" t="s">
        <v>1044</v>
      </c>
      <c r="N238" s="1">
        <v>41883</v>
      </c>
      <c r="W238" s="1"/>
    </row>
    <row r="239" spans="1:24">
      <c r="A239" t="str">
        <f>_xlfn.IFNA(VLOOKUP(D239,Spelerslijst!A:B,1,FALSE),FALSE)</f>
        <v>NLS34M7</v>
      </c>
      <c r="B239" t="b">
        <f>_xlfn.IFNA(VLOOKUP(D239,Spelerslijst!K:L,1,FALSE),FALSE)</f>
        <v>0</v>
      </c>
      <c r="C239" t="str">
        <f t="shared" si="3"/>
        <v/>
      </c>
      <c r="D239" t="s">
        <v>334</v>
      </c>
      <c r="E239" t="s">
        <v>335</v>
      </c>
      <c r="F239" t="s">
        <v>336</v>
      </c>
      <c r="G239" s="1">
        <v>40786</v>
      </c>
      <c r="H239" t="s">
        <v>1046</v>
      </c>
      <c r="I239" t="s">
        <v>1266</v>
      </c>
      <c r="J239" t="s">
        <v>1042</v>
      </c>
      <c r="K239">
        <v>230</v>
      </c>
      <c r="L239" t="s">
        <v>1043</v>
      </c>
      <c r="M239" t="s">
        <v>1044</v>
      </c>
      <c r="N239" s="1">
        <v>42461</v>
      </c>
      <c r="W239" s="1"/>
    </row>
    <row r="240" spans="1:24">
      <c r="A240" t="b">
        <f>_xlfn.IFNA(VLOOKUP(D240,Spelerslijst!A:B,1,FALSE),FALSE)</f>
        <v>0</v>
      </c>
      <c r="B240" t="str">
        <f>_xlfn.IFNA(VLOOKUP(D240,Spelerslijst!K:L,1,FALSE),FALSE)</f>
        <v>NML47R6</v>
      </c>
      <c r="C240" t="str">
        <f t="shared" si="3"/>
        <v/>
      </c>
      <c r="D240" t="s">
        <v>365</v>
      </c>
      <c r="E240" t="s">
        <v>366</v>
      </c>
      <c r="F240" t="s">
        <v>265</v>
      </c>
      <c r="G240" s="1">
        <v>40227</v>
      </c>
      <c r="H240" t="s">
        <v>949</v>
      </c>
      <c r="I240" t="s">
        <v>1268</v>
      </c>
      <c r="J240" t="s">
        <v>1042</v>
      </c>
      <c r="K240">
        <v>220</v>
      </c>
      <c r="L240" t="s">
        <v>1043</v>
      </c>
      <c r="M240" t="s">
        <v>1044</v>
      </c>
      <c r="N240" s="1">
        <v>44146</v>
      </c>
      <c r="W240" s="1"/>
    </row>
    <row r="241" spans="1:23">
      <c r="A241" t="b">
        <f>_xlfn.IFNA(VLOOKUP(D241,Spelerslijst!A:B,1,FALSE),FALSE)</f>
        <v>0</v>
      </c>
      <c r="B241" t="str">
        <f>_xlfn.IFNA(VLOOKUP(D241,Spelerslijst!K:L,1,FALSE),FALSE)</f>
        <v>NMT18Q5</v>
      </c>
      <c r="C241" t="str">
        <f t="shared" si="3"/>
        <v/>
      </c>
      <c r="D241" t="s">
        <v>428</v>
      </c>
      <c r="E241" t="s">
        <v>429</v>
      </c>
      <c r="F241" t="s">
        <v>149</v>
      </c>
      <c r="G241" s="1">
        <v>40848</v>
      </c>
      <c r="H241" t="s">
        <v>949</v>
      </c>
      <c r="I241" t="s">
        <v>1269</v>
      </c>
      <c r="J241" t="s">
        <v>1042</v>
      </c>
      <c r="K241">
        <v>230</v>
      </c>
      <c r="L241" t="s">
        <v>1043</v>
      </c>
      <c r="M241" t="s">
        <v>1044</v>
      </c>
      <c r="N241" s="1">
        <v>44902</v>
      </c>
      <c r="W241" s="1"/>
    </row>
    <row r="242" spans="1:23">
      <c r="A242" t="b">
        <f>_xlfn.IFNA(VLOOKUP(D242,Spelerslijst!A:B,1,FALSE),FALSE)</f>
        <v>0</v>
      </c>
      <c r="B242" t="str">
        <f>_xlfn.IFNA(VLOOKUP(D242,Spelerslijst!K:L,1,FALSE),FALSE)</f>
        <v>NFW28T5</v>
      </c>
      <c r="C242" t="str">
        <f t="shared" si="3"/>
        <v/>
      </c>
      <c r="D242" t="s">
        <v>182</v>
      </c>
      <c r="E242" t="s">
        <v>183</v>
      </c>
      <c r="F242" t="s">
        <v>184</v>
      </c>
      <c r="G242" s="1">
        <v>31083</v>
      </c>
      <c r="H242" t="s">
        <v>949</v>
      </c>
      <c r="I242" t="s">
        <v>1270</v>
      </c>
      <c r="J242" t="s">
        <v>1042</v>
      </c>
      <c r="K242">
        <v>202</v>
      </c>
      <c r="L242" t="s">
        <v>1043</v>
      </c>
      <c r="M242" t="s">
        <v>1067</v>
      </c>
      <c r="N242" s="1">
        <v>33848</v>
      </c>
      <c r="W242" s="1"/>
    </row>
    <row r="243" spans="1:23">
      <c r="A243" t="str">
        <f>_xlfn.IFNA(VLOOKUP(D243,Spelerslijst!A:B,1,FALSE),FALSE)</f>
        <v>NKT65Z0</v>
      </c>
      <c r="B243" t="b">
        <f>_xlfn.IFNA(VLOOKUP(D243,Spelerslijst!K:L,1,FALSE),FALSE)</f>
        <v>0</v>
      </c>
      <c r="C243" t="str">
        <f t="shared" si="3"/>
        <v/>
      </c>
      <c r="D243" t="s">
        <v>306</v>
      </c>
      <c r="E243" t="s">
        <v>307</v>
      </c>
      <c r="F243" t="s">
        <v>146</v>
      </c>
      <c r="G243" s="1">
        <v>40446</v>
      </c>
      <c r="H243" t="s">
        <v>1046</v>
      </c>
      <c r="I243" t="s">
        <v>1271</v>
      </c>
      <c r="J243" t="s">
        <v>1042</v>
      </c>
      <c r="K243">
        <v>220</v>
      </c>
      <c r="L243" t="s">
        <v>1043</v>
      </c>
      <c r="M243" t="s">
        <v>1044</v>
      </c>
      <c r="N243" s="1">
        <v>40452</v>
      </c>
      <c r="W243" s="1"/>
    </row>
    <row r="244" spans="1:23">
      <c r="A244" t="str">
        <f>_xlfn.IFNA(VLOOKUP(D244,Spelerslijst!A:B,1,FALSE),FALSE)</f>
        <v>NMD71P1</v>
      </c>
      <c r="B244" t="b">
        <f>_xlfn.IFNA(VLOOKUP(D244,Spelerslijst!K:L,1,FALSE),FALSE)</f>
        <v>0</v>
      </c>
      <c r="C244" t="str">
        <f t="shared" si="3"/>
        <v/>
      </c>
      <c r="D244" t="s">
        <v>453</v>
      </c>
      <c r="E244" t="s">
        <v>454</v>
      </c>
      <c r="F244" t="s">
        <v>455</v>
      </c>
      <c r="G244" s="1">
        <v>41407</v>
      </c>
      <c r="H244" t="s">
        <v>1046</v>
      </c>
      <c r="I244" t="s">
        <v>1271</v>
      </c>
      <c r="J244" t="s">
        <v>1042</v>
      </c>
      <c r="K244">
        <v>230</v>
      </c>
      <c r="L244" t="s">
        <v>1043</v>
      </c>
      <c r="M244" t="s">
        <v>1044</v>
      </c>
      <c r="N244" s="1">
        <v>43438</v>
      </c>
      <c r="W244" s="1"/>
    </row>
    <row r="245" spans="1:23">
      <c r="A245" t="str">
        <f>_xlfn.IFNA(VLOOKUP(D245,Spelerslijst!A:B,1,FALSE),FALSE)</f>
        <v>NML53R9</v>
      </c>
      <c r="B245" t="b">
        <f>_xlfn.IFNA(VLOOKUP(D245,Spelerslijst!K:L,1,FALSE),FALSE)</f>
        <v>0</v>
      </c>
      <c r="C245" t="str">
        <f t="shared" si="3"/>
        <v/>
      </c>
      <c r="D245" t="s">
        <v>573</v>
      </c>
      <c r="E245" t="s">
        <v>574</v>
      </c>
      <c r="F245" t="s">
        <v>575</v>
      </c>
      <c r="G245" s="1">
        <v>42096</v>
      </c>
      <c r="H245" t="s">
        <v>1046</v>
      </c>
      <c r="I245" t="s">
        <v>1271</v>
      </c>
      <c r="J245" t="s">
        <v>1042</v>
      </c>
      <c r="K245">
        <v>230</v>
      </c>
      <c r="L245" t="s">
        <v>1043</v>
      </c>
      <c r="M245" t="s">
        <v>1044</v>
      </c>
      <c r="N245" s="1">
        <v>44155</v>
      </c>
      <c r="W245" s="1"/>
    </row>
    <row r="246" spans="1:23">
      <c r="A246" t="str">
        <f>_xlfn.IFNA(VLOOKUP(D246,Spelerslijst!A:B,1,FALSE),FALSE)</f>
        <v>NJQ72K1</v>
      </c>
      <c r="B246" t="b">
        <f>_xlfn.IFNA(VLOOKUP(D246,Spelerslijst!K:L,1,FALSE),FALSE)</f>
        <v>0</v>
      </c>
      <c r="C246" t="str">
        <f t="shared" si="3"/>
        <v/>
      </c>
      <c r="D246" t="s">
        <v>727</v>
      </c>
      <c r="E246" t="s">
        <v>728</v>
      </c>
      <c r="F246" t="s">
        <v>280</v>
      </c>
      <c r="G246" s="1">
        <v>36111</v>
      </c>
      <c r="H246" t="s">
        <v>1046</v>
      </c>
      <c r="I246" t="s">
        <v>1272</v>
      </c>
      <c r="J246" t="s">
        <v>1042</v>
      </c>
      <c r="K246">
        <v>200</v>
      </c>
      <c r="L246" t="s">
        <v>1043</v>
      </c>
      <c r="M246" t="s">
        <v>1044</v>
      </c>
      <c r="N246" s="1">
        <v>38623</v>
      </c>
      <c r="W246" s="1"/>
    </row>
    <row r="247" spans="1:23">
      <c r="A247" t="b">
        <f>_xlfn.IFNA(VLOOKUP(D247,Spelerslijst!A:B,1,FALSE),FALSE)</f>
        <v>0</v>
      </c>
      <c r="B247" t="str">
        <f>_xlfn.IFNA(VLOOKUP(D247,Spelerslijst!K:L,1,FALSE),FALSE)</f>
        <v>NLS75Y4</v>
      </c>
      <c r="C247" t="str">
        <f t="shared" si="3"/>
        <v/>
      </c>
      <c r="D247" t="s">
        <v>241</v>
      </c>
      <c r="E247" t="s">
        <v>242</v>
      </c>
      <c r="F247" t="s">
        <v>243</v>
      </c>
      <c r="G247" s="1">
        <v>39753</v>
      </c>
      <c r="H247" t="s">
        <v>949</v>
      </c>
      <c r="I247" t="s">
        <v>1273</v>
      </c>
      <c r="J247" t="s">
        <v>1042</v>
      </c>
      <c r="K247">
        <v>220</v>
      </c>
      <c r="L247" t="s">
        <v>1043</v>
      </c>
      <c r="M247" t="s">
        <v>1044</v>
      </c>
      <c r="N247" s="1">
        <v>42516</v>
      </c>
      <c r="W247" s="1"/>
    </row>
    <row r="248" spans="1:23">
      <c r="A248" t="b">
        <f>_xlfn.IFNA(VLOOKUP(D248,Spelerslijst!A:B,1,FALSE),FALSE)</f>
        <v>0</v>
      </c>
      <c r="B248" t="str">
        <f>_xlfn.IFNA(VLOOKUP(D248,Spelerslijst!K:L,1,FALSE),FALSE)</f>
        <v>NLV80P4</v>
      </c>
      <c r="C248" t="str">
        <f t="shared" si="3"/>
        <v/>
      </c>
      <c r="D248" t="s">
        <v>353</v>
      </c>
      <c r="E248" t="s">
        <v>1274</v>
      </c>
      <c r="F248" t="s">
        <v>355</v>
      </c>
      <c r="G248" s="1">
        <v>40806</v>
      </c>
      <c r="H248" t="s">
        <v>949</v>
      </c>
      <c r="I248" t="s">
        <v>1273</v>
      </c>
      <c r="J248" t="s">
        <v>1042</v>
      </c>
      <c r="K248">
        <v>230</v>
      </c>
      <c r="L248" t="s">
        <v>1043</v>
      </c>
      <c r="M248" t="s">
        <v>1044</v>
      </c>
      <c r="N248" s="1">
        <v>42676</v>
      </c>
      <c r="W248" s="1"/>
    </row>
    <row r="249" spans="1:23">
      <c r="A249" t="b">
        <f>_xlfn.IFNA(VLOOKUP(D249,Spelerslijst!A:B,1,FALSE),FALSE)</f>
        <v>0</v>
      </c>
      <c r="B249" t="str">
        <f>_xlfn.IFNA(VLOOKUP(D249,Spelerslijst!K:L,1,FALSE),FALSE)</f>
        <v>NMP90X6</v>
      </c>
      <c r="C249" t="str">
        <f t="shared" si="3"/>
        <v/>
      </c>
      <c r="D249" t="s">
        <v>394</v>
      </c>
      <c r="E249" t="s">
        <v>395</v>
      </c>
      <c r="F249" t="s">
        <v>396</v>
      </c>
      <c r="G249" s="1">
        <v>40741</v>
      </c>
      <c r="H249" t="s">
        <v>949</v>
      </c>
      <c r="I249" t="s">
        <v>1275</v>
      </c>
      <c r="J249" t="s">
        <v>1042</v>
      </c>
      <c r="K249">
        <v>230</v>
      </c>
      <c r="L249" t="s">
        <v>1043</v>
      </c>
      <c r="M249" t="s">
        <v>1044</v>
      </c>
      <c r="N249" s="1">
        <v>44533</v>
      </c>
      <c r="W249" s="1"/>
    </row>
    <row r="250" spans="1:23">
      <c r="A250" t="b">
        <f>_xlfn.IFNA(VLOOKUP(D250,Spelerslijst!A:B,1,FALSE),FALSE)</f>
        <v>0</v>
      </c>
      <c r="B250" t="str">
        <f>_xlfn.IFNA(VLOOKUP(D250,Spelerslijst!K:L,1,FALSE),FALSE)</f>
        <v>NGW00S1</v>
      </c>
      <c r="C250" t="str">
        <f t="shared" si="3"/>
        <v/>
      </c>
      <c r="D250" t="s">
        <v>677</v>
      </c>
      <c r="E250" t="s">
        <v>678</v>
      </c>
      <c r="F250" t="s">
        <v>679</v>
      </c>
      <c r="G250" s="1">
        <v>33100</v>
      </c>
      <c r="H250" t="s">
        <v>949</v>
      </c>
      <c r="I250" t="s">
        <v>1276</v>
      </c>
      <c r="J250" t="s">
        <v>1042</v>
      </c>
      <c r="K250">
        <v>200</v>
      </c>
      <c r="L250" t="s">
        <v>1043</v>
      </c>
      <c r="M250" t="s">
        <v>1044</v>
      </c>
      <c r="N250" s="1">
        <v>43399</v>
      </c>
      <c r="W250" s="1"/>
    </row>
    <row r="251" spans="1:23">
      <c r="A251" t="str">
        <f>_xlfn.IFNA(VLOOKUP(D251,Spelerslijst!A:B,1,FALSE),FALSE)</f>
        <v>NKX36X8</v>
      </c>
      <c r="B251" t="b">
        <f>_xlfn.IFNA(VLOOKUP(D251,Spelerslijst!K:L,1,FALSE),FALSE)</f>
        <v>0</v>
      </c>
      <c r="C251" t="str">
        <f t="shared" si="3"/>
        <v/>
      </c>
      <c r="D251" t="s">
        <v>833</v>
      </c>
      <c r="E251" t="s">
        <v>834</v>
      </c>
      <c r="F251" t="s">
        <v>835</v>
      </c>
      <c r="G251" s="1">
        <v>38163</v>
      </c>
      <c r="H251" t="s">
        <v>1046</v>
      </c>
      <c r="I251" t="s">
        <v>1277</v>
      </c>
      <c r="J251" t="s">
        <v>1042</v>
      </c>
      <c r="K251">
        <v>210</v>
      </c>
      <c r="L251" t="s">
        <v>1043</v>
      </c>
      <c r="M251" t="s">
        <v>1044</v>
      </c>
      <c r="N251" s="1">
        <v>43836</v>
      </c>
      <c r="W251" s="1"/>
    </row>
    <row r="252" spans="1:23">
      <c r="A252" t="b">
        <f>_xlfn.IFNA(VLOOKUP(D252,Spelerslijst!A:B,1,FALSE),FALSE)</f>
        <v>0</v>
      </c>
      <c r="B252" t="str">
        <f>_xlfn.IFNA(VLOOKUP(D252,Spelerslijst!K:L,1,FALSE),FALSE)</f>
        <v>NMK12K6</v>
      </c>
      <c r="C252" t="str">
        <f t="shared" si="3"/>
        <v/>
      </c>
      <c r="D252" t="s">
        <v>370</v>
      </c>
      <c r="E252" t="s">
        <v>371</v>
      </c>
      <c r="F252" t="s">
        <v>372</v>
      </c>
      <c r="G252" s="1">
        <v>40790</v>
      </c>
      <c r="H252" t="s">
        <v>949</v>
      </c>
      <c r="I252" t="s">
        <v>1278</v>
      </c>
      <c r="J252" t="s">
        <v>1042</v>
      </c>
      <c r="K252">
        <v>230</v>
      </c>
      <c r="L252" t="s">
        <v>1043</v>
      </c>
      <c r="M252" t="s">
        <v>1044</v>
      </c>
      <c r="N252" s="1">
        <v>44020</v>
      </c>
      <c r="W252" s="1"/>
    </row>
    <row r="253" spans="1:23">
      <c r="A253" t="str">
        <f>_xlfn.IFNA(VLOOKUP(D253,Spelerslijst!A:B,1,FALSE),FALSE)</f>
        <v>NLB71D8</v>
      </c>
      <c r="B253" t="b">
        <f>_xlfn.IFNA(VLOOKUP(D253,Spelerslijst!K:L,1,FALSE),FALSE)</f>
        <v>0</v>
      </c>
      <c r="C253" t="str">
        <f t="shared" si="3"/>
        <v/>
      </c>
      <c r="D253" t="s">
        <v>121</v>
      </c>
      <c r="E253" t="s">
        <v>122</v>
      </c>
      <c r="F253" t="s">
        <v>123</v>
      </c>
      <c r="G253" s="1">
        <v>38635</v>
      </c>
      <c r="H253" t="s">
        <v>1046</v>
      </c>
      <c r="I253" t="s">
        <v>1279</v>
      </c>
      <c r="J253" t="s">
        <v>1042</v>
      </c>
      <c r="K253">
        <v>210</v>
      </c>
      <c r="L253" t="s">
        <v>1043</v>
      </c>
      <c r="M253" t="s">
        <v>1044</v>
      </c>
      <c r="N253" s="1">
        <v>41153</v>
      </c>
      <c r="W253" s="1"/>
    </row>
    <row r="254" spans="1:23">
      <c r="A254" t="b">
        <f>_xlfn.IFNA(VLOOKUP(D254,Spelerslijst!A:B,1,FALSE),FALSE)</f>
        <v>0</v>
      </c>
      <c r="B254" t="str">
        <f>_xlfn.IFNA(VLOOKUP(D254,Spelerslijst!K:L,1,FALSE),FALSE)</f>
        <v>NMJ10P4</v>
      </c>
      <c r="C254" t="str">
        <f t="shared" si="3"/>
        <v/>
      </c>
      <c r="D254" t="s">
        <v>286</v>
      </c>
      <c r="E254" t="s">
        <v>287</v>
      </c>
      <c r="F254" t="s">
        <v>288</v>
      </c>
      <c r="G254" s="1">
        <v>39676</v>
      </c>
      <c r="H254" t="s">
        <v>949</v>
      </c>
      <c r="I254" t="s">
        <v>1280</v>
      </c>
      <c r="J254" t="s">
        <v>1042</v>
      </c>
      <c r="K254">
        <v>220</v>
      </c>
      <c r="L254" t="s">
        <v>1043</v>
      </c>
      <c r="M254" t="s">
        <v>1044</v>
      </c>
      <c r="N254" s="1">
        <v>43827</v>
      </c>
      <c r="W254" s="1"/>
    </row>
    <row r="255" spans="1:23">
      <c r="A255" t="str">
        <f>_xlfn.IFNA(VLOOKUP(D255,Spelerslijst!A:B,1,FALSE),FALSE)</f>
        <v>NGT43N2</v>
      </c>
      <c r="B255" t="b">
        <f>_xlfn.IFNA(VLOOKUP(D255,Spelerslijst!K:L,1,FALSE),FALSE)</f>
        <v>0</v>
      </c>
      <c r="C255" t="str">
        <f t="shared" si="3"/>
        <v/>
      </c>
      <c r="D255" t="s">
        <v>179</v>
      </c>
      <c r="E255" t="s">
        <v>180</v>
      </c>
      <c r="F255" t="s">
        <v>181</v>
      </c>
      <c r="G255" s="1">
        <v>33146</v>
      </c>
      <c r="H255" t="s">
        <v>1046</v>
      </c>
      <c r="I255" t="s">
        <v>1281</v>
      </c>
      <c r="J255" t="s">
        <v>1042</v>
      </c>
      <c r="K255">
        <v>202</v>
      </c>
      <c r="L255" t="s">
        <v>1043</v>
      </c>
      <c r="M255" t="s">
        <v>1067</v>
      </c>
      <c r="N255" s="1">
        <v>37345</v>
      </c>
      <c r="W255" s="1"/>
    </row>
    <row r="256" spans="1:23">
      <c r="A256" t="str">
        <f>_xlfn.IFNA(VLOOKUP(D256,Spelerslijst!A:B,1,FALSE),FALSE)</f>
        <v>NGT42S4</v>
      </c>
      <c r="B256" t="b">
        <f>_xlfn.IFNA(VLOOKUP(D256,Spelerslijst!K:L,1,FALSE),FALSE)</f>
        <v>0</v>
      </c>
      <c r="C256" t="str">
        <f t="shared" si="3"/>
        <v/>
      </c>
      <c r="D256" t="s">
        <v>665</v>
      </c>
      <c r="E256" t="s">
        <v>666</v>
      </c>
      <c r="F256" t="s">
        <v>667</v>
      </c>
      <c r="G256" s="1">
        <v>33086</v>
      </c>
      <c r="H256" t="s">
        <v>1046</v>
      </c>
      <c r="I256" t="s">
        <v>1282</v>
      </c>
      <c r="J256" t="s">
        <v>1042</v>
      </c>
      <c r="K256">
        <v>203</v>
      </c>
      <c r="L256" t="s">
        <v>1043</v>
      </c>
      <c r="M256" t="s">
        <v>1061</v>
      </c>
      <c r="N256" s="1">
        <v>35643</v>
      </c>
      <c r="W256" s="1"/>
    </row>
    <row r="257" spans="1:24">
      <c r="A257" t="b">
        <f>_xlfn.IFNA(VLOOKUP(D257,Spelerslijst!A:B,1,FALSE),FALSE)</f>
        <v>0</v>
      </c>
      <c r="B257" t="str">
        <f>_xlfn.IFNA(VLOOKUP(D257,Spelerslijst!K:L,1,FALSE),FALSE)</f>
        <v>NFW14Y3</v>
      </c>
      <c r="C257" t="str">
        <f t="shared" si="3"/>
        <v/>
      </c>
      <c r="D257" t="s">
        <v>830</v>
      </c>
      <c r="E257" t="s">
        <v>831</v>
      </c>
      <c r="F257" t="s">
        <v>832</v>
      </c>
      <c r="G257" s="1">
        <v>25273</v>
      </c>
      <c r="H257" t="s">
        <v>949</v>
      </c>
      <c r="I257" t="s">
        <v>1283</v>
      </c>
      <c r="J257" t="s">
        <v>1042</v>
      </c>
      <c r="K257">
        <v>202</v>
      </c>
      <c r="L257" t="s">
        <v>1043</v>
      </c>
      <c r="M257" t="s">
        <v>1058</v>
      </c>
      <c r="N257" s="1">
        <v>28430</v>
      </c>
      <c r="W257" s="1"/>
    </row>
    <row r="258" spans="1:24">
      <c r="A258" t="b">
        <f>_xlfn.IFNA(VLOOKUP(D258,Spelerslijst!A:B,1,FALSE),FALSE)</f>
        <v>0</v>
      </c>
      <c r="B258" t="str">
        <f>_xlfn.IFNA(VLOOKUP(D258,Spelerslijst!K:L,1,FALSE),FALSE)</f>
        <v>NFW42X5</v>
      </c>
      <c r="C258" t="str">
        <f t="shared" si="3"/>
        <v/>
      </c>
      <c r="D258" t="s">
        <v>581</v>
      </c>
      <c r="E258" t="s">
        <v>582</v>
      </c>
      <c r="F258" t="s">
        <v>583</v>
      </c>
      <c r="G258" s="1">
        <v>29718</v>
      </c>
      <c r="H258" t="s">
        <v>949</v>
      </c>
      <c r="I258" t="s">
        <v>1284</v>
      </c>
      <c r="J258" t="s">
        <v>1042</v>
      </c>
      <c r="K258">
        <v>203</v>
      </c>
      <c r="L258" t="s">
        <v>1043</v>
      </c>
      <c r="M258" t="s">
        <v>1061</v>
      </c>
      <c r="N258" s="1">
        <v>43692</v>
      </c>
      <c r="W258" s="1"/>
    </row>
    <row r="259" spans="1:24">
      <c r="A259" t="str">
        <f>_xlfn.IFNA(VLOOKUP(D259,Spelerslijst!A:B,1,FALSE),FALSE)</f>
        <v>NGD85T4</v>
      </c>
      <c r="B259" t="b">
        <f>_xlfn.IFNA(VLOOKUP(D259,Spelerslijst!K:L,1,FALSE),FALSE)</f>
        <v>0</v>
      </c>
      <c r="C259" t="str">
        <f t="shared" ref="C259:C282" si="4">IF(AND(A259=FALSE,B259=FALSE),"Onbekend","")</f>
        <v/>
      </c>
      <c r="D259" t="s">
        <v>656</v>
      </c>
      <c r="E259" t="s">
        <v>657</v>
      </c>
      <c r="F259" t="s">
        <v>658</v>
      </c>
      <c r="G259" s="1">
        <v>31792</v>
      </c>
      <c r="H259" t="s">
        <v>1046</v>
      </c>
      <c r="I259" t="s">
        <v>1285</v>
      </c>
      <c r="J259" t="s">
        <v>1042</v>
      </c>
      <c r="K259">
        <v>203</v>
      </c>
      <c r="L259" t="s">
        <v>1043</v>
      </c>
      <c r="M259" t="s">
        <v>1061</v>
      </c>
      <c r="N259" s="1">
        <v>44812</v>
      </c>
      <c r="W259" s="1"/>
    </row>
    <row r="260" spans="1:24">
      <c r="A260" t="b">
        <f>_xlfn.IFNA(VLOOKUP(D260,Spelerslijst!A:B,1,FALSE),FALSE)</f>
        <v>0</v>
      </c>
      <c r="B260" t="str">
        <f>_xlfn.IFNA(VLOOKUP(D260,Spelerslijst!K:L,1,FALSE),FALSE)</f>
        <v>NFV13V8</v>
      </c>
      <c r="C260" t="str">
        <f t="shared" si="4"/>
        <v/>
      </c>
      <c r="D260" t="s">
        <v>591</v>
      </c>
      <c r="E260" t="s">
        <v>592</v>
      </c>
      <c r="F260" t="s">
        <v>593</v>
      </c>
      <c r="G260" s="1">
        <v>30397</v>
      </c>
      <c r="H260" t="s">
        <v>949</v>
      </c>
      <c r="I260" t="s">
        <v>1286</v>
      </c>
      <c r="J260" t="s">
        <v>1042</v>
      </c>
      <c r="K260">
        <v>203</v>
      </c>
      <c r="L260" t="s">
        <v>1043</v>
      </c>
      <c r="M260" t="s">
        <v>1061</v>
      </c>
      <c r="N260" s="1">
        <v>42545</v>
      </c>
      <c r="W260" s="1"/>
    </row>
    <row r="261" spans="1:24">
      <c r="A261" t="str">
        <f>_xlfn.IFNA(VLOOKUP(D261,Spelerslijst!A:B,1,FALSE),FALSE)</f>
        <v>NMH24Z9</v>
      </c>
      <c r="B261" t="b">
        <f>_xlfn.IFNA(VLOOKUP(D261,Spelerslijst!K:L,1,FALSE),FALSE)</f>
        <v>0</v>
      </c>
      <c r="C261" t="str">
        <f t="shared" si="4"/>
        <v/>
      </c>
      <c r="D261" t="s">
        <v>804</v>
      </c>
      <c r="E261" t="s">
        <v>805</v>
      </c>
      <c r="F261" t="s">
        <v>806</v>
      </c>
      <c r="G261" s="1">
        <v>27135</v>
      </c>
      <c r="H261" t="s">
        <v>1046</v>
      </c>
      <c r="I261" t="s">
        <v>1287</v>
      </c>
      <c r="J261" t="s">
        <v>1042</v>
      </c>
      <c r="K261">
        <v>203</v>
      </c>
      <c r="L261" t="s">
        <v>1043</v>
      </c>
      <c r="M261" t="s">
        <v>1061</v>
      </c>
      <c r="N261" s="1">
        <v>43740</v>
      </c>
      <c r="W261" s="1"/>
    </row>
    <row r="262" spans="1:24">
      <c r="A262" t="b">
        <f>_xlfn.IFNA(VLOOKUP(D262,Spelerslijst!A:B,1,FALSE),FALSE)</f>
        <v>0</v>
      </c>
      <c r="B262" t="str">
        <f>_xlfn.IFNA(VLOOKUP(D262,Spelerslijst!K:L,1,FALSE),FALSE)</f>
        <v>NLR23F9</v>
      </c>
      <c r="C262" t="str">
        <f t="shared" si="4"/>
        <v/>
      </c>
      <c r="D262" t="s">
        <v>783</v>
      </c>
      <c r="E262" t="s">
        <v>784</v>
      </c>
      <c r="F262" t="s">
        <v>785</v>
      </c>
      <c r="G262" s="1">
        <v>37909</v>
      </c>
      <c r="H262" t="s">
        <v>949</v>
      </c>
      <c r="I262" t="s">
        <v>1288</v>
      </c>
      <c r="J262" t="s">
        <v>1042</v>
      </c>
      <c r="K262">
        <v>200</v>
      </c>
      <c r="L262" t="s">
        <v>1043</v>
      </c>
      <c r="M262" t="s">
        <v>1044</v>
      </c>
      <c r="N262" s="1">
        <v>42339</v>
      </c>
      <c r="W262" s="1"/>
    </row>
    <row r="263" spans="1:24">
      <c r="A263" t="str">
        <f>_xlfn.IFNA(VLOOKUP(D263,Spelerslijst!A:B,1,FALSE),FALSE)</f>
        <v>NLP78L9</v>
      </c>
      <c r="B263" t="b">
        <f>_xlfn.IFNA(VLOOKUP(D263,Spelerslijst!K:L,1,FALSE),FALSE)</f>
        <v>0</v>
      </c>
      <c r="C263" t="str">
        <f t="shared" si="4"/>
        <v/>
      </c>
      <c r="D263" t="s">
        <v>345</v>
      </c>
      <c r="E263" t="s">
        <v>346</v>
      </c>
      <c r="F263" t="s">
        <v>291</v>
      </c>
      <c r="G263" s="1">
        <v>40538</v>
      </c>
      <c r="H263" t="s">
        <v>1046</v>
      </c>
      <c r="I263" t="s">
        <v>1289</v>
      </c>
      <c r="J263" t="s">
        <v>1042</v>
      </c>
      <c r="K263">
        <v>220</v>
      </c>
      <c r="L263" t="s">
        <v>1043</v>
      </c>
      <c r="M263" t="s">
        <v>1044</v>
      </c>
      <c r="N263" s="1">
        <v>42248</v>
      </c>
      <c r="W263" s="1"/>
    </row>
    <row r="264" spans="1:24">
      <c r="A264" t="str">
        <f>_xlfn.IFNA(VLOOKUP(D264,Spelerslijst!A:B,1,FALSE),FALSE)</f>
        <v>NMC85Q4</v>
      </c>
      <c r="B264" t="b">
        <f>_xlfn.IFNA(VLOOKUP(D264,Spelerslijst!K:L,1,FALSE),FALSE)</f>
        <v>0</v>
      </c>
      <c r="C264" t="str">
        <f t="shared" si="4"/>
        <v/>
      </c>
      <c r="D264" t="s">
        <v>483</v>
      </c>
      <c r="E264" t="s">
        <v>484</v>
      </c>
      <c r="F264" t="s">
        <v>485</v>
      </c>
      <c r="G264" s="1">
        <v>41537</v>
      </c>
      <c r="H264" t="s">
        <v>1046</v>
      </c>
      <c r="I264" t="s">
        <v>1289</v>
      </c>
      <c r="J264" t="s">
        <v>1042</v>
      </c>
      <c r="K264">
        <v>230</v>
      </c>
      <c r="L264" t="s">
        <v>1043</v>
      </c>
      <c r="M264" t="s">
        <v>1044</v>
      </c>
      <c r="N264" s="1">
        <v>43370</v>
      </c>
      <c r="W264" s="1"/>
    </row>
    <row r="265" spans="1:24">
      <c r="A265" t="str">
        <f>_xlfn.IFNA(VLOOKUP(D265,Spelerslijst!A:B,1,FALSE),FALSE)</f>
        <v>NLP78C6</v>
      </c>
      <c r="B265" t="b">
        <f>_xlfn.IFNA(VLOOKUP(D265,Spelerslijst!K:L,1,FALSE),FALSE)</f>
        <v>0</v>
      </c>
      <c r="C265" t="str">
        <f t="shared" si="4"/>
        <v/>
      </c>
      <c r="D265" t="s">
        <v>254</v>
      </c>
      <c r="E265" t="s">
        <v>255</v>
      </c>
      <c r="F265" t="s">
        <v>256</v>
      </c>
      <c r="G265" s="1">
        <v>39562</v>
      </c>
      <c r="H265" t="s">
        <v>1046</v>
      </c>
      <c r="I265" t="s">
        <v>1290</v>
      </c>
      <c r="J265" t="s">
        <v>1042</v>
      </c>
      <c r="K265">
        <v>220</v>
      </c>
      <c r="L265" t="s">
        <v>1043</v>
      </c>
      <c r="M265" t="s">
        <v>1044</v>
      </c>
      <c r="N265" s="1">
        <v>42248</v>
      </c>
      <c r="W265" s="1"/>
    </row>
    <row r="266" spans="1:24">
      <c r="A266" t="b">
        <f>_xlfn.IFNA(VLOOKUP(D266,Spelerslijst!A:B,1,FALSE),FALSE)</f>
        <v>0</v>
      </c>
      <c r="B266" t="str">
        <f>_xlfn.IFNA(VLOOKUP(D266,Spelerslijst!K:L,1,FALSE),FALSE)</f>
        <v>NMF22Q8</v>
      </c>
      <c r="C266" t="str">
        <f t="shared" si="4"/>
        <v/>
      </c>
      <c r="D266" t="s">
        <v>376</v>
      </c>
      <c r="E266" t="s">
        <v>377</v>
      </c>
      <c r="F266" t="s">
        <v>378</v>
      </c>
      <c r="G266" s="1">
        <v>40750</v>
      </c>
      <c r="H266" t="s">
        <v>949</v>
      </c>
      <c r="I266" t="s">
        <v>1291</v>
      </c>
      <c r="J266" t="s">
        <v>1042</v>
      </c>
      <c r="K266">
        <v>230</v>
      </c>
      <c r="L266" t="s">
        <v>1043</v>
      </c>
      <c r="M266" t="s">
        <v>1044</v>
      </c>
      <c r="N266" s="1">
        <v>43517</v>
      </c>
      <c r="W266" s="1"/>
    </row>
    <row r="267" spans="1:24">
      <c r="A267" t="str">
        <f>_xlfn.IFNA(VLOOKUP(D267,Spelerslijst!A:B,1,FALSE),FALSE)</f>
        <v>NMM42W7</v>
      </c>
      <c r="B267" t="b">
        <f>_xlfn.IFNA(VLOOKUP(D267,Spelerslijst!K:L,1,FALSE),FALSE)</f>
        <v>0</v>
      </c>
      <c r="C267" t="str">
        <f t="shared" si="4"/>
        <v/>
      </c>
      <c r="D267" t="s">
        <v>632</v>
      </c>
      <c r="E267" t="s">
        <v>633</v>
      </c>
      <c r="F267" t="s">
        <v>634</v>
      </c>
      <c r="G267" s="1">
        <v>42788</v>
      </c>
      <c r="H267" t="s">
        <v>1046</v>
      </c>
      <c r="I267" t="s">
        <v>1291</v>
      </c>
      <c r="J267" t="s">
        <v>1042</v>
      </c>
      <c r="K267">
        <v>240</v>
      </c>
      <c r="M267" t="s">
        <v>1044</v>
      </c>
      <c r="N267" s="1">
        <v>44338</v>
      </c>
      <c r="W267" s="1"/>
    </row>
    <row r="268" spans="1:24">
      <c r="A268" t="str">
        <f>_xlfn.IFNA(VLOOKUP(D268,Spelerslijst!A:B,1,FALSE),FALSE)</f>
        <v>NMM99N0</v>
      </c>
      <c r="B268" t="b">
        <f>_xlfn.IFNA(VLOOKUP(D268,Spelerslijst!K:L,1,FALSE),FALSE)</f>
        <v>0</v>
      </c>
      <c r="C268" t="str">
        <f t="shared" si="4"/>
        <v/>
      </c>
      <c r="D268" t="s">
        <v>926</v>
      </c>
      <c r="E268" t="s">
        <v>927</v>
      </c>
      <c r="F268" t="s">
        <v>575</v>
      </c>
      <c r="G268" s="1">
        <v>41761</v>
      </c>
      <c r="H268" t="s">
        <v>1046</v>
      </c>
      <c r="I268" t="s">
        <v>1292</v>
      </c>
      <c r="J268" t="s">
        <v>1048</v>
      </c>
      <c r="K268">
        <v>230</v>
      </c>
      <c r="L268" t="s">
        <v>1043</v>
      </c>
      <c r="M268" t="s">
        <v>1044</v>
      </c>
      <c r="N268" s="1">
        <v>44370</v>
      </c>
      <c r="W268" s="1"/>
      <c r="X268" s="1"/>
    </row>
    <row r="269" spans="1:24">
      <c r="A269" t="b">
        <f>_xlfn.IFNA(VLOOKUP(D269,Spelerslijst!A:B,1,FALSE),FALSE)</f>
        <v>0</v>
      </c>
      <c r="B269" t="str">
        <f>_xlfn.IFNA(VLOOKUP(D269,Spelerslijst!K:L,1,FALSE),FALSE)</f>
        <v>NMQ44L0</v>
      </c>
      <c r="C269" t="str">
        <f t="shared" si="4"/>
        <v/>
      </c>
      <c r="D269" t="s">
        <v>725</v>
      </c>
      <c r="E269" t="s">
        <v>726</v>
      </c>
      <c r="F269" t="s">
        <v>458</v>
      </c>
      <c r="G269" s="1">
        <v>38220</v>
      </c>
      <c r="H269" t="s">
        <v>949</v>
      </c>
      <c r="I269" t="s">
        <v>1293</v>
      </c>
      <c r="J269" t="s">
        <v>1042</v>
      </c>
      <c r="K269">
        <v>210</v>
      </c>
      <c r="L269" t="s">
        <v>1043</v>
      </c>
      <c r="M269" t="s">
        <v>1044</v>
      </c>
      <c r="N269" s="1">
        <v>44641</v>
      </c>
      <c r="W269" s="1"/>
    </row>
    <row r="270" spans="1:24">
      <c r="A270" t="str">
        <f>_xlfn.IFNA(VLOOKUP(D270,Spelerslijst!A:B,1,FALSE),FALSE)</f>
        <v>NMN14W9</v>
      </c>
      <c r="B270" t="b">
        <f>_xlfn.IFNA(VLOOKUP(D270,Spelerslijst!K:L,1,FALSE),FALSE)</f>
        <v>0</v>
      </c>
      <c r="C270" t="str">
        <f t="shared" si="4"/>
        <v/>
      </c>
      <c r="D270" t="s">
        <v>891</v>
      </c>
      <c r="E270" t="s">
        <v>892</v>
      </c>
      <c r="F270" t="s">
        <v>817</v>
      </c>
      <c r="G270" s="1">
        <v>39702</v>
      </c>
      <c r="H270" t="s">
        <v>1046</v>
      </c>
      <c r="I270" t="s">
        <v>1294</v>
      </c>
      <c r="J270" t="s">
        <v>1048</v>
      </c>
      <c r="K270">
        <v>220</v>
      </c>
      <c r="L270" t="s">
        <v>1043</v>
      </c>
      <c r="M270" t="s">
        <v>1044</v>
      </c>
      <c r="N270" s="1">
        <v>44381</v>
      </c>
      <c r="W270" s="1"/>
      <c r="X270" s="1"/>
    </row>
    <row r="271" spans="1:24">
      <c r="A271" t="str">
        <f>_xlfn.IFNA(VLOOKUP(D271,Spelerslijst!A:B,1,FALSE),FALSE)</f>
        <v>NMQ57Y5</v>
      </c>
      <c r="B271" t="b">
        <f>_xlfn.IFNA(VLOOKUP(D271,Spelerslijst!K:L,1,FALSE),FALSE)</f>
        <v>0</v>
      </c>
      <c r="C271" t="str">
        <f t="shared" si="4"/>
        <v/>
      </c>
      <c r="D271" t="s">
        <v>584</v>
      </c>
      <c r="E271" t="s">
        <v>585</v>
      </c>
      <c r="F271" t="s">
        <v>586</v>
      </c>
      <c r="G271" s="1">
        <v>42333</v>
      </c>
      <c r="H271" t="s">
        <v>1046</v>
      </c>
      <c r="I271" t="s">
        <v>1295</v>
      </c>
      <c r="J271" t="s">
        <v>1042</v>
      </c>
      <c r="K271">
        <v>230</v>
      </c>
      <c r="L271" t="s">
        <v>1043</v>
      </c>
      <c r="M271" t="s">
        <v>1044</v>
      </c>
      <c r="N271" s="1">
        <v>44656</v>
      </c>
      <c r="W271" s="1"/>
    </row>
    <row r="272" spans="1:24">
      <c r="A272" t="str">
        <f>_xlfn.IFNA(VLOOKUP(D272,Spelerslijst!A:B,1,FALSE),FALSE)</f>
        <v>NMS67Y2</v>
      </c>
      <c r="B272" t="b">
        <f>_xlfn.IFNA(VLOOKUP(D272,Spelerslijst!K:L,1,FALSE),FALSE)</f>
        <v>0</v>
      </c>
      <c r="C272" t="str">
        <f t="shared" si="4"/>
        <v/>
      </c>
      <c r="D272" t="s">
        <v>603</v>
      </c>
      <c r="E272" t="s">
        <v>604</v>
      </c>
      <c r="F272" t="s">
        <v>605</v>
      </c>
      <c r="G272" s="1">
        <v>42481</v>
      </c>
      <c r="H272" t="s">
        <v>1046</v>
      </c>
      <c r="I272" t="s">
        <v>1296</v>
      </c>
      <c r="J272" t="s">
        <v>1042</v>
      </c>
      <c r="K272">
        <v>230</v>
      </c>
      <c r="L272" t="s">
        <v>1043</v>
      </c>
      <c r="M272" t="s">
        <v>1044</v>
      </c>
      <c r="N272" s="1">
        <v>44859</v>
      </c>
      <c r="W272" s="1"/>
    </row>
    <row r="273" spans="1:24">
      <c r="A273" t="str">
        <f>_xlfn.IFNA(VLOOKUP(D273,Spelerslijst!A:B,1,FALSE),FALSE)</f>
        <v>NLV84L8</v>
      </c>
      <c r="B273" t="b">
        <f>_xlfn.IFNA(VLOOKUP(D273,Spelerslijst!K:L,1,FALSE),FALSE)</f>
        <v>0</v>
      </c>
      <c r="C273" t="str">
        <f t="shared" si="4"/>
        <v/>
      </c>
      <c r="D273" t="s">
        <v>403</v>
      </c>
      <c r="E273" t="s">
        <v>404</v>
      </c>
      <c r="F273" t="s">
        <v>405</v>
      </c>
      <c r="G273" s="1">
        <v>40226</v>
      </c>
      <c r="H273" t="s">
        <v>1046</v>
      </c>
      <c r="I273" t="s">
        <v>1297</v>
      </c>
      <c r="J273" t="s">
        <v>1042</v>
      </c>
      <c r="K273">
        <v>220</v>
      </c>
      <c r="L273" t="s">
        <v>1043</v>
      </c>
      <c r="M273" t="s">
        <v>1044</v>
      </c>
      <c r="N273" s="1">
        <v>42716</v>
      </c>
      <c r="W273" s="1"/>
    </row>
    <row r="274" spans="1:24">
      <c r="A274" t="str">
        <f>_xlfn.IFNA(VLOOKUP(D274,Spelerslijst!A:B,1,FALSE),FALSE)</f>
        <v>NMK07T9</v>
      </c>
      <c r="B274" t="b">
        <f>_xlfn.IFNA(VLOOKUP(D274,Spelerslijst!K:L,1,FALSE),FALSE)</f>
        <v>0</v>
      </c>
      <c r="C274" t="str">
        <f t="shared" si="4"/>
        <v/>
      </c>
      <c r="D274" t="s">
        <v>510</v>
      </c>
      <c r="E274" t="s">
        <v>511</v>
      </c>
      <c r="F274" t="s">
        <v>512</v>
      </c>
      <c r="G274" s="1">
        <v>41149</v>
      </c>
      <c r="H274" t="s">
        <v>1046</v>
      </c>
      <c r="I274" t="s">
        <v>1298</v>
      </c>
      <c r="J274" t="s">
        <v>1042</v>
      </c>
      <c r="K274">
        <v>230</v>
      </c>
      <c r="L274" t="s">
        <v>1043</v>
      </c>
      <c r="M274" t="s">
        <v>1044</v>
      </c>
      <c r="N274" s="1">
        <v>44016</v>
      </c>
      <c r="W274" s="1"/>
    </row>
    <row r="275" spans="1:24">
      <c r="A275" t="str">
        <f>_xlfn.IFNA(VLOOKUP(D275,Spelerslijst!A:B,1,FALSE),FALSE)</f>
        <v>NLX08G7</v>
      </c>
      <c r="B275" t="b">
        <f>_xlfn.IFNA(VLOOKUP(D275,Spelerslijst!K:L,1,FALSE),FALSE)</f>
        <v>0</v>
      </c>
      <c r="C275" t="str">
        <f t="shared" si="4"/>
        <v/>
      </c>
      <c r="D275" t="s">
        <v>283</v>
      </c>
      <c r="E275" t="s">
        <v>1299</v>
      </c>
      <c r="F275" t="s">
        <v>1300</v>
      </c>
      <c r="G275" s="1">
        <v>40015</v>
      </c>
      <c r="H275" t="s">
        <v>1046</v>
      </c>
      <c r="I275" t="s">
        <v>1301</v>
      </c>
      <c r="J275" t="s">
        <v>1042</v>
      </c>
      <c r="K275">
        <v>220</v>
      </c>
      <c r="L275" t="s">
        <v>1043</v>
      </c>
      <c r="M275" t="s">
        <v>1044</v>
      </c>
      <c r="N275" s="1">
        <v>42863</v>
      </c>
      <c r="W275" s="1"/>
    </row>
    <row r="276" spans="1:24">
      <c r="A276" t="str">
        <f>_xlfn.IFNA(VLOOKUP(D276,Spelerslijst!A:B,1,FALSE),FALSE)</f>
        <v>NJC15T9</v>
      </c>
      <c r="B276" t="b">
        <f>_xlfn.IFNA(VLOOKUP(D276,Spelerslijst!K:L,1,FALSE),FALSE)</f>
        <v>0</v>
      </c>
      <c r="C276" t="str">
        <f t="shared" si="4"/>
        <v/>
      </c>
      <c r="D276" t="s">
        <v>786</v>
      </c>
      <c r="E276" t="s">
        <v>787</v>
      </c>
      <c r="F276" t="s">
        <v>788</v>
      </c>
      <c r="G276" s="1">
        <v>33777</v>
      </c>
      <c r="H276" t="s">
        <v>1046</v>
      </c>
      <c r="I276" t="s">
        <v>1302</v>
      </c>
      <c r="J276" t="s">
        <v>1042</v>
      </c>
      <c r="K276">
        <v>202</v>
      </c>
      <c r="L276" t="s">
        <v>1043</v>
      </c>
      <c r="M276" t="s">
        <v>1067</v>
      </c>
      <c r="N276" s="1">
        <v>37159</v>
      </c>
      <c r="W276" s="1"/>
    </row>
    <row r="277" spans="1:24">
      <c r="A277" t="str">
        <f>_xlfn.IFNA(VLOOKUP(D277,Spelerslijst!A:B,1,FALSE),FALSE)</f>
        <v>NKC46T4</v>
      </c>
      <c r="B277" t="b">
        <f>_xlfn.IFNA(VLOOKUP(D277,Spelerslijst!K:L,1,FALSE),FALSE)</f>
        <v>0</v>
      </c>
      <c r="C277" t="str">
        <f t="shared" si="4"/>
        <v/>
      </c>
      <c r="D277" t="s">
        <v>860</v>
      </c>
      <c r="E277" t="s">
        <v>861</v>
      </c>
      <c r="F277" t="s">
        <v>443</v>
      </c>
      <c r="G277" s="1">
        <v>37269</v>
      </c>
      <c r="H277" t="s">
        <v>1046</v>
      </c>
      <c r="I277" t="s">
        <v>1303</v>
      </c>
      <c r="J277" t="s">
        <v>1042</v>
      </c>
      <c r="K277">
        <v>204</v>
      </c>
      <c r="L277" t="s">
        <v>1043</v>
      </c>
      <c r="M277" t="s">
        <v>1078</v>
      </c>
      <c r="N277" s="1">
        <v>39356</v>
      </c>
      <c r="W277" s="1"/>
    </row>
    <row r="278" spans="1:24">
      <c r="A278" t="b">
        <f>_xlfn.IFNA(VLOOKUP(D278,Spelerslijst!A:B,1,FALSE),FALSE)</f>
        <v>0</v>
      </c>
      <c r="B278" t="str">
        <f>_xlfn.IFNA(VLOOKUP(D278,Spelerslijst!K:L,1,FALSE),FALSE)</f>
        <v>NGT16K5</v>
      </c>
      <c r="C278" t="str">
        <f t="shared" si="4"/>
        <v/>
      </c>
      <c r="D278" t="s">
        <v>662</v>
      </c>
      <c r="E278" t="s">
        <v>663</v>
      </c>
      <c r="F278" t="s">
        <v>664</v>
      </c>
      <c r="G278" s="1">
        <v>33241</v>
      </c>
      <c r="H278" t="s">
        <v>949</v>
      </c>
      <c r="I278" t="s">
        <v>1304</v>
      </c>
      <c r="J278" t="s">
        <v>1042</v>
      </c>
      <c r="K278">
        <v>200</v>
      </c>
      <c r="L278" t="s">
        <v>1043</v>
      </c>
      <c r="M278" t="s">
        <v>1044</v>
      </c>
      <c r="N278" s="1">
        <v>41518</v>
      </c>
      <c r="W278" s="1"/>
    </row>
    <row r="279" spans="1:24">
      <c r="A279" t="b">
        <f>_xlfn.IFNA(VLOOKUP(D279,Spelerslijst!A:B,1,FALSE),FALSE)</f>
        <v>0</v>
      </c>
      <c r="B279" t="str">
        <f>_xlfn.IFNA(VLOOKUP(D279,Spelerslijst!K:L,1,FALSE),FALSE)</f>
        <v>NKH71P1</v>
      </c>
      <c r="C279" t="str">
        <f t="shared" si="4"/>
        <v/>
      </c>
      <c r="D279" t="s">
        <v>600</v>
      </c>
      <c r="E279" t="s">
        <v>601</v>
      </c>
      <c r="F279" t="s">
        <v>602</v>
      </c>
      <c r="G279" s="1">
        <v>27643</v>
      </c>
      <c r="H279" t="s">
        <v>949</v>
      </c>
      <c r="I279" t="s">
        <v>1305</v>
      </c>
      <c r="J279" t="s">
        <v>1042</v>
      </c>
      <c r="K279">
        <v>203</v>
      </c>
      <c r="L279" t="s">
        <v>1043</v>
      </c>
      <c r="M279" t="s">
        <v>1061</v>
      </c>
      <c r="N279" s="1">
        <v>39703</v>
      </c>
      <c r="W279" s="1"/>
    </row>
    <row r="280" spans="1:24">
      <c r="A280" t="b">
        <f>_xlfn.IFNA(VLOOKUP(D280,Spelerslijst!A:B,1,FALSE),FALSE)</f>
        <v>0</v>
      </c>
      <c r="B280" t="str">
        <f>_xlfn.IFNA(VLOOKUP(D280,Spelerslijst!K:L,1,FALSE),FALSE)</f>
        <v>NLJ97M7</v>
      </c>
      <c r="C280" t="str">
        <f t="shared" si="4"/>
        <v/>
      </c>
      <c r="D280" t="s">
        <v>836</v>
      </c>
      <c r="E280" t="s">
        <v>837</v>
      </c>
      <c r="F280" t="s">
        <v>838</v>
      </c>
      <c r="G280" s="1">
        <v>39420</v>
      </c>
      <c r="H280" t="s">
        <v>949</v>
      </c>
      <c r="I280" t="s">
        <v>1306</v>
      </c>
      <c r="J280" t="s">
        <v>1048</v>
      </c>
      <c r="K280">
        <v>220</v>
      </c>
      <c r="L280" t="s">
        <v>1043</v>
      </c>
      <c r="M280" t="s">
        <v>1044</v>
      </c>
      <c r="N280" s="1">
        <v>44029</v>
      </c>
      <c r="W280" s="1"/>
      <c r="X280" s="1"/>
    </row>
    <row r="281" spans="1:24">
      <c r="A281" t="str">
        <f>_xlfn.IFNA(VLOOKUP(D281,Spelerslijst!A:B,1,FALSE),FALSE)</f>
        <v>NLY40X3</v>
      </c>
      <c r="B281" t="b">
        <f>_xlfn.IFNA(VLOOKUP(D281,Spelerslijst!K:L,1,FALSE),FALSE)</f>
        <v>0</v>
      </c>
      <c r="C281" t="str">
        <f t="shared" si="4"/>
        <v/>
      </c>
      <c r="D281" t="s">
        <v>202</v>
      </c>
      <c r="E281" t="s">
        <v>203</v>
      </c>
      <c r="F281" t="s">
        <v>204</v>
      </c>
      <c r="G281" s="1">
        <v>39961</v>
      </c>
      <c r="H281" t="s">
        <v>1046</v>
      </c>
      <c r="I281" t="s">
        <v>1307</v>
      </c>
      <c r="J281" t="s">
        <v>1042</v>
      </c>
      <c r="K281">
        <v>220</v>
      </c>
      <c r="L281" t="s">
        <v>1043</v>
      </c>
      <c r="M281" t="s">
        <v>1044</v>
      </c>
      <c r="N281" s="1">
        <v>44013</v>
      </c>
      <c r="W281" s="1"/>
    </row>
    <row r="282" spans="1:24">
      <c r="A282" t="b">
        <f>_xlfn.IFNA(VLOOKUP(D282,Spelerslijst!A:B,1,FALSE),FALSE)</f>
        <v>0</v>
      </c>
      <c r="B282" t="str">
        <f>_xlfn.IFNA(VLOOKUP(D282,Spelerslijst!K:L,1,FALSE),FALSE)</f>
        <v>NJG52P6</v>
      </c>
      <c r="C282" t="str">
        <f t="shared" si="4"/>
        <v/>
      </c>
      <c r="D282" t="s">
        <v>177</v>
      </c>
      <c r="E282" t="s">
        <v>178</v>
      </c>
      <c r="F282" t="s">
        <v>71</v>
      </c>
      <c r="G282" s="1">
        <v>35270</v>
      </c>
      <c r="H282" t="s">
        <v>949</v>
      </c>
      <c r="I282" t="s">
        <v>1308</v>
      </c>
      <c r="J282" t="s">
        <v>1042</v>
      </c>
      <c r="K282">
        <v>202</v>
      </c>
      <c r="L282" t="s">
        <v>1043</v>
      </c>
      <c r="M282" t="s">
        <v>1067</v>
      </c>
      <c r="N282" s="1">
        <v>40787</v>
      </c>
      <c r="W282" s="1"/>
    </row>
    <row r="283" spans="1:24">
      <c r="A283" t="str">
        <f>_xlfn.IFNA(VLOOKUP(D283,Spelerslijst!A:B,1,FALSE),FALSE)</f>
        <v>NJG13L1</v>
      </c>
      <c r="B283" t="b">
        <f>_xlfn.IFNA(VLOOKUP(D283,Spelerslijst!K:L,1,FALSE),FALSE)</f>
        <v>0</v>
      </c>
      <c r="C283" t="str">
        <f t="shared" ref="C283" si="5">IF(AND(A283=FALSE,B283=FALSE),"Onbekend","")</f>
        <v/>
      </c>
      <c r="D283" t="s">
        <v>742</v>
      </c>
      <c r="E283" t="s">
        <v>743</v>
      </c>
      <c r="F283" t="s">
        <v>490</v>
      </c>
      <c r="G283" s="1">
        <v>35337</v>
      </c>
      <c r="H283" t="s">
        <v>1046</v>
      </c>
      <c r="I283" t="s">
        <v>1309</v>
      </c>
      <c r="J283" t="s">
        <v>1042</v>
      </c>
      <c r="K283">
        <v>200</v>
      </c>
      <c r="L283" t="s">
        <v>1043</v>
      </c>
      <c r="M283" t="s">
        <v>1044</v>
      </c>
      <c r="N283" s="1">
        <v>37587</v>
      </c>
      <c r="W283" s="1"/>
    </row>
    <row r="284" spans="1:24">
      <c r="R284" s="1"/>
    </row>
    <row r="285" spans="1:24">
      <c r="R285" s="1"/>
      <c r="S285" s="1"/>
    </row>
    <row r="286" spans="1:24">
      <c r="R286" s="1"/>
    </row>
    <row r="287" spans="1:24">
      <c r="R287" s="1"/>
    </row>
    <row r="288" spans="1:24">
      <c r="R288" s="1"/>
    </row>
    <row r="289" spans="18:19">
      <c r="R289" s="1"/>
    </row>
    <row r="290" spans="18:19">
      <c r="R290" s="1"/>
    </row>
    <row r="291" spans="18:19">
      <c r="R291" s="1"/>
    </row>
    <row r="292" spans="18:19">
      <c r="R292" s="1"/>
    </row>
    <row r="293" spans="18:19">
      <c r="R293" s="1"/>
    </row>
    <row r="294" spans="18:19">
      <c r="R294" s="1"/>
    </row>
    <row r="295" spans="18:19">
      <c r="R295" s="1"/>
    </row>
    <row r="296" spans="18:19">
      <c r="R296" s="1"/>
    </row>
    <row r="297" spans="18:19">
      <c r="R297" s="1"/>
    </row>
    <row r="298" spans="18:19">
      <c r="R298" s="1"/>
    </row>
    <row r="299" spans="18:19">
      <c r="R299" s="1"/>
    </row>
    <row r="300" spans="18:19">
      <c r="R300" s="1"/>
    </row>
    <row r="301" spans="18:19">
      <c r="R301" s="1"/>
    </row>
    <row r="302" spans="18:19">
      <c r="R302" s="1"/>
    </row>
    <row r="303" spans="18:19">
      <c r="R303" s="1"/>
      <c r="S303" s="1"/>
    </row>
    <row r="304" spans="18:19">
      <c r="R304" s="1"/>
    </row>
    <row r="305" spans="18:19">
      <c r="R305" s="1"/>
    </row>
    <row r="306" spans="18:19">
      <c r="R306" s="1"/>
    </row>
    <row r="307" spans="18:19">
      <c r="R307" s="1"/>
    </row>
    <row r="308" spans="18:19">
      <c r="R308" s="1"/>
    </row>
    <row r="309" spans="18:19">
      <c r="R309" s="1"/>
    </row>
    <row r="310" spans="18:19">
      <c r="R310" s="1"/>
    </row>
    <row r="311" spans="18:19">
      <c r="R311" s="1"/>
    </row>
    <row r="312" spans="18:19">
      <c r="R312" s="1"/>
    </row>
    <row r="313" spans="18:19">
      <c r="R313" s="1"/>
    </row>
    <row r="314" spans="18:19">
      <c r="R314" s="1"/>
    </row>
    <row r="315" spans="18:19">
      <c r="R315" s="1"/>
    </row>
    <row r="316" spans="18:19">
      <c r="R316" s="1"/>
    </row>
    <row r="317" spans="18:19">
      <c r="R317" s="1"/>
      <c r="S317" s="1"/>
    </row>
    <row r="318" spans="18:19">
      <c r="R318" s="1"/>
    </row>
    <row r="319" spans="18:19">
      <c r="R319" s="1"/>
    </row>
    <row r="320" spans="18:19">
      <c r="R320" s="1"/>
    </row>
    <row r="321" spans="18:18">
      <c r="R321" s="1"/>
    </row>
    <row r="322" spans="18:18">
      <c r="R322" s="1"/>
    </row>
    <row r="323" spans="18:18">
      <c r="R323" s="1"/>
    </row>
    <row r="324" spans="18:18">
      <c r="R324" s="1"/>
    </row>
    <row r="325" spans="18:18">
      <c r="R325" s="1"/>
    </row>
    <row r="326" spans="18:18">
      <c r="R326" s="1"/>
    </row>
    <row r="327" spans="18:18">
      <c r="R327" s="1"/>
    </row>
    <row r="328" spans="18:18">
      <c r="R328" s="1"/>
    </row>
    <row r="329" spans="18:18">
      <c r="R329" s="1"/>
    </row>
    <row r="330" spans="18:18">
      <c r="R330" s="1"/>
    </row>
    <row r="331" spans="18:18">
      <c r="R331" s="1"/>
    </row>
    <row r="332" spans="18:18">
      <c r="R332" s="1"/>
    </row>
    <row r="333" spans="18:18">
      <c r="R333" s="1"/>
    </row>
    <row r="334" spans="18:18">
      <c r="R334" s="1"/>
    </row>
    <row r="335" spans="18:18">
      <c r="R335" s="1"/>
    </row>
    <row r="336" spans="18:18">
      <c r="R336" s="1"/>
    </row>
    <row r="337" spans="18:18">
      <c r="R337" s="1"/>
    </row>
    <row r="338" spans="18:18">
      <c r="R338" s="1"/>
    </row>
    <row r="339" spans="18:18">
      <c r="R339" s="1"/>
    </row>
    <row r="340" spans="18:18">
      <c r="R340" s="1"/>
    </row>
    <row r="341" spans="18:18">
      <c r="R341" s="1"/>
    </row>
    <row r="342" spans="18:18">
      <c r="R342" s="1"/>
    </row>
    <row r="343" spans="18:18">
      <c r="R343" s="1"/>
    </row>
    <row r="344" spans="18:18">
      <c r="R344" s="1"/>
    </row>
    <row r="345" spans="18:18">
      <c r="R345" s="1"/>
    </row>
    <row r="346" spans="18:18">
      <c r="R346" s="1"/>
    </row>
    <row r="347" spans="18:18">
      <c r="R347" s="1"/>
    </row>
    <row r="348" spans="18:18">
      <c r="R348" s="1"/>
    </row>
    <row r="349" spans="18:18">
      <c r="R349" s="1"/>
    </row>
    <row r="350" spans="18:18">
      <c r="R350" s="1"/>
    </row>
    <row r="351" spans="18:18">
      <c r="R351" s="1"/>
    </row>
    <row r="352" spans="18:18">
      <c r="R352" s="1"/>
    </row>
    <row r="353" spans="18:19">
      <c r="R353" s="1"/>
    </row>
    <row r="354" spans="18:19">
      <c r="R354" s="1"/>
    </row>
    <row r="355" spans="18:19">
      <c r="R355" s="1"/>
    </row>
    <row r="356" spans="18:19">
      <c r="R356" s="1"/>
    </row>
    <row r="357" spans="18:19">
      <c r="R357" s="1"/>
    </row>
    <row r="358" spans="18:19">
      <c r="R358" s="1"/>
    </row>
    <row r="359" spans="18:19">
      <c r="R359" s="1"/>
    </row>
    <row r="360" spans="18:19">
      <c r="R360" s="1"/>
    </row>
    <row r="361" spans="18:19">
      <c r="R361" s="1"/>
    </row>
    <row r="362" spans="18:19">
      <c r="R362" s="1"/>
    </row>
    <row r="363" spans="18:19">
      <c r="R363" s="1"/>
    </row>
    <row r="364" spans="18:19">
      <c r="R364" s="1"/>
      <c r="S364" s="1"/>
    </row>
    <row r="365" spans="18:19">
      <c r="R365" s="1"/>
    </row>
    <row r="366" spans="18:19">
      <c r="R366" s="1"/>
    </row>
    <row r="367" spans="18:19">
      <c r="R367" s="1"/>
    </row>
    <row r="368" spans="18:19">
      <c r="R368" s="1"/>
    </row>
    <row r="369" spans="18:19">
      <c r="R369" s="1"/>
    </row>
    <row r="370" spans="18:19">
      <c r="R370" s="1"/>
    </row>
    <row r="371" spans="18:19">
      <c r="R371" s="1"/>
    </row>
    <row r="372" spans="18:19">
      <c r="R372" s="1"/>
    </row>
    <row r="373" spans="18:19">
      <c r="R373" s="1"/>
    </row>
    <row r="374" spans="18:19">
      <c r="R374" s="1"/>
    </row>
    <row r="375" spans="18:19">
      <c r="R375" s="1"/>
    </row>
    <row r="376" spans="18:19">
      <c r="R376" s="1"/>
    </row>
    <row r="377" spans="18:19">
      <c r="R377" s="1"/>
    </row>
    <row r="378" spans="18:19">
      <c r="R378" s="1"/>
    </row>
    <row r="379" spans="18:19">
      <c r="R379" s="1"/>
    </row>
    <row r="380" spans="18:19">
      <c r="R380" s="1"/>
    </row>
    <row r="381" spans="18:19">
      <c r="R381" s="1"/>
      <c r="S381" s="1"/>
    </row>
    <row r="382" spans="18:19">
      <c r="R382" s="1"/>
    </row>
    <row r="383" spans="18:19">
      <c r="R383" s="1"/>
    </row>
    <row r="384" spans="18:19">
      <c r="R384" s="1"/>
    </row>
    <row r="385" spans="18:19">
      <c r="R385" s="1"/>
    </row>
    <row r="386" spans="18:19">
      <c r="R386" s="1"/>
    </row>
    <row r="387" spans="18:19">
      <c r="R387" s="1"/>
    </row>
    <row r="388" spans="18:19">
      <c r="R388" s="1"/>
    </row>
    <row r="389" spans="18:19">
      <c r="R389" s="1"/>
      <c r="S389" s="1"/>
    </row>
    <row r="390" spans="18:19">
      <c r="R390" s="1"/>
    </row>
    <row r="391" spans="18:19">
      <c r="R391" s="1"/>
    </row>
    <row r="392" spans="18:19">
      <c r="R392" s="1"/>
    </row>
    <row r="393" spans="18:19">
      <c r="R393" s="1"/>
    </row>
    <row r="394" spans="18:19">
      <c r="R394" s="1"/>
    </row>
    <row r="395" spans="18:19">
      <c r="R395" s="1"/>
    </row>
    <row r="396" spans="18:19">
      <c r="R396" s="1"/>
    </row>
    <row r="397" spans="18:19">
      <c r="R397" s="1"/>
    </row>
    <row r="398" spans="18:19">
      <c r="R398" s="1"/>
    </row>
    <row r="399" spans="18:19">
      <c r="R399" s="1"/>
    </row>
    <row r="400" spans="18:19">
      <c r="R400" s="1"/>
    </row>
    <row r="401" spans="18:19">
      <c r="R401" s="1"/>
    </row>
    <row r="402" spans="18:19">
      <c r="R402" s="1"/>
    </row>
    <row r="403" spans="18:19">
      <c r="R403" s="1"/>
    </row>
    <row r="404" spans="18:19">
      <c r="R404" s="1"/>
    </row>
    <row r="405" spans="18:19">
      <c r="R405" s="1"/>
    </row>
    <row r="406" spans="18:19">
      <c r="R406" s="1"/>
    </row>
    <row r="407" spans="18:19">
      <c r="R407" s="1"/>
      <c r="S407" s="1"/>
    </row>
    <row r="408" spans="18:19">
      <c r="R408" s="1"/>
    </row>
    <row r="409" spans="18:19">
      <c r="R409" s="1"/>
    </row>
    <row r="410" spans="18:19">
      <c r="R410" s="1"/>
    </row>
    <row r="411" spans="18:19">
      <c r="R411" s="1"/>
    </row>
    <row r="412" spans="18:19">
      <c r="R412" s="1"/>
    </row>
    <row r="413" spans="18:19">
      <c r="R413" s="1"/>
    </row>
    <row r="414" spans="18:19">
      <c r="R414" s="1"/>
    </row>
    <row r="415" spans="18:19">
      <c r="R415" s="1"/>
    </row>
    <row r="416" spans="18:19">
      <c r="R416" s="1"/>
    </row>
    <row r="417" spans="18:18">
      <c r="R417" s="1"/>
    </row>
    <row r="418" spans="18:18">
      <c r="R418" s="1"/>
    </row>
    <row r="419" spans="18:18">
      <c r="R419" s="1"/>
    </row>
    <row r="420" spans="18:18">
      <c r="R420" s="1"/>
    </row>
    <row r="421" spans="18:18">
      <c r="R421" s="1"/>
    </row>
    <row r="422" spans="18:18">
      <c r="R422" s="1"/>
    </row>
    <row r="423" spans="18:18">
      <c r="R423" s="1"/>
    </row>
    <row r="424" spans="18:18">
      <c r="R424" s="1"/>
    </row>
    <row r="425" spans="18:18">
      <c r="R425" s="1"/>
    </row>
    <row r="426" spans="18:18">
      <c r="R426" s="1"/>
    </row>
    <row r="427" spans="18:18">
      <c r="R427" s="1"/>
    </row>
    <row r="428" spans="18:18">
      <c r="R428" s="1"/>
    </row>
    <row r="429" spans="18:18">
      <c r="R429" s="1"/>
    </row>
    <row r="430" spans="18:18">
      <c r="R430" s="1"/>
    </row>
    <row r="431" spans="18:18">
      <c r="R431" s="1"/>
    </row>
    <row r="432" spans="18:18">
      <c r="R432" s="1"/>
    </row>
    <row r="433" spans="18:19">
      <c r="R433" s="1"/>
    </row>
    <row r="434" spans="18:19">
      <c r="R434" s="1"/>
      <c r="S434" s="1"/>
    </row>
    <row r="435" spans="18:19">
      <c r="R435" s="1"/>
    </row>
    <row r="436" spans="18:19">
      <c r="R436" s="1"/>
    </row>
    <row r="437" spans="18:19">
      <c r="R437" s="1"/>
      <c r="S437" s="1"/>
    </row>
    <row r="438" spans="18:19">
      <c r="R438" s="1"/>
    </row>
    <row r="439" spans="18:19">
      <c r="R439" s="1"/>
    </row>
    <row r="440" spans="18:19">
      <c r="R440" s="1"/>
    </row>
    <row r="441" spans="18:19">
      <c r="R441" s="1"/>
    </row>
    <row r="442" spans="18:19">
      <c r="R442" s="1"/>
    </row>
    <row r="443" spans="18:19">
      <c r="R443" s="1"/>
      <c r="S443" s="1"/>
    </row>
    <row r="444" spans="18:19">
      <c r="R444" s="1"/>
    </row>
    <row r="445" spans="18:19">
      <c r="R445" s="1"/>
    </row>
    <row r="446" spans="18:19">
      <c r="R446" s="1"/>
    </row>
    <row r="447" spans="18:19">
      <c r="R447" s="1"/>
    </row>
    <row r="448" spans="18:19">
      <c r="R448" s="1"/>
    </row>
    <row r="449" spans="18:19">
      <c r="R449" s="1"/>
    </row>
    <row r="450" spans="18:19">
      <c r="R450" s="1"/>
    </row>
    <row r="451" spans="18:19">
      <c r="R451" s="1"/>
    </row>
    <row r="452" spans="18:19">
      <c r="R452" s="1"/>
    </row>
    <row r="453" spans="18:19">
      <c r="R453" s="1"/>
    </row>
    <row r="454" spans="18:19">
      <c r="R454" s="1"/>
    </row>
    <row r="455" spans="18:19">
      <c r="R455" s="1"/>
    </row>
    <row r="456" spans="18:19">
      <c r="R456" s="1"/>
    </row>
    <row r="457" spans="18:19">
      <c r="R457" s="1"/>
    </row>
    <row r="458" spans="18:19">
      <c r="R458" s="1"/>
    </row>
    <row r="459" spans="18:19">
      <c r="R459" s="1"/>
      <c r="S459" s="1"/>
    </row>
    <row r="460" spans="18:19">
      <c r="R460" s="1"/>
    </row>
    <row r="461" spans="18:19">
      <c r="R461" s="1"/>
    </row>
    <row r="462" spans="18:19">
      <c r="R462" s="1"/>
    </row>
    <row r="463" spans="18:19">
      <c r="R463" s="1"/>
    </row>
    <row r="464" spans="18:19">
      <c r="R464" s="1"/>
    </row>
    <row r="465" spans="18:18">
      <c r="R465" s="1"/>
    </row>
    <row r="466" spans="18:18">
      <c r="R466" s="1"/>
    </row>
    <row r="467" spans="18:18">
      <c r="R467" s="1"/>
    </row>
    <row r="468" spans="18:18">
      <c r="R468" s="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1AFB-D683-4E27-9C9D-8DF2AAFFDC19}">
  <dimension ref="A1:G302"/>
  <sheetViews>
    <sheetView workbookViewId="0">
      <selection activeCell="A192" sqref="A192"/>
    </sheetView>
  </sheetViews>
  <sheetFormatPr defaultColWidth="8.7109375" defaultRowHeight="15"/>
  <cols>
    <col min="1" max="1" width="13" bestFit="1" customWidth="1"/>
    <col min="2" max="2" width="25.42578125" bestFit="1" customWidth="1"/>
    <col min="3" max="3" width="12.28515625" bestFit="1" customWidth="1"/>
    <col min="4" max="4" width="16.7109375" bestFit="1" customWidth="1"/>
    <col min="5" max="5" width="19.140625" bestFit="1" customWidth="1"/>
    <col min="6" max="6" width="11.28515625" bestFit="1" customWidth="1"/>
    <col min="7" max="7" width="10.28515625" bestFit="1" customWidth="1"/>
  </cols>
  <sheetData>
    <row r="1" spans="1:7">
      <c r="A1" t="s">
        <v>1031</v>
      </c>
      <c r="B1" t="s">
        <v>1032</v>
      </c>
      <c r="C1" t="s">
        <v>57</v>
      </c>
      <c r="D1" t="s">
        <v>1033</v>
      </c>
      <c r="E1" t="s">
        <v>1037</v>
      </c>
      <c r="F1" t="s">
        <v>1036</v>
      </c>
      <c r="G1" t="s">
        <v>1034</v>
      </c>
    </row>
    <row r="2" spans="1:7">
      <c r="A2" t="s">
        <v>896</v>
      </c>
      <c r="B2" t="s">
        <v>897</v>
      </c>
      <c r="C2" t="s">
        <v>898</v>
      </c>
      <c r="D2" s="1">
        <v>43083</v>
      </c>
      <c r="E2">
        <v>240</v>
      </c>
      <c r="F2" t="s">
        <v>1048</v>
      </c>
      <c r="G2" t="s">
        <v>1046</v>
      </c>
    </row>
    <row r="3" spans="1:7">
      <c r="A3" t="s">
        <v>878</v>
      </c>
      <c r="B3" t="s">
        <v>879</v>
      </c>
      <c r="C3" t="s">
        <v>880</v>
      </c>
      <c r="D3" s="1">
        <v>43436</v>
      </c>
      <c r="E3">
        <v>240</v>
      </c>
      <c r="F3" t="s">
        <v>1048</v>
      </c>
      <c r="G3" t="s">
        <v>949</v>
      </c>
    </row>
    <row r="4" spans="1:7">
      <c r="A4" t="s">
        <v>627</v>
      </c>
      <c r="B4" t="s">
        <v>628</v>
      </c>
      <c r="C4" t="s">
        <v>629</v>
      </c>
      <c r="D4" s="1">
        <v>43006</v>
      </c>
      <c r="E4">
        <v>240</v>
      </c>
      <c r="F4" t="s">
        <v>1042</v>
      </c>
      <c r="G4" t="s">
        <v>1046</v>
      </c>
    </row>
    <row r="5" spans="1:7">
      <c r="A5" t="s">
        <v>644</v>
      </c>
      <c r="B5" t="s">
        <v>645</v>
      </c>
      <c r="C5" t="s">
        <v>646</v>
      </c>
      <c r="D5" s="1">
        <v>43409</v>
      </c>
      <c r="E5">
        <v>240</v>
      </c>
      <c r="F5" t="s">
        <v>1042</v>
      </c>
      <c r="G5" t="s">
        <v>1046</v>
      </c>
    </row>
    <row r="6" spans="1:7">
      <c r="A6" t="s">
        <v>632</v>
      </c>
      <c r="B6" t="s">
        <v>633</v>
      </c>
      <c r="C6" t="s">
        <v>634</v>
      </c>
      <c r="D6" s="1">
        <v>42788</v>
      </c>
      <c r="E6">
        <v>240</v>
      </c>
      <c r="F6" t="s">
        <v>1042</v>
      </c>
      <c r="G6" t="s">
        <v>1046</v>
      </c>
    </row>
    <row r="7" spans="1:7">
      <c r="A7" t="s">
        <v>589</v>
      </c>
      <c r="B7" t="s">
        <v>590</v>
      </c>
      <c r="C7" t="s">
        <v>146</v>
      </c>
      <c r="D7" s="1">
        <v>42234</v>
      </c>
      <c r="E7">
        <v>230</v>
      </c>
      <c r="F7" t="s">
        <v>1042</v>
      </c>
      <c r="G7" t="s">
        <v>1046</v>
      </c>
    </row>
    <row r="8" spans="1:7">
      <c r="A8" t="s">
        <v>379</v>
      </c>
      <c r="B8" t="s">
        <v>380</v>
      </c>
      <c r="C8" t="s">
        <v>381</v>
      </c>
      <c r="D8" s="1">
        <v>40373</v>
      </c>
      <c r="E8">
        <v>230</v>
      </c>
      <c r="F8" t="s">
        <v>1042</v>
      </c>
      <c r="G8" t="s">
        <v>1046</v>
      </c>
    </row>
    <row r="9" spans="1:7">
      <c r="A9" t="s">
        <v>317</v>
      </c>
      <c r="B9" t="s">
        <v>318</v>
      </c>
      <c r="C9" t="s">
        <v>319</v>
      </c>
      <c r="D9" s="1">
        <v>40328</v>
      </c>
      <c r="E9">
        <v>230</v>
      </c>
      <c r="F9" t="s">
        <v>1042</v>
      </c>
      <c r="G9" t="s">
        <v>1046</v>
      </c>
    </row>
    <row r="10" spans="1:7">
      <c r="A10" t="s">
        <v>477</v>
      </c>
      <c r="B10" t="s">
        <v>478</v>
      </c>
      <c r="C10" t="s">
        <v>479</v>
      </c>
      <c r="D10" s="1">
        <v>41474</v>
      </c>
      <c r="E10">
        <v>230</v>
      </c>
      <c r="F10" t="s">
        <v>1042</v>
      </c>
      <c r="G10" t="s">
        <v>1046</v>
      </c>
    </row>
    <row r="11" spans="1:7">
      <c r="A11" t="s">
        <v>922</v>
      </c>
      <c r="B11" t="s">
        <v>923</v>
      </c>
      <c r="C11" t="s">
        <v>117</v>
      </c>
      <c r="D11" s="1">
        <v>40995</v>
      </c>
      <c r="E11">
        <v>230</v>
      </c>
      <c r="F11" t="s">
        <v>1042</v>
      </c>
      <c r="G11" t="s">
        <v>1046</v>
      </c>
    </row>
    <row r="12" spans="1:7">
      <c r="A12" t="s">
        <v>260</v>
      </c>
      <c r="B12" t="s">
        <v>261</v>
      </c>
      <c r="C12" t="s">
        <v>262</v>
      </c>
      <c r="D12" s="1">
        <v>40243</v>
      </c>
      <c r="E12">
        <v>230</v>
      </c>
      <c r="F12" t="s">
        <v>1042</v>
      </c>
      <c r="G12" t="s">
        <v>1046</v>
      </c>
    </row>
    <row r="13" spans="1:7">
      <c r="A13" t="s">
        <v>409</v>
      </c>
      <c r="B13" t="s">
        <v>410</v>
      </c>
      <c r="C13" t="s">
        <v>411</v>
      </c>
      <c r="D13" s="1">
        <v>40796</v>
      </c>
      <c r="E13">
        <v>230</v>
      </c>
      <c r="F13" t="s">
        <v>1042</v>
      </c>
      <c r="G13" t="s">
        <v>1046</v>
      </c>
    </row>
    <row r="14" spans="1:7">
      <c r="A14" t="s">
        <v>530</v>
      </c>
      <c r="B14" t="s">
        <v>531</v>
      </c>
      <c r="C14" t="s">
        <v>532</v>
      </c>
      <c r="D14" s="1">
        <v>41760</v>
      </c>
      <c r="E14">
        <v>230</v>
      </c>
      <c r="F14" t="s">
        <v>1042</v>
      </c>
      <c r="G14" t="s">
        <v>949</v>
      </c>
    </row>
    <row r="15" spans="1:7">
      <c r="A15" t="s">
        <v>536</v>
      </c>
      <c r="B15" t="s">
        <v>537</v>
      </c>
      <c r="C15" t="s">
        <v>419</v>
      </c>
      <c r="D15" s="1">
        <v>41760</v>
      </c>
      <c r="E15">
        <v>230</v>
      </c>
      <c r="F15" t="s">
        <v>1042</v>
      </c>
      <c r="G15" t="s">
        <v>949</v>
      </c>
    </row>
    <row r="16" spans="1:7">
      <c r="A16" t="s">
        <v>519</v>
      </c>
      <c r="B16" t="s">
        <v>520</v>
      </c>
      <c r="C16" t="s">
        <v>521</v>
      </c>
      <c r="D16" s="1">
        <v>41662</v>
      </c>
      <c r="E16">
        <v>230</v>
      </c>
      <c r="F16" t="s">
        <v>1042</v>
      </c>
      <c r="G16" t="s">
        <v>949</v>
      </c>
    </row>
    <row r="17" spans="1:7">
      <c r="A17" t="s">
        <v>538</v>
      </c>
      <c r="B17" t="s">
        <v>539</v>
      </c>
      <c r="C17" t="s">
        <v>540</v>
      </c>
      <c r="D17" s="1">
        <v>41662</v>
      </c>
      <c r="E17">
        <v>230</v>
      </c>
      <c r="F17" t="s">
        <v>1042</v>
      </c>
      <c r="G17" t="s">
        <v>1046</v>
      </c>
    </row>
    <row r="18" spans="1:7">
      <c r="A18" t="s">
        <v>558</v>
      </c>
      <c r="B18" t="s">
        <v>559</v>
      </c>
      <c r="C18" t="s">
        <v>342</v>
      </c>
      <c r="D18" s="1">
        <v>42111</v>
      </c>
      <c r="E18">
        <v>230</v>
      </c>
      <c r="F18" t="s">
        <v>1042</v>
      </c>
      <c r="G18" t="s">
        <v>1046</v>
      </c>
    </row>
    <row r="19" spans="1:7">
      <c r="A19" t="s">
        <v>314</v>
      </c>
      <c r="B19" t="s">
        <v>315</v>
      </c>
      <c r="C19" t="s">
        <v>316</v>
      </c>
      <c r="D19" s="1">
        <v>40557</v>
      </c>
      <c r="E19">
        <v>230</v>
      </c>
      <c r="F19" t="s">
        <v>1042</v>
      </c>
      <c r="G19" t="s">
        <v>949</v>
      </c>
    </row>
    <row r="20" spans="1:7">
      <c r="A20" t="s">
        <v>541</v>
      </c>
      <c r="B20" t="s">
        <v>542</v>
      </c>
      <c r="C20" t="s">
        <v>543</v>
      </c>
      <c r="D20" s="1">
        <v>42040</v>
      </c>
      <c r="E20">
        <v>230</v>
      </c>
      <c r="F20" t="s">
        <v>1042</v>
      </c>
      <c r="G20" t="s">
        <v>949</v>
      </c>
    </row>
    <row r="21" spans="1:7">
      <c r="A21" t="s">
        <v>322</v>
      </c>
      <c r="B21" t="s">
        <v>323</v>
      </c>
      <c r="C21" t="s">
        <v>324</v>
      </c>
      <c r="D21" s="1">
        <v>41167</v>
      </c>
      <c r="E21">
        <v>230</v>
      </c>
      <c r="F21" t="s">
        <v>1042</v>
      </c>
      <c r="G21" t="s">
        <v>1046</v>
      </c>
    </row>
    <row r="22" spans="1:7">
      <c r="A22" t="s">
        <v>417</v>
      </c>
      <c r="B22" t="s">
        <v>418</v>
      </c>
      <c r="C22" t="s">
        <v>419</v>
      </c>
      <c r="D22" s="1">
        <v>40929</v>
      </c>
      <c r="E22">
        <v>230</v>
      </c>
      <c r="F22" t="s">
        <v>1042</v>
      </c>
      <c r="G22" t="s">
        <v>949</v>
      </c>
    </row>
    <row r="23" spans="1:7">
      <c r="A23" t="s">
        <v>507</v>
      </c>
      <c r="B23" t="s">
        <v>508</v>
      </c>
      <c r="C23" t="s">
        <v>509</v>
      </c>
      <c r="D23" s="1">
        <v>41780</v>
      </c>
      <c r="E23">
        <v>230</v>
      </c>
      <c r="F23" t="s">
        <v>1042</v>
      </c>
      <c r="G23" t="s">
        <v>949</v>
      </c>
    </row>
    <row r="24" spans="1:7">
      <c r="A24" t="s">
        <v>488</v>
      </c>
      <c r="B24" t="s">
        <v>489</v>
      </c>
      <c r="C24" t="s">
        <v>490</v>
      </c>
      <c r="D24" s="1">
        <v>41323</v>
      </c>
      <c r="E24">
        <v>230</v>
      </c>
      <c r="F24" t="s">
        <v>1042</v>
      </c>
      <c r="G24" t="s">
        <v>1046</v>
      </c>
    </row>
    <row r="25" spans="1:7">
      <c r="A25" t="s">
        <v>350</v>
      </c>
      <c r="B25" t="s">
        <v>351</v>
      </c>
      <c r="C25" t="s">
        <v>352</v>
      </c>
      <c r="D25" s="1">
        <v>40512</v>
      </c>
      <c r="E25">
        <v>230</v>
      </c>
      <c r="F25" t="s">
        <v>1042</v>
      </c>
      <c r="G25" t="s">
        <v>1046</v>
      </c>
    </row>
    <row r="26" spans="1:7">
      <c r="A26" t="s">
        <v>340</v>
      </c>
      <c r="B26" t="s">
        <v>341</v>
      </c>
      <c r="C26" t="s">
        <v>342</v>
      </c>
      <c r="D26" s="1">
        <v>40227</v>
      </c>
      <c r="E26">
        <v>230</v>
      </c>
      <c r="F26" t="s">
        <v>1042</v>
      </c>
      <c r="G26" t="s">
        <v>1046</v>
      </c>
    </row>
    <row r="27" spans="1:7">
      <c r="A27" t="s">
        <v>462</v>
      </c>
      <c r="B27" t="s">
        <v>463</v>
      </c>
      <c r="C27" t="s">
        <v>464</v>
      </c>
      <c r="D27" s="1">
        <v>41375</v>
      </c>
      <c r="E27">
        <v>230</v>
      </c>
      <c r="F27" t="s">
        <v>1042</v>
      </c>
      <c r="G27" t="s">
        <v>949</v>
      </c>
    </row>
    <row r="28" spans="1:7">
      <c r="A28" t="s">
        <v>391</v>
      </c>
      <c r="B28" t="s">
        <v>392</v>
      </c>
      <c r="C28" t="s">
        <v>393</v>
      </c>
      <c r="D28" s="1">
        <v>40329</v>
      </c>
      <c r="E28">
        <v>230</v>
      </c>
      <c r="F28" t="s">
        <v>1042</v>
      </c>
      <c r="G28" t="s">
        <v>1046</v>
      </c>
    </row>
    <row r="29" spans="1:7">
      <c r="A29" t="s">
        <v>373</v>
      </c>
      <c r="B29" t="s">
        <v>374</v>
      </c>
      <c r="C29" t="s">
        <v>375</v>
      </c>
      <c r="D29" s="1">
        <v>40700</v>
      </c>
      <c r="E29">
        <v>230</v>
      </c>
      <c r="F29" t="s">
        <v>1042</v>
      </c>
      <c r="G29" t="s">
        <v>1046</v>
      </c>
    </row>
    <row r="30" spans="1:7">
      <c r="A30" t="s">
        <v>471</v>
      </c>
      <c r="B30" t="s">
        <v>472</v>
      </c>
      <c r="C30" t="s">
        <v>473</v>
      </c>
      <c r="D30" s="1">
        <v>41108</v>
      </c>
      <c r="E30">
        <v>230</v>
      </c>
      <c r="F30" t="s">
        <v>1042</v>
      </c>
      <c r="G30" t="s">
        <v>1046</v>
      </c>
    </row>
    <row r="31" spans="1:7">
      <c r="A31" t="s">
        <v>397</v>
      </c>
      <c r="B31" t="s">
        <v>398</v>
      </c>
      <c r="C31" t="s">
        <v>399</v>
      </c>
      <c r="D31" s="1">
        <v>40637</v>
      </c>
      <c r="E31">
        <v>230</v>
      </c>
      <c r="F31" t="s">
        <v>1042</v>
      </c>
      <c r="G31" t="s">
        <v>1046</v>
      </c>
    </row>
    <row r="32" spans="1:7">
      <c r="A32" t="s">
        <v>465</v>
      </c>
      <c r="B32" t="s">
        <v>466</v>
      </c>
      <c r="C32" t="s">
        <v>467</v>
      </c>
      <c r="D32" s="1">
        <v>41068</v>
      </c>
      <c r="E32">
        <v>230</v>
      </c>
      <c r="F32" t="s">
        <v>1042</v>
      </c>
      <c r="G32" t="s">
        <v>1046</v>
      </c>
    </row>
    <row r="33" spans="1:7">
      <c r="A33" t="s">
        <v>382</v>
      </c>
      <c r="B33" t="s">
        <v>383</v>
      </c>
      <c r="C33" t="s">
        <v>384</v>
      </c>
      <c r="D33" s="1">
        <v>40253</v>
      </c>
      <c r="E33">
        <v>230</v>
      </c>
      <c r="F33" t="s">
        <v>1042</v>
      </c>
      <c r="G33" t="s">
        <v>949</v>
      </c>
    </row>
    <row r="34" spans="1:7">
      <c r="A34" t="s">
        <v>400</v>
      </c>
      <c r="B34" t="s">
        <v>401</v>
      </c>
      <c r="C34" t="s">
        <v>402</v>
      </c>
      <c r="D34" s="1">
        <v>40547</v>
      </c>
      <c r="E34">
        <v>230</v>
      </c>
      <c r="F34" t="s">
        <v>1042</v>
      </c>
      <c r="G34" t="s">
        <v>949</v>
      </c>
    </row>
    <row r="35" spans="1:7">
      <c r="A35" t="s">
        <v>289</v>
      </c>
      <c r="B35" t="s">
        <v>290</v>
      </c>
      <c r="C35" t="s">
        <v>291</v>
      </c>
      <c r="D35" s="1">
        <v>40239</v>
      </c>
      <c r="E35">
        <v>230</v>
      </c>
      <c r="F35" t="s">
        <v>1042</v>
      </c>
      <c r="G35" t="s">
        <v>1046</v>
      </c>
    </row>
    <row r="36" spans="1:7">
      <c r="A36" t="s">
        <v>430</v>
      </c>
      <c r="B36" t="s">
        <v>431</v>
      </c>
      <c r="C36" t="s">
        <v>324</v>
      </c>
      <c r="D36" s="1">
        <v>41014</v>
      </c>
      <c r="E36">
        <v>230</v>
      </c>
      <c r="F36" t="s">
        <v>1042</v>
      </c>
      <c r="G36" t="s">
        <v>1046</v>
      </c>
    </row>
    <row r="37" spans="1:7">
      <c r="A37" t="s">
        <v>468</v>
      </c>
      <c r="B37" t="s">
        <v>469</v>
      </c>
      <c r="C37" t="s">
        <v>470</v>
      </c>
      <c r="D37" s="1">
        <v>41611</v>
      </c>
      <c r="E37">
        <v>230</v>
      </c>
      <c r="F37" t="s">
        <v>1042</v>
      </c>
      <c r="G37" t="s">
        <v>949</v>
      </c>
    </row>
    <row r="38" spans="1:7">
      <c r="A38" t="s">
        <v>295</v>
      </c>
      <c r="B38" t="s">
        <v>296</v>
      </c>
      <c r="C38" t="s">
        <v>297</v>
      </c>
      <c r="D38" s="1">
        <v>40327</v>
      </c>
      <c r="E38">
        <v>230</v>
      </c>
      <c r="F38" t="s">
        <v>1042</v>
      </c>
      <c r="G38" t="s">
        <v>1046</v>
      </c>
    </row>
    <row r="39" spans="1:7">
      <c r="A39" t="s">
        <v>435</v>
      </c>
      <c r="B39" t="s">
        <v>436</v>
      </c>
      <c r="C39" t="s">
        <v>437</v>
      </c>
      <c r="D39" s="1">
        <v>41303</v>
      </c>
      <c r="E39">
        <v>230</v>
      </c>
      <c r="F39" t="s">
        <v>1042</v>
      </c>
      <c r="G39" t="s">
        <v>1046</v>
      </c>
    </row>
    <row r="40" spans="1:7">
      <c r="A40" t="s">
        <v>425</v>
      </c>
      <c r="B40" t="s">
        <v>426</v>
      </c>
      <c r="C40" t="s">
        <v>427</v>
      </c>
      <c r="D40" s="1">
        <v>41398</v>
      </c>
      <c r="E40">
        <v>230</v>
      </c>
      <c r="F40" t="s">
        <v>1042</v>
      </c>
      <c r="G40" t="s">
        <v>1046</v>
      </c>
    </row>
    <row r="41" spans="1:7">
      <c r="A41" t="s">
        <v>301</v>
      </c>
      <c r="B41" t="s">
        <v>302</v>
      </c>
      <c r="C41" t="s">
        <v>297</v>
      </c>
      <c r="D41" s="1">
        <v>40189</v>
      </c>
      <c r="E41">
        <v>230</v>
      </c>
      <c r="F41" t="s">
        <v>1042</v>
      </c>
      <c r="G41" t="s">
        <v>1046</v>
      </c>
    </row>
    <row r="42" spans="1:7">
      <c r="A42" t="s">
        <v>359</v>
      </c>
      <c r="B42" t="s">
        <v>360</v>
      </c>
      <c r="C42" t="s">
        <v>361</v>
      </c>
      <c r="D42" s="1">
        <v>40309</v>
      </c>
      <c r="E42">
        <v>230</v>
      </c>
      <c r="F42" t="s">
        <v>1042</v>
      </c>
      <c r="G42" t="s">
        <v>949</v>
      </c>
    </row>
    <row r="43" spans="1:7">
      <c r="A43" t="s">
        <v>367</v>
      </c>
      <c r="B43" t="s">
        <v>368</v>
      </c>
      <c r="C43" t="s">
        <v>369</v>
      </c>
      <c r="D43" s="1">
        <v>40498</v>
      </c>
      <c r="E43">
        <v>230</v>
      </c>
      <c r="F43" t="s">
        <v>1042</v>
      </c>
      <c r="G43" t="s">
        <v>1046</v>
      </c>
    </row>
    <row r="44" spans="1:7">
      <c r="A44" t="s">
        <v>331</v>
      </c>
      <c r="B44" t="s">
        <v>332</v>
      </c>
      <c r="C44" t="s">
        <v>333</v>
      </c>
      <c r="D44" s="1">
        <v>40626</v>
      </c>
      <c r="E44">
        <v>230</v>
      </c>
      <c r="F44" t="s">
        <v>1042</v>
      </c>
      <c r="G44" t="s">
        <v>949</v>
      </c>
    </row>
    <row r="45" spans="1:7">
      <c r="A45" t="s">
        <v>496</v>
      </c>
      <c r="B45" t="s">
        <v>497</v>
      </c>
      <c r="C45" t="s">
        <v>498</v>
      </c>
      <c r="D45" s="1">
        <v>41867</v>
      </c>
      <c r="E45">
        <v>230</v>
      </c>
      <c r="F45" t="s">
        <v>1042</v>
      </c>
      <c r="G45" t="s">
        <v>949</v>
      </c>
    </row>
    <row r="46" spans="1:7">
      <c r="A46" t="s">
        <v>513</v>
      </c>
      <c r="B46" t="s">
        <v>514</v>
      </c>
      <c r="C46" t="s">
        <v>515</v>
      </c>
      <c r="D46" s="1">
        <v>41737</v>
      </c>
      <c r="E46">
        <v>230</v>
      </c>
      <c r="F46" t="s">
        <v>1042</v>
      </c>
      <c r="G46" t="s">
        <v>949</v>
      </c>
    </row>
    <row r="47" spans="1:7">
      <c r="A47" t="s">
        <v>444</v>
      </c>
      <c r="B47" t="s">
        <v>445</v>
      </c>
      <c r="C47" t="s">
        <v>446</v>
      </c>
      <c r="D47" s="1">
        <v>41282</v>
      </c>
      <c r="E47">
        <v>230</v>
      </c>
      <c r="F47" t="s">
        <v>1042</v>
      </c>
      <c r="G47" t="s">
        <v>949</v>
      </c>
    </row>
    <row r="48" spans="1:7">
      <c r="A48" t="s">
        <v>522</v>
      </c>
      <c r="B48" t="s">
        <v>523</v>
      </c>
      <c r="C48" t="s">
        <v>342</v>
      </c>
      <c r="D48" s="1">
        <v>41582</v>
      </c>
      <c r="E48">
        <v>230</v>
      </c>
      <c r="F48" t="s">
        <v>1042</v>
      </c>
      <c r="G48" t="s">
        <v>1046</v>
      </c>
    </row>
    <row r="49" spans="1:7">
      <c r="A49" t="s">
        <v>456</v>
      </c>
      <c r="B49" t="s">
        <v>457</v>
      </c>
      <c r="C49" t="s">
        <v>458</v>
      </c>
      <c r="D49" s="1">
        <v>41365</v>
      </c>
      <c r="E49">
        <v>230</v>
      </c>
      <c r="F49" t="s">
        <v>1042</v>
      </c>
      <c r="G49" t="s">
        <v>949</v>
      </c>
    </row>
    <row r="50" spans="1:7">
      <c r="A50" t="s">
        <v>504</v>
      </c>
      <c r="B50" t="s">
        <v>505</v>
      </c>
      <c r="C50" t="s">
        <v>506</v>
      </c>
      <c r="D50" s="1">
        <v>41557</v>
      </c>
      <c r="E50">
        <v>230</v>
      </c>
      <c r="F50" t="s">
        <v>1042</v>
      </c>
      <c r="G50" t="s">
        <v>1046</v>
      </c>
    </row>
    <row r="51" spans="1:7">
      <c r="A51" t="s">
        <v>272</v>
      </c>
      <c r="B51" t="s">
        <v>273</v>
      </c>
      <c r="C51" t="s">
        <v>274</v>
      </c>
      <c r="D51" s="1">
        <v>40541</v>
      </c>
      <c r="E51">
        <v>230</v>
      </c>
      <c r="F51" t="s">
        <v>1042</v>
      </c>
      <c r="G51" t="s">
        <v>1046</v>
      </c>
    </row>
    <row r="52" spans="1:7">
      <c r="A52" t="s">
        <v>499</v>
      </c>
      <c r="B52" t="s">
        <v>500</v>
      </c>
      <c r="C52" t="s">
        <v>501</v>
      </c>
      <c r="D52" s="1">
        <v>41569</v>
      </c>
      <c r="E52">
        <v>230</v>
      </c>
      <c r="F52" t="s">
        <v>1042</v>
      </c>
      <c r="G52" t="s">
        <v>1046</v>
      </c>
    </row>
    <row r="53" spans="1:7">
      <c r="A53" t="s">
        <v>578</v>
      </c>
      <c r="B53" t="s">
        <v>579</v>
      </c>
      <c r="C53" t="s">
        <v>580</v>
      </c>
      <c r="D53" s="1">
        <v>42308</v>
      </c>
      <c r="E53">
        <v>230</v>
      </c>
      <c r="F53" t="s">
        <v>1042</v>
      </c>
      <c r="G53" t="s">
        <v>1046</v>
      </c>
    </row>
    <row r="54" spans="1:7">
      <c r="A54" t="s">
        <v>347</v>
      </c>
      <c r="B54" t="s">
        <v>348</v>
      </c>
      <c r="C54" t="s">
        <v>349</v>
      </c>
      <c r="D54" s="1">
        <v>40413</v>
      </c>
      <c r="E54">
        <v>230</v>
      </c>
      <c r="F54" t="s">
        <v>1042</v>
      </c>
      <c r="G54" t="s">
        <v>949</v>
      </c>
    </row>
    <row r="55" spans="1:7">
      <c r="A55" t="s">
        <v>432</v>
      </c>
      <c r="B55" t="s">
        <v>433</v>
      </c>
      <c r="C55" t="s">
        <v>434</v>
      </c>
      <c r="D55" s="1">
        <v>41668</v>
      </c>
      <c r="E55">
        <v>230</v>
      </c>
      <c r="F55" t="s">
        <v>1042</v>
      </c>
      <c r="G55" t="s">
        <v>949</v>
      </c>
    </row>
    <row r="56" spans="1:7">
      <c r="A56" t="s">
        <v>491</v>
      </c>
      <c r="B56" t="s">
        <v>1196</v>
      </c>
      <c r="C56" t="s">
        <v>493</v>
      </c>
      <c r="D56" s="1">
        <v>41801</v>
      </c>
      <c r="E56">
        <v>230</v>
      </c>
      <c r="F56" t="s">
        <v>1042</v>
      </c>
      <c r="G56" t="s">
        <v>949</v>
      </c>
    </row>
    <row r="57" spans="1:7">
      <c r="A57" t="s">
        <v>486</v>
      </c>
      <c r="B57" t="s">
        <v>487</v>
      </c>
      <c r="C57" t="s">
        <v>396</v>
      </c>
      <c r="D57" s="1">
        <v>41832</v>
      </c>
      <c r="E57">
        <v>230</v>
      </c>
      <c r="F57" t="s">
        <v>1042</v>
      </c>
      <c r="G57" t="s">
        <v>949</v>
      </c>
    </row>
    <row r="58" spans="1:7">
      <c r="A58" t="s">
        <v>527</v>
      </c>
      <c r="B58" t="s">
        <v>528</v>
      </c>
      <c r="C58" t="s">
        <v>529</v>
      </c>
      <c r="D58" s="1">
        <v>41692</v>
      </c>
      <c r="E58">
        <v>230</v>
      </c>
      <c r="F58" t="s">
        <v>1042</v>
      </c>
      <c r="G58" t="s">
        <v>1046</v>
      </c>
    </row>
    <row r="59" spans="1:7">
      <c r="A59" t="s">
        <v>447</v>
      </c>
      <c r="B59" t="s">
        <v>448</v>
      </c>
      <c r="C59" t="s">
        <v>449</v>
      </c>
      <c r="D59" s="1">
        <v>40937</v>
      </c>
      <c r="E59">
        <v>230</v>
      </c>
      <c r="F59" t="s">
        <v>1042</v>
      </c>
      <c r="G59" t="s">
        <v>1046</v>
      </c>
    </row>
    <row r="60" spans="1:7">
      <c r="A60" t="s">
        <v>516</v>
      </c>
      <c r="B60" t="s">
        <v>517</v>
      </c>
      <c r="C60" t="s">
        <v>518</v>
      </c>
      <c r="D60" s="1">
        <v>41574</v>
      </c>
      <c r="E60">
        <v>230</v>
      </c>
      <c r="F60" t="s">
        <v>1042</v>
      </c>
      <c r="G60" t="s">
        <v>1046</v>
      </c>
    </row>
    <row r="61" spans="1:7">
      <c r="A61" t="s">
        <v>459</v>
      </c>
      <c r="B61" t="s">
        <v>460</v>
      </c>
      <c r="C61" t="s">
        <v>461</v>
      </c>
      <c r="D61" s="1">
        <v>41477</v>
      </c>
      <c r="E61">
        <v>230</v>
      </c>
      <c r="F61" t="s">
        <v>1042</v>
      </c>
      <c r="G61" t="s">
        <v>1046</v>
      </c>
    </row>
    <row r="62" spans="1:7">
      <c r="A62" t="s">
        <v>548</v>
      </c>
      <c r="B62" t="s">
        <v>549</v>
      </c>
      <c r="C62" t="s">
        <v>550</v>
      </c>
      <c r="D62" s="1">
        <v>41586</v>
      </c>
      <c r="E62">
        <v>230</v>
      </c>
      <c r="F62" t="s">
        <v>1042</v>
      </c>
      <c r="G62" t="s">
        <v>1046</v>
      </c>
    </row>
    <row r="63" spans="1:7">
      <c r="A63" t="s">
        <v>422</v>
      </c>
      <c r="B63" t="s">
        <v>423</v>
      </c>
      <c r="C63" t="s">
        <v>424</v>
      </c>
      <c r="D63" s="1">
        <v>41121</v>
      </c>
      <c r="E63">
        <v>230</v>
      </c>
      <c r="F63" t="s">
        <v>1042</v>
      </c>
      <c r="G63" t="s">
        <v>949</v>
      </c>
    </row>
    <row r="64" spans="1:7">
      <c r="A64" t="s">
        <v>480</v>
      </c>
      <c r="B64" t="s">
        <v>481</v>
      </c>
      <c r="C64" t="s">
        <v>482</v>
      </c>
      <c r="D64" s="1">
        <v>41706</v>
      </c>
      <c r="E64">
        <v>230</v>
      </c>
      <c r="F64" t="s">
        <v>1042</v>
      </c>
      <c r="G64" t="s">
        <v>949</v>
      </c>
    </row>
    <row r="65" spans="1:7">
      <c r="A65" t="s">
        <v>502</v>
      </c>
      <c r="B65" t="s">
        <v>503</v>
      </c>
      <c r="C65" t="s">
        <v>201</v>
      </c>
      <c r="D65" s="1">
        <v>41686</v>
      </c>
      <c r="E65">
        <v>230</v>
      </c>
      <c r="F65" t="s">
        <v>1042</v>
      </c>
      <c r="G65" t="s">
        <v>949</v>
      </c>
    </row>
    <row r="66" spans="1:7">
      <c r="A66" t="s">
        <v>362</v>
      </c>
      <c r="B66" t="s">
        <v>363</v>
      </c>
      <c r="C66" t="s">
        <v>364</v>
      </c>
      <c r="D66" s="1">
        <v>40344</v>
      </c>
      <c r="E66">
        <v>230</v>
      </c>
      <c r="F66" t="s">
        <v>1042</v>
      </c>
      <c r="G66" t="s">
        <v>1046</v>
      </c>
    </row>
    <row r="67" spans="1:7">
      <c r="A67" t="s">
        <v>420</v>
      </c>
      <c r="B67" t="s">
        <v>421</v>
      </c>
      <c r="C67" t="s">
        <v>74</v>
      </c>
      <c r="D67" s="1">
        <v>41214</v>
      </c>
      <c r="E67">
        <v>230</v>
      </c>
      <c r="F67" t="s">
        <v>1042</v>
      </c>
      <c r="G67" t="s">
        <v>1046</v>
      </c>
    </row>
    <row r="68" spans="1:7">
      <c r="A68" t="s">
        <v>311</v>
      </c>
      <c r="B68" t="s">
        <v>312</v>
      </c>
      <c r="C68" t="s">
        <v>313</v>
      </c>
      <c r="D68" s="1">
        <v>40439</v>
      </c>
      <c r="E68">
        <v>230</v>
      </c>
      <c r="F68" t="s">
        <v>1042</v>
      </c>
      <c r="G68" t="s">
        <v>1046</v>
      </c>
    </row>
    <row r="69" spans="1:7">
      <c r="A69" t="s">
        <v>320</v>
      </c>
      <c r="B69" t="s">
        <v>321</v>
      </c>
      <c r="C69" t="s">
        <v>271</v>
      </c>
      <c r="D69" s="1">
        <v>40381</v>
      </c>
      <c r="E69">
        <v>230</v>
      </c>
      <c r="F69" t="s">
        <v>1042</v>
      </c>
      <c r="G69" t="s">
        <v>949</v>
      </c>
    </row>
    <row r="70" spans="1:7">
      <c r="A70" t="s">
        <v>441</v>
      </c>
      <c r="B70" t="s">
        <v>442</v>
      </c>
      <c r="C70" t="s">
        <v>443</v>
      </c>
      <c r="D70" s="1">
        <v>41047</v>
      </c>
      <c r="E70">
        <v>230</v>
      </c>
      <c r="F70" t="s">
        <v>1042</v>
      </c>
      <c r="G70" t="s">
        <v>1046</v>
      </c>
    </row>
    <row r="71" spans="1:7">
      <c r="A71" t="s">
        <v>544</v>
      </c>
      <c r="B71" t="s">
        <v>545</v>
      </c>
      <c r="C71" t="s">
        <v>246</v>
      </c>
      <c r="D71" s="1">
        <v>41807</v>
      </c>
      <c r="E71">
        <v>230</v>
      </c>
      <c r="F71" t="s">
        <v>1042</v>
      </c>
      <c r="G71" t="s">
        <v>1046</v>
      </c>
    </row>
    <row r="72" spans="1:7">
      <c r="A72" t="s">
        <v>343</v>
      </c>
      <c r="B72" t="s">
        <v>344</v>
      </c>
      <c r="C72" t="s">
        <v>71</v>
      </c>
      <c r="D72" s="1">
        <v>41044</v>
      </c>
      <c r="E72">
        <v>230</v>
      </c>
      <c r="F72" t="s">
        <v>1042</v>
      </c>
      <c r="G72" t="s">
        <v>949</v>
      </c>
    </row>
    <row r="73" spans="1:7">
      <c r="A73" t="s">
        <v>563</v>
      </c>
      <c r="B73" t="s">
        <v>564</v>
      </c>
      <c r="C73" t="s">
        <v>565</v>
      </c>
      <c r="D73" s="1">
        <v>42058</v>
      </c>
      <c r="E73">
        <v>230</v>
      </c>
      <c r="F73" t="s">
        <v>1042</v>
      </c>
      <c r="G73" t="s">
        <v>1046</v>
      </c>
    </row>
    <row r="74" spans="1:7">
      <c r="A74" t="s">
        <v>533</v>
      </c>
      <c r="B74" t="s">
        <v>534</v>
      </c>
      <c r="C74" t="s">
        <v>535</v>
      </c>
      <c r="D74" s="1">
        <v>41901</v>
      </c>
      <c r="E74">
        <v>230</v>
      </c>
      <c r="F74" t="s">
        <v>1042</v>
      </c>
      <c r="G74" t="s">
        <v>1046</v>
      </c>
    </row>
    <row r="75" spans="1:7">
      <c r="A75" t="s">
        <v>328</v>
      </c>
      <c r="B75" t="s">
        <v>329</v>
      </c>
      <c r="C75" t="s">
        <v>330</v>
      </c>
      <c r="D75" s="1">
        <v>40429</v>
      </c>
      <c r="E75">
        <v>230</v>
      </c>
      <c r="F75" t="s">
        <v>1042</v>
      </c>
      <c r="G75" t="s">
        <v>1046</v>
      </c>
    </row>
    <row r="76" spans="1:7">
      <c r="A76" t="s">
        <v>553</v>
      </c>
      <c r="B76" t="s">
        <v>554</v>
      </c>
      <c r="C76" t="s">
        <v>555</v>
      </c>
      <c r="D76" s="1">
        <v>42188</v>
      </c>
      <c r="E76">
        <v>230</v>
      </c>
      <c r="F76" t="s">
        <v>1042</v>
      </c>
      <c r="G76" t="s">
        <v>1046</v>
      </c>
    </row>
    <row r="77" spans="1:7">
      <c r="A77" t="s">
        <v>412</v>
      </c>
      <c r="B77" t="s">
        <v>413</v>
      </c>
      <c r="C77" t="s">
        <v>414</v>
      </c>
      <c r="D77" s="1">
        <v>40974</v>
      </c>
      <c r="E77">
        <v>230</v>
      </c>
      <c r="F77" t="s">
        <v>1042</v>
      </c>
      <c r="G77" t="s">
        <v>949</v>
      </c>
    </row>
    <row r="78" spans="1:7">
      <c r="A78" t="s">
        <v>569</v>
      </c>
      <c r="B78" t="s">
        <v>570</v>
      </c>
      <c r="C78" t="s">
        <v>280</v>
      </c>
      <c r="D78" s="1">
        <v>42249</v>
      </c>
      <c r="E78">
        <v>230</v>
      </c>
      <c r="F78" t="s">
        <v>1042</v>
      </c>
      <c r="G78" t="s">
        <v>1046</v>
      </c>
    </row>
    <row r="79" spans="1:7">
      <c r="A79" t="s">
        <v>356</v>
      </c>
      <c r="B79" t="s">
        <v>357</v>
      </c>
      <c r="C79" t="s">
        <v>358</v>
      </c>
      <c r="D79" s="1">
        <v>40722</v>
      </c>
      <c r="E79">
        <v>230</v>
      </c>
      <c r="F79" t="s">
        <v>1042</v>
      </c>
      <c r="G79" t="s">
        <v>1046</v>
      </c>
    </row>
    <row r="80" spans="1:7">
      <c r="A80" t="s">
        <v>888</v>
      </c>
      <c r="B80" t="s">
        <v>889</v>
      </c>
      <c r="C80" t="s">
        <v>890</v>
      </c>
      <c r="D80" s="1">
        <v>40561</v>
      </c>
      <c r="E80">
        <v>230</v>
      </c>
      <c r="F80" t="s">
        <v>1042</v>
      </c>
      <c r="G80" t="s">
        <v>1046</v>
      </c>
    </row>
    <row r="81" spans="1:7">
      <c r="A81" t="s">
        <v>325</v>
      </c>
      <c r="B81" t="s">
        <v>326</v>
      </c>
      <c r="C81" t="s">
        <v>327</v>
      </c>
      <c r="D81" s="1">
        <v>40446</v>
      </c>
      <c r="E81">
        <v>230</v>
      </c>
      <c r="F81" t="s">
        <v>1042</v>
      </c>
      <c r="G81" t="s">
        <v>949</v>
      </c>
    </row>
    <row r="82" spans="1:7">
      <c r="A82" t="s">
        <v>450</v>
      </c>
      <c r="B82" t="s">
        <v>451</v>
      </c>
      <c r="C82" t="s">
        <v>452</v>
      </c>
      <c r="D82" s="1">
        <v>41299</v>
      </c>
      <c r="E82">
        <v>230</v>
      </c>
      <c r="F82" t="s">
        <v>1042</v>
      </c>
      <c r="G82" t="s">
        <v>949</v>
      </c>
    </row>
    <row r="83" spans="1:7">
      <c r="A83" t="s">
        <v>438</v>
      </c>
      <c r="B83" t="s">
        <v>439</v>
      </c>
      <c r="C83" t="s">
        <v>440</v>
      </c>
      <c r="D83" s="1">
        <v>41299</v>
      </c>
      <c r="E83">
        <v>230</v>
      </c>
      <c r="F83" t="s">
        <v>1042</v>
      </c>
      <c r="G83" t="s">
        <v>949</v>
      </c>
    </row>
    <row r="84" spans="1:7">
      <c r="A84" t="s">
        <v>494</v>
      </c>
      <c r="B84" t="s">
        <v>495</v>
      </c>
      <c r="C84" t="s">
        <v>330</v>
      </c>
      <c r="D84" s="1">
        <v>41159</v>
      </c>
      <c r="E84">
        <v>230</v>
      </c>
      <c r="F84" t="s">
        <v>1042</v>
      </c>
      <c r="G84" t="s">
        <v>1046</v>
      </c>
    </row>
    <row r="85" spans="1:7">
      <c r="A85" t="s">
        <v>334</v>
      </c>
      <c r="B85" t="s">
        <v>335</v>
      </c>
      <c r="C85" t="s">
        <v>336</v>
      </c>
      <c r="D85" s="1">
        <v>40786</v>
      </c>
      <c r="E85">
        <v>230</v>
      </c>
      <c r="F85" t="s">
        <v>1042</v>
      </c>
      <c r="G85" t="s">
        <v>1046</v>
      </c>
    </row>
    <row r="86" spans="1:7">
      <c r="A86" t="s">
        <v>365</v>
      </c>
      <c r="B86" t="s">
        <v>366</v>
      </c>
      <c r="C86" t="s">
        <v>265</v>
      </c>
      <c r="D86" s="1">
        <v>40227</v>
      </c>
      <c r="E86">
        <v>230</v>
      </c>
      <c r="F86" t="s">
        <v>1042</v>
      </c>
      <c r="G86" t="s">
        <v>949</v>
      </c>
    </row>
    <row r="87" spans="1:7">
      <c r="A87" t="s">
        <v>306</v>
      </c>
      <c r="B87" t="s">
        <v>307</v>
      </c>
      <c r="C87" t="s">
        <v>146</v>
      </c>
      <c r="D87" s="1">
        <v>40446</v>
      </c>
      <c r="E87">
        <v>230</v>
      </c>
      <c r="F87" t="s">
        <v>1042</v>
      </c>
      <c r="G87" t="s">
        <v>1046</v>
      </c>
    </row>
    <row r="88" spans="1:7">
      <c r="A88" t="s">
        <v>453</v>
      </c>
      <c r="B88" t="s">
        <v>454</v>
      </c>
      <c r="C88" t="s">
        <v>455</v>
      </c>
      <c r="D88" s="1">
        <v>41407</v>
      </c>
      <c r="E88">
        <v>230</v>
      </c>
      <c r="F88" t="s">
        <v>1042</v>
      </c>
      <c r="G88" t="s">
        <v>1046</v>
      </c>
    </row>
    <row r="89" spans="1:7">
      <c r="A89" t="s">
        <v>573</v>
      </c>
      <c r="B89" t="s">
        <v>574</v>
      </c>
      <c r="C89" t="s">
        <v>575</v>
      </c>
      <c r="D89" s="1">
        <v>42096</v>
      </c>
      <c r="E89">
        <v>230</v>
      </c>
      <c r="F89" t="s">
        <v>1042</v>
      </c>
      <c r="G89" t="s">
        <v>1046</v>
      </c>
    </row>
    <row r="90" spans="1:7">
      <c r="A90" t="s">
        <v>353</v>
      </c>
      <c r="B90" t="s">
        <v>1274</v>
      </c>
      <c r="C90" t="s">
        <v>355</v>
      </c>
      <c r="D90" s="1">
        <v>40806</v>
      </c>
      <c r="E90">
        <v>230</v>
      </c>
      <c r="F90" t="s">
        <v>1042</v>
      </c>
      <c r="G90" t="s">
        <v>949</v>
      </c>
    </row>
    <row r="91" spans="1:7">
      <c r="A91" t="s">
        <v>394</v>
      </c>
      <c r="B91" t="s">
        <v>395</v>
      </c>
      <c r="C91" t="s">
        <v>396</v>
      </c>
      <c r="D91" s="1">
        <v>40741</v>
      </c>
      <c r="E91">
        <v>230</v>
      </c>
      <c r="F91" t="s">
        <v>1042</v>
      </c>
      <c r="G91" t="s">
        <v>949</v>
      </c>
    </row>
    <row r="92" spans="1:7">
      <c r="A92" t="s">
        <v>370</v>
      </c>
      <c r="B92" t="s">
        <v>371</v>
      </c>
      <c r="C92" t="s">
        <v>372</v>
      </c>
      <c r="D92" s="1">
        <v>40790</v>
      </c>
      <c r="E92">
        <v>230</v>
      </c>
      <c r="F92" t="s">
        <v>1042</v>
      </c>
      <c r="G92" t="s">
        <v>949</v>
      </c>
    </row>
    <row r="93" spans="1:7">
      <c r="A93" t="s">
        <v>345</v>
      </c>
      <c r="B93" t="s">
        <v>346</v>
      </c>
      <c r="C93" t="s">
        <v>291</v>
      </c>
      <c r="D93" s="1">
        <v>40538</v>
      </c>
      <c r="E93">
        <v>230</v>
      </c>
      <c r="F93" t="s">
        <v>1042</v>
      </c>
      <c r="G93" t="s">
        <v>1046</v>
      </c>
    </row>
    <row r="94" spans="1:7">
      <c r="A94" t="s">
        <v>483</v>
      </c>
      <c r="B94" t="s">
        <v>484</v>
      </c>
      <c r="C94" t="s">
        <v>485</v>
      </c>
      <c r="D94" s="1">
        <v>41537</v>
      </c>
      <c r="E94">
        <v>230</v>
      </c>
      <c r="F94" t="s">
        <v>1042</v>
      </c>
      <c r="G94" t="s">
        <v>1046</v>
      </c>
    </row>
    <row r="95" spans="1:7">
      <c r="A95" t="s">
        <v>376</v>
      </c>
      <c r="B95" t="s">
        <v>377</v>
      </c>
      <c r="C95" t="s">
        <v>378</v>
      </c>
      <c r="D95" s="1">
        <v>40750</v>
      </c>
      <c r="E95">
        <v>230</v>
      </c>
      <c r="F95" t="s">
        <v>1042</v>
      </c>
      <c r="G95" t="s">
        <v>949</v>
      </c>
    </row>
    <row r="96" spans="1:7">
      <c r="A96" t="s">
        <v>926</v>
      </c>
      <c r="B96" t="s">
        <v>927</v>
      </c>
      <c r="C96" t="s">
        <v>575</v>
      </c>
      <c r="D96" s="1">
        <v>41761</v>
      </c>
      <c r="E96">
        <v>230</v>
      </c>
      <c r="F96" t="s">
        <v>1042</v>
      </c>
      <c r="G96" t="s">
        <v>1046</v>
      </c>
    </row>
    <row r="97" spans="1:7">
      <c r="A97" t="s">
        <v>584</v>
      </c>
      <c r="B97" t="s">
        <v>585</v>
      </c>
      <c r="C97" t="s">
        <v>586</v>
      </c>
      <c r="D97" s="1">
        <v>42333</v>
      </c>
      <c r="E97">
        <v>230</v>
      </c>
      <c r="F97" t="s">
        <v>1042</v>
      </c>
      <c r="G97" t="s">
        <v>1046</v>
      </c>
    </row>
    <row r="98" spans="1:7">
      <c r="A98" t="s">
        <v>603</v>
      </c>
      <c r="B98" t="s">
        <v>604</v>
      </c>
      <c r="C98" t="s">
        <v>605</v>
      </c>
      <c r="D98" s="1">
        <v>42481</v>
      </c>
      <c r="E98">
        <v>230</v>
      </c>
      <c r="F98" t="s">
        <v>1042</v>
      </c>
      <c r="G98" t="s">
        <v>1046</v>
      </c>
    </row>
    <row r="99" spans="1:7">
      <c r="A99" t="s">
        <v>403</v>
      </c>
      <c r="B99" t="s">
        <v>404</v>
      </c>
      <c r="C99" t="s">
        <v>405</v>
      </c>
      <c r="D99" s="1">
        <v>40226</v>
      </c>
      <c r="E99">
        <v>230</v>
      </c>
      <c r="F99" t="s">
        <v>1042</v>
      </c>
      <c r="G99" t="s">
        <v>1046</v>
      </c>
    </row>
    <row r="100" spans="1:7">
      <c r="A100" t="s">
        <v>510</v>
      </c>
      <c r="B100" t="s">
        <v>511</v>
      </c>
      <c r="C100" t="s">
        <v>512</v>
      </c>
      <c r="D100" s="1">
        <v>41149</v>
      </c>
      <c r="E100">
        <v>230</v>
      </c>
      <c r="F100" t="s">
        <v>1042</v>
      </c>
      <c r="G100" t="s">
        <v>1046</v>
      </c>
    </row>
    <row r="101" spans="1:7">
      <c r="A101" t="s">
        <v>75</v>
      </c>
      <c r="B101" t="s">
        <v>76</v>
      </c>
      <c r="C101" t="s">
        <v>77</v>
      </c>
      <c r="D101" s="1">
        <v>39356</v>
      </c>
      <c r="E101">
        <v>220</v>
      </c>
      <c r="F101" t="s">
        <v>1042</v>
      </c>
      <c r="G101" t="s">
        <v>949</v>
      </c>
    </row>
    <row r="102" spans="1:7">
      <c r="A102" t="s">
        <v>278</v>
      </c>
      <c r="B102" t="s">
        <v>279</v>
      </c>
      <c r="C102" t="s">
        <v>280</v>
      </c>
      <c r="D102" s="1">
        <v>40097</v>
      </c>
      <c r="E102">
        <v>220</v>
      </c>
      <c r="F102" t="s">
        <v>1042</v>
      </c>
      <c r="G102" t="s">
        <v>1046</v>
      </c>
    </row>
    <row r="103" spans="1:7">
      <c r="A103" t="s">
        <v>924</v>
      </c>
      <c r="B103" t="s">
        <v>925</v>
      </c>
      <c r="C103" t="s">
        <v>114</v>
      </c>
      <c r="D103" s="1">
        <v>39006</v>
      </c>
      <c r="E103">
        <v>220</v>
      </c>
      <c r="F103" t="s">
        <v>1042</v>
      </c>
      <c r="G103" t="s">
        <v>1046</v>
      </c>
    </row>
    <row r="104" spans="1:7">
      <c r="A104" t="s">
        <v>208</v>
      </c>
      <c r="B104" t="s">
        <v>209</v>
      </c>
      <c r="C104" t="s">
        <v>210</v>
      </c>
      <c r="D104" s="1">
        <v>39629</v>
      </c>
      <c r="E104">
        <v>220</v>
      </c>
      <c r="F104" t="s">
        <v>1042</v>
      </c>
      <c r="G104" t="s">
        <v>1046</v>
      </c>
    </row>
    <row r="105" spans="1:7">
      <c r="A105" t="s">
        <v>144</v>
      </c>
      <c r="B105" t="s">
        <v>145</v>
      </c>
      <c r="C105" t="s">
        <v>146</v>
      </c>
      <c r="D105" s="1">
        <v>39274</v>
      </c>
      <c r="E105">
        <v>220</v>
      </c>
      <c r="F105" t="s">
        <v>1042</v>
      </c>
      <c r="G105" t="s">
        <v>1046</v>
      </c>
    </row>
    <row r="106" spans="1:7">
      <c r="A106" t="s">
        <v>308</v>
      </c>
      <c r="B106" t="s">
        <v>309</v>
      </c>
      <c r="C106" t="s">
        <v>310</v>
      </c>
      <c r="D106" s="1">
        <v>39996</v>
      </c>
      <c r="E106">
        <v>220</v>
      </c>
      <c r="F106" t="s">
        <v>1042</v>
      </c>
      <c r="G106" t="s">
        <v>949</v>
      </c>
    </row>
    <row r="107" spans="1:7">
      <c r="A107" t="s">
        <v>905</v>
      </c>
      <c r="B107" t="s">
        <v>906</v>
      </c>
      <c r="C107" t="s">
        <v>907</v>
      </c>
      <c r="D107" s="1">
        <v>39205</v>
      </c>
      <c r="E107">
        <v>220</v>
      </c>
      <c r="F107" t="s">
        <v>1042</v>
      </c>
      <c r="G107" t="s">
        <v>1046</v>
      </c>
    </row>
    <row r="108" spans="1:7">
      <c r="A108" t="s">
        <v>269</v>
      </c>
      <c r="B108" t="s">
        <v>270</v>
      </c>
      <c r="C108" t="s">
        <v>271</v>
      </c>
      <c r="D108" s="1">
        <v>39655</v>
      </c>
      <c r="E108">
        <v>220</v>
      </c>
      <c r="F108" t="s">
        <v>1042</v>
      </c>
      <c r="G108" t="s">
        <v>949</v>
      </c>
    </row>
    <row r="109" spans="1:7">
      <c r="A109" t="s">
        <v>124</v>
      </c>
      <c r="B109" t="s">
        <v>125</v>
      </c>
      <c r="C109" t="s">
        <v>126</v>
      </c>
      <c r="D109" s="1">
        <v>39239</v>
      </c>
      <c r="E109">
        <v>220</v>
      </c>
      <c r="F109" t="s">
        <v>1042</v>
      </c>
      <c r="G109" t="s">
        <v>949</v>
      </c>
    </row>
    <row r="110" spans="1:7">
      <c r="A110" t="s">
        <v>220</v>
      </c>
      <c r="B110" t="s">
        <v>221</v>
      </c>
      <c r="C110" t="s">
        <v>222</v>
      </c>
      <c r="D110" s="1">
        <v>39751</v>
      </c>
      <c r="E110">
        <v>220</v>
      </c>
      <c r="F110" t="s">
        <v>1042</v>
      </c>
      <c r="G110" t="s">
        <v>1046</v>
      </c>
    </row>
    <row r="111" spans="1:7">
      <c r="A111" t="s">
        <v>150</v>
      </c>
      <c r="B111" t="s">
        <v>151</v>
      </c>
      <c r="C111" t="s">
        <v>152</v>
      </c>
      <c r="D111" s="1">
        <v>39199</v>
      </c>
      <c r="E111">
        <v>220</v>
      </c>
      <c r="F111" t="s">
        <v>1042</v>
      </c>
      <c r="G111" t="s">
        <v>1046</v>
      </c>
    </row>
    <row r="112" spans="1:7">
      <c r="A112" t="s">
        <v>81</v>
      </c>
      <c r="B112" t="s">
        <v>82</v>
      </c>
      <c r="C112" t="s">
        <v>83</v>
      </c>
      <c r="D112" s="1">
        <v>39367</v>
      </c>
      <c r="E112">
        <v>220</v>
      </c>
      <c r="F112" t="s">
        <v>1042</v>
      </c>
      <c r="G112" t="s">
        <v>949</v>
      </c>
    </row>
    <row r="113" spans="1:7">
      <c r="A113" t="s">
        <v>244</v>
      </c>
      <c r="B113" t="s">
        <v>245</v>
      </c>
      <c r="C113" t="s">
        <v>246</v>
      </c>
      <c r="D113" s="1">
        <v>39993</v>
      </c>
      <c r="E113">
        <v>220</v>
      </c>
      <c r="F113" t="s">
        <v>1042</v>
      </c>
      <c r="G113" t="s">
        <v>1046</v>
      </c>
    </row>
    <row r="114" spans="1:7">
      <c r="A114" t="s">
        <v>406</v>
      </c>
      <c r="B114" t="s">
        <v>407</v>
      </c>
      <c r="C114" t="s">
        <v>408</v>
      </c>
      <c r="D114" s="1">
        <v>40093</v>
      </c>
      <c r="E114">
        <v>220</v>
      </c>
      <c r="F114" t="s">
        <v>1042</v>
      </c>
      <c r="G114" t="s">
        <v>949</v>
      </c>
    </row>
    <row r="115" spans="1:7">
      <c r="A115" t="s">
        <v>824</v>
      </c>
      <c r="B115" t="s">
        <v>825</v>
      </c>
      <c r="C115" t="s">
        <v>826</v>
      </c>
      <c r="D115" s="1">
        <v>39100</v>
      </c>
      <c r="E115">
        <v>220</v>
      </c>
      <c r="F115" t="s">
        <v>1042</v>
      </c>
      <c r="G115" t="s">
        <v>949</v>
      </c>
    </row>
    <row r="116" spans="1:7">
      <c r="A116" t="s">
        <v>214</v>
      </c>
      <c r="B116" t="s">
        <v>215</v>
      </c>
      <c r="C116" t="s">
        <v>216</v>
      </c>
      <c r="D116" s="1">
        <v>39760</v>
      </c>
      <c r="E116">
        <v>220</v>
      </c>
      <c r="F116" t="s">
        <v>1042</v>
      </c>
      <c r="G116" t="s">
        <v>1046</v>
      </c>
    </row>
    <row r="117" spans="1:7">
      <c r="A117" t="s">
        <v>153</v>
      </c>
      <c r="B117" t="s">
        <v>154</v>
      </c>
      <c r="C117" t="s">
        <v>155</v>
      </c>
      <c r="D117" s="1">
        <v>39187</v>
      </c>
      <c r="E117">
        <v>220</v>
      </c>
      <c r="F117" t="s">
        <v>1042</v>
      </c>
      <c r="G117" t="s">
        <v>949</v>
      </c>
    </row>
    <row r="118" spans="1:7">
      <c r="A118" t="s">
        <v>899</v>
      </c>
      <c r="B118" t="s">
        <v>900</v>
      </c>
      <c r="C118" t="s">
        <v>901</v>
      </c>
      <c r="D118" s="1">
        <v>39635</v>
      </c>
      <c r="E118">
        <v>220</v>
      </c>
      <c r="F118" t="s">
        <v>1042</v>
      </c>
      <c r="G118" t="s">
        <v>1046</v>
      </c>
    </row>
    <row r="119" spans="1:7">
      <c r="A119" t="s">
        <v>303</v>
      </c>
      <c r="B119" t="s">
        <v>304</v>
      </c>
      <c r="C119" t="s">
        <v>305</v>
      </c>
      <c r="D119" s="1">
        <v>39878</v>
      </c>
      <c r="E119">
        <v>220</v>
      </c>
      <c r="F119" t="s">
        <v>1042</v>
      </c>
      <c r="G119" t="s">
        <v>949</v>
      </c>
    </row>
    <row r="120" spans="1:7">
      <c r="A120" t="s">
        <v>385</v>
      </c>
      <c r="B120" t="s">
        <v>386</v>
      </c>
      <c r="C120" t="s">
        <v>387</v>
      </c>
      <c r="D120" s="1">
        <v>40075</v>
      </c>
      <c r="E120">
        <v>220</v>
      </c>
      <c r="F120" t="s">
        <v>1042</v>
      </c>
      <c r="G120" t="s">
        <v>1046</v>
      </c>
    </row>
    <row r="121" spans="1:7">
      <c r="A121" t="s">
        <v>415</v>
      </c>
      <c r="B121" t="s">
        <v>416</v>
      </c>
      <c r="C121" t="s">
        <v>375</v>
      </c>
      <c r="D121" s="1">
        <v>40273</v>
      </c>
      <c r="E121">
        <v>220</v>
      </c>
      <c r="F121" t="s">
        <v>1042</v>
      </c>
      <c r="G121" t="s">
        <v>1046</v>
      </c>
    </row>
    <row r="122" spans="1:7">
      <c r="A122" t="s">
        <v>249</v>
      </c>
      <c r="B122" t="s">
        <v>250</v>
      </c>
      <c r="C122" t="s">
        <v>251</v>
      </c>
      <c r="D122" s="1">
        <v>39538</v>
      </c>
      <c r="E122">
        <v>220</v>
      </c>
      <c r="F122" t="s">
        <v>1042</v>
      </c>
      <c r="G122" t="s">
        <v>1046</v>
      </c>
    </row>
    <row r="123" spans="1:7">
      <c r="A123" t="s">
        <v>275</v>
      </c>
      <c r="B123" t="s">
        <v>276</v>
      </c>
      <c r="C123" t="s">
        <v>277</v>
      </c>
      <c r="D123" s="1">
        <v>39623</v>
      </c>
      <c r="E123">
        <v>220</v>
      </c>
      <c r="F123" t="s">
        <v>1042</v>
      </c>
      <c r="G123" t="s">
        <v>949</v>
      </c>
    </row>
    <row r="124" spans="1:7">
      <c r="A124" t="s">
        <v>147</v>
      </c>
      <c r="B124" t="s">
        <v>148</v>
      </c>
      <c r="C124" t="s">
        <v>149</v>
      </c>
      <c r="D124" s="1">
        <v>39363</v>
      </c>
      <c r="E124">
        <v>220</v>
      </c>
      <c r="F124" t="s">
        <v>1042</v>
      </c>
      <c r="G124" t="s">
        <v>949</v>
      </c>
    </row>
    <row r="125" spans="1:7">
      <c r="A125" t="s">
        <v>103</v>
      </c>
      <c r="B125" t="s">
        <v>104</v>
      </c>
      <c r="C125" t="s">
        <v>105</v>
      </c>
      <c r="D125" s="1">
        <v>39324</v>
      </c>
      <c r="E125">
        <v>220</v>
      </c>
      <c r="F125" t="s">
        <v>1042</v>
      </c>
      <c r="G125" t="s">
        <v>1046</v>
      </c>
    </row>
    <row r="126" spans="1:7">
      <c r="A126" t="s">
        <v>109</v>
      </c>
      <c r="B126" t="s">
        <v>110</v>
      </c>
      <c r="C126" t="s">
        <v>111</v>
      </c>
      <c r="D126" s="1">
        <v>39433</v>
      </c>
      <c r="E126">
        <v>220</v>
      </c>
      <c r="F126" t="s">
        <v>1042</v>
      </c>
      <c r="G126" t="s">
        <v>1046</v>
      </c>
    </row>
    <row r="127" spans="1:7">
      <c r="A127" t="s">
        <v>881</v>
      </c>
      <c r="B127" t="s">
        <v>882</v>
      </c>
      <c r="C127" t="s">
        <v>883</v>
      </c>
      <c r="D127" s="1">
        <v>39589</v>
      </c>
      <c r="E127">
        <v>220</v>
      </c>
      <c r="F127" t="s">
        <v>1042</v>
      </c>
      <c r="G127" t="s">
        <v>1046</v>
      </c>
    </row>
    <row r="128" spans="1:7">
      <c r="A128" t="s">
        <v>156</v>
      </c>
      <c r="B128" t="s">
        <v>157</v>
      </c>
      <c r="C128" t="s">
        <v>158</v>
      </c>
      <c r="D128" s="1">
        <v>38900</v>
      </c>
      <c r="E128">
        <v>220</v>
      </c>
      <c r="F128" t="s">
        <v>1042</v>
      </c>
      <c r="G128" t="s">
        <v>1046</v>
      </c>
    </row>
    <row r="129" spans="1:7">
      <c r="A129" t="s">
        <v>159</v>
      </c>
      <c r="B129" t="s">
        <v>160</v>
      </c>
      <c r="C129" t="s">
        <v>161</v>
      </c>
      <c r="D129" s="1">
        <v>39123</v>
      </c>
      <c r="E129">
        <v>220</v>
      </c>
      <c r="F129" t="s">
        <v>1042</v>
      </c>
      <c r="G129" t="s">
        <v>949</v>
      </c>
    </row>
    <row r="130" spans="1:7">
      <c r="A130" t="s">
        <v>84</v>
      </c>
      <c r="B130" t="s">
        <v>85</v>
      </c>
      <c r="C130" t="s">
        <v>86</v>
      </c>
      <c r="D130" s="1">
        <v>39328</v>
      </c>
      <c r="E130">
        <v>220</v>
      </c>
      <c r="F130" t="s">
        <v>1042</v>
      </c>
      <c r="G130" t="s">
        <v>1046</v>
      </c>
    </row>
    <row r="131" spans="1:7">
      <c r="A131" t="s">
        <v>132</v>
      </c>
      <c r="B131" t="s">
        <v>133</v>
      </c>
      <c r="C131" t="s">
        <v>134</v>
      </c>
      <c r="D131" s="1">
        <v>38928</v>
      </c>
      <c r="E131">
        <v>220</v>
      </c>
      <c r="F131" t="s">
        <v>1042</v>
      </c>
      <c r="G131" t="s">
        <v>1046</v>
      </c>
    </row>
    <row r="132" spans="1:7">
      <c r="A132" t="s">
        <v>66</v>
      </c>
      <c r="B132" t="s">
        <v>67</v>
      </c>
      <c r="C132" t="s">
        <v>68</v>
      </c>
      <c r="D132" s="1">
        <v>39114</v>
      </c>
      <c r="E132">
        <v>220</v>
      </c>
      <c r="F132" t="s">
        <v>1042</v>
      </c>
      <c r="G132" t="s">
        <v>1046</v>
      </c>
    </row>
    <row r="133" spans="1:7">
      <c r="A133" t="s">
        <v>298</v>
      </c>
      <c r="B133" t="s">
        <v>299</v>
      </c>
      <c r="C133" t="s">
        <v>300</v>
      </c>
      <c r="D133" s="1">
        <v>39629</v>
      </c>
      <c r="E133">
        <v>220</v>
      </c>
      <c r="F133" t="s">
        <v>1042</v>
      </c>
      <c r="G133" t="s">
        <v>949</v>
      </c>
    </row>
    <row r="134" spans="1:7">
      <c r="A134" t="s">
        <v>252</v>
      </c>
      <c r="B134" t="s">
        <v>253</v>
      </c>
      <c r="C134" t="s">
        <v>184</v>
      </c>
      <c r="D134" s="1">
        <v>40100</v>
      </c>
      <c r="E134">
        <v>220</v>
      </c>
      <c r="F134" t="s">
        <v>1042</v>
      </c>
      <c r="G134" t="s">
        <v>949</v>
      </c>
    </row>
    <row r="135" spans="1:7">
      <c r="A135" t="s">
        <v>129</v>
      </c>
      <c r="B135" t="s">
        <v>130</v>
      </c>
      <c r="C135" t="s">
        <v>131</v>
      </c>
      <c r="D135" s="1">
        <v>39346</v>
      </c>
      <c r="E135">
        <v>220</v>
      </c>
      <c r="F135" t="s">
        <v>1042</v>
      </c>
      <c r="G135" t="s">
        <v>949</v>
      </c>
    </row>
    <row r="136" spans="1:7">
      <c r="A136" t="s">
        <v>257</v>
      </c>
      <c r="B136" t="s">
        <v>258</v>
      </c>
      <c r="C136" t="s">
        <v>259</v>
      </c>
      <c r="D136" s="1">
        <v>40058</v>
      </c>
      <c r="E136">
        <v>220</v>
      </c>
      <c r="F136" t="s">
        <v>1042</v>
      </c>
      <c r="G136" t="s">
        <v>949</v>
      </c>
    </row>
    <row r="137" spans="1:7">
      <c r="A137" t="s">
        <v>263</v>
      </c>
      <c r="B137" t="s">
        <v>264</v>
      </c>
      <c r="C137" t="s">
        <v>265</v>
      </c>
      <c r="D137" s="1">
        <v>39686</v>
      </c>
      <c r="E137">
        <v>220</v>
      </c>
      <c r="F137" t="s">
        <v>1042</v>
      </c>
      <c r="G137" t="s">
        <v>949</v>
      </c>
    </row>
    <row r="138" spans="1:7">
      <c r="A138" t="s">
        <v>69</v>
      </c>
      <c r="B138" t="s">
        <v>70</v>
      </c>
      <c r="C138" t="s">
        <v>71</v>
      </c>
      <c r="D138" s="1">
        <v>39196</v>
      </c>
      <c r="E138">
        <v>220</v>
      </c>
      <c r="F138" t="s">
        <v>1042</v>
      </c>
      <c r="G138" t="s">
        <v>949</v>
      </c>
    </row>
    <row r="139" spans="1:7">
      <c r="A139" t="s">
        <v>266</v>
      </c>
      <c r="B139" t="s">
        <v>267</v>
      </c>
      <c r="C139" t="s">
        <v>268</v>
      </c>
      <c r="D139" s="1">
        <v>40143</v>
      </c>
      <c r="E139">
        <v>220</v>
      </c>
      <c r="F139" t="s">
        <v>1042</v>
      </c>
      <c r="G139" t="s">
        <v>1046</v>
      </c>
    </row>
    <row r="140" spans="1:7">
      <c r="A140" t="s">
        <v>118</v>
      </c>
      <c r="B140" t="s">
        <v>119</v>
      </c>
      <c r="C140" t="s">
        <v>120</v>
      </c>
      <c r="D140" s="1">
        <v>39018</v>
      </c>
      <c r="E140">
        <v>220</v>
      </c>
      <c r="F140" t="s">
        <v>1042</v>
      </c>
      <c r="G140" t="s">
        <v>949</v>
      </c>
    </row>
    <row r="141" spans="1:7">
      <c r="A141" t="s">
        <v>226</v>
      </c>
      <c r="B141" t="s">
        <v>227</v>
      </c>
      <c r="C141" t="s">
        <v>228</v>
      </c>
      <c r="D141" s="1">
        <v>39804</v>
      </c>
      <c r="E141">
        <v>220</v>
      </c>
      <c r="F141" t="s">
        <v>1042</v>
      </c>
      <c r="G141" t="s">
        <v>1046</v>
      </c>
    </row>
    <row r="142" spans="1:7">
      <c r="A142" t="s">
        <v>232</v>
      </c>
      <c r="B142" t="s">
        <v>233</v>
      </c>
      <c r="C142" t="s">
        <v>234</v>
      </c>
      <c r="D142" s="1">
        <v>39878</v>
      </c>
      <c r="E142">
        <v>220</v>
      </c>
      <c r="F142" t="s">
        <v>1042</v>
      </c>
      <c r="G142" t="s">
        <v>1046</v>
      </c>
    </row>
    <row r="143" spans="1:7">
      <c r="A143" t="s">
        <v>337</v>
      </c>
      <c r="B143" t="s">
        <v>338</v>
      </c>
      <c r="C143" t="s">
        <v>339</v>
      </c>
      <c r="D143" s="1">
        <v>40112</v>
      </c>
      <c r="E143">
        <v>220</v>
      </c>
      <c r="F143" t="s">
        <v>1042</v>
      </c>
      <c r="G143" t="s">
        <v>949</v>
      </c>
    </row>
    <row r="144" spans="1:7">
      <c r="A144" t="s">
        <v>106</v>
      </c>
      <c r="B144" t="s">
        <v>107</v>
      </c>
      <c r="C144" t="s">
        <v>108</v>
      </c>
      <c r="D144" s="1">
        <v>39069</v>
      </c>
      <c r="E144">
        <v>220</v>
      </c>
      <c r="F144" t="s">
        <v>1042</v>
      </c>
      <c r="G144" t="s">
        <v>949</v>
      </c>
    </row>
    <row r="145" spans="1:7">
      <c r="A145" t="s">
        <v>292</v>
      </c>
      <c r="B145" t="s">
        <v>293</v>
      </c>
      <c r="C145" t="s">
        <v>294</v>
      </c>
      <c r="D145" s="1">
        <v>39829</v>
      </c>
      <c r="E145">
        <v>220</v>
      </c>
      <c r="F145" t="s">
        <v>1042</v>
      </c>
      <c r="G145" t="s">
        <v>949</v>
      </c>
    </row>
    <row r="146" spans="1:7">
      <c r="A146" t="s">
        <v>238</v>
      </c>
      <c r="B146" t="s">
        <v>239</v>
      </c>
      <c r="C146" t="s">
        <v>240</v>
      </c>
      <c r="D146" s="1">
        <v>40169</v>
      </c>
      <c r="E146">
        <v>220</v>
      </c>
      <c r="F146" t="s">
        <v>1042</v>
      </c>
      <c r="G146" t="s">
        <v>1046</v>
      </c>
    </row>
    <row r="147" spans="1:7">
      <c r="A147" t="s">
        <v>247</v>
      </c>
      <c r="B147" t="s">
        <v>248</v>
      </c>
      <c r="C147" t="s">
        <v>83</v>
      </c>
      <c r="D147" s="1">
        <v>40169</v>
      </c>
      <c r="E147">
        <v>220</v>
      </c>
      <c r="F147" t="s">
        <v>1042</v>
      </c>
      <c r="G147" t="s">
        <v>949</v>
      </c>
    </row>
    <row r="148" spans="1:7">
      <c r="A148" t="s">
        <v>281</v>
      </c>
      <c r="B148" t="s">
        <v>282</v>
      </c>
      <c r="C148" t="s">
        <v>126</v>
      </c>
      <c r="D148" s="1">
        <v>39744</v>
      </c>
      <c r="E148">
        <v>220</v>
      </c>
      <c r="F148" t="s">
        <v>1042</v>
      </c>
      <c r="G148" t="s">
        <v>949</v>
      </c>
    </row>
    <row r="149" spans="1:7">
      <c r="A149" t="s">
        <v>241</v>
      </c>
      <c r="B149" t="s">
        <v>242</v>
      </c>
      <c r="C149" t="s">
        <v>243</v>
      </c>
      <c r="D149" s="1">
        <v>39753</v>
      </c>
      <c r="E149">
        <v>220</v>
      </c>
      <c r="F149" t="s">
        <v>1042</v>
      </c>
      <c r="G149" t="s">
        <v>949</v>
      </c>
    </row>
    <row r="150" spans="1:7">
      <c r="A150" t="s">
        <v>283</v>
      </c>
      <c r="B150" t="s">
        <v>284</v>
      </c>
      <c r="C150" t="s">
        <v>285</v>
      </c>
      <c r="D150" s="1">
        <v>40015</v>
      </c>
      <c r="E150">
        <v>220</v>
      </c>
      <c r="F150" t="s">
        <v>1042</v>
      </c>
      <c r="G150" t="s">
        <v>1046</v>
      </c>
    </row>
    <row r="151" spans="1:7">
      <c r="A151" t="s">
        <v>286</v>
      </c>
      <c r="B151" t="s">
        <v>287</v>
      </c>
      <c r="C151" t="s">
        <v>288</v>
      </c>
      <c r="D151" s="1">
        <v>39676</v>
      </c>
      <c r="E151">
        <v>220</v>
      </c>
      <c r="F151" t="s">
        <v>1042</v>
      </c>
      <c r="G151" t="s">
        <v>949</v>
      </c>
    </row>
    <row r="152" spans="1:7">
      <c r="A152" t="s">
        <v>928</v>
      </c>
      <c r="B152" t="s">
        <v>929</v>
      </c>
      <c r="C152" t="s">
        <v>930</v>
      </c>
      <c r="D152" s="1">
        <v>39861</v>
      </c>
      <c r="E152">
        <v>220</v>
      </c>
      <c r="F152" t="s">
        <v>1042</v>
      </c>
      <c r="G152" t="s">
        <v>1046</v>
      </c>
    </row>
    <row r="153" spans="1:7">
      <c r="A153" t="s">
        <v>254</v>
      </c>
      <c r="B153" t="s">
        <v>255</v>
      </c>
      <c r="C153" t="s">
        <v>256</v>
      </c>
      <c r="D153" s="1">
        <v>39562</v>
      </c>
      <c r="E153">
        <v>220</v>
      </c>
      <c r="F153" t="s">
        <v>1042</v>
      </c>
      <c r="G153" t="s">
        <v>1046</v>
      </c>
    </row>
    <row r="154" spans="1:7">
      <c r="A154" t="s">
        <v>891</v>
      </c>
      <c r="B154" t="s">
        <v>892</v>
      </c>
      <c r="C154" t="s">
        <v>817</v>
      </c>
      <c r="D154" s="1">
        <v>39702</v>
      </c>
      <c r="E154">
        <v>220</v>
      </c>
      <c r="F154" t="s">
        <v>1042</v>
      </c>
      <c r="G154" t="s">
        <v>1046</v>
      </c>
    </row>
    <row r="155" spans="1:7">
      <c r="A155" t="s">
        <v>836</v>
      </c>
      <c r="B155" t="s">
        <v>837</v>
      </c>
      <c r="C155" t="s">
        <v>838</v>
      </c>
      <c r="D155" s="1">
        <v>39420</v>
      </c>
      <c r="E155">
        <v>220</v>
      </c>
      <c r="F155" t="s">
        <v>1042</v>
      </c>
      <c r="G155" t="s">
        <v>949</v>
      </c>
    </row>
    <row r="156" spans="1:7">
      <c r="A156" t="s">
        <v>202</v>
      </c>
      <c r="B156" t="s">
        <v>203</v>
      </c>
      <c r="C156" t="s">
        <v>204</v>
      </c>
      <c r="D156" s="1">
        <v>39961</v>
      </c>
      <c r="E156">
        <v>220</v>
      </c>
      <c r="F156" t="s">
        <v>1042</v>
      </c>
      <c r="G156" t="s">
        <v>1046</v>
      </c>
    </row>
    <row r="157" spans="1:7">
      <c r="A157" t="s">
        <v>93</v>
      </c>
      <c r="B157" t="s">
        <v>94</v>
      </c>
      <c r="C157" t="s">
        <v>95</v>
      </c>
      <c r="D157" s="1">
        <v>38617</v>
      </c>
      <c r="E157">
        <v>210</v>
      </c>
      <c r="F157" t="s">
        <v>1042</v>
      </c>
      <c r="G157" t="s">
        <v>949</v>
      </c>
    </row>
    <row r="158" spans="1:7">
      <c r="A158" t="s">
        <v>931</v>
      </c>
      <c r="B158" t="s">
        <v>932</v>
      </c>
      <c r="C158" t="s">
        <v>933</v>
      </c>
      <c r="D158" s="1">
        <v>38012</v>
      </c>
      <c r="E158">
        <v>210</v>
      </c>
      <c r="F158" t="s">
        <v>1042</v>
      </c>
      <c r="G158" t="s">
        <v>1046</v>
      </c>
    </row>
    <row r="159" spans="1:7">
      <c r="A159" t="s">
        <v>908</v>
      </c>
      <c r="B159" t="s">
        <v>909</v>
      </c>
      <c r="C159" t="s">
        <v>658</v>
      </c>
      <c r="D159" s="1">
        <v>38159</v>
      </c>
      <c r="E159">
        <v>210</v>
      </c>
      <c r="F159" t="s">
        <v>1042</v>
      </c>
      <c r="G159" t="s">
        <v>1046</v>
      </c>
    </row>
    <row r="160" spans="1:7">
      <c r="A160" t="s">
        <v>910</v>
      </c>
      <c r="B160" t="s">
        <v>911</v>
      </c>
      <c r="C160" t="s">
        <v>443</v>
      </c>
      <c r="D160" s="1">
        <v>38079</v>
      </c>
      <c r="E160">
        <v>210</v>
      </c>
      <c r="F160" t="s">
        <v>1042</v>
      </c>
      <c r="G160" t="s">
        <v>1046</v>
      </c>
    </row>
    <row r="161" spans="1:7">
      <c r="A161" t="s">
        <v>916</v>
      </c>
      <c r="B161" t="s">
        <v>917</v>
      </c>
      <c r="C161" t="s">
        <v>918</v>
      </c>
      <c r="D161" s="1">
        <v>38011</v>
      </c>
      <c r="E161">
        <v>210</v>
      </c>
      <c r="F161" t="s">
        <v>1042</v>
      </c>
      <c r="G161" t="s">
        <v>1046</v>
      </c>
    </row>
    <row r="162" spans="1:7">
      <c r="A162" t="s">
        <v>873</v>
      </c>
      <c r="B162" t="s">
        <v>874</v>
      </c>
      <c r="C162" t="s">
        <v>572</v>
      </c>
      <c r="D162" s="1">
        <v>38150</v>
      </c>
      <c r="E162">
        <v>210</v>
      </c>
      <c r="F162" t="s">
        <v>1042</v>
      </c>
      <c r="G162" t="s">
        <v>949</v>
      </c>
    </row>
    <row r="163" spans="1:7">
      <c r="A163" t="s">
        <v>115</v>
      </c>
      <c r="B163" t="s">
        <v>116</v>
      </c>
      <c r="C163" t="s">
        <v>117</v>
      </c>
      <c r="D163" s="1">
        <v>38432</v>
      </c>
      <c r="E163">
        <v>210</v>
      </c>
      <c r="F163" t="s">
        <v>1042</v>
      </c>
      <c r="G163" t="s">
        <v>1046</v>
      </c>
    </row>
    <row r="164" spans="1:7">
      <c r="A164" t="s">
        <v>884</v>
      </c>
      <c r="B164" t="s">
        <v>885</v>
      </c>
      <c r="C164" t="s">
        <v>231</v>
      </c>
      <c r="D164" s="1">
        <v>37932</v>
      </c>
      <c r="E164">
        <v>210</v>
      </c>
      <c r="F164" t="s">
        <v>1042</v>
      </c>
      <c r="G164" t="s">
        <v>949</v>
      </c>
    </row>
    <row r="165" spans="1:7">
      <c r="A165" t="s">
        <v>914</v>
      </c>
      <c r="B165" t="s">
        <v>915</v>
      </c>
      <c r="C165" t="s">
        <v>246</v>
      </c>
      <c r="D165" s="1">
        <v>37712</v>
      </c>
      <c r="E165">
        <v>210</v>
      </c>
      <c r="F165" t="s">
        <v>1042</v>
      </c>
      <c r="G165" t="s">
        <v>1046</v>
      </c>
    </row>
    <row r="166" spans="1:7">
      <c r="A166" t="s">
        <v>827</v>
      </c>
      <c r="B166" t="s">
        <v>828</v>
      </c>
      <c r="C166" t="s">
        <v>829</v>
      </c>
      <c r="D166" s="1">
        <v>37807</v>
      </c>
      <c r="E166">
        <v>210</v>
      </c>
      <c r="F166" t="s">
        <v>1048</v>
      </c>
      <c r="G166" t="s">
        <v>1046</v>
      </c>
    </row>
    <row r="167" spans="1:7">
      <c r="A167" t="s">
        <v>865</v>
      </c>
      <c r="B167" t="s">
        <v>866</v>
      </c>
      <c r="C167" t="s">
        <v>867</v>
      </c>
      <c r="D167" s="1">
        <v>37702</v>
      </c>
      <c r="E167">
        <v>210</v>
      </c>
      <c r="F167" t="s">
        <v>1042</v>
      </c>
      <c r="G167" t="s">
        <v>1046</v>
      </c>
    </row>
    <row r="168" spans="1:7">
      <c r="A168" t="s">
        <v>78</v>
      </c>
      <c r="B168" t="s">
        <v>79</v>
      </c>
      <c r="C168" t="s">
        <v>80</v>
      </c>
      <c r="D168" s="1">
        <v>38509</v>
      </c>
      <c r="E168">
        <v>210</v>
      </c>
      <c r="F168" t="s">
        <v>1042</v>
      </c>
      <c r="G168" t="s">
        <v>1046</v>
      </c>
    </row>
    <row r="169" spans="1:7">
      <c r="A169" t="s">
        <v>138</v>
      </c>
      <c r="B169" t="s">
        <v>139</v>
      </c>
      <c r="C169" t="s">
        <v>140</v>
      </c>
      <c r="D169" s="1">
        <v>38263</v>
      </c>
      <c r="E169">
        <v>210</v>
      </c>
      <c r="F169" t="s">
        <v>1042</v>
      </c>
      <c r="G169" t="s">
        <v>1046</v>
      </c>
    </row>
    <row r="170" spans="1:7">
      <c r="A170" t="s">
        <v>912</v>
      </c>
      <c r="B170" t="s">
        <v>913</v>
      </c>
      <c r="C170" t="s">
        <v>246</v>
      </c>
      <c r="D170" s="1">
        <v>37931</v>
      </c>
      <c r="E170">
        <v>210</v>
      </c>
      <c r="F170" t="s">
        <v>1042</v>
      </c>
      <c r="G170" t="s">
        <v>1046</v>
      </c>
    </row>
    <row r="171" spans="1:7">
      <c r="A171" t="s">
        <v>710</v>
      </c>
      <c r="B171" t="s">
        <v>711</v>
      </c>
      <c r="C171" t="s">
        <v>712</v>
      </c>
      <c r="D171" s="1">
        <v>37684</v>
      </c>
      <c r="E171">
        <v>210</v>
      </c>
      <c r="F171" t="s">
        <v>1042</v>
      </c>
      <c r="G171" t="s">
        <v>1046</v>
      </c>
    </row>
    <row r="172" spans="1:7">
      <c r="A172" t="s">
        <v>72</v>
      </c>
      <c r="B172" t="s">
        <v>73</v>
      </c>
      <c r="C172" t="s">
        <v>74</v>
      </c>
      <c r="D172" s="1">
        <v>38597</v>
      </c>
      <c r="E172">
        <v>210</v>
      </c>
      <c r="F172" t="s">
        <v>1042</v>
      </c>
      <c r="G172" t="s">
        <v>1046</v>
      </c>
    </row>
    <row r="173" spans="1:7">
      <c r="A173" t="s">
        <v>624</v>
      </c>
      <c r="B173" t="s">
        <v>625</v>
      </c>
      <c r="C173" t="s">
        <v>626</v>
      </c>
      <c r="D173" s="1">
        <v>37832</v>
      </c>
      <c r="E173">
        <v>210</v>
      </c>
      <c r="F173" t="s">
        <v>1042</v>
      </c>
      <c r="G173" t="s">
        <v>949</v>
      </c>
    </row>
    <row r="174" spans="1:7">
      <c r="A174" t="s">
        <v>761</v>
      </c>
      <c r="B174" t="s">
        <v>762</v>
      </c>
      <c r="C174" t="s">
        <v>372</v>
      </c>
      <c r="D174" s="1">
        <v>37960</v>
      </c>
      <c r="E174">
        <v>210</v>
      </c>
      <c r="F174" t="s">
        <v>1042</v>
      </c>
      <c r="G174" t="s">
        <v>949</v>
      </c>
    </row>
    <row r="175" spans="1:7">
      <c r="A175" t="s">
        <v>685</v>
      </c>
      <c r="B175" t="s">
        <v>686</v>
      </c>
      <c r="C175" t="s">
        <v>687</v>
      </c>
      <c r="D175" s="1">
        <v>37771</v>
      </c>
      <c r="E175">
        <v>210</v>
      </c>
      <c r="F175" t="s">
        <v>1042</v>
      </c>
      <c r="G175" t="s">
        <v>1046</v>
      </c>
    </row>
    <row r="176" spans="1:7">
      <c r="A176" t="s">
        <v>100</v>
      </c>
      <c r="B176" t="s">
        <v>101</v>
      </c>
      <c r="C176" t="s">
        <v>102</v>
      </c>
      <c r="D176" s="1">
        <v>38502</v>
      </c>
      <c r="E176">
        <v>210</v>
      </c>
      <c r="F176" t="s">
        <v>1042</v>
      </c>
      <c r="G176" t="s">
        <v>949</v>
      </c>
    </row>
    <row r="177" spans="1:7">
      <c r="A177" t="s">
        <v>815</v>
      </c>
      <c r="B177" t="s">
        <v>816</v>
      </c>
      <c r="C177" t="s">
        <v>817</v>
      </c>
      <c r="D177" s="1">
        <v>38267</v>
      </c>
      <c r="E177">
        <v>210</v>
      </c>
      <c r="F177" t="s">
        <v>1042</v>
      </c>
      <c r="G177" t="s">
        <v>1046</v>
      </c>
    </row>
    <row r="178" spans="1:7">
      <c r="A178" t="s">
        <v>127</v>
      </c>
      <c r="B178" t="s">
        <v>128</v>
      </c>
      <c r="C178" t="s">
        <v>68</v>
      </c>
      <c r="D178" s="1">
        <v>38480</v>
      </c>
      <c r="E178">
        <v>210</v>
      </c>
      <c r="F178" t="s">
        <v>1042</v>
      </c>
      <c r="G178" t="s">
        <v>1046</v>
      </c>
    </row>
    <row r="179" spans="1:7">
      <c r="A179" t="s">
        <v>641</v>
      </c>
      <c r="B179" t="s">
        <v>642</v>
      </c>
      <c r="C179" t="s">
        <v>643</v>
      </c>
      <c r="D179" s="1">
        <v>38010</v>
      </c>
      <c r="E179">
        <v>210</v>
      </c>
      <c r="F179" t="s">
        <v>1042</v>
      </c>
      <c r="G179" t="s">
        <v>949</v>
      </c>
    </row>
    <row r="180" spans="1:7">
      <c r="A180" t="s">
        <v>141</v>
      </c>
      <c r="B180" t="s">
        <v>142</v>
      </c>
      <c r="C180" t="s">
        <v>143</v>
      </c>
      <c r="D180" s="1">
        <v>38090</v>
      </c>
      <c r="E180">
        <v>210</v>
      </c>
      <c r="F180" t="s">
        <v>1042</v>
      </c>
      <c r="G180" t="s">
        <v>949</v>
      </c>
    </row>
    <row r="181" spans="1:7">
      <c r="A181" t="s">
        <v>112</v>
      </c>
      <c r="B181" t="s">
        <v>113</v>
      </c>
      <c r="C181" t="s">
        <v>114</v>
      </c>
      <c r="D181" s="1">
        <v>38657</v>
      </c>
      <c r="E181">
        <v>210</v>
      </c>
      <c r="F181" t="s">
        <v>1042</v>
      </c>
      <c r="G181" t="s">
        <v>949</v>
      </c>
    </row>
    <row r="182" spans="1:7">
      <c r="A182" t="s">
        <v>135</v>
      </c>
      <c r="B182" t="s">
        <v>136</v>
      </c>
      <c r="C182" t="s">
        <v>137</v>
      </c>
      <c r="D182" s="1">
        <v>38517</v>
      </c>
      <c r="E182">
        <v>210</v>
      </c>
      <c r="F182" t="s">
        <v>1042</v>
      </c>
      <c r="G182" t="s">
        <v>949</v>
      </c>
    </row>
    <row r="183" spans="1:7">
      <c r="A183" t="s">
        <v>766</v>
      </c>
      <c r="B183" t="s">
        <v>767</v>
      </c>
      <c r="C183" t="s">
        <v>768</v>
      </c>
      <c r="D183" s="1">
        <v>37810</v>
      </c>
      <c r="E183">
        <v>210</v>
      </c>
      <c r="F183" t="s">
        <v>1042</v>
      </c>
      <c r="G183" t="s">
        <v>949</v>
      </c>
    </row>
    <row r="184" spans="1:7">
      <c r="A184" t="s">
        <v>90</v>
      </c>
      <c r="B184" t="s">
        <v>91</v>
      </c>
      <c r="C184" t="s">
        <v>92</v>
      </c>
      <c r="D184" s="1">
        <v>38656</v>
      </c>
      <c r="E184">
        <v>210</v>
      </c>
      <c r="F184" t="s">
        <v>1042</v>
      </c>
      <c r="G184" t="s">
        <v>1046</v>
      </c>
    </row>
    <row r="185" spans="1:7">
      <c r="A185" t="s">
        <v>734</v>
      </c>
      <c r="B185" t="s">
        <v>735</v>
      </c>
      <c r="C185" t="s">
        <v>736</v>
      </c>
      <c r="D185" s="1">
        <v>37971</v>
      </c>
      <c r="E185">
        <v>210</v>
      </c>
      <c r="F185" t="s">
        <v>1042</v>
      </c>
      <c r="G185" t="s">
        <v>949</v>
      </c>
    </row>
    <row r="186" spans="1:7">
      <c r="A186" t="s">
        <v>740</v>
      </c>
      <c r="B186" t="s">
        <v>741</v>
      </c>
      <c r="C186" t="s">
        <v>89</v>
      </c>
      <c r="D186" s="1">
        <v>37974</v>
      </c>
      <c r="E186">
        <v>210</v>
      </c>
      <c r="F186" t="s">
        <v>1042</v>
      </c>
      <c r="G186" t="s">
        <v>949</v>
      </c>
    </row>
    <row r="187" spans="1:7">
      <c r="A187" t="s">
        <v>97</v>
      </c>
      <c r="B187" t="s">
        <v>98</v>
      </c>
      <c r="C187" t="s">
        <v>99</v>
      </c>
      <c r="D187" s="1">
        <v>38451</v>
      </c>
      <c r="E187">
        <v>210</v>
      </c>
      <c r="F187" t="s">
        <v>1042</v>
      </c>
      <c r="G187" t="s">
        <v>1046</v>
      </c>
    </row>
    <row r="188" spans="1:7">
      <c r="A188" t="s">
        <v>87</v>
      </c>
      <c r="B188" t="s">
        <v>88</v>
      </c>
      <c r="C188" t="s">
        <v>89</v>
      </c>
      <c r="D188" s="1">
        <v>38578</v>
      </c>
      <c r="E188">
        <v>210</v>
      </c>
      <c r="F188" t="s">
        <v>1042</v>
      </c>
      <c r="G188" t="s">
        <v>949</v>
      </c>
    </row>
    <row r="189" spans="1:7">
      <c r="A189" t="s">
        <v>833</v>
      </c>
      <c r="B189" t="s">
        <v>834</v>
      </c>
      <c r="C189" t="s">
        <v>835</v>
      </c>
      <c r="D189" s="1">
        <v>38163</v>
      </c>
      <c r="E189">
        <v>210</v>
      </c>
      <c r="F189" t="s">
        <v>1042</v>
      </c>
      <c r="G189" t="s">
        <v>1046</v>
      </c>
    </row>
    <row r="190" spans="1:7">
      <c r="A190" t="s">
        <v>121</v>
      </c>
      <c r="B190" t="s">
        <v>122</v>
      </c>
      <c r="C190" t="s">
        <v>123</v>
      </c>
      <c r="D190" s="1">
        <v>38635</v>
      </c>
      <c r="E190">
        <v>210</v>
      </c>
      <c r="F190" t="s">
        <v>1042</v>
      </c>
      <c r="G190" t="s">
        <v>1046</v>
      </c>
    </row>
    <row r="191" spans="1:7">
      <c r="A191" t="s">
        <v>783</v>
      </c>
      <c r="B191" t="s">
        <v>784</v>
      </c>
      <c r="C191" t="s">
        <v>785</v>
      </c>
      <c r="D191" s="1">
        <v>37909</v>
      </c>
      <c r="E191">
        <v>210</v>
      </c>
      <c r="F191" t="s">
        <v>1042</v>
      </c>
      <c r="G191" t="s">
        <v>949</v>
      </c>
    </row>
    <row r="192" spans="1:7">
      <c r="A192" t="s">
        <v>725</v>
      </c>
      <c r="B192" t="s">
        <v>726</v>
      </c>
      <c r="C192" t="s">
        <v>458</v>
      </c>
      <c r="D192" s="1">
        <v>38220</v>
      </c>
      <c r="E192">
        <v>210</v>
      </c>
      <c r="F192" t="s">
        <v>1048</v>
      </c>
      <c r="G192" t="s">
        <v>949</v>
      </c>
    </row>
    <row r="193" spans="1:7">
      <c r="A193" t="s">
        <v>870</v>
      </c>
      <c r="B193" t="s">
        <v>871</v>
      </c>
      <c r="C193" t="s">
        <v>872</v>
      </c>
      <c r="D193" s="1">
        <v>37104</v>
      </c>
      <c r="E193">
        <v>204</v>
      </c>
      <c r="F193" t="s">
        <v>1042</v>
      </c>
      <c r="G193" t="s">
        <v>1046</v>
      </c>
    </row>
    <row r="194" spans="1:7">
      <c r="A194" t="s">
        <v>875</v>
      </c>
      <c r="B194" t="s">
        <v>876</v>
      </c>
      <c r="C194" t="s">
        <v>877</v>
      </c>
      <c r="D194" s="1">
        <v>37104</v>
      </c>
      <c r="E194">
        <v>204</v>
      </c>
      <c r="F194" t="s">
        <v>1042</v>
      </c>
      <c r="G194" t="s">
        <v>1046</v>
      </c>
    </row>
    <row r="195" spans="1:7">
      <c r="A195" t="s">
        <v>839</v>
      </c>
      <c r="B195" t="s">
        <v>840</v>
      </c>
      <c r="C195" t="s">
        <v>617</v>
      </c>
      <c r="D195" s="1">
        <v>36887</v>
      </c>
      <c r="E195">
        <v>204</v>
      </c>
      <c r="F195" t="s">
        <v>1042</v>
      </c>
      <c r="G195" t="s">
        <v>1046</v>
      </c>
    </row>
    <row r="196" spans="1:7">
      <c r="A196" t="s">
        <v>777</v>
      </c>
      <c r="B196" t="s">
        <v>778</v>
      </c>
      <c r="C196" t="s">
        <v>779</v>
      </c>
      <c r="D196" s="1">
        <v>36308</v>
      </c>
      <c r="E196">
        <v>204</v>
      </c>
      <c r="F196" t="s">
        <v>1042</v>
      </c>
      <c r="G196" t="s">
        <v>949</v>
      </c>
    </row>
    <row r="197" spans="1:7">
      <c r="A197" t="s">
        <v>860</v>
      </c>
      <c r="B197" t="s">
        <v>861</v>
      </c>
      <c r="C197" t="s">
        <v>443</v>
      </c>
      <c r="D197" s="1">
        <v>37269</v>
      </c>
      <c r="E197">
        <v>204</v>
      </c>
      <c r="F197" t="s">
        <v>1042</v>
      </c>
      <c r="G197" t="s">
        <v>1046</v>
      </c>
    </row>
    <row r="198" spans="1:7">
      <c r="A198" t="s">
        <v>1310</v>
      </c>
      <c r="B198" t="s">
        <v>1311</v>
      </c>
      <c r="C198" t="s">
        <v>1312</v>
      </c>
      <c r="D198" s="1">
        <v>22941</v>
      </c>
      <c r="E198">
        <v>203</v>
      </c>
      <c r="F198" t="s">
        <v>1042</v>
      </c>
      <c r="G198" t="s">
        <v>949</v>
      </c>
    </row>
    <row r="199" spans="1:7">
      <c r="A199" t="s">
        <v>935</v>
      </c>
      <c r="B199" t="s">
        <v>1056</v>
      </c>
      <c r="C199" t="s">
        <v>937</v>
      </c>
      <c r="D199" s="1">
        <v>28329</v>
      </c>
      <c r="E199">
        <v>203</v>
      </c>
      <c r="F199" t="s">
        <v>1042</v>
      </c>
      <c r="G199" t="s">
        <v>1046</v>
      </c>
    </row>
    <row r="200" spans="1:7">
      <c r="A200" t="s">
        <v>650</v>
      </c>
      <c r="B200" t="s">
        <v>651</v>
      </c>
      <c r="C200" t="s">
        <v>652</v>
      </c>
      <c r="D200" s="1">
        <v>31086</v>
      </c>
      <c r="E200">
        <v>203</v>
      </c>
      <c r="F200" t="s">
        <v>1042</v>
      </c>
      <c r="G200" t="s">
        <v>1046</v>
      </c>
    </row>
    <row r="201" spans="1:7">
      <c r="A201" t="s">
        <v>680</v>
      </c>
      <c r="B201" t="s">
        <v>681</v>
      </c>
      <c r="C201" t="s">
        <v>682</v>
      </c>
      <c r="D201" s="1">
        <v>32197</v>
      </c>
      <c r="E201">
        <v>203</v>
      </c>
      <c r="F201" t="s">
        <v>1042</v>
      </c>
      <c r="G201" t="s">
        <v>1046</v>
      </c>
    </row>
    <row r="202" spans="1:7">
      <c r="A202" t="s">
        <v>846</v>
      </c>
      <c r="B202" t="s">
        <v>847</v>
      </c>
      <c r="C202" t="s">
        <v>848</v>
      </c>
      <c r="D202" s="1">
        <v>25227</v>
      </c>
      <c r="E202">
        <v>203</v>
      </c>
      <c r="F202" t="s">
        <v>1042</v>
      </c>
      <c r="G202" t="s">
        <v>949</v>
      </c>
    </row>
    <row r="203" spans="1:7">
      <c r="A203" t="s">
        <v>670</v>
      </c>
      <c r="B203" t="s">
        <v>671</v>
      </c>
      <c r="C203" t="s">
        <v>192</v>
      </c>
      <c r="D203" s="1">
        <v>29257</v>
      </c>
      <c r="E203">
        <v>203</v>
      </c>
      <c r="F203" t="s">
        <v>1042</v>
      </c>
      <c r="G203" t="s">
        <v>1046</v>
      </c>
    </row>
    <row r="204" spans="1:7">
      <c r="A204" t="s">
        <v>174</v>
      </c>
      <c r="B204" t="s">
        <v>175</v>
      </c>
      <c r="C204" t="s">
        <v>176</v>
      </c>
      <c r="D204" s="1">
        <v>28948</v>
      </c>
      <c r="E204">
        <v>203</v>
      </c>
      <c r="F204" t="s">
        <v>1042</v>
      </c>
      <c r="G204" t="s">
        <v>1046</v>
      </c>
    </row>
    <row r="205" spans="1:7">
      <c r="A205" t="s">
        <v>780</v>
      </c>
      <c r="B205" t="s">
        <v>781</v>
      </c>
      <c r="C205" t="s">
        <v>782</v>
      </c>
      <c r="D205" s="1">
        <v>29885</v>
      </c>
      <c r="E205">
        <v>203</v>
      </c>
      <c r="F205" t="s">
        <v>1042</v>
      </c>
      <c r="G205" t="s">
        <v>1046</v>
      </c>
    </row>
    <row r="206" spans="1:7">
      <c r="A206" t="s">
        <v>606</v>
      </c>
      <c r="B206" t="s">
        <v>607</v>
      </c>
      <c r="C206" t="s">
        <v>608</v>
      </c>
      <c r="D206" s="1">
        <v>28259</v>
      </c>
      <c r="E206">
        <v>203</v>
      </c>
      <c r="F206" t="s">
        <v>1042</v>
      </c>
      <c r="G206" t="s">
        <v>949</v>
      </c>
    </row>
    <row r="207" spans="1:7">
      <c r="A207" t="s">
        <v>830</v>
      </c>
      <c r="B207" t="s">
        <v>831</v>
      </c>
      <c r="C207" t="s">
        <v>832</v>
      </c>
      <c r="D207" s="1">
        <v>25273</v>
      </c>
      <c r="E207">
        <v>203</v>
      </c>
      <c r="F207" t="s">
        <v>1042</v>
      </c>
      <c r="G207" t="s">
        <v>949</v>
      </c>
    </row>
    <row r="208" spans="1:7">
      <c r="A208" t="s">
        <v>581</v>
      </c>
      <c r="B208" t="s">
        <v>582</v>
      </c>
      <c r="C208" t="s">
        <v>583</v>
      </c>
      <c r="D208" s="1">
        <v>29718</v>
      </c>
      <c r="E208">
        <v>203</v>
      </c>
      <c r="F208" t="s">
        <v>1042</v>
      </c>
      <c r="G208" t="s">
        <v>949</v>
      </c>
    </row>
    <row r="209" spans="1:7">
      <c r="A209" t="s">
        <v>591</v>
      </c>
      <c r="B209" t="s">
        <v>592</v>
      </c>
      <c r="C209" t="s">
        <v>593</v>
      </c>
      <c r="D209" s="1">
        <v>30397</v>
      </c>
      <c r="E209">
        <v>203</v>
      </c>
      <c r="F209" t="s">
        <v>1042</v>
      </c>
      <c r="G209" t="s">
        <v>949</v>
      </c>
    </row>
    <row r="210" spans="1:7">
      <c r="A210" t="s">
        <v>804</v>
      </c>
      <c r="B210" t="s">
        <v>805</v>
      </c>
      <c r="C210" t="s">
        <v>806</v>
      </c>
      <c r="D210" s="1">
        <v>27135</v>
      </c>
      <c r="E210">
        <v>203</v>
      </c>
      <c r="F210" t="s">
        <v>1042</v>
      </c>
      <c r="G210" t="s">
        <v>1046</v>
      </c>
    </row>
    <row r="211" spans="1:7">
      <c r="A211" t="s">
        <v>600</v>
      </c>
      <c r="B211" t="s">
        <v>601</v>
      </c>
      <c r="C211" t="s">
        <v>602</v>
      </c>
      <c r="D211" s="1">
        <v>27643</v>
      </c>
      <c r="E211">
        <v>203</v>
      </c>
      <c r="F211" t="s">
        <v>1042</v>
      </c>
      <c r="G211" t="s">
        <v>949</v>
      </c>
    </row>
    <row r="212" spans="1:7">
      <c r="A212" t="s">
        <v>179</v>
      </c>
      <c r="B212" t="s">
        <v>180</v>
      </c>
      <c r="C212" t="s">
        <v>181</v>
      </c>
      <c r="D212" s="1">
        <v>33146</v>
      </c>
      <c r="E212">
        <v>202</v>
      </c>
      <c r="F212" t="s">
        <v>1042</v>
      </c>
      <c r="G212" t="s">
        <v>1046</v>
      </c>
    </row>
    <row r="213" spans="1:7">
      <c r="A213" t="s">
        <v>165</v>
      </c>
      <c r="B213" t="s">
        <v>166</v>
      </c>
      <c r="C213" t="s">
        <v>167</v>
      </c>
      <c r="D213" s="1">
        <v>34900</v>
      </c>
      <c r="E213">
        <v>202</v>
      </c>
      <c r="F213" t="s">
        <v>1042</v>
      </c>
      <c r="G213" t="s">
        <v>949</v>
      </c>
    </row>
    <row r="214" spans="1:7">
      <c r="A214" t="s">
        <v>223</v>
      </c>
      <c r="B214" t="s">
        <v>224</v>
      </c>
      <c r="C214" t="s">
        <v>225</v>
      </c>
      <c r="D214" s="1">
        <v>32911</v>
      </c>
      <c r="E214">
        <v>202</v>
      </c>
      <c r="F214" t="s">
        <v>1042</v>
      </c>
      <c r="G214" t="s">
        <v>949</v>
      </c>
    </row>
    <row r="215" spans="1:7">
      <c r="A215" t="s">
        <v>171</v>
      </c>
      <c r="B215" t="s">
        <v>172</v>
      </c>
      <c r="C215" t="s">
        <v>173</v>
      </c>
      <c r="D215" s="1">
        <v>22358</v>
      </c>
      <c r="E215">
        <v>202</v>
      </c>
      <c r="F215" t="s">
        <v>1042</v>
      </c>
      <c r="G215" t="s">
        <v>949</v>
      </c>
    </row>
    <row r="216" spans="1:7">
      <c r="A216" t="s">
        <v>774</v>
      </c>
      <c r="B216" t="s">
        <v>775</v>
      </c>
      <c r="C216" t="s">
        <v>776</v>
      </c>
      <c r="D216" s="1">
        <v>34635</v>
      </c>
      <c r="E216">
        <v>202</v>
      </c>
      <c r="F216" t="s">
        <v>1042</v>
      </c>
      <c r="G216" t="s">
        <v>1046</v>
      </c>
    </row>
    <row r="217" spans="1:7">
      <c r="A217" t="s">
        <v>205</v>
      </c>
      <c r="B217" t="s">
        <v>206</v>
      </c>
      <c r="C217" t="s">
        <v>207</v>
      </c>
      <c r="D217" s="1">
        <v>24583</v>
      </c>
      <c r="E217">
        <v>202</v>
      </c>
      <c r="F217" t="s">
        <v>1042</v>
      </c>
      <c r="G217" t="s">
        <v>949</v>
      </c>
    </row>
    <row r="218" spans="1:7">
      <c r="A218" t="s">
        <v>196</v>
      </c>
      <c r="B218" t="s">
        <v>197</v>
      </c>
      <c r="C218" t="s">
        <v>198</v>
      </c>
      <c r="D218" s="1">
        <v>35817</v>
      </c>
      <c r="E218">
        <v>202</v>
      </c>
      <c r="F218" t="s">
        <v>1042</v>
      </c>
      <c r="G218" t="s">
        <v>1046</v>
      </c>
    </row>
    <row r="219" spans="1:7">
      <c r="A219" t="s">
        <v>812</v>
      </c>
      <c r="B219" t="s">
        <v>813</v>
      </c>
      <c r="C219" t="s">
        <v>814</v>
      </c>
      <c r="D219" s="1">
        <v>38519</v>
      </c>
      <c r="E219">
        <v>202</v>
      </c>
      <c r="F219" t="s">
        <v>1042</v>
      </c>
      <c r="G219" t="s">
        <v>949</v>
      </c>
    </row>
    <row r="220" spans="1:7">
      <c r="A220" t="s">
        <v>193</v>
      </c>
      <c r="B220" t="s">
        <v>194</v>
      </c>
      <c r="C220" t="s">
        <v>195</v>
      </c>
      <c r="D220" s="1">
        <v>24003</v>
      </c>
      <c r="E220">
        <v>202</v>
      </c>
      <c r="F220" t="s">
        <v>1042</v>
      </c>
      <c r="G220" t="s">
        <v>949</v>
      </c>
    </row>
    <row r="221" spans="1:7">
      <c r="A221" t="s">
        <v>818</v>
      </c>
      <c r="B221" t="s">
        <v>819</v>
      </c>
      <c r="C221" t="s">
        <v>820</v>
      </c>
      <c r="D221" s="1">
        <v>29725</v>
      </c>
      <c r="E221">
        <v>202</v>
      </c>
      <c r="F221" t="s">
        <v>1042</v>
      </c>
      <c r="G221" t="s">
        <v>949</v>
      </c>
    </row>
    <row r="222" spans="1:7">
      <c r="A222" t="s">
        <v>187</v>
      </c>
      <c r="B222" t="s">
        <v>188</v>
      </c>
      <c r="C222" t="s">
        <v>189</v>
      </c>
      <c r="D222" s="1">
        <v>35145</v>
      </c>
      <c r="E222">
        <v>202</v>
      </c>
      <c r="F222" t="s">
        <v>1042</v>
      </c>
      <c r="G222" t="s">
        <v>949</v>
      </c>
    </row>
    <row r="223" spans="1:7">
      <c r="A223" t="s">
        <v>217</v>
      </c>
      <c r="B223" t="s">
        <v>218</v>
      </c>
      <c r="C223" t="s">
        <v>219</v>
      </c>
      <c r="D223" s="1">
        <v>33211</v>
      </c>
      <c r="E223">
        <v>202</v>
      </c>
      <c r="F223" t="s">
        <v>1042</v>
      </c>
      <c r="G223" t="s">
        <v>949</v>
      </c>
    </row>
    <row r="224" spans="1:7">
      <c r="A224" t="s">
        <v>199</v>
      </c>
      <c r="B224" t="s">
        <v>200</v>
      </c>
      <c r="C224" t="s">
        <v>201</v>
      </c>
      <c r="D224" s="1">
        <v>35330</v>
      </c>
      <c r="E224">
        <v>202</v>
      </c>
      <c r="F224" t="s">
        <v>1042</v>
      </c>
      <c r="G224" t="s">
        <v>949</v>
      </c>
    </row>
    <row r="225" spans="1:7">
      <c r="A225" t="s">
        <v>168</v>
      </c>
      <c r="B225" t="s">
        <v>169</v>
      </c>
      <c r="C225" t="s">
        <v>170</v>
      </c>
      <c r="D225" s="1">
        <v>36727</v>
      </c>
      <c r="E225">
        <v>202</v>
      </c>
      <c r="F225" t="s">
        <v>1042</v>
      </c>
      <c r="G225" t="s">
        <v>1046</v>
      </c>
    </row>
    <row r="226" spans="1:7">
      <c r="A226" t="s">
        <v>235</v>
      </c>
      <c r="B226" t="s">
        <v>236</v>
      </c>
      <c r="C226" t="s">
        <v>237</v>
      </c>
      <c r="D226" s="1">
        <v>35092</v>
      </c>
      <c r="E226">
        <v>202</v>
      </c>
      <c r="F226" t="s">
        <v>1042</v>
      </c>
      <c r="G226" t="s">
        <v>949</v>
      </c>
    </row>
    <row r="227" spans="1:7">
      <c r="A227" t="s">
        <v>182</v>
      </c>
      <c r="B227" t="s">
        <v>183</v>
      </c>
      <c r="C227" t="s">
        <v>184</v>
      </c>
      <c r="D227" s="1">
        <v>31083</v>
      </c>
      <c r="E227">
        <v>202</v>
      </c>
      <c r="F227" t="s">
        <v>1042</v>
      </c>
      <c r="G227" t="s">
        <v>949</v>
      </c>
    </row>
    <row r="228" spans="1:7">
      <c r="A228" t="s">
        <v>786</v>
      </c>
      <c r="B228" t="s">
        <v>787</v>
      </c>
      <c r="C228" t="s">
        <v>788</v>
      </c>
      <c r="D228" s="1">
        <v>33777</v>
      </c>
      <c r="E228">
        <v>202</v>
      </c>
      <c r="F228" t="s">
        <v>1042</v>
      </c>
      <c r="G228" t="s">
        <v>1046</v>
      </c>
    </row>
    <row r="229" spans="1:7">
      <c r="A229" t="s">
        <v>177</v>
      </c>
      <c r="B229" t="s">
        <v>178</v>
      </c>
      <c r="C229" t="s">
        <v>71</v>
      </c>
      <c r="D229" s="1">
        <v>35270</v>
      </c>
      <c r="E229">
        <v>202</v>
      </c>
      <c r="F229" t="s">
        <v>1042</v>
      </c>
      <c r="G229" t="s">
        <v>949</v>
      </c>
    </row>
    <row r="230" spans="1:7">
      <c r="A230" t="s">
        <v>672</v>
      </c>
      <c r="B230" t="s">
        <v>673</v>
      </c>
      <c r="C230" t="s">
        <v>674</v>
      </c>
      <c r="D230" s="1">
        <v>34464</v>
      </c>
      <c r="E230">
        <v>200</v>
      </c>
      <c r="F230" t="s">
        <v>1042</v>
      </c>
      <c r="G230" t="s">
        <v>949</v>
      </c>
    </row>
    <row r="231" spans="1:7">
      <c r="A231" t="s">
        <v>744</v>
      </c>
      <c r="B231" t="s">
        <v>745</v>
      </c>
      <c r="C231" t="s">
        <v>746</v>
      </c>
      <c r="D231" s="1">
        <v>36929</v>
      </c>
      <c r="E231">
        <v>200</v>
      </c>
      <c r="F231" t="s">
        <v>1042</v>
      </c>
      <c r="G231" t="s">
        <v>949</v>
      </c>
    </row>
    <row r="232" spans="1:7">
      <c r="A232" t="s">
        <v>809</v>
      </c>
      <c r="B232" t="s">
        <v>810</v>
      </c>
      <c r="C232" t="s">
        <v>811</v>
      </c>
      <c r="D232" s="1">
        <v>37541</v>
      </c>
      <c r="E232">
        <v>200</v>
      </c>
      <c r="F232" t="s">
        <v>1042</v>
      </c>
      <c r="G232" t="s">
        <v>1046</v>
      </c>
    </row>
    <row r="233" spans="1:7">
      <c r="A233" t="s">
        <v>902</v>
      </c>
      <c r="B233" t="s">
        <v>1051</v>
      </c>
      <c r="C233" t="s">
        <v>904</v>
      </c>
      <c r="D233" s="1">
        <v>36385</v>
      </c>
      <c r="E233">
        <v>200</v>
      </c>
      <c r="F233" t="s">
        <v>1042</v>
      </c>
      <c r="G233" t="s">
        <v>1046</v>
      </c>
    </row>
    <row r="234" spans="1:7">
      <c r="A234" t="s">
        <v>185</v>
      </c>
      <c r="B234" t="s">
        <v>186</v>
      </c>
      <c r="C234" t="s">
        <v>105</v>
      </c>
      <c r="D234" s="1">
        <v>36432</v>
      </c>
      <c r="E234">
        <v>200</v>
      </c>
      <c r="F234" t="s">
        <v>1042</v>
      </c>
      <c r="G234" t="s">
        <v>1046</v>
      </c>
    </row>
    <row r="235" spans="1:7">
      <c r="A235" t="s">
        <v>798</v>
      </c>
      <c r="B235" t="s">
        <v>799</v>
      </c>
      <c r="C235" t="s">
        <v>800</v>
      </c>
      <c r="D235" s="1">
        <v>31732</v>
      </c>
      <c r="E235">
        <v>200</v>
      </c>
      <c r="F235" t="s">
        <v>1042</v>
      </c>
      <c r="G235" t="s">
        <v>1046</v>
      </c>
    </row>
    <row r="236" spans="1:7">
      <c r="A236" t="s">
        <v>713</v>
      </c>
      <c r="B236" t="s">
        <v>714</v>
      </c>
      <c r="C236" t="s">
        <v>715</v>
      </c>
      <c r="D236" s="1">
        <v>33019</v>
      </c>
      <c r="E236">
        <v>200</v>
      </c>
      <c r="F236" t="s">
        <v>1042</v>
      </c>
      <c r="G236" t="s">
        <v>949</v>
      </c>
    </row>
    <row r="237" spans="1:7">
      <c r="A237" t="s">
        <v>703</v>
      </c>
      <c r="B237" t="s">
        <v>704</v>
      </c>
      <c r="C237" t="s">
        <v>705</v>
      </c>
      <c r="D237" s="1">
        <v>29523</v>
      </c>
      <c r="E237">
        <v>200</v>
      </c>
      <c r="F237" t="s">
        <v>1042</v>
      </c>
      <c r="G237" t="s">
        <v>949</v>
      </c>
    </row>
    <row r="238" spans="1:7">
      <c r="A238" t="s">
        <v>659</v>
      </c>
      <c r="B238" t="s">
        <v>660</v>
      </c>
      <c r="C238" t="s">
        <v>280</v>
      </c>
      <c r="D238" s="1">
        <v>35246</v>
      </c>
      <c r="E238">
        <v>200</v>
      </c>
      <c r="F238" t="s">
        <v>1042</v>
      </c>
      <c r="G238" t="s">
        <v>949</v>
      </c>
    </row>
    <row r="239" spans="1:7">
      <c r="A239" t="s">
        <v>716</v>
      </c>
      <c r="B239" t="s">
        <v>717</v>
      </c>
      <c r="C239" t="s">
        <v>718</v>
      </c>
      <c r="D239" s="1">
        <v>37307</v>
      </c>
      <c r="E239">
        <v>200</v>
      </c>
      <c r="F239" t="s">
        <v>1042</v>
      </c>
      <c r="G239" t="s">
        <v>1046</v>
      </c>
    </row>
    <row r="240" spans="1:7">
      <c r="A240" t="s">
        <v>683</v>
      </c>
      <c r="B240" t="s">
        <v>684</v>
      </c>
      <c r="C240" t="s">
        <v>207</v>
      </c>
      <c r="D240" s="1">
        <v>34711</v>
      </c>
      <c r="E240">
        <v>200</v>
      </c>
      <c r="F240" t="s">
        <v>1042</v>
      </c>
      <c r="G240" t="s">
        <v>949</v>
      </c>
    </row>
    <row r="241" spans="1:7">
      <c r="A241" t="s">
        <v>769</v>
      </c>
      <c r="B241" t="s">
        <v>770</v>
      </c>
      <c r="C241" t="s">
        <v>280</v>
      </c>
      <c r="D241" s="1">
        <v>35195</v>
      </c>
      <c r="E241">
        <v>200</v>
      </c>
      <c r="F241" t="s">
        <v>1042</v>
      </c>
      <c r="G241" t="s">
        <v>1046</v>
      </c>
    </row>
    <row r="242" spans="1:7">
      <c r="A242" t="s">
        <v>688</v>
      </c>
      <c r="B242" t="s">
        <v>689</v>
      </c>
      <c r="C242" t="s">
        <v>690</v>
      </c>
      <c r="D242" s="1">
        <v>30994</v>
      </c>
      <c r="E242">
        <v>200</v>
      </c>
      <c r="F242" t="s">
        <v>1042</v>
      </c>
      <c r="G242" t="s">
        <v>949</v>
      </c>
    </row>
    <row r="243" spans="1:7">
      <c r="A243" t="s">
        <v>893</v>
      </c>
      <c r="B243" t="s">
        <v>894</v>
      </c>
      <c r="C243" t="s">
        <v>895</v>
      </c>
      <c r="D243" s="1">
        <v>36460</v>
      </c>
      <c r="E243">
        <v>200</v>
      </c>
      <c r="F243" t="s">
        <v>1042</v>
      </c>
      <c r="G243" t="s">
        <v>1046</v>
      </c>
    </row>
    <row r="244" spans="1:7">
      <c r="A244" t="s">
        <v>668</v>
      </c>
      <c r="B244" t="s">
        <v>669</v>
      </c>
      <c r="C244" t="s">
        <v>231</v>
      </c>
      <c r="D244" s="1">
        <v>36567</v>
      </c>
      <c r="E244">
        <v>200</v>
      </c>
      <c r="F244" t="s">
        <v>1042</v>
      </c>
      <c r="G244" t="s">
        <v>949</v>
      </c>
    </row>
    <row r="245" spans="1:7">
      <c r="A245" t="s">
        <v>190</v>
      </c>
      <c r="B245" t="s">
        <v>191</v>
      </c>
      <c r="C245" t="s">
        <v>192</v>
      </c>
      <c r="D245" s="1">
        <v>32119</v>
      </c>
      <c r="E245">
        <v>200</v>
      </c>
      <c r="F245" t="s">
        <v>1042</v>
      </c>
      <c r="G245" t="s">
        <v>1046</v>
      </c>
    </row>
    <row r="246" spans="1:7">
      <c r="A246" t="s">
        <v>229</v>
      </c>
      <c r="B246" t="s">
        <v>230</v>
      </c>
      <c r="C246" t="s">
        <v>231</v>
      </c>
      <c r="D246" s="1">
        <v>37246</v>
      </c>
      <c r="E246">
        <v>200</v>
      </c>
      <c r="F246" t="s">
        <v>1042</v>
      </c>
      <c r="G246" t="s">
        <v>949</v>
      </c>
    </row>
    <row r="247" spans="1:7">
      <c r="A247" t="s">
        <v>695</v>
      </c>
      <c r="B247" t="s">
        <v>696</v>
      </c>
      <c r="C247" t="s">
        <v>697</v>
      </c>
      <c r="D247" s="1">
        <v>37246</v>
      </c>
      <c r="E247">
        <v>200</v>
      </c>
      <c r="F247" t="s">
        <v>1042</v>
      </c>
      <c r="G247" t="s">
        <v>1046</v>
      </c>
    </row>
    <row r="248" spans="1:7">
      <c r="A248" t="s">
        <v>750</v>
      </c>
      <c r="B248" t="s">
        <v>751</v>
      </c>
      <c r="C248" t="s">
        <v>752</v>
      </c>
      <c r="D248" s="1">
        <v>36666</v>
      </c>
      <c r="E248">
        <v>200</v>
      </c>
      <c r="F248" t="s">
        <v>1042</v>
      </c>
      <c r="G248" t="s">
        <v>949</v>
      </c>
    </row>
    <row r="249" spans="1:7">
      <c r="A249" t="s">
        <v>613</v>
      </c>
      <c r="B249" t="s">
        <v>614</v>
      </c>
      <c r="C249" t="s">
        <v>167</v>
      </c>
      <c r="D249" s="1">
        <v>36077</v>
      </c>
      <c r="E249">
        <v>200</v>
      </c>
      <c r="F249" t="s">
        <v>1042</v>
      </c>
      <c r="G249" t="s">
        <v>949</v>
      </c>
    </row>
    <row r="250" spans="1:7">
      <c r="A250" t="s">
        <v>729</v>
      </c>
      <c r="B250" t="s">
        <v>730</v>
      </c>
      <c r="C250" t="s">
        <v>731</v>
      </c>
      <c r="D250" s="1">
        <v>37566</v>
      </c>
      <c r="E250">
        <v>200</v>
      </c>
      <c r="F250" t="s">
        <v>1042</v>
      </c>
      <c r="G250" t="s">
        <v>949</v>
      </c>
    </row>
    <row r="251" spans="1:7">
      <c r="A251" t="s">
        <v>844</v>
      </c>
      <c r="B251" t="s">
        <v>845</v>
      </c>
      <c r="C251" t="s">
        <v>375</v>
      </c>
      <c r="D251" s="1">
        <v>37295</v>
      </c>
      <c r="E251">
        <v>200</v>
      </c>
      <c r="F251" t="s">
        <v>1042</v>
      </c>
      <c r="G251" t="s">
        <v>1046</v>
      </c>
    </row>
    <row r="252" spans="1:7">
      <c r="A252" t="s">
        <v>792</v>
      </c>
      <c r="B252" t="s">
        <v>793</v>
      </c>
      <c r="C252" t="s">
        <v>490</v>
      </c>
      <c r="D252" s="1">
        <v>33690</v>
      </c>
      <c r="E252">
        <v>200</v>
      </c>
      <c r="F252" t="s">
        <v>1042</v>
      </c>
      <c r="G252" t="s">
        <v>1046</v>
      </c>
    </row>
    <row r="253" spans="1:7">
      <c r="A253" t="s">
        <v>849</v>
      </c>
      <c r="B253" t="s">
        <v>850</v>
      </c>
      <c r="C253" t="s">
        <v>158</v>
      </c>
      <c r="D253" s="1">
        <v>36865</v>
      </c>
      <c r="E253">
        <v>200</v>
      </c>
      <c r="F253" t="s">
        <v>1042</v>
      </c>
      <c r="G253" t="s">
        <v>1046</v>
      </c>
    </row>
    <row r="254" spans="1:7">
      <c r="A254" t="s">
        <v>756</v>
      </c>
      <c r="B254" t="s">
        <v>757</v>
      </c>
      <c r="C254" t="s">
        <v>758</v>
      </c>
      <c r="D254" s="1">
        <v>36865</v>
      </c>
      <c r="E254">
        <v>200</v>
      </c>
      <c r="F254" t="s">
        <v>1042</v>
      </c>
      <c r="G254" t="s">
        <v>949</v>
      </c>
    </row>
    <row r="255" spans="1:7">
      <c r="A255" t="s">
        <v>719</v>
      </c>
      <c r="B255" t="s">
        <v>720</v>
      </c>
      <c r="C255" t="s">
        <v>721</v>
      </c>
      <c r="D255" s="1">
        <v>33058</v>
      </c>
      <c r="E255">
        <v>200</v>
      </c>
      <c r="F255" t="s">
        <v>1042</v>
      </c>
      <c r="G255" t="s">
        <v>949</v>
      </c>
    </row>
    <row r="256" spans="1:7">
      <c r="A256" t="s">
        <v>635</v>
      </c>
      <c r="B256" t="s">
        <v>636</v>
      </c>
      <c r="C256" t="s">
        <v>637</v>
      </c>
      <c r="D256" s="1">
        <v>35873</v>
      </c>
      <c r="E256">
        <v>200</v>
      </c>
      <c r="F256" t="s">
        <v>1042</v>
      </c>
      <c r="G256" t="s">
        <v>949</v>
      </c>
    </row>
    <row r="257" spans="1:7">
      <c r="A257" t="s">
        <v>618</v>
      </c>
      <c r="B257" t="s">
        <v>619</v>
      </c>
      <c r="C257" t="s">
        <v>620</v>
      </c>
      <c r="D257" s="1">
        <v>35372</v>
      </c>
      <c r="E257">
        <v>200</v>
      </c>
      <c r="F257" t="s">
        <v>1042</v>
      </c>
      <c r="G257" t="s">
        <v>949</v>
      </c>
    </row>
    <row r="258" spans="1:7">
      <c r="A258" t="s">
        <v>706</v>
      </c>
      <c r="B258" t="s">
        <v>707</v>
      </c>
      <c r="C258" t="s">
        <v>658</v>
      </c>
      <c r="D258" s="1">
        <v>36993</v>
      </c>
      <c r="E258">
        <v>200</v>
      </c>
      <c r="F258" t="s">
        <v>1042</v>
      </c>
      <c r="G258" t="s">
        <v>1046</v>
      </c>
    </row>
    <row r="259" spans="1:7">
      <c r="A259" t="s">
        <v>821</v>
      </c>
      <c r="B259" t="s">
        <v>822</v>
      </c>
      <c r="C259" t="s">
        <v>823</v>
      </c>
      <c r="D259" s="1">
        <v>36013</v>
      </c>
      <c r="E259">
        <v>200</v>
      </c>
      <c r="F259" t="s">
        <v>1042</v>
      </c>
      <c r="G259" t="s">
        <v>1046</v>
      </c>
    </row>
    <row r="260" spans="1:7">
      <c r="A260" t="s">
        <v>722</v>
      </c>
      <c r="B260" t="s">
        <v>723</v>
      </c>
      <c r="C260" t="s">
        <v>724</v>
      </c>
      <c r="D260" s="1">
        <v>36011</v>
      </c>
      <c r="E260">
        <v>200</v>
      </c>
      <c r="F260" t="s">
        <v>1042</v>
      </c>
      <c r="G260" t="s">
        <v>1046</v>
      </c>
    </row>
    <row r="261" spans="1:7">
      <c r="A261" t="s">
        <v>737</v>
      </c>
      <c r="B261" t="s">
        <v>738</v>
      </c>
      <c r="C261" t="s">
        <v>739</v>
      </c>
      <c r="D261" s="1">
        <v>34885</v>
      </c>
      <c r="E261">
        <v>200</v>
      </c>
      <c r="F261" t="s">
        <v>1042</v>
      </c>
      <c r="G261" t="s">
        <v>1046</v>
      </c>
    </row>
    <row r="262" spans="1:7">
      <c r="A262" t="s">
        <v>708</v>
      </c>
      <c r="B262" t="s">
        <v>709</v>
      </c>
      <c r="C262" t="s">
        <v>167</v>
      </c>
      <c r="D262" s="1">
        <v>29031</v>
      </c>
      <c r="E262">
        <v>200</v>
      </c>
      <c r="F262" t="s">
        <v>1042</v>
      </c>
      <c r="G262" t="s">
        <v>949</v>
      </c>
    </row>
    <row r="263" spans="1:7">
      <c r="A263" t="s">
        <v>691</v>
      </c>
      <c r="B263" t="s">
        <v>692</v>
      </c>
      <c r="C263" t="s">
        <v>297</v>
      </c>
      <c r="D263" s="1">
        <v>36938</v>
      </c>
      <c r="E263">
        <v>200</v>
      </c>
      <c r="F263" t="s">
        <v>1042</v>
      </c>
      <c r="G263" t="s">
        <v>1046</v>
      </c>
    </row>
    <row r="264" spans="1:7">
      <c r="A264" t="s">
        <v>854</v>
      </c>
      <c r="B264" t="s">
        <v>855</v>
      </c>
      <c r="C264" t="s">
        <v>856</v>
      </c>
      <c r="D264" s="1">
        <v>37324</v>
      </c>
      <c r="E264">
        <v>200</v>
      </c>
      <c r="F264" t="s">
        <v>1042</v>
      </c>
      <c r="G264" t="s">
        <v>1046</v>
      </c>
    </row>
    <row r="265" spans="1:7">
      <c r="A265" t="s">
        <v>701</v>
      </c>
      <c r="B265" t="s">
        <v>702</v>
      </c>
      <c r="C265" t="s">
        <v>324</v>
      </c>
      <c r="D265" s="1">
        <v>37551</v>
      </c>
      <c r="E265">
        <v>200</v>
      </c>
      <c r="F265" t="s">
        <v>1042</v>
      </c>
      <c r="G265" t="s">
        <v>1046</v>
      </c>
    </row>
    <row r="266" spans="1:7">
      <c r="A266" t="s">
        <v>647</v>
      </c>
      <c r="B266" t="s">
        <v>648</v>
      </c>
      <c r="C266" t="s">
        <v>649</v>
      </c>
      <c r="D266" s="1">
        <v>35550</v>
      </c>
      <c r="E266">
        <v>200</v>
      </c>
      <c r="F266" t="s">
        <v>1042</v>
      </c>
      <c r="G266" t="s">
        <v>949</v>
      </c>
    </row>
    <row r="267" spans="1:7">
      <c r="A267" t="s">
        <v>693</v>
      </c>
      <c r="B267" t="s">
        <v>694</v>
      </c>
      <c r="C267" t="s">
        <v>327</v>
      </c>
      <c r="D267" s="1">
        <v>32357</v>
      </c>
      <c r="E267">
        <v>200</v>
      </c>
      <c r="F267" t="s">
        <v>1042</v>
      </c>
      <c r="G267" t="s">
        <v>949</v>
      </c>
    </row>
    <row r="268" spans="1:7">
      <c r="A268" t="s">
        <v>753</v>
      </c>
      <c r="B268" t="s">
        <v>754</v>
      </c>
      <c r="C268" t="s">
        <v>755</v>
      </c>
      <c r="D268" s="1">
        <v>33696</v>
      </c>
      <c r="E268">
        <v>200</v>
      </c>
      <c r="F268" t="s">
        <v>1042</v>
      </c>
      <c r="G268" t="s">
        <v>1046</v>
      </c>
    </row>
    <row r="269" spans="1:7">
      <c r="A269" t="s">
        <v>653</v>
      </c>
      <c r="B269" t="s">
        <v>654</v>
      </c>
      <c r="C269" t="s">
        <v>655</v>
      </c>
      <c r="D269" s="1">
        <v>36143</v>
      </c>
      <c r="E269">
        <v>200</v>
      </c>
      <c r="F269" t="s">
        <v>1042</v>
      </c>
      <c r="G269" t="s">
        <v>949</v>
      </c>
    </row>
    <row r="270" spans="1:7">
      <c r="A270" t="s">
        <v>698</v>
      </c>
      <c r="B270" t="s">
        <v>699</v>
      </c>
      <c r="C270" t="s">
        <v>700</v>
      </c>
      <c r="D270" s="1">
        <v>29340</v>
      </c>
      <c r="E270">
        <v>200</v>
      </c>
      <c r="F270" t="s">
        <v>1042</v>
      </c>
      <c r="G270" t="s">
        <v>949</v>
      </c>
    </row>
    <row r="271" spans="1:7">
      <c r="A271" t="s">
        <v>771</v>
      </c>
      <c r="B271" t="s">
        <v>772</v>
      </c>
      <c r="C271" t="s">
        <v>773</v>
      </c>
      <c r="D271" s="1">
        <v>36465</v>
      </c>
      <c r="E271">
        <v>200</v>
      </c>
      <c r="F271" t="s">
        <v>1042</v>
      </c>
      <c r="G271" t="s">
        <v>949</v>
      </c>
    </row>
    <row r="272" spans="1:7">
      <c r="A272" t="s">
        <v>727</v>
      </c>
      <c r="B272" t="s">
        <v>728</v>
      </c>
      <c r="C272" t="s">
        <v>280</v>
      </c>
      <c r="D272" s="1">
        <v>36111</v>
      </c>
      <c r="E272">
        <v>200</v>
      </c>
      <c r="F272" t="s">
        <v>1042</v>
      </c>
      <c r="G272" t="s">
        <v>1046</v>
      </c>
    </row>
    <row r="273" spans="1:7">
      <c r="A273" t="s">
        <v>807</v>
      </c>
      <c r="B273" t="s">
        <v>808</v>
      </c>
      <c r="C273" t="s">
        <v>715</v>
      </c>
      <c r="D273" s="1">
        <v>34435</v>
      </c>
      <c r="E273">
        <v>200</v>
      </c>
      <c r="F273" t="s">
        <v>1042</v>
      </c>
      <c r="G273" t="s">
        <v>949</v>
      </c>
    </row>
    <row r="274" spans="1:7">
      <c r="A274" t="s">
        <v>763</v>
      </c>
      <c r="B274" t="s">
        <v>764</v>
      </c>
      <c r="C274" t="s">
        <v>765</v>
      </c>
      <c r="D274" s="1">
        <v>32945</v>
      </c>
      <c r="E274">
        <v>200</v>
      </c>
      <c r="F274" t="s">
        <v>1042</v>
      </c>
      <c r="G274" t="s">
        <v>1046</v>
      </c>
    </row>
    <row r="275" spans="1:7">
      <c r="A275" t="s">
        <v>677</v>
      </c>
      <c r="B275" t="s">
        <v>678</v>
      </c>
      <c r="C275" t="s">
        <v>679</v>
      </c>
      <c r="D275" s="1">
        <v>33100</v>
      </c>
      <c r="E275">
        <v>200</v>
      </c>
      <c r="F275" t="s">
        <v>1042</v>
      </c>
      <c r="G275" t="s">
        <v>949</v>
      </c>
    </row>
    <row r="276" spans="1:7">
      <c r="A276" t="s">
        <v>662</v>
      </c>
      <c r="B276" t="s">
        <v>663</v>
      </c>
      <c r="C276" t="s">
        <v>664</v>
      </c>
      <c r="D276" s="1">
        <v>33241</v>
      </c>
      <c r="E276">
        <v>200</v>
      </c>
      <c r="F276" t="s">
        <v>1042</v>
      </c>
      <c r="G276" t="s">
        <v>949</v>
      </c>
    </row>
    <row r="277" spans="1:7">
      <c r="A277" t="s">
        <v>742</v>
      </c>
      <c r="B277" t="s">
        <v>743</v>
      </c>
      <c r="C277" t="s">
        <v>490</v>
      </c>
      <c r="D277" s="1">
        <v>35337</v>
      </c>
      <c r="E277">
        <v>200</v>
      </c>
      <c r="F277" t="s">
        <v>1042</v>
      </c>
      <c r="G277" t="s">
        <v>1046</v>
      </c>
    </row>
    <row r="278" spans="1:7">
      <c r="A278" t="s">
        <v>1313</v>
      </c>
      <c r="B278" t="s">
        <v>1314</v>
      </c>
      <c r="C278" t="s">
        <v>746</v>
      </c>
      <c r="D278" s="1">
        <v>36683</v>
      </c>
      <c r="E278">
        <v>100</v>
      </c>
      <c r="F278" t="s">
        <v>1042</v>
      </c>
      <c r="G278" t="s">
        <v>949</v>
      </c>
    </row>
    <row r="279" spans="1:7">
      <c r="A279" t="s">
        <v>1315</v>
      </c>
      <c r="B279" t="s">
        <v>1316</v>
      </c>
      <c r="C279" t="s">
        <v>796</v>
      </c>
      <c r="D279" s="1">
        <v>29189</v>
      </c>
      <c r="E279">
        <v>100</v>
      </c>
      <c r="F279" t="s">
        <v>1042</v>
      </c>
      <c r="G279" t="s">
        <v>949</v>
      </c>
    </row>
    <row r="280" spans="1:7">
      <c r="A280" t="s">
        <v>747</v>
      </c>
      <c r="B280" t="s">
        <v>748</v>
      </c>
      <c r="C280" t="s">
        <v>749</v>
      </c>
      <c r="D280" s="1">
        <v>32050</v>
      </c>
      <c r="E280">
        <v>100</v>
      </c>
      <c r="F280" t="s">
        <v>1042</v>
      </c>
      <c r="G280" t="s">
        <v>1046</v>
      </c>
    </row>
    <row r="281" spans="1:7">
      <c r="A281" t="s">
        <v>1317</v>
      </c>
      <c r="B281" t="s">
        <v>1318</v>
      </c>
      <c r="C281" t="s">
        <v>721</v>
      </c>
      <c r="D281" s="1">
        <v>29709</v>
      </c>
      <c r="E281">
        <v>100</v>
      </c>
      <c r="F281" t="s">
        <v>1042</v>
      </c>
      <c r="G281" t="s">
        <v>949</v>
      </c>
    </row>
    <row r="282" spans="1:7">
      <c r="A282" t="s">
        <v>1319</v>
      </c>
      <c r="B282" t="s">
        <v>1320</v>
      </c>
      <c r="C282" t="s">
        <v>333</v>
      </c>
      <c r="D282" s="1">
        <v>32967</v>
      </c>
      <c r="E282">
        <v>100</v>
      </c>
      <c r="F282" t="s">
        <v>1042</v>
      </c>
      <c r="G282" t="s">
        <v>949</v>
      </c>
    </row>
    <row r="283" spans="1:7">
      <c r="A283" t="s">
        <v>1321</v>
      </c>
      <c r="B283" t="s">
        <v>1322</v>
      </c>
      <c r="C283" t="s">
        <v>1323</v>
      </c>
      <c r="D283" s="1">
        <v>32205</v>
      </c>
      <c r="E283">
        <v>100</v>
      </c>
      <c r="F283" t="s">
        <v>1042</v>
      </c>
      <c r="G283" t="s">
        <v>949</v>
      </c>
    </row>
    <row r="284" spans="1:7">
      <c r="A284" t="s">
        <v>1324</v>
      </c>
      <c r="B284" t="s">
        <v>1325</v>
      </c>
      <c r="C284" t="s">
        <v>1326</v>
      </c>
      <c r="D284" s="1">
        <v>36664</v>
      </c>
      <c r="E284">
        <v>100</v>
      </c>
      <c r="F284" t="s">
        <v>1042</v>
      </c>
      <c r="G284" t="s">
        <v>949</v>
      </c>
    </row>
    <row r="285" spans="1:7">
      <c r="A285" t="s">
        <v>851</v>
      </c>
      <c r="B285" t="s">
        <v>852</v>
      </c>
      <c r="C285" t="s">
        <v>853</v>
      </c>
      <c r="D285" s="1">
        <v>38169</v>
      </c>
      <c r="E285">
        <v>100</v>
      </c>
      <c r="F285" t="s">
        <v>1048</v>
      </c>
      <c r="G285" t="s">
        <v>949</v>
      </c>
    </row>
    <row r="286" spans="1:7">
      <c r="A286" t="s">
        <v>794</v>
      </c>
      <c r="B286" t="s">
        <v>795</v>
      </c>
      <c r="C286" t="s">
        <v>796</v>
      </c>
      <c r="D286" s="1">
        <v>35231</v>
      </c>
      <c r="E286">
        <v>100</v>
      </c>
      <c r="F286" t="s">
        <v>1048</v>
      </c>
      <c r="G286" t="s">
        <v>949</v>
      </c>
    </row>
    <row r="287" spans="1:7">
      <c r="A287" t="s">
        <v>474</v>
      </c>
      <c r="B287" t="s">
        <v>475</v>
      </c>
      <c r="C287" t="s">
        <v>476</v>
      </c>
      <c r="D287" s="1">
        <v>41263</v>
      </c>
      <c r="E287">
        <v>100</v>
      </c>
      <c r="F287" t="s">
        <v>1042</v>
      </c>
      <c r="G287" t="s">
        <v>949</v>
      </c>
    </row>
    <row r="288" spans="1:7">
      <c r="A288" t="s">
        <v>1327</v>
      </c>
      <c r="B288" t="s">
        <v>1328</v>
      </c>
      <c r="C288" t="s">
        <v>1329</v>
      </c>
      <c r="D288" s="1">
        <v>40822</v>
      </c>
      <c r="E288">
        <v>100</v>
      </c>
      <c r="F288" t="s">
        <v>1048</v>
      </c>
      <c r="G288" t="s">
        <v>1046</v>
      </c>
    </row>
    <row r="289" spans="1:7">
      <c r="A289" t="s">
        <v>1330</v>
      </c>
      <c r="B289" t="s">
        <v>1331</v>
      </c>
      <c r="C289" t="s">
        <v>800</v>
      </c>
      <c r="D289" s="1">
        <v>30344</v>
      </c>
      <c r="E289">
        <v>100</v>
      </c>
      <c r="F289" t="s">
        <v>1042</v>
      </c>
      <c r="G289" t="s">
        <v>1046</v>
      </c>
    </row>
    <row r="290" spans="1:7">
      <c r="A290" t="s">
        <v>1332</v>
      </c>
      <c r="B290" t="s">
        <v>1333</v>
      </c>
      <c r="C290" t="s">
        <v>1334</v>
      </c>
      <c r="D290" s="1">
        <v>31501</v>
      </c>
      <c r="E290">
        <v>100</v>
      </c>
      <c r="F290" t="s">
        <v>1042</v>
      </c>
      <c r="G290" t="s">
        <v>949</v>
      </c>
    </row>
    <row r="291" spans="1:7">
      <c r="A291" t="s">
        <v>1335</v>
      </c>
      <c r="B291" t="s">
        <v>1336</v>
      </c>
      <c r="C291" t="s">
        <v>1337</v>
      </c>
      <c r="D291" s="1">
        <v>32045</v>
      </c>
      <c r="E291">
        <v>100</v>
      </c>
      <c r="F291" t="s">
        <v>1042</v>
      </c>
      <c r="G291" t="s">
        <v>1046</v>
      </c>
    </row>
    <row r="292" spans="1:7">
      <c r="A292" t="s">
        <v>1338</v>
      </c>
      <c r="B292" t="s">
        <v>1339</v>
      </c>
      <c r="C292" t="s">
        <v>664</v>
      </c>
      <c r="D292" s="1">
        <v>34255</v>
      </c>
      <c r="E292">
        <v>100</v>
      </c>
      <c r="F292" t="s">
        <v>1042</v>
      </c>
      <c r="G292" t="s">
        <v>949</v>
      </c>
    </row>
    <row r="293" spans="1:7">
      <c r="A293" t="s">
        <v>1340</v>
      </c>
      <c r="B293" t="s">
        <v>1341</v>
      </c>
      <c r="C293" t="s">
        <v>1342</v>
      </c>
      <c r="D293" s="1">
        <v>27506</v>
      </c>
      <c r="E293">
        <v>100</v>
      </c>
      <c r="F293" t="s">
        <v>1042</v>
      </c>
      <c r="G293" t="s">
        <v>949</v>
      </c>
    </row>
    <row r="294" spans="1:7">
      <c r="A294" t="s">
        <v>656</v>
      </c>
      <c r="B294" t="s">
        <v>657</v>
      </c>
      <c r="C294" t="s">
        <v>658</v>
      </c>
      <c r="D294" s="1">
        <v>31792</v>
      </c>
      <c r="E294">
        <v>100</v>
      </c>
      <c r="F294" t="s">
        <v>1042</v>
      </c>
      <c r="G294" t="s">
        <v>1046</v>
      </c>
    </row>
    <row r="295" spans="1:7">
      <c r="A295" t="s">
        <v>1343</v>
      </c>
      <c r="B295" t="s">
        <v>1344</v>
      </c>
      <c r="C295" t="s">
        <v>1345</v>
      </c>
      <c r="D295" s="1">
        <v>22318</v>
      </c>
      <c r="E295">
        <v>1</v>
      </c>
      <c r="F295" t="s">
        <v>1042</v>
      </c>
      <c r="G295" t="s">
        <v>949</v>
      </c>
    </row>
    <row r="296" spans="1:7">
      <c r="A296" t="s">
        <v>1346</v>
      </c>
      <c r="B296" t="s">
        <v>1018</v>
      </c>
      <c r="C296" t="s">
        <v>1347</v>
      </c>
      <c r="D296" s="1">
        <v>24133</v>
      </c>
      <c r="E296">
        <v>1</v>
      </c>
      <c r="F296" t="s">
        <v>1042</v>
      </c>
      <c r="G296" t="s">
        <v>949</v>
      </c>
    </row>
    <row r="297" spans="1:7">
      <c r="A297" t="s">
        <v>1348</v>
      </c>
      <c r="B297" t="s">
        <v>1349</v>
      </c>
      <c r="C297" t="s">
        <v>1350</v>
      </c>
      <c r="D297" s="1">
        <v>27572</v>
      </c>
      <c r="E297">
        <v>1</v>
      </c>
      <c r="F297" t="s">
        <v>1042</v>
      </c>
      <c r="G297" t="s">
        <v>949</v>
      </c>
    </row>
    <row r="298" spans="1:7">
      <c r="A298" t="s">
        <v>1351</v>
      </c>
      <c r="B298" t="s">
        <v>1022</v>
      </c>
      <c r="C298" t="s">
        <v>779</v>
      </c>
      <c r="D298" s="1">
        <v>23727</v>
      </c>
      <c r="E298">
        <v>1</v>
      </c>
      <c r="F298" t="s">
        <v>1042</v>
      </c>
      <c r="G298" t="s">
        <v>949</v>
      </c>
    </row>
    <row r="299" spans="1:7">
      <c r="A299" t="s">
        <v>1352</v>
      </c>
      <c r="B299" t="s">
        <v>1353</v>
      </c>
      <c r="C299" t="s">
        <v>1354</v>
      </c>
      <c r="D299" s="1">
        <v>29604</v>
      </c>
      <c r="E299">
        <v>1</v>
      </c>
      <c r="F299" t="s">
        <v>1042</v>
      </c>
      <c r="G299" t="s">
        <v>1046</v>
      </c>
    </row>
    <row r="300" spans="1:7">
      <c r="A300" t="s">
        <v>1355</v>
      </c>
      <c r="B300" t="s">
        <v>1356</v>
      </c>
      <c r="C300" t="s">
        <v>1357</v>
      </c>
      <c r="D300" s="1">
        <v>28346</v>
      </c>
      <c r="E300">
        <v>1</v>
      </c>
      <c r="F300" t="s">
        <v>1042</v>
      </c>
      <c r="G300" t="s">
        <v>1046</v>
      </c>
    </row>
    <row r="301" spans="1:7">
      <c r="A301" t="s">
        <v>1358</v>
      </c>
      <c r="B301" t="s">
        <v>1359</v>
      </c>
      <c r="C301" t="s">
        <v>1360</v>
      </c>
      <c r="D301" s="1">
        <v>24949</v>
      </c>
      <c r="E301">
        <v>1</v>
      </c>
      <c r="F301" t="s">
        <v>1042</v>
      </c>
      <c r="G301" t="s">
        <v>949</v>
      </c>
    </row>
    <row r="302" spans="1:7">
      <c r="A302" t="s">
        <v>1361</v>
      </c>
      <c r="B302" t="s">
        <v>979</v>
      </c>
      <c r="C302" t="s">
        <v>1362</v>
      </c>
      <c r="D302" s="1">
        <v>31375</v>
      </c>
      <c r="E302">
        <v>1</v>
      </c>
      <c r="F302" t="s">
        <v>1042</v>
      </c>
      <c r="G302" t="s">
        <v>1046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4FA6-AC0B-49CD-9A5C-0CA8FFF43FF5}">
  <sheetPr>
    <tabColor theme="7" tint="0.39997558519241921"/>
  </sheetPr>
  <dimension ref="A1:C73"/>
  <sheetViews>
    <sheetView workbookViewId="0">
      <selection activeCell="C18" sqref="C18"/>
    </sheetView>
  </sheetViews>
  <sheetFormatPr defaultColWidth="8.7109375" defaultRowHeight="15"/>
  <cols>
    <col min="2" max="2" width="10" customWidth="1"/>
    <col min="3" max="3" width="11.7109375" customWidth="1"/>
  </cols>
  <sheetData>
    <row r="1" spans="1:3">
      <c r="A1" t="s">
        <v>1363</v>
      </c>
      <c r="B1" t="s">
        <v>1364</v>
      </c>
    </row>
    <row r="2" spans="1:3">
      <c r="A2" t="s">
        <v>1365</v>
      </c>
      <c r="B2" t="s">
        <v>1366</v>
      </c>
      <c r="C2" t="s">
        <v>1367</v>
      </c>
    </row>
    <row r="3" spans="1:3">
      <c r="A3">
        <v>2020</v>
      </c>
      <c r="B3">
        <v>3</v>
      </c>
      <c r="C3" t="s">
        <v>54</v>
      </c>
    </row>
    <row r="4" spans="1:3">
      <c r="A4">
        <v>2019</v>
      </c>
      <c r="B4">
        <v>4</v>
      </c>
      <c r="C4" t="s">
        <v>54</v>
      </c>
    </row>
    <row r="5" spans="1:3">
      <c r="A5">
        <v>2018</v>
      </c>
      <c r="B5">
        <v>5</v>
      </c>
      <c r="C5" t="s">
        <v>54</v>
      </c>
    </row>
    <row r="6" spans="1:3">
      <c r="A6">
        <v>2017</v>
      </c>
      <c r="B6">
        <v>6</v>
      </c>
      <c r="C6" t="s">
        <v>942</v>
      </c>
    </row>
    <row r="7" spans="1:3">
      <c r="A7">
        <v>2016</v>
      </c>
      <c r="B7">
        <v>7</v>
      </c>
      <c r="C7" t="s">
        <v>942</v>
      </c>
    </row>
    <row r="8" spans="1:3">
      <c r="A8">
        <v>2015</v>
      </c>
      <c r="B8">
        <v>8</v>
      </c>
      <c r="C8" t="s">
        <v>943</v>
      </c>
    </row>
    <row r="9" spans="1:3">
      <c r="A9">
        <v>2014</v>
      </c>
      <c r="B9">
        <v>9</v>
      </c>
      <c r="C9" t="s">
        <v>943</v>
      </c>
    </row>
    <row r="10" spans="1:3">
      <c r="A10">
        <v>2013</v>
      </c>
      <c r="B10">
        <v>10</v>
      </c>
      <c r="C10" t="s">
        <v>944</v>
      </c>
    </row>
    <row r="11" spans="1:3">
      <c r="A11">
        <v>2012</v>
      </c>
      <c r="B11">
        <v>11</v>
      </c>
      <c r="C11" t="s">
        <v>944</v>
      </c>
    </row>
    <row r="12" spans="1:3">
      <c r="A12">
        <v>2011</v>
      </c>
      <c r="B12">
        <v>12</v>
      </c>
      <c r="C12" t="s">
        <v>945</v>
      </c>
    </row>
    <row r="13" spans="1:3">
      <c r="A13">
        <v>2010</v>
      </c>
      <c r="B13">
        <v>13</v>
      </c>
      <c r="C13" t="s">
        <v>945</v>
      </c>
    </row>
    <row r="14" spans="1:3">
      <c r="A14">
        <v>2009</v>
      </c>
      <c r="B14">
        <v>14</v>
      </c>
      <c r="C14" t="s">
        <v>946</v>
      </c>
    </row>
    <row r="15" spans="1:3">
      <c r="A15">
        <v>2008</v>
      </c>
      <c r="B15">
        <v>15</v>
      </c>
      <c r="C15" t="s">
        <v>946</v>
      </c>
    </row>
    <row r="16" spans="1:3">
      <c r="A16">
        <v>2007</v>
      </c>
      <c r="B16">
        <v>16</v>
      </c>
      <c r="C16" t="s">
        <v>947</v>
      </c>
    </row>
    <row r="17" spans="1:3">
      <c r="A17">
        <v>2006</v>
      </c>
      <c r="B17">
        <v>17</v>
      </c>
      <c r="C17" t="s">
        <v>947</v>
      </c>
    </row>
    <row r="18" spans="1:3">
      <c r="A18">
        <v>2005</v>
      </c>
      <c r="B18">
        <v>18</v>
      </c>
      <c r="C18" t="s">
        <v>947</v>
      </c>
    </row>
    <row r="19" spans="1:3">
      <c r="A19">
        <v>2004</v>
      </c>
      <c r="B19">
        <v>19</v>
      </c>
      <c r="C19" t="s">
        <v>948</v>
      </c>
    </row>
    <row r="20" spans="1:3">
      <c r="A20">
        <v>2003</v>
      </c>
      <c r="B20">
        <v>20</v>
      </c>
      <c r="C20" t="s">
        <v>948</v>
      </c>
    </row>
    <row r="21" spans="1:3">
      <c r="A21">
        <v>2002</v>
      </c>
      <c r="B21">
        <v>21</v>
      </c>
      <c r="C21" t="s">
        <v>948</v>
      </c>
    </row>
    <row r="22" spans="1:3">
      <c r="A22">
        <v>2001</v>
      </c>
      <c r="B22">
        <v>22</v>
      </c>
      <c r="C22" t="s">
        <v>948</v>
      </c>
    </row>
    <row r="23" spans="1:3">
      <c r="A23">
        <v>2000</v>
      </c>
      <c r="B23">
        <v>23</v>
      </c>
      <c r="C23" t="s">
        <v>948</v>
      </c>
    </row>
    <row r="24" spans="1:3">
      <c r="A24">
        <v>1999</v>
      </c>
      <c r="B24">
        <v>24</v>
      </c>
      <c r="C24" t="s">
        <v>948</v>
      </c>
    </row>
    <row r="25" spans="1:3">
      <c r="A25">
        <v>1998</v>
      </c>
      <c r="B25">
        <v>25</v>
      </c>
      <c r="C25" t="s">
        <v>948</v>
      </c>
    </row>
    <row r="26" spans="1:3">
      <c r="A26">
        <v>1997</v>
      </c>
      <c r="B26">
        <v>26</v>
      </c>
      <c r="C26" t="s">
        <v>948</v>
      </c>
    </row>
    <row r="27" spans="1:3">
      <c r="A27">
        <v>1996</v>
      </c>
      <c r="B27">
        <v>27</v>
      </c>
      <c r="C27" t="s">
        <v>948</v>
      </c>
    </row>
    <row r="28" spans="1:3">
      <c r="A28">
        <v>1995</v>
      </c>
      <c r="B28">
        <v>28</v>
      </c>
      <c r="C28" t="s">
        <v>948</v>
      </c>
    </row>
    <row r="29" spans="1:3">
      <c r="A29">
        <v>1994</v>
      </c>
      <c r="B29">
        <v>29</v>
      </c>
      <c r="C29" t="s">
        <v>948</v>
      </c>
    </row>
    <row r="30" spans="1:3">
      <c r="A30">
        <v>1993</v>
      </c>
      <c r="B30">
        <v>30</v>
      </c>
      <c r="C30" t="s">
        <v>948</v>
      </c>
    </row>
    <row r="31" spans="1:3">
      <c r="A31">
        <v>1992</v>
      </c>
      <c r="B31">
        <v>31</v>
      </c>
      <c r="C31" t="s">
        <v>948</v>
      </c>
    </row>
    <row r="32" spans="1:3">
      <c r="A32">
        <v>1991</v>
      </c>
      <c r="B32">
        <v>32</v>
      </c>
      <c r="C32" t="s">
        <v>948</v>
      </c>
    </row>
    <row r="33" spans="1:3">
      <c r="A33">
        <v>1990</v>
      </c>
      <c r="B33">
        <v>33</v>
      </c>
      <c r="C33" t="s">
        <v>948</v>
      </c>
    </row>
    <row r="34" spans="1:3">
      <c r="A34">
        <v>1989</v>
      </c>
      <c r="B34">
        <v>34</v>
      </c>
      <c r="C34" t="s">
        <v>948</v>
      </c>
    </row>
    <row r="35" spans="1:3">
      <c r="A35">
        <v>1988</v>
      </c>
      <c r="B35">
        <v>35</v>
      </c>
      <c r="C35" t="s">
        <v>948</v>
      </c>
    </row>
    <row r="36" spans="1:3">
      <c r="A36">
        <v>1987</v>
      </c>
      <c r="B36">
        <v>36</v>
      </c>
      <c r="C36" t="s">
        <v>948</v>
      </c>
    </row>
    <row r="37" spans="1:3">
      <c r="A37">
        <v>1986</v>
      </c>
      <c r="B37">
        <v>37</v>
      </c>
      <c r="C37" t="s">
        <v>948</v>
      </c>
    </row>
    <row r="38" spans="1:3">
      <c r="A38">
        <v>1985</v>
      </c>
      <c r="B38">
        <v>38</v>
      </c>
      <c r="C38" t="s">
        <v>948</v>
      </c>
    </row>
    <row r="39" spans="1:3">
      <c r="A39">
        <v>1984</v>
      </c>
      <c r="B39">
        <v>39</v>
      </c>
      <c r="C39" t="s">
        <v>948</v>
      </c>
    </row>
    <row r="40" spans="1:3">
      <c r="A40">
        <v>1983</v>
      </c>
      <c r="B40">
        <v>40</v>
      </c>
      <c r="C40" t="s">
        <v>948</v>
      </c>
    </row>
    <row r="41" spans="1:3">
      <c r="A41">
        <v>1982</v>
      </c>
      <c r="B41">
        <v>41</v>
      </c>
      <c r="C41" t="s">
        <v>948</v>
      </c>
    </row>
    <row r="42" spans="1:3">
      <c r="A42">
        <v>1981</v>
      </c>
      <c r="B42">
        <v>42</v>
      </c>
      <c r="C42" t="s">
        <v>948</v>
      </c>
    </row>
    <row r="43" spans="1:3">
      <c r="A43">
        <v>1980</v>
      </c>
      <c r="B43">
        <v>43</v>
      </c>
      <c r="C43" t="s">
        <v>948</v>
      </c>
    </row>
    <row r="44" spans="1:3">
      <c r="A44">
        <v>1979</v>
      </c>
      <c r="B44">
        <v>44</v>
      </c>
      <c r="C44" t="s">
        <v>948</v>
      </c>
    </row>
    <row r="45" spans="1:3">
      <c r="A45">
        <v>1978</v>
      </c>
      <c r="B45">
        <v>45</v>
      </c>
      <c r="C45" t="s">
        <v>948</v>
      </c>
    </row>
    <row r="46" spans="1:3">
      <c r="A46">
        <v>1977</v>
      </c>
      <c r="B46">
        <v>46</v>
      </c>
      <c r="C46" t="s">
        <v>948</v>
      </c>
    </row>
    <row r="47" spans="1:3">
      <c r="A47">
        <v>1976</v>
      </c>
      <c r="B47">
        <v>47</v>
      </c>
      <c r="C47" t="s">
        <v>948</v>
      </c>
    </row>
    <row r="48" spans="1:3">
      <c r="A48">
        <v>1975</v>
      </c>
      <c r="B48">
        <v>48</v>
      </c>
      <c r="C48" t="s">
        <v>948</v>
      </c>
    </row>
    <row r="49" spans="1:3">
      <c r="A49">
        <v>1974</v>
      </c>
      <c r="B49">
        <v>49</v>
      </c>
      <c r="C49" t="s">
        <v>948</v>
      </c>
    </row>
    <row r="50" spans="1:3">
      <c r="A50">
        <v>1973</v>
      </c>
      <c r="B50">
        <v>50</v>
      </c>
      <c r="C50" t="s">
        <v>948</v>
      </c>
    </row>
    <row r="51" spans="1:3">
      <c r="A51">
        <v>1972</v>
      </c>
      <c r="B51">
        <v>51</v>
      </c>
      <c r="C51" t="s">
        <v>948</v>
      </c>
    </row>
    <row r="52" spans="1:3">
      <c r="A52">
        <v>1971</v>
      </c>
      <c r="B52">
        <v>52</v>
      </c>
      <c r="C52" t="s">
        <v>948</v>
      </c>
    </row>
    <row r="53" spans="1:3">
      <c r="A53">
        <v>1970</v>
      </c>
      <c r="B53">
        <v>53</v>
      </c>
      <c r="C53" t="s">
        <v>948</v>
      </c>
    </row>
    <row r="54" spans="1:3">
      <c r="A54">
        <v>1969</v>
      </c>
      <c r="B54">
        <v>54</v>
      </c>
      <c r="C54" t="s">
        <v>948</v>
      </c>
    </row>
    <row r="55" spans="1:3">
      <c r="A55">
        <v>1968</v>
      </c>
      <c r="B55">
        <v>55</v>
      </c>
      <c r="C55" t="s">
        <v>948</v>
      </c>
    </row>
    <row r="56" spans="1:3">
      <c r="A56">
        <v>1967</v>
      </c>
      <c r="B56">
        <v>56</v>
      </c>
      <c r="C56" t="s">
        <v>948</v>
      </c>
    </row>
    <row r="57" spans="1:3">
      <c r="A57">
        <v>1966</v>
      </c>
      <c r="B57">
        <v>57</v>
      </c>
      <c r="C57" t="s">
        <v>948</v>
      </c>
    </row>
    <row r="58" spans="1:3">
      <c r="A58">
        <v>1965</v>
      </c>
      <c r="B58">
        <v>58</v>
      </c>
      <c r="C58" t="s">
        <v>948</v>
      </c>
    </row>
    <row r="59" spans="1:3">
      <c r="A59">
        <v>1964</v>
      </c>
      <c r="B59">
        <v>59</v>
      </c>
      <c r="C59" t="s">
        <v>948</v>
      </c>
    </row>
    <row r="60" spans="1:3">
      <c r="A60">
        <v>1963</v>
      </c>
      <c r="B60">
        <v>60</v>
      </c>
      <c r="C60" t="s">
        <v>948</v>
      </c>
    </row>
    <row r="61" spans="1:3">
      <c r="A61">
        <v>1962</v>
      </c>
      <c r="B61">
        <v>61</v>
      </c>
      <c r="C61" t="s">
        <v>948</v>
      </c>
    </row>
    <row r="62" spans="1:3">
      <c r="A62">
        <v>1961</v>
      </c>
      <c r="B62">
        <v>62</v>
      </c>
      <c r="C62" t="s">
        <v>948</v>
      </c>
    </row>
    <row r="63" spans="1:3">
      <c r="A63">
        <v>1960</v>
      </c>
      <c r="B63">
        <v>63</v>
      </c>
      <c r="C63" t="s">
        <v>948</v>
      </c>
    </row>
    <row r="64" spans="1:3">
      <c r="A64">
        <v>1959</v>
      </c>
      <c r="B64">
        <v>64</v>
      </c>
      <c r="C64" t="s">
        <v>948</v>
      </c>
    </row>
    <row r="65" spans="1:3">
      <c r="A65">
        <v>1958</v>
      </c>
      <c r="B65">
        <v>65</v>
      </c>
      <c r="C65" t="s">
        <v>948</v>
      </c>
    </row>
    <row r="66" spans="1:3">
      <c r="A66">
        <v>1957</v>
      </c>
      <c r="B66">
        <v>66</v>
      </c>
      <c r="C66" t="s">
        <v>948</v>
      </c>
    </row>
    <row r="67" spans="1:3">
      <c r="A67">
        <v>1956</v>
      </c>
      <c r="B67">
        <v>67</v>
      </c>
      <c r="C67" t="s">
        <v>948</v>
      </c>
    </row>
    <row r="68" spans="1:3">
      <c r="A68">
        <v>1955</v>
      </c>
      <c r="B68">
        <v>68</v>
      </c>
      <c r="C68" t="s">
        <v>948</v>
      </c>
    </row>
    <row r="69" spans="1:3">
      <c r="A69">
        <v>1954</v>
      </c>
      <c r="B69">
        <v>69</v>
      </c>
      <c r="C69" t="s">
        <v>948</v>
      </c>
    </row>
    <row r="70" spans="1:3">
      <c r="A70">
        <v>1953</v>
      </c>
      <c r="B70">
        <v>70</v>
      </c>
      <c r="C70" t="s">
        <v>948</v>
      </c>
    </row>
    <row r="71" spans="1:3">
      <c r="A71">
        <v>1952</v>
      </c>
      <c r="B71">
        <v>71</v>
      </c>
      <c r="C71" t="s">
        <v>948</v>
      </c>
    </row>
    <row r="72" spans="1:3">
      <c r="A72">
        <v>1951</v>
      </c>
      <c r="B72">
        <v>72</v>
      </c>
      <c r="C72" t="s">
        <v>948</v>
      </c>
    </row>
    <row r="73" spans="1:3">
      <c r="A73">
        <v>1950</v>
      </c>
      <c r="B73">
        <v>73</v>
      </c>
      <c r="C73" t="s">
        <v>948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DDCB-CCEE-4B97-885E-DC7F8385FB10}">
  <dimension ref="B2:Q50"/>
  <sheetViews>
    <sheetView topLeftCell="B15" workbookViewId="0">
      <selection activeCell="D32" sqref="D32"/>
    </sheetView>
  </sheetViews>
  <sheetFormatPr defaultColWidth="8.7109375" defaultRowHeight="15"/>
  <cols>
    <col min="2" max="2" width="17.42578125" customWidth="1"/>
    <col min="3" max="3" width="68.7109375" bestFit="1" customWidth="1"/>
    <col min="4" max="4" width="35" customWidth="1"/>
    <col min="5" max="5" width="39.7109375" customWidth="1"/>
    <col min="6" max="6" width="45.7109375" bestFit="1" customWidth="1"/>
    <col min="7" max="7" width="20.42578125" bestFit="1" customWidth="1"/>
    <col min="8" max="8" width="19.42578125" customWidth="1"/>
    <col min="12" max="12" width="15.7109375" bestFit="1" customWidth="1"/>
    <col min="13" max="13" width="45.42578125" bestFit="1" customWidth="1"/>
    <col min="14" max="14" width="25" customWidth="1"/>
    <col min="15" max="15" width="16.42578125" hidden="1" customWidth="1"/>
    <col min="16" max="16" width="14.7109375" hidden="1" customWidth="1"/>
    <col min="17" max="17" width="21.140625" customWidth="1"/>
  </cols>
  <sheetData>
    <row r="2" spans="2:17" ht="15.75" thickBot="1">
      <c r="B2" s="56" t="s">
        <v>1368</v>
      </c>
    </row>
    <row r="3" spans="2:17" ht="15.75" thickBot="1">
      <c r="C3" s="56" t="s">
        <v>1369</v>
      </c>
      <c r="D3" s="56" t="s">
        <v>1370</v>
      </c>
      <c r="E3" s="56" t="s">
        <v>1371</v>
      </c>
      <c r="F3" s="56" t="s">
        <v>1372</v>
      </c>
      <c r="G3" s="56" t="s">
        <v>1373</v>
      </c>
      <c r="H3" s="56" t="s">
        <v>1374</v>
      </c>
      <c r="L3" s="79" t="s">
        <v>1375</v>
      </c>
      <c r="M3" s="80" t="s">
        <v>1376</v>
      </c>
      <c r="N3" s="80" t="s">
        <v>1377</v>
      </c>
      <c r="O3" s="80" t="s">
        <v>1378</v>
      </c>
      <c r="P3" s="80" t="s">
        <v>1379</v>
      </c>
      <c r="Q3" s="81" t="s">
        <v>1373</v>
      </c>
    </row>
    <row r="4" spans="2:17" ht="60">
      <c r="B4" s="107" t="s">
        <v>1380</v>
      </c>
      <c r="C4" s="69" t="s">
        <v>1381</v>
      </c>
      <c r="D4" s="69" t="s">
        <v>1382</v>
      </c>
      <c r="E4" s="69"/>
      <c r="F4" s="69"/>
      <c r="G4" s="70"/>
      <c r="H4" s="71"/>
      <c r="L4" s="93" t="s">
        <v>1383</v>
      </c>
      <c r="M4" s="67" t="s">
        <v>1384</v>
      </c>
      <c r="N4" s="67"/>
      <c r="O4" s="67"/>
      <c r="P4" s="67"/>
      <c r="Q4" s="72"/>
    </row>
    <row r="5" spans="2:17">
      <c r="B5" s="108"/>
      <c r="C5" s="67" t="s">
        <v>1385</v>
      </c>
      <c r="D5" s="86" t="s">
        <v>1386</v>
      </c>
      <c r="E5" s="86" t="s">
        <v>1387</v>
      </c>
      <c r="F5" s="86" t="s">
        <v>1388</v>
      </c>
      <c r="G5" s="67"/>
      <c r="H5" s="72"/>
      <c r="L5" s="93" t="s">
        <v>966</v>
      </c>
      <c r="M5" s="67" t="s">
        <v>1389</v>
      </c>
      <c r="N5" s="67"/>
      <c r="O5" s="67"/>
      <c r="P5" s="67"/>
      <c r="Q5" s="72"/>
    </row>
    <row r="6" spans="2:17">
      <c r="B6" s="108"/>
      <c r="C6" s="67" t="s">
        <v>1390</v>
      </c>
      <c r="D6" s="86" t="s">
        <v>1391</v>
      </c>
      <c r="E6" s="86"/>
      <c r="F6" s="86"/>
      <c r="G6" s="67"/>
      <c r="H6" s="72"/>
      <c r="L6" s="82" t="s">
        <v>1392</v>
      </c>
      <c r="M6" s="67"/>
      <c r="N6" s="67"/>
      <c r="O6" s="67"/>
      <c r="P6" s="67"/>
      <c r="Q6" s="72"/>
    </row>
    <row r="7" spans="2:17" ht="15.75" thickBot="1">
      <c r="B7" s="109"/>
      <c r="C7" s="73" t="s">
        <v>1393</v>
      </c>
      <c r="D7" s="87"/>
      <c r="E7" s="87"/>
      <c r="F7" s="87"/>
      <c r="G7" s="73"/>
      <c r="H7" s="74"/>
      <c r="L7" s="98" t="s">
        <v>15</v>
      </c>
      <c r="M7" s="67" t="s">
        <v>1394</v>
      </c>
      <c r="N7" s="67"/>
      <c r="O7" s="67"/>
      <c r="P7" s="67"/>
      <c r="Q7" s="72"/>
    </row>
    <row r="8" spans="2:17">
      <c r="B8" s="104" t="s">
        <v>1395</v>
      </c>
      <c r="C8" s="69"/>
      <c r="D8" s="69"/>
      <c r="E8" s="69"/>
      <c r="F8" s="69"/>
      <c r="G8" s="70"/>
      <c r="H8" s="71"/>
      <c r="L8" s="98" t="s">
        <v>16</v>
      </c>
      <c r="M8" s="67" t="s">
        <v>1396</v>
      </c>
      <c r="N8" s="67"/>
      <c r="O8" s="67"/>
      <c r="P8" s="67"/>
      <c r="Q8" s="72"/>
    </row>
    <row r="9" spans="2:17" ht="30">
      <c r="B9" s="105"/>
      <c r="C9" s="67" t="s">
        <v>1397</v>
      </c>
      <c r="D9" s="86" t="s">
        <v>1398</v>
      </c>
      <c r="E9" s="86" t="s">
        <v>1399</v>
      </c>
      <c r="F9" s="86" t="s">
        <v>1400</v>
      </c>
      <c r="G9" s="67"/>
      <c r="H9" s="72"/>
      <c r="L9" s="93" t="s">
        <v>17</v>
      </c>
      <c r="M9" s="67" t="s">
        <v>1401</v>
      </c>
      <c r="N9" s="67" t="s">
        <v>1402</v>
      </c>
      <c r="O9" s="67"/>
      <c r="P9" s="67"/>
      <c r="Q9" s="72"/>
    </row>
    <row r="10" spans="2:17" ht="45.75" thickBot="1">
      <c r="B10" s="106"/>
      <c r="C10" s="85" t="s">
        <v>1403</v>
      </c>
      <c r="D10" s="88" t="s">
        <v>1404</v>
      </c>
      <c r="E10" s="88" t="s">
        <v>1405</v>
      </c>
      <c r="F10" s="87"/>
      <c r="G10" s="73"/>
      <c r="H10" s="74"/>
      <c r="L10" s="93" t="s">
        <v>21</v>
      </c>
      <c r="M10" s="67" t="s">
        <v>1406</v>
      </c>
      <c r="N10" s="67"/>
      <c r="O10" s="67"/>
      <c r="P10" s="67"/>
      <c r="Q10" s="72"/>
    </row>
    <row r="11" spans="2:17" ht="30">
      <c r="B11" s="104" t="s">
        <v>1407</v>
      </c>
      <c r="C11" s="69" t="s">
        <v>1408</v>
      </c>
      <c r="D11" s="69" t="s">
        <v>1409</v>
      </c>
      <c r="E11" s="69"/>
      <c r="F11" s="69"/>
      <c r="G11" s="70"/>
      <c r="H11" s="71"/>
      <c r="L11" s="93" t="s">
        <v>22</v>
      </c>
      <c r="M11" s="67" t="s">
        <v>1410</v>
      </c>
      <c r="N11" s="67" t="s">
        <v>1411</v>
      </c>
      <c r="O11" s="67"/>
      <c r="P11" s="67"/>
      <c r="Q11" s="72"/>
    </row>
    <row r="12" spans="2:17" ht="32.25">
      <c r="B12" s="105"/>
      <c r="C12" s="67" t="s">
        <v>1412</v>
      </c>
      <c r="D12" s="86" t="s">
        <v>1413</v>
      </c>
      <c r="E12" s="86" t="s">
        <v>1414</v>
      </c>
      <c r="F12" s="89" t="s">
        <v>1415</v>
      </c>
      <c r="G12" s="67"/>
      <c r="H12" s="72"/>
      <c r="L12" s="93" t="s">
        <v>23</v>
      </c>
      <c r="M12" s="67" t="s">
        <v>1416</v>
      </c>
      <c r="N12" s="67" t="s">
        <v>1417</v>
      </c>
      <c r="O12" s="67"/>
      <c r="P12" s="67"/>
      <c r="Q12" s="72"/>
    </row>
    <row r="13" spans="2:17" ht="15.75" thickBot="1">
      <c r="B13" s="106"/>
      <c r="C13" s="73"/>
      <c r="D13" s="87"/>
      <c r="E13" s="87"/>
      <c r="F13" s="88"/>
      <c r="G13" s="73"/>
      <c r="H13" s="74"/>
      <c r="L13" s="98" t="s">
        <v>1418</v>
      </c>
      <c r="M13" s="67" t="s">
        <v>1419</v>
      </c>
      <c r="N13" s="67"/>
      <c r="O13" s="67"/>
      <c r="P13" s="67"/>
      <c r="Q13" s="72"/>
    </row>
    <row r="14" spans="2:17" ht="30">
      <c r="B14" s="104" t="s">
        <v>1420</v>
      </c>
      <c r="C14" s="69" t="s">
        <v>1421</v>
      </c>
      <c r="D14" s="69" t="s">
        <v>1422</v>
      </c>
      <c r="E14" s="69" t="s">
        <v>1423</v>
      </c>
      <c r="F14" s="69" t="s">
        <v>1424</v>
      </c>
      <c r="G14" s="70"/>
      <c r="H14" s="71"/>
      <c r="L14" s="93" t="s">
        <v>1425</v>
      </c>
      <c r="M14" s="67" t="s">
        <v>1426</v>
      </c>
      <c r="N14" s="67" t="s">
        <v>1427</v>
      </c>
      <c r="O14" s="67" t="s">
        <v>1428</v>
      </c>
      <c r="P14" s="67" t="s">
        <v>1429</v>
      </c>
      <c r="Q14" s="72"/>
    </row>
    <row r="15" spans="2:17">
      <c r="B15" s="105"/>
      <c r="C15" s="67"/>
      <c r="D15" s="86"/>
      <c r="E15" s="86"/>
      <c r="F15" s="86"/>
      <c r="G15" s="67"/>
      <c r="H15" s="72"/>
      <c r="L15" s="93" t="s">
        <v>30</v>
      </c>
      <c r="M15" s="67" t="s">
        <v>1430</v>
      </c>
      <c r="N15" s="67" t="s">
        <v>1431</v>
      </c>
      <c r="O15" s="67"/>
      <c r="P15" s="67"/>
      <c r="Q15" s="72"/>
    </row>
    <row r="16" spans="2:17" ht="15.75" thickBot="1">
      <c r="B16" s="106"/>
      <c r="C16" s="73"/>
      <c r="D16" s="87"/>
      <c r="E16" s="87"/>
      <c r="F16" s="87"/>
      <c r="G16" s="73"/>
      <c r="H16" s="74"/>
      <c r="L16" s="93" t="s">
        <v>1432</v>
      </c>
      <c r="M16" s="67" t="s">
        <v>1433</v>
      </c>
      <c r="N16" s="67" t="s">
        <v>1434</v>
      </c>
      <c r="O16" s="68"/>
      <c r="P16" s="68"/>
      <c r="Q16" s="72"/>
    </row>
    <row r="17" spans="2:17">
      <c r="B17" s="66"/>
      <c r="C17" s="66"/>
      <c r="D17" s="66"/>
      <c r="E17" s="66"/>
      <c r="F17" s="66"/>
      <c r="G17" s="66"/>
      <c r="L17" s="93" t="s">
        <v>34</v>
      </c>
      <c r="M17" s="68" t="s">
        <v>1435</v>
      </c>
      <c r="N17" s="67" t="s">
        <v>1436</v>
      </c>
      <c r="O17" s="68"/>
      <c r="P17" s="68"/>
      <c r="Q17" s="72"/>
    </row>
    <row r="18" spans="2:17">
      <c r="B18" s="66"/>
      <c r="C18" s="66"/>
      <c r="D18" s="66"/>
      <c r="E18" s="66"/>
      <c r="F18" s="66"/>
      <c r="G18" s="66"/>
      <c r="L18" s="93" t="s">
        <v>35</v>
      </c>
      <c r="M18" s="68" t="s">
        <v>1437</v>
      </c>
      <c r="N18" s="68" t="s">
        <v>1438</v>
      </c>
      <c r="O18" s="68"/>
      <c r="P18" s="68"/>
      <c r="Q18" s="72"/>
    </row>
    <row r="19" spans="2:17">
      <c r="B19" s="66"/>
      <c r="C19" s="66"/>
      <c r="D19" s="66"/>
      <c r="E19" s="66"/>
      <c r="F19" s="66"/>
      <c r="G19" s="66"/>
      <c r="L19" s="93" t="s">
        <v>36</v>
      </c>
      <c r="M19" s="68" t="s">
        <v>1439</v>
      </c>
      <c r="N19" s="67" t="s">
        <v>1440</v>
      </c>
      <c r="O19" s="68"/>
      <c r="P19" s="68"/>
      <c r="Q19" s="72"/>
    </row>
    <row r="20" spans="2:17" ht="15.75" thickBot="1">
      <c r="B20" s="66"/>
      <c r="C20" s="66"/>
      <c r="D20" s="66"/>
      <c r="E20" s="66"/>
      <c r="F20" s="66"/>
      <c r="G20" s="66"/>
      <c r="L20" s="93" t="s">
        <v>40</v>
      </c>
      <c r="M20" s="68"/>
      <c r="N20" s="68"/>
      <c r="O20" s="68"/>
      <c r="P20" s="68"/>
      <c r="Q20" s="72"/>
    </row>
    <row r="21" spans="2:17">
      <c r="B21" s="79" t="s">
        <v>1375</v>
      </c>
      <c r="C21" s="80" t="s">
        <v>1036</v>
      </c>
      <c r="D21" s="80" t="s">
        <v>1376</v>
      </c>
      <c r="E21" s="80" t="s">
        <v>1377</v>
      </c>
      <c r="F21" s="80" t="s">
        <v>1378</v>
      </c>
      <c r="G21" s="80" t="s">
        <v>1379</v>
      </c>
      <c r="H21" s="81" t="s">
        <v>1373</v>
      </c>
      <c r="L21" s="93" t="s">
        <v>41</v>
      </c>
      <c r="M21" s="68"/>
      <c r="N21" s="68"/>
      <c r="O21" s="68"/>
      <c r="P21" s="68"/>
      <c r="Q21" s="72"/>
    </row>
    <row r="22" spans="2:17">
      <c r="B22" s="82" t="s">
        <v>1383</v>
      </c>
      <c r="C22" s="75" t="s">
        <v>1441</v>
      </c>
      <c r="D22" s="67" t="s">
        <v>1384</v>
      </c>
      <c r="E22" s="67"/>
      <c r="F22" s="67"/>
      <c r="G22" s="67"/>
      <c r="H22" s="72"/>
      <c r="L22" s="93" t="s">
        <v>42</v>
      </c>
      <c r="M22" s="68" t="s">
        <v>1442</v>
      </c>
      <c r="N22" s="68"/>
      <c r="O22" s="68"/>
      <c r="P22" s="68"/>
      <c r="Q22" s="72"/>
    </row>
    <row r="23" spans="2:17">
      <c r="B23" s="82" t="s">
        <v>966</v>
      </c>
      <c r="C23" s="75" t="s">
        <v>1441</v>
      </c>
      <c r="D23" s="67" t="s">
        <v>1389</v>
      </c>
      <c r="E23" s="67"/>
      <c r="F23" s="67"/>
      <c r="G23" s="67"/>
      <c r="H23" s="72"/>
      <c r="L23" s="93" t="s">
        <v>43</v>
      </c>
      <c r="M23" s="68"/>
      <c r="N23" s="68"/>
      <c r="O23" s="68"/>
      <c r="P23" s="68"/>
      <c r="Q23" s="72"/>
    </row>
    <row r="24" spans="2:17">
      <c r="B24" s="82" t="s">
        <v>1392</v>
      </c>
      <c r="C24" s="76" t="s">
        <v>1443</v>
      </c>
      <c r="D24" s="67"/>
      <c r="E24" s="67"/>
      <c r="F24" s="67"/>
      <c r="G24" s="67"/>
      <c r="H24" s="72"/>
      <c r="L24" s="93" t="s">
        <v>44</v>
      </c>
      <c r="M24" s="68"/>
      <c r="N24" s="68"/>
      <c r="O24" s="68"/>
      <c r="P24" s="68"/>
      <c r="Q24" s="72"/>
    </row>
    <row r="25" spans="2:17">
      <c r="B25" s="82" t="s">
        <v>15</v>
      </c>
      <c r="C25" s="77" t="s">
        <v>1444</v>
      </c>
      <c r="D25" s="67"/>
      <c r="E25" s="67"/>
      <c r="F25" s="67"/>
      <c r="G25" s="67"/>
      <c r="H25" s="72"/>
      <c r="L25" s="93" t="s">
        <v>45</v>
      </c>
      <c r="M25" s="68"/>
      <c r="N25" s="68"/>
      <c r="O25" s="68"/>
      <c r="P25" s="68"/>
      <c r="Q25" s="72"/>
    </row>
    <row r="26" spans="2:17">
      <c r="B26" s="82" t="s">
        <v>16</v>
      </c>
      <c r="C26" s="77" t="s">
        <v>1445</v>
      </c>
      <c r="D26" s="67"/>
      <c r="E26" s="67"/>
      <c r="F26" s="67"/>
      <c r="G26" s="67"/>
      <c r="H26" s="72"/>
      <c r="L26" s="95" t="s">
        <v>48</v>
      </c>
      <c r="M26" s="96"/>
      <c r="N26" s="96"/>
      <c r="O26" s="96"/>
      <c r="P26" s="96"/>
      <c r="Q26" s="97"/>
    </row>
    <row r="27" spans="2:17" ht="15.75" thickBot="1">
      <c r="B27" s="82" t="s">
        <v>17</v>
      </c>
      <c r="C27" s="76" t="s">
        <v>1443</v>
      </c>
      <c r="D27" s="67" t="s">
        <v>1446</v>
      </c>
      <c r="E27" s="67" t="s">
        <v>1447</v>
      </c>
      <c r="F27" s="67"/>
      <c r="G27" s="67"/>
      <c r="H27" s="72"/>
      <c r="L27" s="94" t="s">
        <v>49</v>
      </c>
      <c r="M27" s="84"/>
      <c r="N27" s="84"/>
      <c r="O27" s="84"/>
      <c r="P27" s="84"/>
      <c r="Q27" s="74"/>
    </row>
    <row r="28" spans="2:17">
      <c r="B28" s="82" t="s">
        <v>21</v>
      </c>
      <c r="C28" s="75" t="s">
        <v>1441</v>
      </c>
      <c r="D28" s="67" t="s">
        <v>1406</v>
      </c>
      <c r="E28" s="67"/>
      <c r="F28" s="67"/>
      <c r="G28" s="67"/>
      <c r="H28" s="72"/>
    </row>
    <row r="29" spans="2:17">
      <c r="B29" s="82" t="s">
        <v>22</v>
      </c>
      <c r="C29" s="76" t="s">
        <v>1443</v>
      </c>
      <c r="D29" s="67" t="s">
        <v>1410</v>
      </c>
      <c r="E29" s="67" t="s">
        <v>1428</v>
      </c>
      <c r="F29" s="67"/>
      <c r="G29" s="67"/>
      <c r="H29" s="72"/>
      <c r="L29" s="90" t="s">
        <v>1448</v>
      </c>
    </row>
    <row r="30" spans="2:17">
      <c r="B30" s="82" t="s">
        <v>23</v>
      </c>
      <c r="C30" s="76" t="s">
        <v>1443</v>
      </c>
      <c r="D30" s="67" t="s">
        <v>1447</v>
      </c>
      <c r="E30" s="67" t="s">
        <v>1446</v>
      </c>
      <c r="F30" s="67" t="s">
        <v>1449</v>
      </c>
      <c r="G30" s="67"/>
      <c r="H30" s="72"/>
      <c r="L30" s="91" t="s">
        <v>1450</v>
      </c>
    </row>
    <row r="31" spans="2:17">
      <c r="B31" s="82" t="s">
        <v>1418</v>
      </c>
      <c r="C31" s="77" t="s">
        <v>1451</v>
      </c>
      <c r="D31" s="67"/>
      <c r="E31" s="67"/>
      <c r="F31" s="67"/>
      <c r="G31" s="67"/>
      <c r="H31" s="72"/>
      <c r="L31" s="92" t="s">
        <v>1452</v>
      </c>
    </row>
    <row r="32" spans="2:17">
      <c r="B32" s="82" t="s">
        <v>1425</v>
      </c>
      <c r="C32" s="75" t="s">
        <v>1441</v>
      </c>
      <c r="D32" s="67" t="s">
        <v>1453</v>
      </c>
      <c r="E32" s="67" t="s">
        <v>1427</v>
      </c>
      <c r="F32" s="67" t="s">
        <v>1428</v>
      </c>
      <c r="G32" s="67" t="s">
        <v>1429</v>
      </c>
      <c r="H32" s="72"/>
    </row>
    <row r="33" spans="2:8">
      <c r="B33" s="82" t="s">
        <v>30</v>
      </c>
      <c r="C33" s="75" t="s">
        <v>1441</v>
      </c>
      <c r="D33" s="67" t="s">
        <v>1454</v>
      </c>
      <c r="E33" s="67" t="s">
        <v>1449</v>
      </c>
      <c r="F33" s="67" t="s">
        <v>1455</v>
      </c>
      <c r="G33" s="67"/>
      <c r="H33" s="72"/>
    </row>
    <row r="34" spans="2:8">
      <c r="B34" s="82" t="s">
        <v>1432</v>
      </c>
      <c r="C34" s="76" t="s">
        <v>1443</v>
      </c>
      <c r="D34" s="67" t="s">
        <v>1456</v>
      </c>
      <c r="E34" s="67" t="s">
        <v>1428</v>
      </c>
      <c r="F34" s="68"/>
      <c r="G34" s="68"/>
      <c r="H34" s="72"/>
    </row>
    <row r="35" spans="2:8">
      <c r="B35" s="82" t="s">
        <v>34</v>
      </c>
      <c r="C35" s="78" t="s">
        <v>1441</v>
      </c>
      <c r="D35" s="68" t="s">
        <v>1457</v>
      </c>
      <c r="E35" s="67" t="s">
        <v>1458</v>
      </c>
      <c r="F35" s="68"/>
      <c r="G35" s="68"/>
      <c r="H35" s="72"/>
    </row>
    <row r="36" spans="2:8">
      <c r="B36" s="82" t="s">
        <v>35</v>
      </c>
      <c r="C36" s="78" t="s">
        <v>1441</v>
      </c>
      <c r="D36" s="68" t="s">
        <v>1459</v>
      </c>
      <c r="E36" s="68" t="s">
        <v>1460</v>
      </c>
      <c r="F36" s="68" t="s">
        <v>237</v>
      </c>
      <c r="G36" s="68"/>
      <c r="H36" s="72"/>
    </row>
    <row r="37" spans="2:8">
      <c r="B37" s="82" t="s">
        <v>36</v>
      </c>
      <c r="C37" s="78" t="s">
        <v>1441</v>
      </c>
      <c r="D37" s="68" t="s">
        <v>1461</v>
      </c>
      <c r="E37" s="67" t="s">
        <v>1428</v>
      </c>
      <c r="F37" s="68"/>
      <c r="G37" s="68"/>
      <c r="H37" s="72"/>
    </row>
    <row r="38" spans="2:8">
      <c r="B38" s="82" t="s">
        <v>40</v>
      </c>
      <c r="C38" s="68"/>
      <c r="D38" s="68"/>
      <c r="E38" s="68"/>
      <c r="F38" s="68"/>
      <c r="G38" s="68"/>
      <c r="H38" s="72"/>
    </row>
    <row r="39" spans="2:8">
      <c r="B39" s="82" t="s">
        <v>41</v>
      </c>
      <c r="C39" s="68"/>
      <c r="D39" s="68"/>
      <c r="E39" s="68"/>
      <c r="F39" s="68"/>
      <c r="G39" s="68"/>
      <c r="H39" s="72"/>
    </row>
    <row r="40" spans="2:8">
      <c r="B40" s="82" t="s">
        <v>42</v>
      </c>
      <c r="C40" s="78" t="s">
        <v>1441</v>
      </c>
      <c r="D40" s="68" t="s">
        <v>1462</v>
      </c>
      <c r="E40" s="68"/>
      <c r="F40" s="68"/>
      <c r="G40" s="68"/>
      <c r="H40" s="72"/>
    </row>
    <row r="41" spans="2:8">
      <c r="B41" s="82" t="s">
        <v>43</v>
      </c>
      <c r="C41" s="68"/>
      <c r="D41" s="68"/>
      <c r="E41" s="68"/>
      <c r="F41" s="68"/>
      <c r="G41" s="68"/>
      <c r="H41" s="72"/>
    </row>
    <row r="42" spans="2:8">
      <c r="B42" s="82" t="s">
        <v>44</v>
      </c>
      <c r="C42" s="68"/>
      <c r="D42" s="68"/>
      <c r="E42" s="68"/>
      <c r="F42" s="68"/>
      <c r="G42" s="68"/>
      <c r="H42" s="72"/>
    </row>
    <row r="43" spans="2:8">
      <c r="B43" s="82" t="s">
        <v>45</v>
      </c>
      <c r="C43" s="68"/>
      <c r="D43" s="68"/>
      <c r="E43" s="68"/>
      <c r="F43" s="68"/>
      <c r="G43" s="68"/>
      <c r="H43" s="72"/>
    </row>
    <row r="44" spans="2:8" ht="15.75" thickBot="1">
      <c r="B44" s="83" t="s">
        <v>48</v>
      </c>
      <c r="C44" s="84"/>
      <c r="D44" s="84"/>
      <c r="E44" s="84"/>
      <c r="F44" s="84"/>
      <c r="G44" s="84"/>
      <c r="H44" s="74"/>
    </row>
    <row r="45" spans="2:8">
      <c r="B45" s="66" t="s">
        <v>49</v>
      </c>
    </row>
    <row r="48" spans="2:8">
      <c r="B48" s="90" t="s">
        <v>1448</v>
      </c>
    </row>
    <row r="49" spans="2:2">
      <c r="B49" s="91" t="s">
        <v>1441</v>
      </c>
    </row>
    <row r="50" spans="2:2">
      <c r="B50" s="92" t="s">
        <v>1452</v>
      </c>
    </row>
  </sheetData>
  <mergeCells count="4">
    <mergeCell ref="B8:B10"/>
    <mergeCell ref="B4:B7"/>
    <mergeCell ref="B11:B13"/>
    <mergeCell ref="B14:B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9DD83-2D15-4BBB-B0DC-59D54EC077E6}">
  <dimension ref="A1:G61"/>
  <sheetViews>
    <sheetView workbookViewId="0">
      <selection activeCell="D15" sqref="D15"/>
    </sheetView>
  </sheetViews>
  <sheetFormatPr defaultColWidth="8.7109375" defaultRowHeight="15"/>
  <cols>
    <col min="1" max="1" width="14" customWidth="1"/>
    <col min="2" max="2" width="71.42578125" customWidth="1"/>
    <col min="3" max="3" width="19.140625" customWidth="1"/>
    <col min="4" max="4" width="86.42578125" bestFit="1" customWidth="1"/>
    <col min="5" max="6" width="17.7109375" customWidth="1"/>
  </cols>
  <sheetData>
    <row r="1" spans="1:7">
      <c r="A1" s="56" t="s">
        <v>1367</v>
      </c>
      <c r="B1" s="56" t="s">
        <v>1463</v>
      </c>
      <c r="C1" s="56" t="s">
        <v>1464</v>
      </c>
      <c r="D1" s="56" t="s">
        <v>1465</v>
      </c>
      <c r="E1" s="56" t="s">
        <v>1466</v>
      </c>
      <c r="F1" s="56" t="s">
        <v>1467</v>
      </c>
      <c r="G1" t="s">
        <v>1036</v>
      </c>
    </row>
    <row r="2" spans="1:7" ht="30">
      <c r="A2" t="s">
        <v>946</v>
      </c>
      <c r="B2" t="s">
        <v>1468</v>
      </c>
      <c r="C2" t="s">
        <v>1469</v>
      </c>
      <c r="D2" s="65" t="s">
        <v>1470</v>
      </c>
      <c r="E2" t="s">
        <v>1350</v>
      </c>
    </row>
    <row r="3" spans="1:7">
      <c r="A3" t="s">
        <v>945</v>
      </c>
      <c r="B3" t="s">
        <v>1471</v>
      </c>
      <c r="C3" t="s">
        <v>1472</v>
      </c>
      <c r="D3" t="s">
        <v>1473</v>
      </c>
      <c r="E3" t="s">
        <v>1350</v>
      </c>
    </row>
    <row r="4" spans="1:7">
      <c r="A4" t="s">
        <v>946</v>
      </c>
      <c r="B4" t="s">
        <v>1474</v>
      </c>
      <c r="C4" t="s">
        <v>1475</v>
      </c>
      <c r="D4" t="s">
        <v>1476</v>
      </c>
      <c r="E4" t="s">
        <v>1350</v>
      </c>
    </row>
    <row r="5" spans="1:7">
      <c r="A5" t="s">
        <v>946</v>
      </c>
      <c r="B5" t="s">
        <v>1477</v>
      </c>
      <c r="C5" t="s">
        <v>1469</v>
      </c>
      <c r="D5" t="s">
        <v>1478</v>
      </c>
      <c r="E5" t="s">
        <v>1350</v>
      </c>
    </row>
    <row r="7" spans="1:7">
      <c r="B7" t="s">
        <v>1479</v>
      </c>
      <c r="D7" t="s">
        <v>1480</v>
      </c>
    </row>
    <row r="17" spans="6:6">
      <c r="F17" s="61"/>
    </row>
    <row r="18" spans="6:6">
      <c r="F18" s="61"/>
    </row>
    <row r="20" spans="6:6">
      <c r="F20" s="61"/>
    </row>
    <row r="21" spans="6:6">
      <c r="F21" s="61"/>
    </row>
    <row r="32" spans="6:6">
      <c r="F32" s="61"/>
    </row>
    <row r="33" spans="6:6">
      <c r="F33" s="61"/>
    </row>
    <row r="34" spans="6:6">
      <c r="F34" s="61"/>
    </row>
    <row r="43" spans="6:6">
      <c r="F43" s="61"/>
    </row>
    <row r="44" spans="6:6">
      <c r="F44" s="61"/>
    </row>
    <row r="47" spans="6:6">
      <c r="F47" s="61"/>
    </row>
    <row r="59" spans="2:2">
      <c r="B59" t="s">
        <v>1481</v>
      </c>
    </row>
    <row r="60" spans="2:2">
      <c r="B60" t="s">
        <v>1482</v>
      </c>
    </row>
    <row r="61" spans="2:2">
      <c r="B61" t="s">
        <v>1483</v>
      </c>
    </row>
  </sheetData>
  <autoFilter ref="A1:E1" xr:uid="{2539DD83-2D15-4BBB-B0DC-59D54EC077E6}"/>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5ABA-69E9-44AA-8C97-48E59D160E1D}">
  <dimension ref="A1"/>
  <sheetViews>
    <sheetView workbookViewId="0">
      <selection activeCell="F15" sqref="F15"/>
    </sheetView>
  </sheetViews>
  <sheetFormatPr defaultColWidth="8.7109375" defaultRowHeight="1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F9F4-3527-419E-A5DD-1ACAD46B0D75}">
  <dimension ref="B39:B40"/>
  <sheetViews>
    <sheetView topLeftCell="A11" workbookViewId="0">
      <selection activeCell="L39" sqref="L39"/>
    </sheetView>
  </sheetViews>
  <sheetFormatPr defaultColWidth="8.7109375" defaultRowHeight="15"/>
  <sheetData>
    <row r="39" spans="2:2">
      <c r="B39" t="s">
        <v>1484</v>
      </c>
    </row>
    <row r="40" spans="2:2">
      <c r="B40" t="s">
        <v>1485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1FD6-1825-47B0-A327-5E39DA4DE487}">
  <dimension ref="A1:AJ71"/>
  <sheetViews>
    <sheetView topLeftCell="A50" workbookViewId="0">
      <selection activeCell="E66" sqref="E66"/>
    </sheetView>
  </sheetViews>
  <sheetFormatPr defaultColWidth="8.7109375" defaultRowHeight="15"/>
  <cols>
    <col min="3" max="3" width="23.42578125" bestFit="1" customWidth="1"/>
    <col min="6" max="6" width="18.42578125" bestFit="1" customWidth="1"/>
    <col min="10" max="10" width="18.140625" bestFit="1" customWidth="1"/>
    <col min="13" max="13" width="18.140625" bestFit="1" customWidth="1"/>
    <col min="17" max="17" width="20.140625" bestFit="1" customWidth="1"/>
    <col min="20" max="20" width="16.7109375" bestFit="1" customWidth="1"/>
    <col min="24" max="24" width="19.28515625" bestFit="1" customWidth="1"/>
    <col min="27" max="27" width="20.140625" bestFit="1" customWidth="1"/>
    <col min="31" max="31" width="19.42578125" bestFit="1" customWidth="1"/>
    <col min="34" max="34" width="16.7109375" bestFit="1" customWidth="1"/>
  </cols>
  <sheetData>
    <row r="1" spans="1:36" ht="21">
      <c r="A1" s="64">
        <v>1</v>
      </c>
      <c r="B1" s="110" t="s">
        <v>1486</v>
      </c>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row>
    <row r="3" spans="1:36">
      <c r="B3" s="103" t="s">
        <v>20</v>
      </c>
      <c r="C3" s="21" t="s">
        <v>21</v>
      </c>
      <c r="D3" s="21"/>
      <c r="E3" s="21"/>
      <c r="F3" s="21"/>
      <c r="G3" s="21"/>
      <c r="H3" s="22">
        <v>15</v>
      </c>
      <c r="J3" s="21" t="s">
        <v>22</v>
      </c>
      <c r="K3" s="21"/>
      <c r="L3" s="21"/>
      <c r="M3" s="21"/>
      <c r="N3" s="21"/>
      <c r="O3" s="22">
        <v>14.5</v>
      </c>
      <c r="Q3" s="21" t="s">
        <v>23</v>
      </c>
      <c r="R3" s="21"/>
      <c r="S3" s="21"/>
      <c r="T3" s="21"/>
      <c r="U3" s="21"/>
      <c r="V3" s="22">
        <v>14.545454545454545</v>
      </c>
      <c r="X3" s="21" t="s">
        <v>24</v>
      </c>
      <c r="Y3" s="21"/>
      <c r="Z3" s="21"/>
      <c r="AA3" s="21"/>
      <c r="AB3" s="21"/>
      <c r="AC3" s="22" t="e">
        <v>#DIV/0!</v>
      </c>
      <c r="AE3" s="21" t="s">
        <v>25</v>
      </c>
      <c r="AF3" s="21"/>
      <c r="AG3" s="21"/>
      <c r="AH3" s="21"/>
      <c r="AI3" s="21" t="s">
        <v>25</v>
      </c>
      <c r="AJ3" s="22" t="e">
        <v>#DIV/0!</v>
      </c>
    </row>
    <row r="4" spans="1:36">
      <c r="B4" s="103"/>
      <c r="C4" s="8" t="s">
        <v>1487</v>
      </c>
      <c r="D4" s="9"/>
      <c r="E4" s="10"/>
      <c r="F4" s="8" t="s">
        <v>1488</v>
      </c>
      <c r="G4" s="9"/>
      <c r="H4" s="10"/>
      <c r="J4" s="8" t="s">
        <v>1489</v>
      </c>
      <c r="K4" s="9"/>
      <c r="L4" s="10"/>
      <c r="M4" s="8" t="s">
        <v>1490</v>
      </c>
      <c r="N4" s="9"/>
      <c r="O4" s="10"/>
      <c r="Q4" s="8" t="s">
        <v>1487</v>
      </c>
      <c r="R4" s="9"/>
      <c r="S4" s="10"/>
      <c r="T4" s="8" t="s">
        <v>1491</v>
      </c>
      <c r="U4" s="9"/>
      <c r="V4" s="10"/>
      <c r="X4" s="8" t="s">
        <v>1492</v>
      </c>
      <c r="Y4" s="9"/>
      <c r="Z4" s="10"/>
      <c r="AA4" s="8" t="s">
        <v>1493</v>
      </c>
      <c r="AB4" s="9"/>
      <c r="AC4" s="10"/>
      <c r="AE4" s="8" t="s">
        <v>1492</v>
      </c>
      <c r="AF4" s="9"/>
      <c r="AG4" s="10"/>
      <c r="AH4" s="8" t="s">
        <v>1493</v>
      </c>
      <c r="AI4" s="9"/>
      <c r="AJ4" s="10"/>
    </row>
    <row r="5" spans="1:36">
      <c r="B5" s="103"/>
      <c r="C5" s="3" t="s">
        <v>215</v>
      </c>
      <c r="D5" s="4" t="s">
        <v>21</v>
      </c>
      <c r="E5" s="5">
        <v>15</v>
      </c>
      <c r="F5" s="3" t="s">
        <v>264</v>
      </c>
      <c r="G5" s="4" t="s">
        <v>21</v>
      </c>
      <c r="H5" s="5">
        <v>15</v>
      </c>
      <c r="J5" s="3" t="s">
        <v>227</v>
      </c>
      <c r="K5" s="4" t="s">
        <v>22</v>
      </c>
      <c r="L5" s="5">
        <v>15</v>
      </c>
      <c r="M5" s="3" t="s">
        <v>282</v>
      </c>
      <c r="N5" s="4" t="s">
        <v>22</v>
      </c>
      <c r="O5" s="5">
        <v>15</v>
      </c>
      <c r="Q5" s="3" t="s">
        <v>279</v>
      </c>
      <c r="R5" s="4" t="s">
        <v>23</v>
      </c>
      <c r="S5" s="5">
        <v>14</v>
      </c>
      <c r="T5" s="3" t="s">
        <v>309</v>
      </c>
      <c r="U5" s="4" t="s">
        <v>23</v>
      </c>
      <c r="V5" s="5">
        <v>14</v>
      </c>
      <c r="X5" s="3" t="s">
        <v>1494</v>
      </c>
      <c r="Y5" s="4" t="s">
        <v>1494</v>
      </c>
      <c r="Z5" s="5" t="s">
        <v>1494</v>
      </c>
      <c r="AA5" s="3" t="s">
        <v>1494</v>
      </c>
      <c r="AB5" s="4" t="s">
        <v>1494</v>
      </c>
      <c r="AC5" s="5" t="s">
        <v>1494</v>
      </c>
      <c r="AE5" s="3" t="s">
        <v>1494</v>
      </c>
      <c r="AF5" s="4" t="s">
        <v>1494</v>
      </c>
      <c r="AG5" s="5" t="s">
        <v>1494</v>
      </c>
      <c r="AH5" s="3" t="s">
        <v>1494</v>
      </c>
      <c r="AI5" s="4" t="s">
        <v>1494</v>
      </c>
      <c r="AJ5" s="5" t="s">
        <v>1494</v>
      </c>
    </row>
    <row r="6" spans="1:36">
      <c r="B6" s="103"/>
      <c r="C6" s="6" t="s">
        <v>209</v>
      </c>
      <c r="D6" s="2" t="s">
        <v>22</v>
      </c>
      <c r="E6" s="7">
        <v>15</v>
      </c>
      <c r="F6" s="6" t="s">
        <v>270</v>
      </c>
      <c r="G6" s="2" t="s">
        <v>22</v>
      </c>
      <c r="H6" s="7">
        <v>15</v>
      </c>
      <c r="J6" s="60" t="s">
        <v>221</v>
      </c>
      <c r="K6" s="2" t="s">
        <v>22</v>
      </c>
      <c r="L6" s="7">
        <v>15</v>
      </c>
      <c r="M6" s="6" t="s">
        <v>242</v>
      </c>
      <c r="N6" s="2" t="s">
        <v>23</v>
      </c>
      <c r="O6" s="7">
        <v>15</v>
      </c>
      <c r="Q6" s="6" t="s">
        <v>284</v>
      </c>
      <c r="R6" s="2" t="s">
        <v>23</v>
      </c>
      <c r="S6" s="7">
        <v>14</v>
      </c>
      <c r="T6" s="6" t="s">
        <v>293</v>
      </c>
      <c r="U6" s="2" t="s">
        <v>23</v>
      </c>
      <c r="V6" s="7">
        <v>14</v>
      </c>
      <c r="X6" s="6"/>
      <c r="Y6" s="2"/>
      <c r="Z6" s="7"/>
      <c r="AA6" s="6"/>
      <c r="AB6" s="2"/>
      <c r="AC6" s="7"/>
      <c r="AE6" s="6"/>
      <c r="AF6" s="2"/>
      <c r="AG6" s="7"/>
      <c r="AH6" s="6"/>
      <c r="AI6" s="2"/>
      <c r="AJ6" s="7"/>
    </row>
    <row r="7" spans="1:36">
      <c r="B7" s="103"/>
      <c r="C7" s="6" t="s">
        <v>250</v>
      </c>
      <c r="D7" s="2" t="s">
        <v>22</v>
      </c>
      <c r="E7" s="7">
        <v>15</v>
      </c>
      <c r="F7" s="60" t="s">
        <v>70</v>
      </c>
      <c r="G7" s="2" t="s">
        <v>22</v>
      </c>
      <c r="H7" s="7">
        <v>16</v>
      </c>
      <c r="J7" s="6" t="s">
        <v>255</v>
      </c>
      <c r="K7" s="2" t="s">
        <v>23</v>
      </c>
      <c r="L7" s="7">
        <v>15</v>
      </c>
      <c r="M7" s="6" t="s">
        <v>253</v>
      </c>
      <c r="N7" s="2" t="s">
        <v>29</v>
      </c>
      <c r="O7" s="7">
        <v>14</v>
      </c>
      <c r="Q7" s="6" t="s">
        <v>929</v>
      </c>
      <c r="R7" s="2" t="s">
        <v>23</v>
      </c>
      <c r="S7" s="7">
        <v>14</v>
      </c>
      <c r="T7" s="6" t="s">
        <v>299</v>
      </c>
      <c r="U7" s="2" t="s">
        <v>23</v>
      </c>
      <c r="V7" s="7">
        <v>15</v>
      </c>
      <c r="X7" s="6"/>
      <c r="Y7" s="2"/>
      <c r="Z7" s="7"/>
      <c r="AA7" s="6"/>
      <c r="AB7" s="2"/>
      <c r="AC7" s="7"/>
      <c r="AE7" s="6"/>
      <c r="AF7" s="2"/>
      <c r="AG7" s="7"/>
      <c r="AH7" s="6"/>
      <c r="AI7" s="2"/>
      <c r="AJ7" s="7"/>
    </row>
    <row r="8" spans="1:36">
      <c r="B8" s="103"/>
      <c r="C8" s="60" t="s">
        <v>110</v>
      </c>
      <c r="D8" s="2" t="s">
        <v>22</v>
      </c>
      <c r="E8" s="7">
        <v>16</v>
      </c>
      <c r="F8" s="6" t="s">
        <v>248</v>
      </c>
      <c r="G8" s="2" t="s">
        <v>28</v>
      </c>
      <c r="H8" s="7">
        <v>14</v>
      </c>
      <c r="J8" s="6" t="s">
        <v>239</v>
      </c>
      <c r="K8" s="2" t="s">
        <v>28</v>
      </c>
      <c r="L8" s="7">
        <v>14</v>
      </c>
      <c r="M8" s="6" t="s">
        <v>258</v>
      </c>
      <c r="N8" s="2" t="s">
        <v>29</v>
      </c>
      <c r="O8" s="7">
        <v>14</v>
      </c>
      <c r="Q8" s="6" t="s">
        <v>900</v>
      </c>
      <c r="R8" s="2" t="s">
        <v>23</v>
      </c>
      <c r="S8" s="7">
        <v>15</v>
      </c>
      <c r="T8" s="60" t="s">
        <v>287</v>
      </c>
      <c r="U8" s="2" t="s">
        <v>24</v>
      </c>
      <c r="V8" s="7">
        <v>15</v>
      </c>
      <c r="X8" s="6"/>
      <c r="Y8" s="2"/>
      <c r="Z8" s="7"/>
      <c r="AA8" s="6"/>
      <c r="AB8" s="2"/>
      <c r="AC8" s="7"/>
      <c r="AE8" s="6"/>
      <c r="AF8" s="2"/>
      <c r="AG8" s="7"/>
      <c r="AH8" s="6"/>
      <c r="AI8" s="2"/>
      <c r="AJ8" s="7"/>
    </row>
    <row r="9" spans="1:36">
      <c r="B9" s="103"/>
      <c r="C9" s="6" t="s">
        <v>245</v>
      </c>
      <c r="D9" s="2" t="s">
        <v>28</v>
      </c>
      <c r="E9" s="7">
        <v>14</v>
      </c>
      <c r="F9" s="6" t="s">
        <v>276</v>
      </c>
      <c r="G9" s="2" t="s">
        <v>28</v>
      </c>
      <c r="H9" s="7">
        <v>15</v>
      </c>
      <c r="J9" s="6" t="s">
        <v>203</v>
      </c>
      <c r="K9" s="2" t="s">
        <v>28</v>
      </c>
      <c r="L9" s="7">
        <v>14</v>
      </c>
      <c r="M9" s="6"/>
      <c r="N9" s="2"/>
      <c r="O9" s="7"/>
      <c r="Q9" s="6" t="s">
        <v>892</v>
      </c>
      <c r="R9" s="2" t="s">
        <v>24</v>
      </c>
      <c r="S9" s="7">
        <v>15</v>
      </c>
      <c r="T9" s="6" t="s">
        <v>148</v>
      </c>
      <c r="U9" s="2" t="s">
        <v>24</v>
      </c>
      <c r="V9" s="7">
        <v>16</v>
      </c>
      <c r="X9" s="6"/>
      <c r="Y9" s="2"/>
      <c r="Z9" s="7"/>
      <c r="AA9" s="6"/>
      <c r="AB9" s="2"/>
      <c r="AC9" s="7"/>
      <c r="AE9" s="6"/>
      <c r="AF9" s="2"/>
      <c r="AG9" s="7"/>
      <c r="AH9" s="6"/>
      <c r="AI9" s="2"/>
      <c r="AJ9" s="7"/>
    </row>
    <row r="10" spans="1:36">
      <c r="B10" s="103"/>
      <c r="C10" s="6"/>
      <c r="D10" s="2"/>
      <c r="E10" s="7"/>
      <c r="F10" s="6"/>
      <c r="G10" s="2"/>
      <c r="H10" s="7"/>
      <c r="J10" s="6" t="s">
        <v>233</v>
      </c>
      <c r="K10" s="2" t="s">
        <v>29</v>
      </c>
      <c r="L10" s="7">
        <v>14</v>
      </c>
      <c r="M10" s="6"/>
      <c r="N10" s="2"/>
      <c r="O10" s="7"/>
      <c r="Q10" s="6"/>
      <c r="R10" s="2"/>
      <c r="S10" s="7"/>
      <c r="T10" s="6" t="s">
        <v>304</v>
      </c>
      <c r="U10" s="2" t="s">
        <v>30</v>
      </c>
      <c r="V10" s="7">
        <v>14</v>
      </c>
      <c r="X10" s="6"/>
      <c r="Y10" s="2"/>
      <c r="Z10" s="7"/>
      <c r="AA10" s="6"/>
      <c r="AB10" s="2"/>
      <c r="AC10" s="7"/>
      <c r="AE10" s="6"/>
      <c r="AF10" s="2"/>
      <c r="AG10" s="7"/>
      <c r="AH10" s="6"/>
      <c r="AI10" s="2"/>
      <c r="AJ10" s="7"/>
    </row>
    <row r="11" spans="1:36">
      <c r="B11" s="103"/>
      <c r="C11" s="6"/>
      <c r="D11" s="2"/>
      <c r="E11" s="7"/>
      <c r="F11" s="6"/>
      <c r="G11" s="2"/>
      <c r="H11" s="7"/>
      <c r="J11" s="6"/>
      <c r="K11" s="2"/>
      <c r="L11" s="7"/>
      <c r="M11" s="6"/>
      <c r="N11" s="2"/>
      <c r="O11" s="7"/>
      <c r="Q11" s="6"/>
      <c r="R11" s="2"/>
      <c r="S11" s="7"/>
      <c r="T11" s="6"/>
      <c r="U11" s="2"/>
      <c r="V11" s="7"/>
      <c r="X11" s="6"/>
      <c r="Y11" s="2"/>
      <c r="Z11" s="7"/>
      <c r="AA11" s="6"/>
      <c r="AB11" s="2"/>
      <c r="AC11" s="7"/>
      <c r="AE11" s="6"/>
      <c r="AF11" s="2"/>
      <c r="AG11" s="7"/>
      <c r="AH11" s="6"/>
      <c r="AI11" s="2"/>
      <c r="AJ11" s="7"/>
    </row>
    <row r="12" spans="1:36">
      <c r="B12" s="103"/>
      <c r="C12" s="6"/>
      <c r="D12" s="2"/>
      <c r="E12" s="7"/>
      <c r="F12" s="6"/>
      <c r="G12" s="2"/>
      <c r="H12" s="7"/>
      <c r="J12" s="6"/>
      <c r="K12" s="2"/>
      <c r="L12" s="7"/>
      <c r="M12" s="6"/>
      <c r="N12" s="2"/>
      <c r="O12" s="7"/>
      <c r="Q12" s="6"/>
      <c r="R12" s="2"/>
      <c r="S12" s="7"/>
      <c r="T12" s="6"/>
      <c r="U12" s="2"/>
      <c r="V12" s="7"/>
      <c r="X12" s="6"/>
      <c r="Y12" s="2"/>
      <c r="Z12" s="7"/>
      <c r="AA12" s="6"/>
      <c r="AB12" s="2"/>
      <c r="AC12" s="7"/>
      <c r="AE12" s="6"/>
      <c r="AF12" s="2"/>
      <c r="AG12" s="7"/>
      <c r="AH12" s="6"/>
      <c r="AI12" s="2"/>
      <c r="AJ12" s="7"/>
    </row>
    <row r="13" spans="1:36">
      <c r="B13" s="103"/>
      <c r="C13" s="12" t="s">
        <v>965</v>
      </c>
      <c r="D13" s="13"/>
      <c r="E13" s="13"/>
      <c r="F13" s="13"/>
      <c r="G13" s="13"/>
      <c r="H13" s="14"/>
      <c r="J13" s="12" t="s">
        <v>965</v>
      </c>
      <c r="K13" s="13"/>
      <c r="L13" s="13"/>
      <c r="M13" s="13"/>
      <c r="N13" s="13"/>
      <c r="O13" s="14"/>
      <c r="Q13" s="12" t="s">
        <v>965</v>
      </c>
      <c r="R13" s="13"/>
      <c r="S13" s="13"/>
      <c r="T13" s="13"/>
      <c r="U13" s="13"/>
      <c r="V13" s="14"/>
      <c r="X13" s="12" t="s">
        <v>965</v>
      </c>
      <c r="Y13" s="13"/>
      <c r="Z13" s="13"/>
      <c r="AA13" s="13"/>
      <c r="AB13" s="13"/>
      <c r="AC13" s="14"/>
      <c r="AE13" s="12" t="s">
        <v>1494</v>
      </c>
      <c r="AF13" s="13" t="s">
        <v>1494</v>
      </c>
      <c r="AG13" s="13"/>
      <c r="AH13" s="13"/>
      <c r="AI13" s="13"/>
      <c r="AJ13" s="14"/>
    </row>
    <row r="14" spans="1:36">
      <c r="B14" s="103"/>
      <c r="C14" s="15" t="s">
        <v>965</v>
      </c>
      <c r="D14" s="16"/>
      <c r="E14" s="16"/>
      <c r="F14" s="16"/>
      <c r="G14" s="16"/>
      <c r="H14" s="17"/>
      <c r="J14" s="15" t="s">
        <v>965</v>
      </c>
      <c r="K14" s="16"/>
      <c r="L14" s="16"/>
      <c r="M14" s="16"/>
      <c r="N14" s="16"/>
      <c r="O14" s="17"/>
      <c r="Q14" s="15" t="s">
        <v>965</v>
      </c>
      <c r="R14" s="16"/>
      <c r="S14" s="16"/>
      <c r="T14" s="16"/>
      <c r="U14" s="16"/>
      <c r="V14" s="17"/>
      <c r="X14" s="15" t="s">
        <v>965</v>
      </c>
      <c r="Y14" s="16"/>
      <c r="Z14" s="16"/>
      <c r="AA14" s="16"/>
      <c r="AB14" s="16"/>
      <c r="AC14" s="17"/>
      <c r="AE14" s="15"/>
      <c r="AF14" s="16"/>
      <c r="AG14" s="16"/>
      <c r="AH14" s="16"/>
      <c r="AI14" s="16"/>
      <c r="AJ14" s="17"/>
    </row>
    <row r="15" spans="1:36">
      <c r="B15" s="103"/>
      <c r="C15" s="18"/>
      <c r="D15" s="19"/>
      <c r="E15" s="19"/>
      <c r="F15" s="19"/>
      <c r="G15" s="19"/>
      <c r="H15" s="20"/>
      <c r="J15" s="18" t="s">
        <v>965</v>
      </c>
      <c r="K15" s="19"/>
      <c r="L15" s="19"/>
      <c r="M15" s="19"/>
      <c r="N15" s="19"/>
      <c r="O15" s="20"/>
      <c r="Q15" s="18"/>
      <c r="R15" s="19"/>
      <c r="S15" s="19"/>
      <c r="T15" s="19"/>
      <c r="U15" s="19"/>
      <c r="V15" s="20"/>
      <c r="X15" s="18" t="s">
        <v>965</v>
      </c>
      <c r="Y15" s="19"/>
      <c r="Z15" s="19"/>
      <c r="AA15" s="19"/>
      <c r="AB15" s="19"/>
      <c r="AC15" s="20"/>
      <c r="AE15" s="18"/>
      <c r="AF15" s="19"/>
      <c r="AG15" s="19"/>
      <c r="AH15" s="19"/>
      <c r="AI15" s="19"/>
      <c r="AJ15" s="20"/>
    </row>
    <row r="17" spans="2:36">
      <c r="B17" s="103" t="s">
        <v>27</v>
      </c>
      <c r="C17" s="21" t="s">
        <v>28</v>
      </c>
      <c r="D17" s="21"/>
      <c r="E17" s="21"/>
      <c r="F17" s="21"/>
      <c r="G17" s="21"/>
      <c r="H17" s="22">
        <v>12.666666666666666</v>
      </c>
      <c r="J17" s="21" t="s">
        <v>29</v>
      </c>
      <c r="K17" s="21"/>
      <c r="L17" s="21"/>
      <c r="M17" s="21"/>
      <c r="N17" s="21"/>
      <c r="O17" s="22">
        <v>12.583333333333334</v>
      </c>
      <c r="Q17" s="21" t="s">
        <v>30</v>
      </c>
      <c r="R17" s="21"/>
      <c r="S17" s="21"/>
      <c r="T17" s="21"/>
      <c r="U17" s="21"/>
      <c r="V17" s="22">
        <v>12.8</v>
      </c>
      <c r="X17" s="21" t="s">
        <v>31</v>
      </c>
      <c r="Y17" s="21"/>
      <c r="Z17" s="21"/>
      <c r="AA17" s="21"/>
      <c r="AB17" s="21"/>
      <c r="AC17" s="22">
        <v>13.111111111111111</v>
      </c>
      <c r="AE17" s="21" t="s">
        <v>32</v>
      </c>
      <c r="AF17" s="21"/>
      <c r="AG17" s="21"/>
      <c r="AH17" s="21"/>
      <c r="AI17" s="21"/>
      <c r="AJ17" s="22">
        <v>12.333333333333334</v>
      </c>
    </row>
    <row r="18" spans="2:36">
      <c r="B18" s="103"/>
      <c r="C18" s="8" t="s">
        <v>1495</v>
      </c>
      <c r="D18" s="9"/>
      <c r="E18" s="10"/>
      <c r="F18" s="8" t="s">
        <v>1490</v>
      </c>
      <c r="G18" s="9"/>
      <c r="H18" s="10"/>
      <c r="J18" s="8" t="s">
        <v>1496</v>
      </c>
      <c r="K18" s="9"/>
      <c r="L18" s="10"/>
      <c r="M18" s="8" t="s">
        <v>1490</v>
      </c>
      <c r="N18" s="9"/>
      <c r="O18" s="10"/>
      <c r="Q18" s="8" t="s">
        <v>1489</v>
      </c>
      <c r="R18" s="9"/>
      <c r="S18" s="10"/>
      <c r="T18" s="8" t="s">
        <v>1490</v>
      </c>
      <c r="U18" s="9"/>
      <c r="V18" s="10"/>
      <c r="X18" s="8" t="s">
        <v>1489</v>
      </c>
      <c r="Y18" s="9"/>
      <c r="Z18" s="10"/>
      <c r="AA18" s="8" t="s">
        <v>1497</v>
      </c>
      <c r="AB18" s="9"/>
      <c r="AC18" s="10"/>
      <c r="AE18" s="8" t="s">
        <v>1498</v>
      </c>
      <c r="AF18" s="9"/>
      <c r="AG18" s="10"/>
      <c r="AH18" s="8" t="s">
        <v>1499</v>
      </c>
      <c r="AI18" s="9"/>
      <c r="AJ18" s="10"/>
    </row>
    <row r="19" spans="2:36">
      <c r="B19" s="103"/>
      <c r="C19" s="3" t="s">
        <v>290</v>
      </c>
      <c r="D19" s="4" t="s">
        <v>28</v>
      </c>
      <c r="E19" s="5">
        <v>13</v>
      </c>
      <c r="F19" s="3" t="s">
        <v>326</v>
      </c>
      <c r="G19" s="4" t="s">
        <v>28</v>
      </c>
      <c r="H19" s="5">
        <v>13</v>
      </c>
      <c r="J19" s="3" t="s">
        <v>307</v>
      </c>
      <c r="K19" s="4" t="s">
        <v>29</v>
      </c>
      <c r="L19" s="5">
        <v>13</v>
      </c>
      <c r="M19" s="3" t="s">
        <v>348</v>
      </c>
      <c r="N19" s="4" t="s">
        <v>29</v>
      </c>
      <c r="O19" s="5">
        <v>13</v>
      </c>
      <c r="Q19" s="3" t="s">
        <v>346</v>
      </c>
      <c r="R19" s="4" t="s">
        <v>30</v>
      </c>
      <c r="S19" s="5">
        <v>13</v>
      </c>
      <c r="T19" s="3" t="s">
        <v>360</v>
      </c>
      <c r="U19" s="4" t="s">
        <v>30</v>
      </c>
      <c r="V19" s="5">
        <v>13</v>
      </c>
      <c r="X19" s="3" t="s">
        <v>273</v>
      </c>
      <c r="Y19" s="4" t="s">
        <v>31</v>
      </c>
      <c r="Z19" s="5">
        <v>13</v>
      </c>
      <c r="AA19" s="3" t="s">
        <v>383</v>
      </c>
      <c r="AB19" s="4" t="s">
        <v>31</v>
      </c>
      <c r="AC19" s="5">
        <v>13</v>
      </c>
      <c r="AE19" s="3" t="s">
        <v>410</v>
      </c>
      <c r="AF19" s="4" t="s">
        <v>31</v>
      </c>
      <c r="AG19" s="5">
        <v>12</v>
      </c>
      <c r="AH19" s="3" t="s">
        <v>395</v>
      </c>
      <c r="AI19" s="4" t="s">
        <v>35</v>
      </c>
      <c r="AJ19" s="5">
        <v>12</v>
      </c>
    </row>
    <row r="20" spans="2:36">
      <c r="B20" s="103"/>
      <c r="C20" s="6" t="s">
        <v>302</v>
      </c>
      <c r="D20" s="2" t="s">
        <v>28</v>
      </c>
      <c r="E20" s="7">
        <v>13</v>
      </c>
      <c r="F20" s="6" t="s">
        <v>321</v>
      </c>
      <c r="G20" s="2" t="s">
        <v>28</v>
      </c>
      <c r="H20" s="7">
        <v>13</v>
      </c>
      <c r="J20" s="6" t="s">
        <v>312</v>
      </c>
      <c r="K20" s="2" t="s">
        <v>29</v>
      </c>
      <c r="L20" s="7">
        <v>13</v>
      </c>
      <c r="M20" s="6" t="s">
        <v>338</v>
      </c>
      <c r="N20" s="2" t="s">
        <v>30</v>
      </c>
      <c r="O20" s="7">
        <v>14</v>
      </c>
      <c r="Q20" s="6" t="s">
        <v>368</v>
      </c>
      <c r="R20" s="2" t="s">
        <v>30</v>
      </c>
      <c r="S20" s="7">
        <v>13</v>
      </c>
      <c r="T20" s="6" t="s">
        <v>366</v>
      </c>
      <c r="U20" s="2" t="s">
        <v>30</v>
      </c>
      <c r="V20" s="7">
        <v>13</v>
      </c>
      <c r="X20" s="6" t="s">
        <v>380</v>
      </c>
      <c r="Y20" s="2" t="s">
        <v>31</v>
      </c>
      <c r="Z20" s="7">
        <v>13</v>
      </c>
      <c r="AA20" s="6" t="s">
        <v>407</v>
      </c>
      <c r="AB20" s="2" t="s">
        <v>31</v>
      </c>
      <c r="AC20" s="7">
        <v>14</v>
      </c>
      <c r="AE20" s="6" t="s">
        <v>398</v>
      </c>
      <c r="AF20" s="2" t="s">
        <v>31</v>
      </c>
      <c r="AG20" s="7">
        <v>12</v>
      </c>
      <c r="AH20" s="6" t="s">
        <v>401</v>
      </c>
      <c r="AI20" s="2" t="s">
        <v>35</v>
      </c>
      <c r="AJ20" s="7">
        <v>12</v>
      </c>
    </row>
    <row r="21" spans="2:36">
      <c r="B21" s="103"/>
      <c r="C21" s="6"/>
      <c r="D21" s="2"/>
      <c r="E21" s="7"/>
      <c r="F21" s="6" t="s">
        <v>332</v>
      </c>
      <c r="G21" s="2" t="s">
        <v>34</v>
      </c>
      <c r="H21" s="7">
        <v>12</v>
      </c>
      <c r="J21" s="6" t="s">
        <v>329</v>
      </c>
      <c r="K21" s="2" t="s">
        <v>29</v>
      </c>
      <c r="L21" s="7">
        <v>13</v>
      </c>
      <c r="M21" s="6" t="s">
        <v>344</v>
      </c>
      <c r="N21" s="2" t="s">
        <v>34</v>
      </c>
      <c r="O21" s="7">
        <v>11</v>
      </c>
      <c r="Q21" s="6" t="s">
        <v>363</v>
      </c>
      <c r="R21" s="2" t="s">
        <v>30</v>
      </c>
      <c r="S21" s="7">
        <v>13</v>
      </c>
      <c r="T21" s="6" t="s">
        <v>371</v>
      </c>
      <c r="U21" s="2" t="s">
        <v>35</v>
      </c>
      <c r="V21" s="7">
        <v>12</v>
      </c>
      <c r="X21" s="6" t="s">
        <v>392</v>
      </c>
      <c r="Y21" s="2" t="s">
        <v>31</v>
      </c>
      <c r="Z21" s="7">
        <v>13</v>
      </c>
      <c r="AA21" s="6" t="s">
        <v>389</v>
      </c>
      <c r="AB21" s="2" t="s">
        <v>31</v>
      </c>
      <c r="AC21" s="7">
        <v>13</v>
      </c>
      <c r="AE21" s="6" t="s">
        <v>404</v>
      </c>
      <c r="AF21" s="2" t="s">
        <v>31</v>
      </c>
      <c r="AG21" s="7">
        <v>13</v>
      </c>
      <c r="AH21" s="60"/>
      <c r="AI21" s="2"/>
      <c r="AJ21" s="7"/>
    </row>
    <row r="22" spans="2:36">
      <c r="B22" s="103"/>
      <c r="C22" s="6"/>
      <c r="D22" s="2"/>
      <c r="E22" s="7"/>
      <c r="F22" s="6" t="s">
        <v>315</v>
      </c>
      <c r="G22" s="2" t="s">
        <v>34</v>
      </c>
      <c r="H22" s="7">
        <v>12</v>
      </c>
      <c r="J22" s="6" t="s">
        <v>318</v>
      </c>
      <c r="K22" s="2" t="s">
        <v>29</v>
      </c>
      <c r="L22" s="7">
        <v>13</v>
      </c>
      <c r="M22" s="6" t="s">
        <v>354</v>
      </c>
      <c r="N22" s="2" t="s">
        <v>34</v>
      </c>
      <c r="O22" s="7">
        <v>12</v>
      </c>
      <c r="Q22" s="6" t="s">
        <v>261</v>
      </c>
      <c r="R22" s="2" t="s">
        <v>30</v>
      </c>
      <c r="S22" s="7">
        <v>13</v>
      </c>
      <c r="T22" s="6" t="s">
        <v>377</v>
      </c>
      <c r="U22" s="2" t="s">
        <v>35</v>
      </c>
      <c r="V22" s="7">
        <v>12</v>
      </c>
      <c r="X22" s="6" t="s">
        <v>386</v>
      </c>
      <c r="Y22" s="2" t="s">
        <v>31</v>
      </c>
      <c r="Z22" s="7">
        <v>14</v>
      </c>
      <c r="AA22" s="6"/>
      <c r="AB22" s="2"/>
      <c r="AC22" s="7"/>
      <c r="AE22" s="6" t="s">
        <v>416</v>
      </c>
      <c r="AF22" s="2" t="s">
        <v>31</v>
      </c>
      <c r="AG22" s="7">
        <v>13</v>
      </c>
      <c r="AH22" s="6"/>
      <c r="AI22" s="2"/>
      <c r="AJ22" s="7"/>
    </row>
    <row r="23" spans="2:36">
      <c r="B23" s="103"/>
      <c r="C23" s="6"/>
      <c r="D23" s="2"/>
      <c r="E23" s="7"/>
      <c r="F23" s="6"/>
      <c r="G23" s="2"/>
      <c r="H23" s="7"/>
      <c r="J23" s="6" t="s">
        <v>296</v>
      </c>
      <c r="K23" s="2" t="s">
        <v>29</v>
      </c>
      <c r="L23" s="7">
        <v>13</v>
      </c>
      <c r="M23" s="6"/>
      <c r="N23" s="2"/>
      <c r="O23" s="7"/>
      <c r="Q23" s="60" t="s">
        <v>267</v>
      </c>
      <c r="R23" s="2" t="s">
        <v>30</v>
      </c>
      <c r="S23" s="7">
        <v>14</v>
      </c>
      <c r="T23" s="6"/>
      <c r="U23" s="2"/>
      <c r="V23" s="7"/>
      <c r="X23" t="s">
        <v>374</v>
      </c>
      <c r="Y23" s="2" t="s">
        <v>35</v>
      </c>
      <c r="Z23" s="7">
        <v>12</v>
      </c>
      <c r="AA23" s="6"/>
      <c r="AB23" s="2"/>
      <c r="AC23" s="7"/>
      <c r="AE23" s="60"/>
      <c r="AF23" s="2"/>
      <c r="AG23" s="7"/>
      <c r="AH23" s="6"/>
      <c r="AI23" s="2"/>
      <c r="AJ23" s="7"/>
    </row>
    <row r="24" spans="2:36">
      <c r="B24" s="103"/>
      <c r="C24" s="6"/>
      <c r="D24" s="2"/>
      <c r="E24" s="7"/>
      <c r="F24" s="6"/>
      <c r="G24" s="2"/>
      <c r="H24" s="7"/>
      <c r="J24" s="6" t="s">
        <v>341</v>
      </c>
      <c r="K24" s="2" t="s">
        <v>29</v>
      </c>
      <c r="L24" s="7">
        <v>13</v>
      </c>
      <c r="M24" s="6"/>
      <c r="N24" s="2"/>
      <c r="O24" s="7"/>
      <c r="Q24" s="6" t="s">
        <v>357</v>
      </c>
      <c r="R24" s="2" t="s">
        <v>35</v>
      </c>
      <c r="S24" s="7">
        <v>12</v>
      </c>
      <c r="T24" s="6"/>
      <c r="U24" s="2"/>
      <c r="V24" s="7"/>
      <c r="X24" s="6" t="s">
        <v>351</v>
      </c>
      <c r="Y24" s="2" t="s">
        <v>35</v>
      </c>
      <c r="Z24" s="7">
        <v>13</v>
      </c>
      <c r="AA24" s="6"/>
      <c r="AB24" s="2"/>
      <c r="AC24" s="7"/>
      <c r="AE24" s="60"/>
      <c r="AF24" s="2"/>
      <c r="AG24" s="7"/>
      <c r="AH24" s="6"/>
      <c r="AI24" s="2"/>
      <c r="AJ24" s="7"/>
    </row>
    <row r="25" spans="2:36">
      <c r="B25" s="103"/>
      <c r="C25" s="6"/>
      <c r="D25" s="2"/>
      <c r="E25" s="7"/>
      <c r="F25" s="6"/>
      <c r="G25" s="2"/>
      <c r="H25" s="7"/>
      <c r="J25" s="6" t="s">
        <v>323</v>
      </c>
      <c r="K25" s="2" t="s">
        <v>34</v>
      </c>
      <c r="L25" s="7">
        <v>11</v>
      </c>
      <c r="M25" s="6"/>
      <c r="N25" s="2"/>
      <c r="O25" s="7"/>
      <c r="Q25" s="6"/>
      <c r="R25" s="2"/>
      <c r="S25" s="7"/>
      <c r="T25" s="6"/>
      <c r="U25" s="2"/>
      <c r="V25" s="7"/>
      <c r="X25" s="6"/>
      <c r="Y25" s="2"/>
      <c r="Z25" s="7"/>
      <c r="AA25" s="6"/>
      <c r="AB25" s="2"/>
      <c r="AC25" s="7"/>
      <c r="AE25" s="6"/>
      <c r="AF25" s="2"/>
      <c r="AG25" s="7"/>
      <c r="AH25" s="6"/>
      <c r="AI25" s="2"/>
      <c r="AJ25" s="7"/>
    </row>
    <row r="26" spans="2:36">
      <c r="B26" s="103"/>
      <c r="C26" s="6"/>
      <c r="D26" s="2"/>
      <c r="E26" s="7"/>
      <c r="F26" s="6"/>
      <c r="G26" s="2"/>
      <c r="H26" s="7"/>
      <c r="J26" s="6" t="s">
        <v>335</v>
      </c>
      <c r="K26" s="2" t="s">
        <v>34</v>
      </c>
      <c r="L26" s="7">
        <v>12</v>
      </c>
      <c r="M26" s="6"/>
      <c r="N26" s="2"/>
      <c r="O26" s="7"/>
      <c r="Q26" s="6"/>
      <c r="R26" s="2"/>
      <c r="S26" s="7"/>
      <c r="T26" s="6"/>
      <c r="U26" s="2"/>
      <c r="V26" s="7"/>
      <c r="X26" s="6"/>
      <c r="Y26" s="2"/>
      <c r="Z26" s="7"/>
      <c r="AA26" s="6"/>
      <c r="AB26" s="2"/>
      <c r="AC26" s="7"/>
      <c r="AE26" s="6"/>
      <c r="AF26" s="2"/>
      <c r="AG26" s="7"/>
      <c r="AH26" s="6"/>
      <c r="AI26" s="2"/>
      <c r="AJ26" s="7"/>
    </row>
    <row r="27" spans="2:36">
      <c r="B27" s="103"/>
      <c r="C27" s="6"/>
      <c r="D27" s="2"/>
      <c r="E27" s="7"/>
      <c r="F27" s="6"/>
      <c r="G27" s="2"/>
      <c r="H27" s="7"/>
      <c r="J27" s="6"/>
      <c r="K27" s="2"/>
      <c r="L27" s="7"/>
      <c r="M27" s="6"/>
      <c r="N27" s="2"/>
      <c r="O27" s="7"/>
      <c r="Q27" s="6"/>
      <c r="R27" s="2"/>
      <c r="S27" s="7"/>
      <c r="T27" s="6"/>
      <c r="U27" s="2"/>
      <c r="V27" s="7"/>
      <c r="X27" s="6"/>
      <c r="Y27" s="2"/>
      <c r="Z27" s="7"/>
      <c r="AA27" s="6"/>
      <c r="AB27" s="2"/>
      <c r="AC27" s="7"/>
      <c r="AE27" s="6"/>
      <c r="AF27" s="2"/>
      <c r="AG27" s="7"/>
      <c r="AH27" s="6"/>
      <c r="AI27" s="2"/>
      <c r="AJ27" s="7"/>
    </row>
    <row r="28" spans="2:36">
      <c r="B28" s="103"/>
      <c r="C28" s="6"/>
      <c r="D28" s="2"/>
      <c r="E28" s="7"/>
      <c r="F28" s="6"/>
      <c r="G28" s="2"/>
      <c r="H28" s="7"/>
      <c r="J28" s="6"/>
      <c r="K28" s="2"/>
      <c r="L28" s="7"/>
      <c r="M28" s="6"/>
      <c r="N28" s="2"/>
      <c r="O28" s="7"/>
      <c r="Q28" s="6"/>
      <c r="R28" s="2"/>
      <c r="S28" s="7"/>
      <c r="T28" s="6"/>
      <c r="U28" s="2"/>
      <c r="V28" s="7"/>
      <c r="X28" s="6"/>
      <c r="Y28" s="2"/>
      <c r="Z28" s="7"/>
      <c r="AA28" s="6"/>
      <c r="AB28" s="2"/>
      <c r="AC28" s="7"/>
      <c r="AE28" s="6"/>
      <c r="AF28" s="2"/>
      <c r="AG28" s="7"/>
      <c r="AH28" s="6"/>
      <c r="AI28" s="2"/>
      <c r="AJ28" s="7"/>
    </row>
    <row r="29" spans="2:36">
      <c r="B29" s="103"/>
      <c r="C29" s="12" t="s">
        <v>965</v>
      </c>
      <c r="D29" s="13"/>
      <c r="E29" s="13"/>
      <c r="F29" s="13"/>
      <c r="G29" s="13"/>
      <c r="H29" s="14"/>
      <c r="J29" s="12" t="s">
        <v>965</v>
      </c>
      <c r="K29" s="13"/>
      <c r="L29" s="13"/>
      <c r="M29" s="13"/>
      <c r="N29" s="13"/>
      <c r="O29" s="14"/>
      <c r="Q29" s="12" t="s">
        <v>965</v>
      </c>
      <c r="R29" s="13"/>
      <c r="S29" s="13"/>
      <c r="T29" s="13"/>
      <c r="U29" s="13"/>
      <c r="V29" s="14"/>
      <c r="X29" s="12" t="s">
        <v>965</v>
      </c>
      <c r="Y29" s="13"/>
      <c r="Z29" s="13"/>
      <c r="AA29" s="13"/>
      <c r="AB29" s="13"/>
      <c r="AC29" s="14"/>
      <c r="AE29" s="12" t="s">
        <v>1494</v>
      </c>
      <c r="AF29" s="13" t="s">
        <v>1494</v>
      </c>
      <c r="AG29" s="13"/>
      <c r="AH29" s="13"/>
      <c r="AI29" s="13"/>
      <c r="AJ29" s="14"/>
    </row>
    <row r="30" spans="2:36">
      <c r="B30" s="103"/>
      <c r="C30" s="15" t="s">
        <v>965</v>
      </c>
      <c r="D30" s="16"/>
      <c r="E30" s="16"/>
      <c r="F30" s="16"/>
      <c r="G30" s="16"/>
      <c r="H30" s="17"/>
      <c r="J30" s="15" t="s">
        <v>965</v>
      </c>
      <c r="K30" s="16"/>
      <c r="L30" s="16"/>
      <c r="M30" s="16"/>
      <c r="N30" s="16"/>
      <c r="O30" s="17"/>
      <c r="Q30" s="15" t="s">
        <v>965</v>
      </c>
      <c r="R30" s="16"/>
      <c r="S30" s="16"/>
      <c r="T30" s="16"/>
      <c r="U30" s="16"/>
      <c r="V30" s="17"/>
      <c r="X30" s="15" t="s">
        <v>965</v>
      </c>
      <c r="Y30" s="16"/>
      <c r="Z30" s="16"/>
      <c r="AA30" s="16"/>
      <c r="AB30" s="16"/>
      <c r="AC30" s="17"/>
      <c r="AE30" s="15"/>
      <c r="AF30" s="16"/>
      <c r="AG30" s="16"/>
      <c r="AH30" s="16"/>
      <c r="AI30" s="16"/>
      <c r="AJ30" s="17"/>
    </row>
    <row r="31" spans="2:36">
      <c r="B31" s="103"/>
      <c r="C31" s="18"/>
      <c r="D31" s="19"/>
      <c r="E31" s="19"/>
      <c r="F31" s="19"/>
      <c r="G31" s="19"/>
      <c r="H31" s="20"/>
      <c r="J31" s="18" t="s">
        <v>1500</v>
      </c>
      <c r="K31" s="19"/>
      <c r="L31" s="19"/>
      <c r="M31" s="19"/>
      <c r="N31" s="19"/>
      <c r="O31" s="20"/>
      <c r="Q31" s="18" t="s">
        <v>965</v>
      </c>
      <c r="R31" s="19"/>
      <c r="S31" s="19"/>
      <c r="T31" s="19"/>
      <c r="U31" s="19"/>
      <c r="V31" s="20"/>
      <c r="X31" s="18" t="s">
        <v>965</v>
      </c>
      <c r="Y31" s="19"/>
      <c r="Z31" s="19"/>
      <c r="AA31" s="19"/>
      <c r="AB31" s="19"/>
      <c r="AC31" s="20"/>
      <c r="AE31" s="18"/>
      <c r="AF31" s="19"/>
      <c r="AG31" s="19"/>
      <c r="AH31" s="19"/>
      <c r="AI31" s="19"/>
      <c r="AJ31" s="20"/>
    </row>
    <row r="33" spans="1:36" ht="21">
      <c r="A33" s="64">
        <v>2</v>
      </c>
      <c r="B33" s="63" t="s">
        <v>1501</v>
      </c>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row>
    <row r="35" spans="1:36">
      <c r="B35" s="103" t="s">
        <v>20</v>
      </c>
      <c r="C35" s="21" t="s">
        <v>21</v>
      </c>
      <c r="D35" s="21"/>
      <c r="E35" s="21"/>
      <c r="F35" s="21"/>
      <c r="G35" s="21"/>
      <c r="H35" s="22">
        <v>15</v>
      </c>
      <c r="J35" s="21" t="s">
        <v>22</v>
      </c>
      <c r="K35" s="21"/>
      <c r="L35" s="21"/>
      <c r="M35" s="21"/>
      <c r="N35" s="21"/>
      <c r="O35" s="22">
        <v>14.5</v>
      </c>
      <c r="Q35" s="21" t="s">
        <v>23</v>
      </c>
      <c r="R35" s="21"/>
      <c r="S35" s="21"/>
      <c r="T35" s="21"/>
      <c r="U35" s="21"/>
      <c r="V35" s="22">
        <v>14.545454545454545</v>
      </c>
      <c r="X35" s="21" t="s">
        <v>24</v>
      </c>
      <c r="Y35" s="21"/>
      <c r="Z35" s="21"/>
      <c r="AA35" s="21"/>
      <c r="AB35" s="21"/>
      <c r="AC35" s="22">
        <v>13.5</v>
      </c>
    </row>
    <row r="36" spans="1:36">
      <c r="B36" s="103"/>
      <c r="C36" s="8" t="s">
        <v>1487</v>
      </c>
      <c r="D36" s="9"/>
      <c r="E36" s="10"/>
      <c r="F36" s="8" t="s">
        <v>1488</v>
      </c>
      <c r="G36" s="9"/>
      <c r="H36" s="10"/>
      <c r="J36" s="8" t="s">
        <v>1489</v>
      </c>
      <c r="K36" s="9"/>
      <c r="L36" s="10"/>
      <c r="M36" s="8" t="s">
        <v>1490</v>
      </c>
      <c r="N36" s="9"/>
      <c r="O36" s="10"/>
      <c r="Q36" s="8" t="s">
        <v>1487</v>
      </c>
      <c r="R36" s="9"/>
      <c r="S36" s="10"/>
      <c r="T36" s="8" t="s">
        <v>1491</v>
      </c>
      <c r="U36" s="9"/>
      <c r="V36" s="10"/>
      <c r="X36" s="8" t="s">
        <v>1498</v>
      </c>
      <c r="Y36" s="9"/>
      <c r="Z36" s="10"/>
      <c r="AA36" s="8" t="s">
        <v>1499</v>
      </c>
      <c r="AB36" s="9"/>
      <c r="AC36" s="10"/>
    </row>
    <row r="37" spans="1:36">
      <c r="B37" s="103"/>
      <c r="C37" s="3" t="s">
        <v>215</v>
      </c>
      <c r="D37" s="4" t="s">
        <v>21</v>
      </c>
      <c r="E37" s="5">
        <v>15</v>
      </c>
      <c r="F37" s="3" t="s">
        <v>264</v>
      </c>
      <c r="G37" s="4" t="s">
        <v>21</v>
      </c>
      <c r="H37" s="5">
        <v>15</v>
      </c>
      <c r="J37" s="3" t="s">
        <v>227</v>
      </c>
      <c r="K37" s="4" t="s">
        <v>22</v>
      </c>
      <c r="L37" s="5">
        <v>15</v>
      </c>
      <c r="M37" s="3" t="s">
        <v>282</v>
      </c>
      <c r="N37" s="4" t="s">
        <v>22</v>
      </c>
      <c r="O37" s="5">
        <v>15</v>
      </c>
      <c r="Q37" s="3" t="s">
        <v>279</v>
      </c>
      <c r="R37" s="4" t="s">
        <v>23</v>
      </c>
      <c r="S37" s="5">
        <v>14</v>
      </c>
      <c r="T37" s="3" t="s">
        <v>309</v>
      </c>
      <c r="U37" s="4" t="s">
        <v>23</v>
      </c>
      <c r="V37" s="5">
        <v>14</v>
      </c>
      <c r="X37" s="3" t="s">
        <v>267</v>
      </c>
      <c r="Y37" s="4" t="s">
        <v>30</v>
      </c>
      <c r="Z37" s="5">
        <v>14</v>
      </c>
      <c r="AA37" s="3" t="s">
        <v>383</v>
      </c>
      <c r="AB37" s="4" t="s">
        <v>31</v>
      </c>
      <c r="AC37" s="5">
        <v>13</v>
      </c>
    </row>
    <row r="38" spans="1:36">
      <c r="B38" s="103"/>
      <c r="C38" s="6" t="s">
        <v>209</v>
      </c>
      <c r="D38" s="2" t="s">
        <v>22</v>
      </c>
      <c r="E38" s="7">
        <v>15</v>
      </c>
      <c r="F38" s="6" t="s">
        <v>270</v>
      </c>
      <c r="G38" s="2" t="s">
        <v>22</v>
      </c>
      <c r="H38" s="7">
        <v>15</v>
      </c>
      <c r="J38" s="60" t="s">
        <v>221</v>
      </c>
      <c r="K38" s="2" t="s">
        <v>22</v>
      </c>
      <c r="L38" s="7">
        <v>15</v>
      </c>
      <c r="M38" s="6" t="s">
        <v>242</v>
      </c>
      <c r="N38" s="2" t="s">
        <v>23</v>
      </c>
      <c r="O38" s="7">
        <v>15</v>
      </c>
      <c r="Q38" s="6" t="s">
        <v>284</v>
      </c>
      <c r="R38" s="2" t="s">
        <v>23</v>
      </c>
      <c r="S38" s="7">
        <v>14</v>
      </c>
      <c r="T38" s="6" t="s">
        <v>293</v>
      </c>
      <c r="U38" s="2" t="s">
        <v>23</v>
      </c>
      <c r="V38" s="7">
        <v>14</v>
      </c>
      <c r="X38" s="6" t="s">
        <v>380</v>
      </c>
      <c r="Y38" s="2" t="s">
        <v>31</v>
      </c>
      <c r="Z38" s="7">
        <v>13</v>
      </c>
      <c r="AA38" s="6" t="s">
        <v>407</v>
      </c>
      <c r="AB38" s="2" t="s">
        <v>31</v>
      </c>
      <c r="AC38" s="7">
        <v>14</v>
      </c>
    </row>
    <row r="39" spans="1:36">
      <c r="B39" s="103"/>
      <c r="C39" s="6" t="s">
        <v>250</v>
      </c>
      <c r="D39" s="2" t="s">
        <v>22</v>
      </c>
      <c r="E39" s="7">
        <v>15</v>
      </c>
      <c r="F39" s="60" t="s">
        <v>70</v>
      </c>
      <c r="G39" s="2" t="s">
        <v>22</v>
      </c>
      <c r="H39" s="7">
        <v>16</v>
      </c>
      <c r="J39" s="6" t="s">
        <v>255</v>
      </c>
      <c r="K39" s="2" t="s">
        <v>23</v>
      </c>
      <c r="L39" s="7">
        <v>15</v>
      </c>
      <c r="M39" s="6" t="s">
        <v>253</v>
      </c>
      <c r="N39" s="2" t="s">
        <v>29</v>
      </c>
      <c r="O39" s="7">
        <v>14</v>
      </c>
      <c r="Q39" s="6" t="s">
        <v>929</v>
      </c>
      <c r="R39" s="2" t="s">
        <v>23</v>
      </c>
      <c r="S39" s="7">
        <v>14</v>
      </c>
      <c r="T39" s="6" t="s">
        <v>299</v>
      </c>
      <c r="U39" s="2" t="s">
        <v>23</v>
      </c>
      <c r="V39" s="7">
        <v>15</v>
      </c>
      <c r="X39" s="6" t="s">
        <v>392</v>
      </c>
      <c r="Y39" s="2" t="s">
        <v>31</v>
      </c>
      <c r="Z39" s="7">
        <v>13</v>
      </c>
      <c r="AA39" s="6"/>
      <c r="AB39" s="2"/>
      <c r="AC39" s="7"/>
    </row>
    <row r="40" spans="1:36">
      <c r="B40" s="103"/>
      <c r="C40" s="60" t="s">
        <v>110</v>
      </c>
      <c r="D40" s="2" t="s">
        <v>22</v>
      </c>
      <c r="E40" s="7">
        <v>16</v>
      </c>
      <c r="F40" s="6" t="s">
        <v>248</v>
      </c>
      <c r="G40" s="2" t="s">
        <v>28</v>
      </c>
      <c r="H40" s="7">
        <v>14</v>
      </c>
      <c r="J40" s="6" t="s">
        <v>239</v>
      </c>
      <c r="K40" s="2" t="s">
        <v>28</v>
      </c>
      <c r="L40" s="7">
        <v>14</v>
      </c>
      <c r="M40" s="6" t="s">
        <v>258</v>
      </c>
      <c r="N40" s="2" t="s">
        <v>29</v>
      </c>
      <c r="O40" s="7">
        <v>14</v>
      </c>
      <c r="Q40" s="6" t="s">
        <v>900</v>
      </c>
      <c r="R40" s="2" t="s">
        <v>23</v>
      </c>
      <c r="S40" s="7">
        <v>15</v>
      </c>
      <c r="T40" s="6" t="s">
        <v>287</v>
      </c>
      <c r="U40" s="2" t="s">
        <v>24</v>
      </c>
      <c r="V40" s="7">
        <v>15</v>
      </c>
      <c r="X40" s="6" t="s">
        <v>386</v>
      </c>
      <c r="Y40" s="2" t="s">
        <v>31</v>
      </c>
      <c r="Z40" s="7">
        <v>14</v>
      </c>
      <c r="AA40" s="6"/>
      <c r="AB40" s="2"/>
      <c r="AC40" s="7"/>
    </row>
    <row r="41" spans="1:36">
      <c r="B41" s="103"/>
      <c r="C41" s="6" t="s">
        <v>245</v>
      </c>
      <c r="D41" s="2" t="s">
        <v>28</v>
      </c>
      <c r="E41" s="7">
        <v>14</v>
      </c>
      <c r="F41" s="6" t="s">
        <v>276</v>
      </c>
      <c r="G41" s="2" t="s">
        <v>28</v>
      </c>
      <c r="H41" s="7">
        <v>15</v>
      </c>
      <c r="J41" s="6" t="s">
        <v>203</v>
      </c>
      <c r="K41" s="2" t="s">
        <v>28</v>
      </c>
      <c r="L41" s="7">
        <v>14</v>
      </c>
      <c r="M41" s="6"/>
      <c r="N41" s="2"/>
      <c r="O41" s="7"/>
      <c r="Q41" s="60" t="s">
        <v>892</v>
      </c>
      <c r="R41" s="2" t="s">
        <v>24</v>
      </c>
      <c r="S41" s="7">
        <v>15</v>
      </c>
      <c r="T41" s="60" t="s">
        <v>148</v>
      </c>
      <c r="U41" s="2" t="s">
        <v>24</v>
      </c>
      <c r="V41" s="7">
        <v>16</v>
      </c>
      <c r="X41" s="6"/>
      <c r="Y41" s="2"/>
      <c r="Z41" s="7"/>
      <c r="AA41" s="6"/>
      <c r="AB41" s="2"/>
      <c r="AC41" s="7"/>
    </row>
    <row r="42" spans="1:36">
      <c r="B42" s="103"/>
      <c r="C42" s="6"/>
      <c r="D42" s="2"/>
      <c r="E42" s="7"/>
      <c r="F42" s="6"/>
      <c r="G42" s="2"/>
      <c r="H42" s="7"/>
      <c r="J42" s="6" t="s">
        <v>233</v>
      </c>
      <c r="K42" s="2" t="s">
        <v>29</v>
      </c>
      <c r="L42" s="7">
        <v>14</v>
      </c>
      <c r="M42" s="6"/>
      <c r="N42" s="2"/>
      <c r="O42" s="7"/>
      <c r="Q42" s="6"/>
      <c r="R42" s="2"/>
      <c r="S42" s="7"/>
      <c r="T42" s="6" t="s">
        <v>304</v>
      </c>
      <c r="U42" s="2" t="s">
        <v>30</v>
      </c>
      <c r="V42" s="7">
        <v>14</v>
      </c>
      <c r="X42" s="6"/>
      <c r="Y42" s="2"/>
      <c r="Z42" s="7"/>
      <c r="AA42" s="6"/>
      <c r="AB42" s="2"/>
      <c r="AC42" s="7"/>
    </row>
    <row r="43" spans="1:36">
      <c r="B43" s="103"/>
      <c r="C43" s="6"/>
      <c r="D43" s="2"/>
      <c r="E43" s="7"/>
      <c r="F43" s="6"/>
      <c r="G43" s="2"/>
      <c r="H43" s="7"/>
      <c r="J43" s="6"/>
      <c r="K43" s="2"/>
      <c r="L43" s="7"/>
      <c r="M43" s="6"/>
      <c r="N43" s="2"/>
      <c r="O43" s="7"/>
      <c r="Q43" s="6"/>
      <c r="R43" s="2"/>
      <c r="S43" s="7"/>
      <c r="T43" s="6"/>
      <c r="U43" s="2"/>
      <c r="V43" s="7"/>
      <c r="X43" s="6"/>
      <c r="Y43" s="2"/>
      <c r="Z43" s="7"/>
      <c r="AA43" s="6"/>
      <c r="AB43" s="2"/>
      <c r="AC43" s="7"/>
    </row>
    <row r="44" spans="1:36">
      <c r="B44" s="103"/>
      <c r="C44" s="6"/>
      <c r="D44" s="2"/>
      <c r="E44" s="7"/>
      <c r="F44" s="6"/>
      <c r="G44" s="2"/>
      <c r="H44" s="7"/>
      <c r="J44" s="6"/>
      <c r="K44" s="2"/>
      <c r="L44" s="7"/>
      <c r="M44" s="6"/>
      <c r="N44" s="2"/>
      <c r="O44" s="7"/>
      <c r="Q44" s="6"/>
      <c r="R44" s="2"/>
      <c r="S44" s="7"/>
      <c r="T44" s="6"/>
      <c r="U44" s="2"/>
      <c r="V44" s="7"/>
      <c r="X44" s="6"/>
      <c r="Y44" s="2"/>
      <c r="Z44" s="7"/>
      <c r="AA44" s="6"/>
      <c r="AB44" s="2"/>
      <c r="AC44" s="7"/>
    </row>
    <row r="45" spans="1:36">
      <c r="B45" s="103"/>
      <c r="C45" s="12" t="s">
        <v>965</v>
      </c>
      <c r="D45" s="13" t="s">
        <v>648</v>
      </c>
      <c r="E45" s="13"/>
      <c r="F45" s="13"/>
      <c r="G45" s="13"/>
      <c r="H45" s="14"/>
      <c r="J45" s="12" t="s">
        <v>965</v>
      </c>
      <c r="K45" s="13" t="s">
        <v>976</v>
      </c>
      <c r="L45" s="13"/>
      <c r="M45" s="13"/>
      <c r="N45" s="13"/>
      <c r="O45" s="14"/>
      <c r="Q45" s="12" t="s">
        <v>965</v>
      </c>
      <c r="R45" s="13" t="s">
        <v>772</v>
      </c>
      <c r="S45" s="13"/>
      <c r="T45" s="13"/>
      <c r="U45" s="13"/>
      <c r="V45" s="14"/>
      <c r="X45" s="12" t="s">
        <v>965</v>
      </c>
      <c r="Y45" s="13" t="s">
        <v>778</v>
      </c>
      <c r="Z45" s="13"/>
      <c r="AA45" s="13"/>
      <c r="AB45" s="13"/>
      <c r="AC45" s="14"/>
    </row>
    <row r="46" spans="1:36">
      <c r="B46" s="103"/>
      <c r="C46" s="15" t="s">
        <v>965</v>
      </c>
      <c r="D46" s="16" t="s">
        <v>738</v>
      </c>
      <c r="E46" s="16"/>
      <c r="F46" s="16"/>
      <c r="G46" s="16"/>
      <c r="H46" s="17"/>
      <c r="J46" s="15" t="s">
        <v>965</v>
      </c>
      <c r="K46" s="16" t="s">
        <v>230</v>
      </c>
      <c r="L46" s="16"/>
      <c r="M46" s="16"/>
      <c r="N46" s="16"/>
      <c r="O46" s="17"/>
      <c r="Q46" s="15" t="s">
        <v>965</v>
      </c>
      <c r="R46" s="16" t="s">
        <v>866</v>
      </c>
      <c r="S46" s="16"/>
      <c r="T46" s="16"/>
      <c r="U46" s="16"/>
      <c r="V46" s="17"/>
      <c r="X46" s="15" t="s">
        <v>965</v>
      </c>
      <c r="Y46" s="16" t="s">
        <v>855</v>
      </c>
      <c r="Z46" s="16"/>
      <c r="AA46" s="16"/>
      <c r="AB46" s="16"/>
      <c r="AC46" s="17"/>
    </row>
    <row r="47" spans="1:36">
      <c r="B47" s="103"/>
      <c r="C47" s="18"/>
      <c r="D47" s="19"/>
      <c r="E47" s="19"/>
      <c r="F47" s="19"/>
      <c r="G47" s="19"/>
      <c r="H47" s="20"/>
      <c r="J47" s="18" t="s">
        <v>965</v>
      </c>
      <c r="K47" s="19" t="s">
        <v>98</v>
      </c>
      <c r="L47" s="19"/>
      <c r="M47" s="19"/>
      <c r="N47" s="19"/>
      <c r="O47" s="20"/>
      <c r="Q47" s="18"/>
      <c r="R47" s="19"/>
      <c r="S47" s="19"/>
      <c r="T47" s="19"/>
      <c r="U47" s="19"/>
      <c r="V47" s="20"/>
      <c r="X47" s="18" t="s">
        <v>965</v>
      </c>
      <c r="Y47" s="19" t="s">
        <v>1502</v>
      </c>
      <c r="Z47" s="19"/>
      <c r="AA47" s="19"/>
      <c r="AB47" s="19"/>
      <c r="AC47" s="20"/>
    </row>
    <row r="49" spans="2:29">
      <c r="B49" s="103" t="s">
        <v>27</v>
      </c>
      <c r="C49" s="21" t="s">
        <v>28</v>
      </c>
      <c r="D49" s="21"/>
      <c r="E49" s="21"/>
      <c r="F49" s="21"/>
      <c r="G49" s="21"/>
      <c r="H49" s="22">
        <v>12.666666666666666</v>
      </c>
      <c r="J49" s="21" t="s">
        <v>29</v>
      </c>
      <c r="K49" s="21"/>
      <c r="L49" s="21"/>
      <c r="M49" s="21"/>
      <c r="N49" s="21"/>
      <c r="O49" s="22">
        <v>12.583333333333334</v>
      </c>
      <c r="Q49" s="21" t="s">
        <v>30</v>
      </c>
      <c r="R49" s="21"/>
      <c r="S49" s="21"/>
      <c r="T49" s="21"/>
      <c r="U49" s="21"/>
      <c r="V49" s="22">
        <v>12.7</v>
      </c>
      <c r="X49" s="21" t="s">
        <v>31</v>
      </c>
      <c r="Y49" s="21"/>
      <c r="Z49" s="21"/>
      <c r="AA49" s="21"/>
      <c r="AB49" s="21"/>
      <c r="AC49" s="22">
        <v>12.444444444444445</v>
      </c>
    </row>
    <row r="50" spans="2:29">
      <c r="B50" s="103"/>
      <c r="C50" s="8" t="s">
        <v>1495</v>
      </c>
      <c r="D50" s="9"/>
      <c r="E50" s="10"/>
      <c r="F50" s="8" t="s">
        <v>1490</v>
      </c>
      <c r="G50" s="9"/>
      <c r="H50" s="10"/>
      <c r="J50" s="8" t="s">
        <v>1496</v>
      </c>
      <c r="K50" s="9"/>
      <c r="L50" s="10"/>
      <c r="M50" s="8" t="s">
        <v>1490</v>
      </c>
      <c r="N50" s="9"/>
      <c r="O50" s="10"/>
      <c r="Q50" s="8" t="s">
        <v>1489</v>
      </c>
      <c r="R50" s="9"/>
      <c r="S50" s="10"/>
      <c r="T50" s="8" t="s">
        <v>1490</v>
      </c>
      <c r="U50" s="9"/>
      <c r="V50" s="10"/>
      <c r="X50" s="8" t="s">
        <v>1489</v>
      </c>
      <c r="Y50" s="9"/>
      <c r="Z50" s="10"/>
      <c r="AA50" s="8" t="s">
        <v>1497</v>
      </c>
      <c r="AB50" s="9"/>
      <c r="AC50" s="10"/>
    </row>
    <row r="51" spans="2:29">
      <c r="B51" s="103"/>
      <c r="C51" s="3" t="s">
        <v>290</v>
      </c>
      <c r="D51" s="4" t="s">
        <v>28</v>
      </c>
      <c r="E51" s="5">
        <v>13</v>
      </c>
      <c r="F51" s="3" t="s">
        <v>326</v>
      </c>
      <c r="G51" s="4" t="s">
        <v>28</v>
      </c>
      <c r="H51" s="5">
        <v>13</v>
      </c>
      <c r="J51" s="3" t="s">
        <v>307</v>
      </c>
      <c r="K51" s="4" t="s">
        <v>29</v>
      </c>
      <c r="L51" s="5">
        <v>13</v>
      </c>
      <c r="M51" s="3" t="s">
        <v>348</v>
      </c>
      <c r="N51" s="4" t="s">
        <v>29</v>
      </c>
      <c r="O51" s="5">
        <v>13</v>
      </c>
      <c r="Q51" s="3" t="s">
        <v>346</v>
      </c>
      <c r="R51" s="4" t="s">
        <v>30</v>
      </c>
      <c r="S51" s="5">
        <v>13</v>
      </c>
      <c r="T51" s="3" t="s">
        <v>360</v>
      </c>
      <c r="U51" s="4" t="s">
        <v>30</v>
      </c>
      <c r="V51" s="5">
        <v>13</v>
      </c>
      <c r="X51" s="3" t="s">
        <v>410</v>
      </c>
      <c r="Y51" s="4" t="s">
        <v>31</v>
      </c>
      <c r="Z51" s="5">
        <v>12</v>
      </c>
      <c r="AA51" s="3" t="s">
        <v>389</v>
      </c>
      <c r="AB51" s="4" t="s">
        <v>31</v>
      </c>
      <c r="AC51" s="5">
        <v>13</v>
      </c>
    </row>
    <row r="52" spans="2:29">
      <c r="B52" s="103"/>
      <c r="C52" s="6" t="s">
        <v>302</v>
      </c>
      <c r="D52" s="2" t="s">
        <v>28</v>
      </c>
      <c r="E52" s="7">
        <v>13</v>
      </c>
      <c r="F52" s="6" t="s">
        <v>321</v>
      </c>
      <c r="G52" s="2" t="s">
        <v>28</v>
      </c>
      <c r="H52" s="7">
        <v>13</v>
      </c>
      <c r="J52" s="6" t="s">
        <v>312</v>
      </c>
      <c r="K52" s="2" t="s">
        <v>29</v>
      </c>
      <c r="L52" s="7">
        <v>13</v>
      </c>
      <c r="M52" s="6" t="s">
        <v>338</v>
      </c>
      <c r="N52" s="2" t="s">
        <v>30</v>
      </c>
      <c r="O52" s="7">
        <v>14</v>
      </c>
      <c r="Q52" s="6" t="s">
        <v>368</v>
      </c>
      <c r="R52" s="2" t="s">
        <v>30</v>
      </c>
      <c r="S52" s="7">
        <v>13</v>
      </c>
      <c r="T52" s="6" t="s">
        <v>366</v>
      </c>
      <c r="U52" s="2" t="s">
        <v>30</v>
      </c>
      <c r="V52" s="7">
        <v>13</v>
      </c>
      <c r="X52" s="6" t="s">
        <v>398</v>
      </c>
      <c r="Y52" s="2" t="s">
        <v>31</v>
      </c>
      <c r="Z52" s="7">
        <v>12</v>
      </c>
      <c r="AA52" s="6" t="s">
        <v>395</v>
      </c>
      <c r="AB52" s="2" t="s">
        <v>35</v>
      </c>
      <c r="AC52" s="7">
        <v>12</v>
      </c>
    </row>
    <row r="53" spans="2:29">
      <c r="B53" s="103"/>
      <c r="C53" s="6"/>
      <c r="D53" s="2"/>
      <c r="E53" s="7"/>
      <c r="F53" s="6" t="s">
        <v>332</v>
      </c>
      <c r="G53" s="2" t="s">
        <v>34</v>
      </c>
      <c r="H53" s="7">
        <v>12</v>
      </c>
      <c r="J53" s="6" t="s">
        <v>329</v>
      </c>
      <c r="K53" s="2" t="s">
        <v>29</v>
      </c>
      <c r="L53" s="7">
        <v>13</v>
      </c>
      <c r="M53" s="6" t="s">
        <v>344</v>
      </c>
      <c r="N53" s="2" t="s">
        <v>34</v>
      </c>
      <c r="O53" s="7">
        <v>11</v>
      </c>
      <c r="Q53" s="6" t="s">
        <v>363</v>
      </c>
      <c r="R53" s="2" t="s">
        <v>30</v>
      </c>
      <c r="S53" s="7">
        <v>13</v>
      </c>
      <c r="T53" s="6" t="s">
        <v>371</v>
      </c>
      <c r="U53" s="2" t="s">
        <v>35</v>
      </c>
      <c r="V53" s="7">
        <v>12</v>
      </c>
      <c r="X53" s="6" t="s">
        <v>273</v>
      </c>
      <c r="Y53" s="2" t="s">
        <v>31</v>
      </c>
      <c r="Z53" s="7">
        <v>13</v>
      </c>
      <c r="AA53" s="6" t="s">
        <v>401</v>
      </c>
      <c r="AB53" s="2" t="s">
        <v>35</v>
      </c>
      <c r="AC53" s="7">
        <v>12</v>
      </c>
    </row>
    <row r="54" spans="2:29">
      <c r="B54" s="103"/>
      <c r="C54" s="6"/>
      <c r="D54" s="2"/>
      <c r="E54" s="7"/>
      <c r="F54" s="6" t="s">
        <v>315</v>
      </c>
      <c r="G54" s="2" t="s">
        <v>34</v>
      </c>
      <c r="H54" s="7">
        <v>12</v>
      </c>
      <c r="J54" s="6" t="s">
        <v>318</v>
      </c>
      <c r="K54" s="2" t="s">
        <v>29</v>
      </c>
      <c r="L54" s="7">
        <v>13</v>
      </c>
      <c r="M54" s="6" t="s">
        <v>354</v>
      </c>
      <c r="N54" s="2" t="s">
        <v>34</v>
      </c>
      <c r="O54" s="7">
        <v>12</v>
      </c>
      <c r="Q54" s="6" t="s">
        <v>261</v>
      </c>
      <c r="R54" s="2" t="s">
        <v>30</v>
      </c>
      <c r="S54" s="7">
        <v>13</v>
      </c>
      <c r="T54" s="6" t="s">
        <v>377</v>
      </c>
      <c r="U54" s="2" t="s">
        <v>35</v>
      </c>
      <c r="V54" s="7">
        <v>12</v>
      </c>
      <c r="X54" s="6" t="s">
        <v>404</v>
      </c>
      <c r="Y54" s="2" t="s">
        <v>31</v>
      </c>
      <c r="Z54" s="7">
        <v>13</v>
      </c>
      <c r="AA54" s="6"/>
      <c r="AB54" s="2"/>
      <c r="AC54" s="7"/>
    </row>
    <row r="55" spans="2:29">
      <c r="B55" s="103"/>
      <c r="C55" s="6"/>
      <c r="D55" s="2"/>
      <c r="E55" s="7"/>
      <c r="F55" s="6"/>
      <c r="G55" s="2"/>
      <c r="H55" s="7"/>
      <c r="J55" s="6" t="s">
        <v>296</v>
      </c>
      <c r="K55" s="2" t="s">
        <v>29</v>
      </c>
      <c r="L55" s="7">
        <v>13</v>
      </c>
      <c r="M55" s="6"/>
      <c r="N55" s="2"/>
      <c r="O55" s="7"/>
      <c r="Q55" s="6" t="s">
        <v>357</v>
      </c>
      <c r="R55" s="2" t="s">
        <v>35</v>
      </c>
      <c r="S55" s="7">
        <v>12</v>
      </c>
      <c r="T55" s="6"/>
      <c r="U55" s="2"/>
      <c r="V55" s="7"/>
      <c r="X55" t="s">
        <v>416</v>
      </c>
      <c r="Y55" s="2" t="s">
        <v>31</v>
      </c>
      <c r="Z55" s="7">
        <v>13</v>
      </c>
      <c r="AA55" s="6"/>
      <c r="AB55" s="2"/>
      <c r="AC55" s="7"/>
    </row>
    <row r="56" spans="2:29">
      <c r="B56" s="103"/>
      <c r="C56" s="6"/>
      <c r="D56" s="2"/>
      <c r="E56" s="7"/>
      <c r="F56" s="6"/>
      <c r="G56" s="2"/>
      <c r="H56" s="7"/>
      <c r="J56" s="6" t="s">
        <v>341</v>
      </c>
      <c r="K56" s="2" t="s">
        <v>29</v>
      </c>
      <c r="L56" s="7">
        <v>13</v>
      </c>
      <c r="M56" s="6"/>
      <c r="N56" s="2"/>
      <c r="O56" s="7"/>
      <c r="Q56" s="6" t="s">
        <v>351</v>
      </c>
      <c r="R56" s="2" t="s">
        <v>35</v>
      </c>
      <c r="S56" s="7">
        <v>13</v>
      </c>
      <c r="T56" s="6"/>
      <c r="U56" s="2"/>
      <c r="V56" s="7"/>
      <c r="X56" s="60" t="s">
        <v>374</v>
      </c>
      <c r="Y56" s="2" t="s">
        <v>35</v>
      </c>
      <c r="Z56" s="7">
        <v>12</v>
      </c>
      <c r="AA56" s="6"/>
      <c r="AB56" s="2"/>
      <c r="AC56" s="7"/>
    </row>
    <row r="57" spans="2:29">
      <c r="B57" s="103"/>
      <c r="C57" s="6"/>
      <c r="D57" s="2"/>
      <c r="E57" s="7"/>
      <c r="F57" s="6"/>
      <c r="G57" s="2"/>
      <c r="H57" s="7"/>
      <c r="J57" s="6" t="s">
        <v>323</v>
      </c>
      <c r="K57" s="2" t="s">
        <v>34</v>
      </c>
      <c r="L57" s="7">
        <v>11</v>
      </c>
      <c r="M57" s="6"/>
      <c r="N57" s="2"/>
      <c r="O57" s="7"/>
      <c r="Q57" s="6"/>
      <c r="R57" s="2"/>
      <c r="S57" s="7"/>
      <c r="T57" s="6"/>
      <c r="U57" s="2"/>
      <c r="V57" s="7"/>
      <c r="X57" s="60"/>
      <c r="Y57" s="2"/>
      <c r="Z57" s="7"/>
      <c r="AA57" s="6"/>
      <c r="AB57" s="2"/>
      <c r="AC57" s="7"/>
    </row>
    <row r="58" spans="2:29">
      <c r="B58" s="103"/>
      <c r="C58" s="6"/>
      <c r="D58" s="2"/>
      <c r="E58" s="7"/>
      <c r="F58" s="6"/>
      <c r="G58" s="2"/>
      <c r="H58" s="7"/>
      <c r="J58" s="6" t="s">
        <v>335</v>
      </c>
      <c r="K58" s="2" t="s">
        <v>34</v>
      </c>
      <c r="L58" s="7">
        <v>12</v>
      </c>
      <c r="M58" s="6"/>
      <c r="N58" s="2"/>
      <c r="O58" s="7"/>
      <c r="Q58" s="6"/>
      <c r="R58" s="2"/>
      <c r="S58" s="7"/>
      <c r="T58" s="6"/>
      <c r="U58" s="2"/>
      <c r="V58" s="7"/>
      <c r="X58" s="6"/>
      <c r="Y58" s="2"/>
      <c r="Z58" s="7"/>
      <c r="AA58" s="6"/>
      <c r="AB58" s="2"/>
      <c r="AC58" s="7"/>
    </row>
    <row r="59" spans="2:29">
      <c r="B59" s="103"/>
      <c r="C59" s="6"/>
      <c r="D59" s="2"/>
      <c r="E59" s="7"/>
      <c r="F59" s="6"/>
      <c r="G59" s="2"/>
      <c r="H59" s="7"/>
      <c r="J59" s="6"/>
      <c r="K59" s="2"/>
      <c r="L59" s="7"/>
      <c r="M59" s="6"/>
      <c r="N59" s="2"/>
      <c r="O59" s="7"/>
      <c r="Q59" s="6"/>
      <c r="R59" s="2"/>
      <c r="S59" s="7"/>
      <c r="T59" s="6"/>
      <c r="U59" s="2"/>
      <c r="V59" s="7"/>
      <c r="X59" s="6"/>
      <c r="Y59" s="2"/>
      <c r="Z59" s="7"/>
      <c r="AA59" s="6"/>
      <c r="AB59" s="2"/>
      <c r="AC59" s="7"/>
    </row>
    <row r="60" spans="2:29">
      <c r="B60" s="103"/>
      <c r="C60" s="6"/>
      <c r="D60" s="2"/>
      <c r="E60" s="7"/>
      <c r="F60" s="6"/>
      <c r="G60" s="2"/>
      <c r="H60" s="7"/>
      <c r="J60" s="6"/>
      <c r="K60" s="2"/>
      <c r="L60" s="7"/>
      <c r="M60" s="6"/>
      <c r="N60" s="2"/>
      <c r="O60" s="7"/>
      <c r="Q60" s="6"/>
      <c r="R60" s="2"/>
      <c r="S60" s="7"/>
      <c r="T60" s="6"/>
      <c r="U60" s="2"/>
      <c r="V60" s="7"/>
      <c r="X60" s="6"/>
      <c r="Y60" s="2"/>
      <c r="Z60" s="7"/>
      <c r="AA60" s="6"/>
      <c r="AB60" s="2"/>
      <c r="AC60" s="7"/>
    </row>
    <row r="61" spans="2:29">
      <c r="B61" s="103"/>
      <c r="C61" s="12" t="s">
        <v>965</v>
      </c>
      <c r="D61" s="13" t="s">
        <v>987</v>
      </c>
      <c r="E61" s="13"/>
      <c r="F61" s="13"/>
      <c r="G61" s="13"/>
      <c r="H61" s="14"/>
      <c r="J61" s="12" t="s">
        <v>965</v>
      </c>
      <c r="K61" s="13" t="s">
        <v>183</v>
      </c>
      <c r="L61" s="13"/>
      <c r="M61" s="13"/>
      <c r="N61" s="13"/>
      <c r="O61" s="14"/>
      <c r="Q61" s="12" t="s">
        <v>965</v>
      </c>
      <c r="R61" s="13" t="s">
        <v>1503</v>
      </c>
      <c r="S61" s="13"/>
      <c r="T61" s="13"/>
      <c r="U61" s="13"/>
      <c r="V61" s="14"/>
      <c r="X61" s="12" t="s">
        <v>965</v>
      </c>
      <c r="Y61" s="13" t="s">
        <v>876</v>
      </c>
      <c r="Z61" s="13"/>
      <c r="AA61" s="13"/>
      <c r="AB61" s="13"/>
      <c r="AC61" s="14"/>
    </row>
    <row r="62" spans="2:29">
      <c r="B62" s="103"/>
      <c r="C62" s="15" t="s">
        <v>965</v>
      </c>
      <c r="D62" s="16" t="s">
        <v>799</v>
      </c>
      <c r="E62" s="16"/>
      <c r="F62" s="16"/>
      <c r="G62" s="16"/>
      <c r="H62" s="17"/>
      <c r="J62" s="15" t="s">
        <v>965</v>
      </c>
      <c r="K62" s="16" t="s">
        <v>977</v>
      </c>
      <c r="L62" s="16"/>
      <c r="M62" s="16"/>
      <c r="N62" s="16"/>
      <c r="O62" s="17"/>
      <c r="Q62" s="15" t="s">
        <v>965</v>
      </c>
      <c r="R62" s="16" t="s">
        <v>745</v>
      </c>
      <c r="S62" s="16"/>
      <c r="T62" s="16"/>
      <c r="U62" s="16"/>
      <c r="V62" s="17"/>
      <c r="X62" s="15" t="s">
        <v>965</v>
      </c>
      <c r="Y62" s="16" t="s">
        <v>871</v>
      </c>
      <c r="Z62" s="16"/>
      <c r="AA62" s="16"/>
      <c r="AB62" s="16"/>
      <c r="AC62" s="17"/>
    </row>
    <row r="63" spans="2:29">
      <c r="B63" s="103"/>
      <c r="C63" s="18"/>
      <c r="D63" s="19"/>
      <c r="E63" s="19"/>
      <c r="F63" s="19"/>
      <c r="G63" s="19"/>
      <c r="H63" s="20"/>
      <c r="J63" s="18" t="s">
        <v>1500</v>
      </c>
      <c r="K63" s="19" t="s">
        <v>717</v>
      </c>
      <c r="L63" s="19"/>
      <c r="M63" s="19"/>
      <c r="N63" s="19"/>
      <c r="O63" s="20"/>
      <c r="Q63" s="18" t="s">
        <v>965</v>
      </c>
      <c r="R63" s="19" t="s">
        <v>751</v>
      </c>
      <c r="S63" s="19"/>
      <c r="T63" s="19"/>
      <c r="U63" s="19"/>
      <c r="V63" s="20"/>
      <c r="X63" s="18" t="s">
        <v>965</v>
      </c>
      <c r="Y63" s="19" t="s">
        <v>1051</v>
      </c>
      <c r="Z63" s="19"/>
      <c r="AA63" s="19"/>
      <c r="AB63" s="19"/>
      <c r="AC63" s="20"/>
    </row>
    <row r="65" spans="3:5">
      <c r="C65" t="s">
        <v>1504</v>
      </c>
      <c r="E65" t="s">
        <v>1505</v>
      </c>
    </row>
    <row r="66" spans="3:5">
      <c r="C66" t="s">
        <v>268</v>
      </c>
      <c r="E66" t="s">
        <v>396</v>
      </c>
    </row>
    <row r="67" spans="3:5">
      <c r="C67" t="s">
        <v>1506</v>
      </c>
    </row>
    <row r="68" spans="3:5">
      <c r="C68" t="s">
        <v>1507</v>
      </c>
    </row>
    <row r="70" spans="3:5">
      <c r="C70" t="s">
        <v>1508</v>
      </c>
    </row>
    <row r="71" spans="3:5">
      <c r="C71" t="s">
        <v>1509</v>
      </c>
    </row>
  </sheetData>
  <mergeCells count="5">
    <mergeCell ref="B3:B15"/>
    <mergeCell ref="B17:B31"/>
    <mergeCell ref="B35:B47"/>
    <mergeCell ref="B49:B63"/>
    <mergeCell ref="B1:A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433ddfc1-fee3-4cb4-a29f-5839980eeb96" xsi:nil="true"/>
    <lcf76f155ced4ddcb4097134ff3c332f xmlns="4aa677f6-df1a-4d33-8ba3-c60d8394789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A751D4A53FEF349BFEF26E2342C45C9" ma:contentTypeVersion="16" ma:contentTypeDescription="Een nieuw document maken." ma:contentTypeScope="" ma:versionID="55e8cb14035ef33419b35a171ca9f8e9">
  <xsd:schema xmlns:xsd="http://www.w3.org/2001/XMLSchema" xmlns:xs="http://www.w3.org/2001/XMLSchema" xmlns:p="http://schemas.microsoft.com/office/2006/metadata/properties" xmlns:ns2="4aa677f6-df1a-4d33-8ba3-c60d83947899" xmlns:ns3="433ddfc1-fee3-4cb4-a29f-5839980eeb96" targetNamespace="http://schemas.microsoft.com/office/2006/metadata/properties" ma:root="true" ma:fieldsID="9fdd622b17f933c4a40a956b62ec81a7" ns2:_="" ns3:_="">
    <xsd:import namespace="4aa677f6-df1a-4d33-8ba3-c60d83947899"/>
    <xsd:import namespace="433ddfc1-fee3-4cb4-a29f-5839980eeb96"/>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a677f6-df1a-4d33-8ba3-c60d839478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1d7e1b26-e006-4bf5-9b62-aa4573f67a7d"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3ddfc1-fee3-4cb4-a29f-5839980eeb96"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22" nillable="true" ma:displayName="Taxonomy Catch All Column" ma:hidden="true" ma:list="{77a60a84-2273-4d3d-bb96-bc5c85cf82c6}" ma:internalName="TaxCatchAll" ma:showField="CatchAllData" ma:web="433ddfc1-fee3-4cb4-a29f-5839980ee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2DE994-3C66-47D3-A41B-76464269C22E}"/>
</file>

<file path=customXml/itemProps2.xml><?xml version="1.0" encoding="utf-8"?>
<ds:datastoreItem xmlns:ds="http://schemas.openxmlformats.org/officeDocument/2006/customXml" ds:itemID="{45982670-F80A-47D7-BCF6-248327B451A3}"/>
</file>

<file path=customXml/itemProps3.xml><?xml version="1.0" encoding="utf-8"?>
<ds:datastoreItem xmlns:ds="http://schemas.openxmlformats.org/officeDocument/2006/customXml" ds:itemID="{B3F0B554-8EDA-451C-96AC-2FE3B557CBEE}"/>
</file>

<file path=customXml/itemProps4.xml><?xml version="1.0" encoding="utf-8"?>
<ds:datastoreItem xmlns:ds="http://schemas.openxmlformats.org/officeDocument/2006/customXml" ds:itemID="{4F22462B-4986-4A18-B7F8-A75655AA8F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Wolff</dc:creator>
  <cp:keywords/>
  <dc:description/>
  <cp:lastModifiedBy>Antjan Laban</cp:lastModifiedBy>
  <cp:revision/>
  <dcterms:created xsi:type="dcterms:W3CDTF">2021-04-25T08:32:35Z</dcterms:created>
  <dcterms:modified xsi:type="dcterms:W3CDTF">2025-06-03T13:41:32Z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0x0101001A751D4A53FEF349BFEF26E2342C45C9</vt:lpwstr>
  </property>
  <property fmtid="{D5CDD505-2E9C-101B-9397-08002B2CF9AE}" pid="3" name="MediaServiceImageTags">
    <vt:lpwstr/>
  </property>
</Properties>
</file>