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Oranje Wit\docs\teamindelingen\"/>
    </mc:Choice>
  </mc:AlternateContent>
  <xr:revisionPtr revIDLastSave="0" documentId="13_ncr:1_{0EC43165-9296-4AA3-A936-647B9515FF40}" xr6:coauthVersionLast="47" xr6:coauthVersionMax="47" xr10:uidLastSave="{00000000-0000-0000-0000-000000000000}"/>
  <bookViews>
    <workbookView xWindow="-98" yWindow="-98" windowWidth="21795" windowHeight="11625" firstSheet="6" activeTab="6" xr2:uid="{00000000-000D-0000-FFFF-FFFF00000000}"/>
  </bookViews>
  <sheets>
    <sheet name="Team Sen" sheetId="7" r:id="rId1"/>
    <sheet name="Team A" sheetId="1" r:id="rId2"/>
    <sheet name="Team B" sheetId="2" r:id="rId3"/>
    <sheet name="Team C" sheetId="3" r:id="rId4"/>
    <sheet name="Team D" sheetId="4" r:id="rId5"/>
    <sheet name="Team E" sheetId="5" r:id="rId6"/>
    <sheet name="Team F" sheetId="6" r:id="rId7"/>
  </sheets>
  <externalReferences>
    <externalReference r:id="rId8"/>
  </externalReferences>
  <definedNames>
    <definedName name="Dames">[1]Leden!$A$2:INDEX([1]Leden!$H:$H,COUNTA([1]Leden!$A:$A))</definedName>
    <definedName name="Dameslijst">[1]Leden!$A$2:$E$305</definedName>
    <definedName name="Heren">[1]Leden!$J$2:INDEX([1]Leden!$Q:$Q,COUNTA([1]Leden!$J:$J))</definedName>
    <definedName name="Herenlijst">[1]Leden!$J$2:$N$303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6" i="6" l="1"/>
  <c r="O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43" i="6"/>
  <c r="O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30" i="6"/>
  <c r="O30" i="6" s="1"/>
  <c r="N17" i="6"/>
  <c r="O17" i="6" s="1"/>
  <c r="N4" i="6"/>
  <c r="O4" i="6" s="1"/>
  <c r="N95" i="5"/>
  <c r="O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82" i="5"/>
  <c r="O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69" i="5"/>
  <c r="O69" i="5" s="1"/>
  <c r="N56" i="5"/>
  <c r="O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43" i="5"/>
  <c r="O43" i="5" s="1"/>
  <c r="N30" i="5"/>
  <c r="O30" i="5" s="1"/>
  <c r="N17" i="5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N4" i="5"/>
  <c r="O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M96" i="5" l="1"/>
  <c r="M57" i="5"/>
  <c r="M44" i="5"/>
  <c r="O44" i="5"/>
  <c r="O45" i="5" s="1"/>
  <c r="O46" i="5" s="1"/>
  <c r="O47" i="5" s="1"/>
  <c r="O48" i="5" s="1"/>
  <c r="O49" i="5" s="1"/>
  <c r="O50" i="5" s="1"/>
  <c r="O51" i="5" s="1"/>
  <c r="O52" i="5" s="1"/>
  <c r="O53" i="5" s="1"/>
  <c r="M5" i="5"/>
  <c r="O57" i="5"/>
  <c r="O58" i="5" s="1"/>
  <c r="O59" i="5" s="1"/>
  <c r="O60" i="5" s="1"/>
  <c r="O61" i="5" s="1"/>
  <c r="O62" i="5" s="1"/>
  <c r="O63" i="5" s="1"/>
  <c r="O64" i="5" s="1"/>
  <c r="O65" i="5" s="1"/>
  <c r="O66" i="5" s="1"/>
  <c r="M57" i="6"/>
  <c r="J14" i="6"/>
  <c r="J53" i="6"/>
  <c r="J27" i="6"/>
  <c r="J40" i="6"/>
  <c r="J79" i="6"/>
  <c r="O18" i="6"/>
  <c r="O19" i="6" s="1"/>
  <c r="O20" i="6" s="1"/>
  <c r="O21" i="6" s="1"/>
  <c r="O22" i="6" s="1"/>
  <c r="O23" i="6" s="1"/>
  <c r="O24" i="6" s="1"/>
  <c r="O25" i="6" s="1"/>
  <c r="O26" i="6" s="1"/>
  <c r="O27" i="6" s="1"/>
  <c r="N18" i="6"/>
  <c r="N19" i="6" s="1"/>
  <c r="N20" i="6" s="1"/>
  <c r="N21" i="6" s="1"/>
  <c r="N22" i="6" s="1"/>
  <c r="N23" i="6" s="1"/>
  <c r="N24" i="6" s="1"/>
  <c r="N25" i="6" s="1"/>
  <c r="N26" i="6" s="1"/>
  <c r="N27" i="6" s="1"/>
  <c r="M18" i="6"/>
  <c r="O5" i="6"/>
  <c r="O6" i="6" s="1"/>
  <c r="O7" i="6" s="1"/>
  <c r="O8" i="6" s="1"/>
  <c r="O9" i="6" s="1"/>
  <c r="O10" i="6" s="1"/>
  <c r="O11" i="6" s="1"/>
  <c r="O12" i="6" s="1"/>
  <c r="O13" i="6" s="1"/>
  <c r="O14" i="6" s="1"/>
  <c r="N5" i="6"/>
  <c r="N6" i="6" s="1"/>
  <c r="N7" i="6" s="1"/>
  <c r="N8" i="6" s="1"/>
  <c r="N9" i="6" s="1"/>
  <c r="N10" i="6" s="1"/>
  <c r="N11" i="6" s="1"/>
  <c r="N12" i="6" s="1"/>
  <c r="N13" i="6" s="1"/>
  <c r="N14" i="6" s="1"/>
  <c r="M5" i="6"/>
  <c r="O31" i="6"/>
  <c r="O32" i="6" s="1"/>
  <c r="O33" i="6" s="1"/>
  <c r="O34" i="6" s="1"/>
  <c r="O35" i="6" s="1"/>
  <c r="O36" i="6" s="1"/>
  <c r="O37" i="6" s="1"/>
  <c r="O38" i="6" s="1"/>
  <c r="O39" i="6" s="1"/>
  <c r="O40" i="6" s="1"/>
  <c r="N31" i="6"/>
  <c r="N32" i="6" s="1"/>
  <c r="N33" i="6" s="1"/>
  <c r="N34" i="6" s="1"/>
  <c r="N35" i="6" s="1"/>
  <c r="N36" i="6" s="1"/>
  <c r="N37" i="6" s="1"/>
  <c r="N38" i="6" s="1"/>
  <c r="N39" i="6" s="1"/>
  <c r="N40" i="6" s="1"/>
  <c r="M31" i="6"/>
  <c r="M44" i="6"/>
  <c r="O57" i="6"/>
  <c r="O58" i="6" s="1"/>
  <c r="O59" i="6" s="1"/>
  <c r="O60" i="6" s="1"/>
  <c r="O61" i="6" s="1"/>
  <c r="O62" i="6" s="1"/>
  <c r="O63" i="6" s="1"/>
  <c r="O64" i="6" s="1"/>
  <c r="O65" i="6" s="1"/>
  <c r="O66" i="6" s="1"/>
  <c r="O44" i="6"/>
  <c r="O45" i="6" s="1"/>
  <c r="O46" i="6" s="1"/>
  <c r="O47" i="6" s="1"/>
  <c r="O48" i="6" s="1"/>
  <c r="O49" i="6" s="1"/>
  <c r="O50" i="6" s="1"/>
  <c r="O51" i="6" s="1"/>
  <c r="O52" i="6" s="1"/>
  <c r="O53" i="6" s="1"/>
  <c r="J27" i="5"/>
  <c r="J53" i="5"/>
  <c r="J14" i="5"/>
  <c r="J40" i="5"/>
  <c r="J66" i="5"/>
  <c r="N70" i="5"/>
  <c r="N71" i="5" s="1"/>
  <c r="N72" i="5" s="1"/>
  <c r="N73" i="5" s="1"/>
  <c r="N74" i="5" s="1"/>
  <c r="N75" i="5" s="1"/>
  <c r="N76" i="5" s="1"/>
  <c r="N77" i="5" s="1"/>
  <c r="N78" i="5" s="1"/>
  <c r="N79" i="5" s="1"/>
  <c r="O70" i="5"/>
  <c r="O71" i="5" s="1"/>
  <c r="O72" i="5" s="1"/>
  <c r="O73" i="5" s="1"/>
  <c r="O74" i="5" s="1"/>
  <c r="O75" i="5" s="1"/>
  <c r="O76" i="5" s="1"/>
  <c r="O77" i="5" s="1"/>
  <c r="O78" i="5" s="1"/>
  <c r="O79" i="5" s="1"/>
  <c r="M70" i="5"/>
  <c r="O5" i="5"/>
  <c r="O6" i="5" s="1"/>
  <c r="O7" i="5" s="1"/>
  <c r="O8" i="5" s="1"/>
  <c r="O9" i="5" s="1"/>
  <c r="O10" i="5" s="1"/>
  <c r="O11" i="5" s="1"/>
  <c r="O12" i="5" s="1"/>
  <c r="O13" i="5" s="1"/>
  <c r="O14" i="5" s="1"/>
  <c r="M31" i="5"/>
  <c r="O31" i="5"/>
  <c r="O32" i="5" s="1"/>
  <c r="O33" i="5" s="1"/>
  <c r="O34" i="5" s="1"/>
  <c r="O35" i="5" s="1"/>
  <c r="O36" i="5" s="1"/>
  <c r="O37" i="5" s="1"/>
  <c r="O38" i="5" s="1"/>
  <c r="O39" i="5" s="1"/>
  <c r="O40" i="5" s="1"/>
  <c r="N31" i="5"/>
  <c r="N32" i="5" s="1"/>
  <c r="N33" i="5" s="1"/>
  <c r="N34" i="5" s="1"/>
  <c r="N35" i="5" s="1"/>
  <c r="N36" i="5" s="1"/>
  <c r="N37" i="5" s="1"/>
  <c r="N38" i="5" s="1"/>
  <c r="N39" i="5" s="1"/>
  <c r="N40" i="5" s="1"/>
  <c r="N18" i="5"/>
  <c r="N19" i="5" s="1"/>
  <c r="N20" i="5" s="1"/>
  <c r="N21" i="5" s="1"/>
  <c r="N22" i="5" s="1"/>
  <c r="N23" i="5" s="1"/>
  <c r="N24" i="5" s="1"/>
  <c r="N25" i="5" s="1"/>
  <c r="N26" i="5" s="1"/>
  <c r="N27" i="5" s="1"/>
  <c r="M18" i="5"/>
  <c r="N44" i="5"/>
  <c r="N45" i="5" s="1"/>
  <c r="N46" i="5" s="1"/>
  <c r="N47" i="5" s="1"/>
  <c r="N48" i="5" s="1"/>
  <c r="N49" i="5" s="1"/>
  <c r="N50" i="5" s="1"/>
  <c r="N51" i="5" s="1"/>
  <c r="N52" i="5" s="1"/>
  <c r="N53" i="5" s="1"/>
  <c r="M83" i="5"/>
  <c r="O96" i="5"/>
  <c r="O97" i="5" s="1"/>
  <c r="O98" i="5" s="1"/>
  <c r="O99" i="5" s="1"/>
  <c r="O100" i="5" s="1"/>
  <c r="O101" i="5" s="1"/>
  <c r="O102" i="5" s="1"/>
  <c r="O103" i="5" s="1"/>
  <c r="O104" i="5" s="1"/>
  <c r="O105" i="5" s="1"/>
  <c r="O83" i="5"/>
  <c r="O84" i="5" s="1"/>
  <c r="O85" i="5" s="1"/>
  <c r="O86" i="5" s="1"/>
  <c r="O87" i="5" s="1"/>
  <c r="O88" i="5" s="1"/>
  <c r="O89" i="5" s="1"/>
  <c r="O90" i="5" s="1"/>
  <c r="O91" i="5" s="1"/>
  <c r="O92" i="5" s="1"/>
  <c r="J146" i="7" l="1"/>
  <c r="J133" i="7"/>
  <c r="J97" i="7"/>
  <c r="J84" i="7"/>
  <c r="J110" i="7"/>
  <c r="J58" i="7"/>
  <c r="J71" i="7"/>
  <c r="J45" i="7"/>
  <c r="J18" i="7"/>
  <c r="J66" i="6"/>
  <c r="J92" i="5"/>
  <c r="J105" i="5"/>
  <c r="J79" i="5"/>
  <c r="N56" i="4" l="1"/>
  <c r="O56" i="4" s="1"/>
  <c r="N43" i="4"/>
  <c r="O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30" i="4"/>
  <c r="O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17" i="4"/>
  <c r="O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O11" i="4"/>
  <c r="O12" i="4" s="1"/>
  <c r="O13" i="4" s="1"/>
  <c r="O14" i="4" s="1"/>
  <c r="N11" i="4"/>
  <c r="N12" i="4" s="1"/>
  <c r="N13" i="4" s="1"/>
  <c r="N14" i="4" s="1"/>
  <c r="N4" i="4"/>
  <c r="O4" i="4" s="1"/>
  <c r="N5" i="4" s="1"/>
  <c r="N6" i="4" s="1"/>
  <c r="N7" i="4" s="1"/>
  <c r="N8" i="4" s="1"/>
  <c r="N9" i="4" s="1"/>
  <c r="N10" i="4" s="1"/>
  <c r="M3" i="4"/>
  <c r="N86" i="3"/>
  <c r="O86" i="3" s="1"/>
  <c r="N73" i="3"/>
  <c r="O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60" i="3"/>
  <c r="O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47" i="3"/>
  <c r="O47" i="3" s="1"/>
  <c r="M48" i="3" s="1"/>
  <c r="N34" i="3"/>
  <c r="O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21" i="3"/>
  <c r="O21" i="3" s="1"/>
  <c r="M22" i="3" s="1"/>
  <c r="N4" i="3"/>
  <c r="O4" i="3" s="1"/>
  <c r="M5" i="3" s="1"/>
  <c r="M3" i="3"/>
  <c r="J27" i="2"/>
  <c r="N56" i="2"/>
  <c r="O56" i="2" s="1"/>
  <c r="N43" i="2"/>
  <c r="O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30" i="2"/>
  <c r="O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17" i="2"/>
  <c r="O17" i="2" s="1"/>
  <c r="N4" i="2"/>
  <c r="O4" i="2" s="1"/>
  <c r="O56" i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43" i="1"/>
  <c r="O43" i="1" s="1"/>
  <c r="N30" i="1"/>
  <c r="O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17" i="1"/>
  <c r="O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4" i="1"/>
  <c r="O4" i="1" s="1"/>
  <c r="M74" i="3" l="1"/>
  <c r="M31" i="4"/>
  <c r="M18" i="1"/>
  <c r="O18" i="1"/>
  <c r="O19" i="1" s="1"/>
  <c r="O20" i="1" s="1"/>
  <c r="O21" i="1" s="1"/>
  <c r="O22" i="1" s="1"/>
  <c r="O23" i="1" s="1"/>
  <c r="O24" i="1" s="1"/>
  <c r="O25" i="1" s="1"/>
  <c r="O26" i="1" s="1"/>
  <c r="O27" i="1" s="1"/>
  <c r="M31" i="1"/>
  <c r="M57" i="1"/>
  <c r="M61" i="3"/>
  <c r="O44" i="4"/>
  <c r="O45" i="4" s="1"/>
  <c r="O46" i="4" s="1"/>
  <c r="O47" i="4" s="1"/>
  <c r="O48" i="4" s="1"/>
  <c r="O49" i="4" s="1"/>
  <c r="O50" i="4" s="1"/>
  <c r="O51" i="4" s="1"/>
  <c r="O52" i="4" s="1"/>
  <c r="O53" i="4" s="1"/>
  <c r="O31" i="1"/>
  <c r="O32" i="1" s="1"/>
  <c r="O33" i="1" s="1"/>
  <c r="O34" i="1" s="1"/>
  <c r="O35" i="1" s="1"/>
  <c r="O36" i="1" s="1"/>
  <c r="O37" i="1" s="1"/>
  <c r="O38" i="1" s="1"/>
  <c r="O39" i="1" s="1"/>
  <c r="O40" i="1" s="1"/>
  <c r="O57" i="1"/>
  <c r="O58" i="1" s="1"/>
  <c r="O59" i="1" s="1"/>
  <c r="O60" i="1" s="1"/>
  <c r="O61" i="1" s="1"/>
  <c r="O62" i="1" s="1"/>
  <c r="O63" i="1" s="1"/>
  <c r="O64" i="1" s="1"/>
  <c r="O65" i="1" s="1"/>
  <c r="O66" i="1" s="1"/>
  <c r="M18" i="4"/>
  <c r="O31" i="4"/>
  <c r="O32" i="4" s="1"/>
  <c r="O33" i="4" s="1"/>
  <c r="O34" i="4" s="1"/>
  <c r="O35" i="4" s="1"/>
  <c r="O36" i="4" s="1"/>
  <c r="O37" i="4" s="1"/>
  <c r="O38" i="4" s="1"/>
  <c r="O39" i="4" s="1"/>
  <c r="O40" i="4" s="1"/>
  <c r="J14" i="4"/>
  <c r="J27" i="4"/>
  <c r="J53" i="4"/>
  <c r="J40" i="4"/>
  <c r="J66" i="4"/>
  <c r="O57" i="4"/>
  <c r="O58" i="4" s="1"/>
  <c r="O59" i="4" s="1"/>
  <c r="O60" i="4" s="1"/>
  <c r="O61" i="4" s="1"/>
  <c r="O62" i="4" s="1"/>
  <c r="O63" i="4" s="1"/>
  <c r="O64" i="4" s="1"/>
  <c r="O65" i="4" s="1"/>
  <c r="O66" i="4" s="1"/>
  <c r="N57" i="4"/>
  <c r="N58" i="4" s="1"/>
  <c r="N59" i="4" s="1"/>
  <c r="N60" i="4" s="1"/>
  <c r="N61" i="4" s="1"/>
  <c r="N62" i="4" s="1"/>
  <c r="N63" i="4" s="1"/>
  <c r="N64" i="4" s="1"/>
  <c r="N65" i="4" s="1"/>
  <c r="N66" i="4" s="1"/>
  <c r="M5" i="4"/>
  <c r="O5" i="4"/>
  <c r="O6" i="4" s="1"/>
  <c r="O7" i="4" s="1"/>
  <c r="O8" i="4" s="1"/>
  <c r="O9" i="4" s="1"/>
  <c r="O10" i="4" s="1"/>
  <c r="M57" i="4"/>
  <c r="O18" i="4"/>
  <c r="O19" i="4" s="1"/>
  <c r="O20" i="4" s="1"/>
  <c r="O21" i="4" s="1"/>
  <c r="O22" i="4" s="1"/>
  <c r="O23" i="4" s="1"/>
  <c r="O24" i="4" s="1"/>
  <c r="O25" i="4" s="1"/>
  <c r="O26" i="4" s="1"/>
  <c r="O27" i="4" s="1"/>
  <c r="M44" i="4"/>
  <c r="J31" i="3"/>
  <c r="J70" i="3"/>
  <c r="J44" i="3"/>
  <c r="J57" i="3"/>
  <c r="J83" i="3"/>
  <c r="O5" i="3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22" i="3"/>
  <c r="O23" i="3" s="1"/>
  <c r="O24" i="3" s="1"/>
  <c r="O25" i="3" s="1"/>
  <c r="O26" i="3" s="1"/>
  <c r="O27" i="3" s="1"/>
  <c r="O28" i="3" s="1"/>
  <c r="O29" i="3" s="1"/>
  <c r="O30" i="3" s="1"/>
  <c r="O31" i="3" s="1"/>
  <c r="M35" i="3"/>
  <c r="N5" i="3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O35" i="3"/>
  <c r="O36" i="3" s="1"/>
  <c r="O37" i="3" s="1"/>
  <c r="O38" i="3" s="1"/>
  <c r="O39" i="3" s="1"/>
  <c r="O40" i="3" s="1"/>
  <c r="O41" i="3" s="1"/>
  <c r="O42" i="3" s="1"/>
  <c r="O43" i="3" s="1"/>
  <c r="O44" i="3" s="1"/>
  <c r="N48" i="3"/>
  <c r="N49" i="3" s="1"/>
  <c r="N50" i="3" s="1"/>
  <c r="N51" i="3" s="1"/>
  <c r="N52" i="3" s="1"/>
  <c r="N53" i="3" s="1"/>
  <c r="N54" i="3" s="1"/>
  <c r="N55" i="3" s="1"/>
  <c r="N56" i="3" s="1"/>
  <c r="N57" i="3" s="1"/>
  <c r="O48" i="3"/>
  <c r="O49" i="3" s="1"/>
  <c r="O50" i="3" s="1"/>
  <c r="O51" i="3" s="1"/>
  <c r="O52" i="3" s="1"/>
  <c r="O53" i="3" s="1"/>
  <c r="O54" i="3" s="1"/>
  <c r="O55" i="3" s="1"/>
  <c r="O56" i="3" s="1"/>
  <c r="O57" i="3" s="1"/>
  <c r="N22" i="3"/>
  <c r="N23" i="3" s="1"/>
  <c r="N24" i="3" s="1"/>
  <c r="N25" i="3" s="1"/>
  <c r="N26" i="3" s="1"/>
  <c r="N27" i="3" s="1"/>
  <c r="N28" i="3" s="1"/>
  <c r="N29" i="3" s="1"/>
  <c r="N30" i="3" s="1"/>
  <c r="N31" i="3" s="1"/>
  <c r="O74" i="3"/>
  <c r="O75" i="3" s="1"/>
  <c r="O76" i="3" s="1"/>
  <c r="O77" i="3" s="1"/>
  <c r="O78" i="3" s="1"/>
  <c r="O79" i="3" s="1"/>
  <c r="O80" i="3" s="1"/>
  <c r="O81" i="3" s="1"/>
  <c r="O82" i="3" s="1"/>
  <c r="O83" i="3" s="1"/>
  <c r="O87" i="3"/>
  <c r="O88" i="3" s="1"/>
  <c r="O89" i="3" s="1"/>
  <c r="O90" i="3" s="1"/>
  <c r="O91" i="3" s="1"/>
  <c r="O92" i="3" s="1"/>
  <c r="O93" i="3" s="1"/>
  <c r="O94" i="3" s="1"/>
  <c r="O95" i="3" s="1"/>
  <c r="O96" i="3" s="1"/>
  <c r="N87" i="3"/>
  <c r="N88" i="3" s="1"/>
  <c r="N89" i="3" s="1"/>
  <c r="N90" i="3" s="1"/>
  <c r="N91" i="3" s="1"/>
  <c r="N92" i="3" s="1"/>
  <c r="N93" i="3" s="1"/>
  <c r="N94" i="3" s="1"/>
  <c r="N95" i="3" s="1"/>
  <c r="N96" i="3" s="1"/>
  <c r="M87" i="3"/>
  <c r="O61" i="3"/>
  <c r="O62" i="3" s="1"/>
  <c r="O63" i="3" s="1"/>
  <c r="O64" i="3" s="1"/>
  <c r="O65" i="3" s="1"/>
  <c r="O66" i="3" s="1"/>
  <c r="O67" i="3" s="1"/>
  <c r="O68" i="3" s="1"/>
  <c r="O69" i="3" s="1"/>
  <c r="O70" i="3" s="1"/>
  <c r="O44" i="2"/>
  <c r="O45" i="2" s="1"/>
  <c r="O46" i="2" s="1"/>
  <c r="O47" i="2" s="1"/>
  <c r="O48" i="2" s="1"/>
  <c r="O49" i="2" s="1"/>
  <c r="O50" i="2" s="1"/>
  <c r="O51" i="2" s="1"/>
  <c r="O52" i="2" s="1"/>
  <c r="O53" i="2" s="1"/>
  <c r="M44" i="2"/>
  <c r="M31" i="2"/>
  <c r="J14" i="2"/>
  <c r="J53" i="2"/>
  <c r="J40" i="2"/>
  <c r="J66" i="2"/>
  <c r="N5" i="2"/>
  <c r="N6" i="2" s="1"/>
  <c r="N7" i="2" s="1"/>
  <c r="N8" i="2" s="1"/>
  <c r="N9" i="2" s="1"/>
  <c r="N10" i="2" s="1"/>
  <c r="N11" i="2" s="1"/>
  <c r="N12" i="2" s="1"/>
  <c r="N13" i="2" s="1"/>
  <c r="N14" i="2" s="1"/>
  <c r="M5" i="2"/>
  <c r="O5" i="2"/>
  <c r="O6" i="2" s="1"/>
  <c r="O7" i="2" s="1"/>
  <c r="O8" i="2" s="1"/>
  <c r="O9" i="2" s="1"/>
  <c r="O10" i="2" s="1"/>
  <c r="O11" i="2" s="1"/>
  <c r="O12" i="2" s="1"/>
  <c r="O13" i="2" s="1"/>
  <c r="O14" i="2" s="1"/>
  <c r="N18" i="2"/>
  <c r="N19" i="2" s="1"/>
  <c r="N20" i="2" s="1"/>
  <c r="N21" i="2" s="1"/>
  <c r="N22" i="2" s="1"/>
  <c r="N23" i="2" s="1"/>
  <c r="N24" i="2" s="1"/>
  <c r="N25" i="2" s="1"/>
  <c r="N27" i="2" s="1"/>
  <c r="O18" i="2"/>
  <c r="O19" i="2" s="1"/>
  <c r="O20" i="2" s="1"/>
  <c r="O21" i="2" s="1"/>
  <c r="O22" i="2" s="1"/>
  <c r="O23" i="2" s="1"/>
  <c r="O24" i="2" s="1"/>
  <c r="O25" i="2" s="1"/>
  <c r="O27" i="2" s="1"/>
  <c r="M18" i="2"/>
  <c r="O31" i="2"/>
  <c r="O32" i="2" s="1"/>
  <c r="O33" i="2" s="1"/>
  <c r="O34" i="2" s="1"/>
  <c r="O35" i="2" s="1"/>
  <c r="O36" i="2" s="1"/>
  <c r="O37" i="2" s="1"/>
  <c r="O38" i="2" s="1"/>
  <c r="O39" i="2" s="1"/>
  <c r="O40" i="2" s="1"/>
  <c r="O57" i="2"/>
  <c r="O58" i="2" s="1"/>
  <c r="O59" i="2" s="1"/>
  <c r="O60" i="2" s="1"/>
  <c r="O61" i="2" s="1"/>
  <c r="O62" i="2" s="1"/>
  <c r="O63" i="2" s="1"/>
  <c r="O64" i="2" s="1"/>
  <c r="O65" i="2" s="1"/>
  <c r="O66" i="2" s="1"/>
  <c r="N57" i="2"/>
  <c r="N58" i="2" s="1"/>
  <c r="N59" i="2" s="1"/>
  <c r="N60" i="2" s="1"/>
  <c r="N61" i="2" s="1"/>
  <c r="N62" i="2" s="1"/>
  <c r="N63" i="2" s="1"/>
  <c r="N64" i="2" s="1"/>
  <c r="N65" i="2" s="1"/>
  <c r="N66" i="2" s="1"/>
  <c r="M57" i="2"/>
  <c r="J40" i="1"/>
  <c r="J14" i="1"/>
  <c r="J27" i="1"/>
  <c r="J53" i="1"/>
  <c r="O5" i="1"/>
  <c r="O6" i="1" s="1"/>
  <c r="O7" i="1" s="1"/>
  <c r="O8" i="1" s="1"/>
  <c r="O9" i="1" s="1"/>
  <c r="O10" i="1" s="1"/>
  <c r="O11" i="1" s="1"/>
  <c r="O12" i="1" s="1"/>
  <c r="O13" i="1" s="1"/>
  <c r="O14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M5" i="1"/>
  <c r="O44" i="1"/>
  <c r="O45" i="1" s="1"/>
  <c r="O46" i="1" s="1"/>
  <c r="O47" i="1" s="1"/>
  <c r="O48" i="1" s="1"/>
  <c r="O49" i="1" s="1"/>
  <c r="O50" i="1" s="1"/>
  <c r="O51" i="1" s="1"/>
  <c r="O52" i="1" s="1"/>
  <c r="O53" i="1" s="1"/>
  <c r="N44" i="1"/>
  <c r="N45" i="1" s="1"/>
  <c r="N46" i="1" s="1"/>
  <c r="N47" i="1" s="1"/>
  <c r="N48" i="1" s="1"/>
  <c r="N49" i="1" s="1"/>
  <c r="N50" i="1" s="1"/>
  <c r="N51" i="1" s="1"/>
  <c r="N52" i="1" s="1"/>
  <c r="N53" i="1" s="1"/>
  <c r="M44" i="1"/>
  <c r="J96" i="3" l="1"/>
  <c r="J18" i="3"/>
  <c r="J66" i="1"/>
</calcChain>
</file>

<file path=xl/sharedStrings.xml><?xml version="1.0" encoding="utf-8"?>
<sst xmlns="http://schemas.openxmlformats.org/spreadsheetml/2006/main" count="2337" uniqueCount="489">
  <si>
    <t>Opstelling Sen - Teams 2017-2018</t>
  </si>
  <si>
    <t>S1/S2</t>
  </si>
  <si>
    <t>Dames</t>
  </si>
  <si>
    <t>Heren</t>
  </si>
  <si>
    <t>Trainers/Coach</t>
  </si>
  <si>
    <t>Naam</t>
  </si>
  <si>
    <t>Geb.Datum</t>
  </si>
  <si>
    <t>Leeftijd</t>
  </si>
  <si>
    <t>Mady Tims</t>
  </si>
  <si>
    <t>Ardon, Linda</t>
  </si>
  <si>
    <t>Dijk, Joeri van</t>
  </si>
  <si>
    <t>Chris Beuk</t>
  </si>
  <si>
    <t>Bax, Erinn</t>
  </si>
  <si>
    <t>Gent, Lex van</t>
  </si>
  <si>
    <t>Team begeleiding</t>
  </si>
  <si>
    <t>Bruyn, Daphne de</t>
  </si>
  <si>
    <t>Isarin, Thomas</t>
  </si>
  <si>
    <t>Ron Appelboom</t>
  </si>
  <si>
    <t>Dommisse, Robin</t>
  </si>
  <si>
    <t>Kalkeren, Robin van</t>
  </si>
  <si>
    <t>Kim Ardon</t>
  </si>
  <si>
    <t>Gurp, Merel van</t>
  </si>
  <si>
    <t>Klink, Marijn</t>
  </si>
  <si>
    <t>Verzorging</t>
  </si>
  <si>
    <t>Klink, Xanne</t>
  </si>
  <si>
    <t>Mans, Bob</t>
  </si>
  <si>
    <t>Theo Androchte</t>
  </si>
  <si>
    <t>Leijdsman, Robin</t>
  </si>
  <si>
    <t>Mol, Thomas</t>
  </si>
  <si>
    <t>Desire Schepers</t>
  </si>
  <si>
    <t>Schryver, Karo de</t>
  </si>
  <si>
    <t>Peuter, Freek de</t>
  </si>
  <si>
    <t>Fysio</t>
  </si>
  <si>
    <t>Ton, Sterre</t>
  </si>
  <si>
    <t>Strijen, Lars van</t>
  </si>
  <si>
    <t>Ruben Kamerbeek</t>
  </si>
  <si>
    <t>Verweij, Mirthe</t>
  </si>
  <si>
    <t/>
  </si>
  <si>
    <t>Core Stability</t>
  </si>
  <si>
    <t>Visser, Diana</t>
  </si>
  <si>
    <t>Patrick Zuiderwijk</t>
  </si>
  <si>
    <t>Totaal</t>
  </si>
  <si>
    <t>S2</t>
  </si>
  <si>
    <t>Trainers</t>
  </si>
  <si>
    <t>S3</t>
  </si>
  <si>
    <t>Assem, Lisette van den</t>
  </si>
  <si>
    <t>Belder, Steven</t>
  </si>
  <si>
    <t>Laban-Sinke, Ingrid</t>
  </si>
  <si>
    <t>Boshoven, Davy</t>
  </si>
  <si>
    <t>Nelemans, Ingrid</t>
  </si>
  <si>
    <t>Kalkeren, Marco van</t>
  </si>
  <si>
    <t>Noordam, Mirjam</t>
  </si>
  <si>
    <t>Laban, Antjan</t>
  </si>
  <si>
    <t>Ploeg, Lieke</t>
  </si>
  <si>
    <t>Noels, Arjan</t>
  </si>
  <si>
    <t>Wibbens, Esther</t>
  </si>
  <si>
    <t>Verwaal, Jan-Peter</t>
  </si>
  <si>
    <t>S4</t>
  </si>
  <si>
    <t>Jan Mol</t>
  </si>
  <si>
    <t>Fernhout, Tirsa</t>
  </si>
  <si>
    <t>Driesprong, Bart</t>
  </si>
  <si>
    <t>Haan-van Dijk, Suzan de</t>
  </si>
  <si>
    <t>Haan, Anne de</t>
  </si>
  <si>
    <t>Visser, Hilde</t>
  </si>
  <si>
    <t>Jong, Jouke de</t>
  </si>
  <si>
    <t>Visser, Renske</t>
  </si>
  <si>
    <t>Pierse, Jorik</t>
  </si>
  <si>
    <t>Wieten, Karla</t>
  </si>
  <si>
    <t>Zwoll, Simone van</t>
  </si>
  <si>
    <t>S5</t>
  </si>
  <si>
    <t>Andel, Sanne van</t>
  </si>
  <si>
    <t>Ameijden, Marijn van</t>
  </si>
  <si>
    <t>Brand, Liesbeth</t>
  </si>
  <si>
    <t>Lagendijk, Pieter</t>
  </si>
  <si>
    <t>Oeveren, Kristel van</t>
  </si>
  <si>
    <t>Scheurwater, Tiemen</t>
  </si>
  <si>
    <t>Slijkhuis, Anne</t>
  </si>
  <si>
    <t>Stehouwer, Ferry</t>
  </si>
  <si>
    <t>Starre, Kim van der</t>
  </si>
  <si>
    <t>Tol, Wout van</t>
  </si>
  <si>
    <t>S6</t>
  </si>
  <si>
    <t>Bezemer, Karin</t>
  </si>
  <si>
    <t>Hendriks, Tom</t>
  </si>
  <si>
    <t>Dongen, Irene van</t>
  </si>
  <si>
    <t>Tol, Rob van</t>
  </si>
  <si>
    <t>Schenau, Laura</t>
  </si>
  <si>
    <t>Ton, Thomas</t>
  </si>
  <si>
    <t>Tol, Moniek van</t>
  </si>
  <si>
    <t>Witter, Herman</t>
  </si>
  <si>
    <t>Van Haren-Leijs, Renee</t>
  </si>
  <si>
    <t>Wondergem, Mark-Jan</t>
  </si>
  <si>
    <t>S7</t>
  </si>
  <si>
    <t>Trainers:</t>
  </si>
  <si>
    <t>Fruyt van Hertog, Marjolein</t>
  </si>
  <si>
    <t>Ameijden, Robbert van</t>
  </si>
  <si>
    <t>Grootenboer-Dijk, Mariette van</t>
  </si>
  <si>
    <t>Draaijer, Rens</t>
  </si>
  <si>
    <t>Kuijper-Vanhooydonck, Simone</t>
  </si>
  <si>
    <t>Helmos, Roy</t>
  </si>
  <si>
    <t>Petegem, Johanna van</t>
  </si>
  <si>
    <t>Verstappen, Philip</t>
  </si>
  <si>
    <t>Veld, Dorien in 't</t>
  </si>
  <si>
    <t>Verwaal, Stefan</t>
  </si>
  <si>
    <t>Veld, Lisette in 't</t>
  </si>
  <si>
    <t>Wiel, Martijn van der</t>
  </si>
  <si>
    <t>Verwaal, Melanie</t>
  </si>
  <si>
    <t>MW1</t>
  </si>
  <si>
    <t>Bakker-Verwaal, Lieke</t>
  </si>
  <si>
    <t>Belder, Erwin</t>
  </si>
  <si>
    <t>Everaarts, Damaris</t>
  </si>
  <si>
    <t>Boshoven, Rik</t>
  </si>
  <si>
    <t>Honschoten, Sylvia van</t>
  </si>
  <si>
    <t>Kooij, Wilco</t>
  </si>
  <si>
    <t>Opstal-Haksteen, Tamara van</t>
  </si>
  <si>
    <t>Meijer, Koen</t>
  </si>
  <si>
    <t>Quarré, Martha</t>
  </si>
  <si>
    <t>Ullmann, Mor</t>
  </si>
  <si>
    <t>Vliet-Koster, Renate</t>
  </si>
  <si>
    <t>Vos, Egbert</t>
  </si>
  <si>
    <t>AR</t>
  </si>
  <si>
    <t>Dreef, Lia</t>
  </si>
  <si>
    <t>Berendsen, Peter</t>
  </si>
  <si>
    <t>Fernhout, Corine</t>
  </si>
  <si>
    <t>Doolaard, Christiaan</t>
  </si>
  <si>
    <t>Valk-Helsloot, Gunilda</t>
  </si>
  <si>
    <t>Hoed, Wilbert den</t>
  </si>
  <si>
    <t>Jong, Bas de</t>
  </si>
  <si>
    <t>Kuperus, Steven</t>
  </si>
  <si>
    <t>Mans, Frank</t>
  </si>
  <si>
    <t>Noordam, Jochem</t>
  </si>
  <si>
    <t>Steen Redeker, Leon</t>
  </si>
  <si>
    <t>Vries, Rik de</t>
  </si>
  <si>
    <t>REC</t>
  </si>
  <si>
    <t>Koote, Ciska</t>
  </si>
  <si>
    <t>Wolff, Paul</t>
  </si>
  <si>
    <t>Opstelling A - Teams 2017-2018</t>
  </si>
  <si>
    <t>A1</t>
  </si>
  <si>
    <t>Henno Ploeg</t>
  </si>
  <si>
    <t>Broere, Dionne</t>
  </si>
  <si>
    <t>Brouwer, Jop</t>
  </si>
  <si>
    <t>Euser, Susanne</t>
  </si>
  <si>
    <t>Gent, Tim van</t>
  </si>
  <si>
    <t>Morée, Jessica de</t>
  </si>
  <si>
    <t>Oppe, Bo</t>
  </si>
  <si>
    <t>Alexander Wolff</t>
  </si>
  <si>
    <t>Schram, Merel</t>
  </si>
  <si>
    <t>Schild, Yannick</t>
  </si>
  <si>
    <t>Team Begeleiding</t>
  </si>
  <si>
    <t>Zuijderwijk, Ilse</t>
  </si>
  <si>
    <t>teamlft</t>
  </si>
  <si>
    <t>A2</t>
  </si>
  <si>
    <t>Fred Lichteveld</t>
  </si>
  <si>
    <t>Dijk, Demi van</t>
  </si>
  <si>
    <t>Friebel, Luuk</t>
  </si>
  <si>
    <t>Dommisse, Kim</t>
  </si>
  <si>
    <t>Hooijdonk, Siem van</t>
  </si>
  <si>
    <t>Driesprong, Anne</t>
  </si>
  <si>
    <t>Jager, Sam de</t>
  </si>
  <si>
    <t>Jong, Céline de</t>
  </si>
  <si>
    <t>Klink, Stijn</t>
  </si>
  <si>
    <t>Kraaij, Channa</t>
  </si>
  <si>
    <t>Lichteveld, Jarno</t>
  </si>
  <si>
    <t>A3</t>
  </si>
  <si>
    <t>Egbert Vos</t>
  </si>
  <si>
    <t>Bezooijen, Danique van</t>
  </si>
  <si>
    <t>Driel, Quinten van</t>
  </si>
  <si>
    <t>Dubbeld, Tessa</t>
  </si>
  <si>
    <t>Dubbeld, Ruben</t>
  </si>
  <si>
    <t>Hulsker, Nina</t>
  </si>
  <si>
    <t>Jong, Erik de</t>
  </si>
  <si>
    <t>Lacroes, Jany</t>
  </si>
  <si>
    <t>Klijn, Calvin</t>
  </si>
  <si>
    <t>Oord, Kim van</t>
  </si>
  <si>
    <t>Schram, Lara</t>
  </si>
  <si>
    <t>A4</t>
  </si>
  <si>
    <t>Lex van Dalen</t>
  </si>
  <si>
    <t>Adriaansen, Isis</t>
  </si>
  <si>
    <t>Baars, Luuk</t>
  </si>
  <si>
    <t>Robert van Ameijden</t>
  </si>
  <si>
    <t>Appelboom, Logan</t>
  </si>
  <si>
    <t>Flach, Joram</t>
  </si>
  <si>
    <t>Maas, Mara</t>
  </si>
  <si>
    <t>Schindler, Mark</t>
  </si>
  <si>
    <t>Schrôder, Isabel</t>
  </si>
  <si>
    <t>Slotboom, Amber</t>
  </si>
  <si>
    <t>Torn, Esther</t>
  </si>
  <si>
    <t>Vossepoel, Marjoleine</t>
  </si>
  <si>
    <t>Wit, Nadia de</t>
  </si>
  <si>
    <t>Wit, Syrah de</t>
  </si>
  <si>
    <t>A5</t>
  </si>
  <si>
    <t>A</t>
  </si>
  <si>
    <t>Opstelling B - Teams 2017-2018</t>
  </si>
  <si>
    <t>B1</t>
  </si>
  <si>
    <t>Monique Oppe</t>
  </si>
  <si>
    <t>Brouwer, Nynke</t>
  </si>
  <si>
    <t>Alberts, Sem</t>
  </si>
  <si>
    <t>Oppe, Milou</t>
  </si>
  <si>
    <t>Bras, Niels</t>
  </si>
  <si>
    <t>Rijsdijk, Mirte</t>
  </si>
  <si>
    <t>Groeneweg, Tim</t>
  </si>
  <si>
    <t>Seevinck, Djuna</t>
  </si>
  <si>
    <t>Oppe, Mees</t>
  </si>
  <si>
    <t>Vinken, Jesper</t>
  </si>
  <si>
    <t>B2</t>
  </si>
  <si>
    <t>Lia Dreef</t>
  </si>
  <si>
    <t>Dielessen, Amy</t>
  </si>
  <si>
    <t>Dalen, Freek van</t>
  </si>
  <si>
    <t>Fernhout, Loïs</t>
  </si>
  <si>
    <t>Hooijdonk, Otte van</t>
  </si>
  <si>
    <t>Horst, Bridget ter</t>
  </si>
  <si>
    <t>Steen Redeker, David</t>
  </si>
  <si>
    <t>Teerds, Eva</t>
  </si>
  <si>
    <t>Uijl, Daniel den</t>
  </si>
  <si>
    <t>Volker, Lisa</t>
  </si>
  <si>
    <t>Schild, Quinty</t>
  </si>
  <si>
    <t>B3</t>
  </si>
  <si>
    <t>Paul Wolff</t>
  </si>
  <si>
    <t>Auerbach, Femke</t>
  </si>
  <si>
    <t>Dalen, Daan van</t>
  </si>
  <si>
    <t>Johanna Petegem</t>
  </si>
  <si>
    <t>Klaveren, Romy van</t>
  </si>
  <si>
    <t>Fasbender, Tijmen</t>
  </si>
  <si>
    <t>Klink, Suzanne</t>
  </si>
  <si>
    <t>Koote, Laura</t>
  </si>
  <si>
    <t>Los, Noa</t>
  </si>
  <si>
    <t>Spijk, Jikke van</t>
  </si>
  <si>
    <t>Valk, Marlies</t>
  </si>
  <si>
    <t>B4</t>
  </si>
  <si>
    <t>Daan Mol</t>
  </si>
  <si>
    <t>Ardon, Annelie</t>
  </si>
  <si>
    <t>Boon, Thijs</t>
  </si>
  <si>
    <t>Jasper Oostlander</t>
  </si>
  <si>
    <t>Klerk, Ayda de</t>
  </si>
  <si>
    <t>Vlaming, Jens de</t>
  </si>
  <si>
    <t>Kok, Jente</t>
  </si>
  <si>
    <t>Mol, Iris</t>
  </si>
  <si>
    <t>Oostlander, Elise</t>
  </si>
  <si>
    <t>Pierse, Anniek</t>
  </si>
  <si>
    <t>Reus, Anouk de</t>
  </si>
  <si>
    <t>Wijngaarden, Dagmar van</t>
  </si>
  <si>
    <t>B5</t>
  </si>
  <si>
    <t>Sietske van Dalen</t>
  </si>
  <si>
    <t>Canli, Dilan</t>
  </si>
  <si>
    <t>Altena, Jaron</t>
  </si>
  <si>
    <t>Coach</t>
  </si>
  <si>
    <t>Dubbeld, Sanne</t>
  </si>
  <si>
    <t>Wijgaart, Rick van de</t>
  </si>
  <si>
    <t>Peter Berendse</t>
  </si>
  <si>
    <t>Friebel, Angela</t>
  </si>
  <si>
    <t>Jet van Trooijen</t>
  </si>
  <si>
    <t>Kloot, Elin</t>
  </si>
  <si>
    <t>Koornneef, Lotte</t>
  </si>
  <si>
    <t>Taal, Lisa</t>
  </si>
  <si>
    <t>Verhagen, Femke</t>
  </si>
  <si>
    <t>Willigen, Danique van</t>
  </si>
  <si>
    <t>Opstelling C - Teams 2017-2018</t>
  </si>
  <si>
    <t>C1/C2</t>
  </si>
  <si>
    <t>Kees-Jan Oppe</t>
  </si>
  <si>
    <t>C1</t>
  </si>
  <si>
    <t>Bart Driesprong</t>
  </si>
  <si>
    <t>Driesprong, Meike</t>
  </si>
  <si>
    <t>Hoeve, Milan ten</t>
  </si>
  <si>
    <t>Merel Schram</t>
  </si>
  <si>
    <t>Mol, Laura</t>
  </si>
  <si>
    <t>Lohuis, Jens</t>
  </si>
  <si>
    <t>Verbeek, Yente</t>
  </si>
  <si>
    <t>Minkelis, Jonathan van de</t>
  </si>
  <si>
    <t>Zuijderwijk, Britt</t>
  </si>
  <si>
    <t>Seevinck, Tim</t>
  </si>
  <si>
    <t>C2</t>
  </si>
  <si>
    <t>Robert Koster</t>
  </si>
  <si>
    <t>Boshoven, Sara</t>
  </si>
  <si>
    <t>Dreef, Norbert</t>
  </si>
  <si>
    <t>Astrid Zuidgeest</t>
  </si>
  <si>
    <t>Lievaart, Carlijn</t>
  </si>
  <si>
    <t>Geffen, Arend van</t>
  </si>
  <si>
    <t>Seijner, Fabiënne</t>
  </si>
  <si>
    <t>Koornneef, Wouter</t>
  </si>
  <si>
    <t>Uijl, Eva den</t>
  </si>
  <si>
    <t>Kuijper, David</t>
  </si>
  <si>
    <t>Wensen, Maud van</t>
  </si>
  <si>
    <t>C3</t>
  </si>
  <si>
    <t>Cora Verwij</t>
  </si>
  <si>
    <t>Bäcker, Sterre</t>
  </si>
  <si>
    <t>Meijer, Joeke</t>
  </si>
  <si>
    <t>Gent, Elsemieke van</t>
  </si>
  <si>
    <t>Vegt, Laurens van der</t>
  </si>
  <si>
    <t>Groeneweg, Roos</t>
  </si>
  <si>
    <t>Horst, Renee ter</t>
  </si>
  <si>
    <t>Jongh, Anouk de</t>
  </si>
  <si>
    <t>Manduapessy, Vera</t>
  </si>
  <si>
    <t>Reus, Kim de</t>
  </si>
  <si>
    <t>Veen, Bente van der</t>
  </si>
  <si>
    <t>Volker, Karlijn</t>
  </si>
  <si>
    <t>C4</t>
  </si>
  <si>
    <t>Wilma Dekker</t>
  </si>
  <si>
    <t>Boeije, Amber</t>
  </si>
  <si>
    <t>IJben, Chris</t>
  </si>
  <si>
    <t>Mark Kuijper</t>
  </si>
  <si>
    <t>Dekkers, Daniëlle</t>
  </si>
  <si>
    <t>Timmer, Jordan</t>
  </si>
  <si>
    <t>Don, Emma</t>
  </si>
  <si>
    <t>Wietses, Joël</t>
  </si>
  <si>
    <t>Leen, Marit van</t>
  </si>
  <si>
    <t>Quarré, Elena</t>
  </si>
  <si>
    <t>Rubio Cubillos, Estelle</t>
  </si>
  <si>
    <t>Spaanbroek, Yzan</t>
  </si>
  <si>
    <t>Steen Redeker, Levina</t>
  </si>
  <si>
    <t>C5</t>
  </si>
  <si>
    <t>Auerbach, Lincy</t>
  </si>
  <si>
    <t>Bantis, Jorgos</t>
  </si>
  <si>
    <t>Jonkers, Syrah</t>
  </si>
  <si>
    <t>Barneveld, Rob van</t>
  </si>
  <si>
    <t>Raab, Ilse</t>
  </si>
  <si>
    <t>Everaarts, Jesse</t>
  </si>
  <si>
    <t>Tunςyürek, Süeda</t>
  </si>
  <si>
    <t>Lange, Mathijs</t>
  </si>
  <si>
    <t>Schindler, Rick</t>
  </si>
  <si>
    <t>Verhagen, Laurens</t>
  </si>
  <si>
    <t>Visser, Robert</t>
  </si>
  <si>
    <t>C6</t>
  </si>
  <si>
    <t>Opstelling D - Teams 2017-2018</t>
  </si>
  <si>
    <t>D1</t>
  </si>
  <si>
    <t>Robin v Kalkeren</t>
  </si>
  <si>
    <t>Driesprong, Jana</t>
  </si>
  <si>
    <t>Bäcker, Tijn</t>
  </si>
  <si>
    <t>Dahpne de Bruijn</t>
  </si>
  <si>
    <t>Fasbender, Lindi</t>
  </si>
  <si>
    <t>Koster, Senne</t>
  </si>
  <si>
    <t>Manduapessy, Merel</t>
  </si>
  <si>
    <t>Tims, Shayn</t>
  </si>
  <si>
    <t>Vinken, Merle</t>
  </si>
  <si>
    <t>Vaartmans, Jordi</t>
  </si>
  <si>
    <t>Wolleswinkel, Iza</t>
  </si>
  <si>
    <t>D2</t>
  </si>
  <si>
    <t>Marcel SintNicolaas</t>
  </si>
  <si>
    <t>Aydin, Rana</t>
  </si>
  <si>
    <t>Boeije, Thomas</t>
  </si>
  <si>
    <t>Marijn Klink</t>
  </si>
  <si>
    <t>Blankenstijn, Naomi</t>
  </si>
  <si>
    <t>Burgt, Seth van de</t>
  </si>
  <si>
    <t>Simone v Haren</t>
  </si>
  <si>
    <t>Rubio Cubillos, Luana</t>
  </si>
  <si>
    <t>Meijers, Milo</t>
  </si>
  <si>
    <t>Wijngaarden, Bente van</t>
  </si>
  <si>
    <t>Valk, Jarno</t>
  </si>
  <si>
    <t>Wit, Mila de</t>
  </si>
  <si>
    <t>Zwanenburg, Jack</t>
  </si>
  <si>
    <t>D3</t>
  </si>
  <si>
    <t>Tom Hendriks</t>
  </si>
  <si>
    <t>Everdingen, Tessa van</t>
  </si>
  <si>
    <t>Dongen, Freek van</t>
  </si>
  <si>
    <t>Erin Bax</t>
  </si>
  <si>
    <t>Mert, Rezzan</t>
  </si>
  <si>
    <t>Pagter, Levi de</t>
  </si>
  <si>
    <t>Nobel, Merle</t>
  </si>
  <si>
    <t>Vliet, Tycho</t>
  </si>
  <si>
    <t>Prosman, Ann-Sophie</t>
  </si>
  <si>
    <t>Rijsdijk, Bente</t>
  </si>
  <si>
    <t>D4</t>
  </si>
  <si>
    <t>Ilse Kloot</t>
  </si>
  <si>
    <t>Bonnier, Fenna</t>
  </si>
  <si>
    <t>Altena, Evan</t>
  </si>
  <si>
    <t xml:space="preserve">Nadia de Wit </t>
  </si>
  <si>
    <t>Bouwknegt, Lianne</t>
  </si>
  <si>
    <t>Klein, Daan</t>
  </si>
  <si>
    <t xml:space="preserve">Syrah de Wit </t>
  </si>
  <si>
    <t>Geus, Noa de</t>
  </si>
  <si>
    <t>Westerbeek, Manuel</t>
  </si>
  <si>
    <t>Rijkers, Ilse</t>
  </si>
  <si>
    <t>Timmer, Edith</t>
  </si>
  <si>
    <t>Verkerke, Julia</t>
  </si>
  <si>
    <t>D5</t>
  </si>
  <si>
    <t>Ilonka Bouwknecht</t>
  </si>
  <si>
    <t>Bozuwa, Julia</t>
  </si>
  <si>
    <t>Hashmei, Ali</t>
  </si>
  <si>
    <t>Joram Flach</t>
  </si>
  <si>
    <t>Hage, Quindsey</t>
  </si>
  <si>
    <t>Huijgen, Tim</t>
  </si>
  <si>
    <t>Steenis, Yelena van</t>
  </si>
  <si>
    <t>Koornneef, Tommie</t>
  </si>
  <si>
    <t>Tunςyürek, Sümeyra</t>
  </si>
  <si>
    <t>Maas, Gijsbert</t>
  </si>
  <si>
    <t>Varik, Roos van</t>
  </si>
  <si>
    <t>Pille, Menno</t>
  </si>
  <si>
    <t>Opstelling E - Teams 2017-2018</t>
  </si>
  <si>
    <t>E1</t>
  </si>
  <si>
    <t>Erik vd Burgt</t>
  </si>
  <si>
    <t>Burgt, Elize van de</t>
  </si>
  <si>
    <t>Camphens, Tijn</t>
  </si>
  <si>
    <t>Ilse Zuiderwijk</t>
  </si>
  <si>
    <t>Klooster, Carmen van der</t>
  </si>
  <si>
    <t>Heersping, Dani</t>
  </si>
  <si>
    <t>Demi v Dijk</t>
  </si>
  <si>
    <t>Verboom, Stella</t>
  </si>
  <si>
    <t>Sas, Maarten</t>
  </si>
  <si>
    <t>E2</t>
  </si>
  <si>
    <t>Jos Driesprong</t>
  </si>
  <si>
    <t>Everaarts, Anna</t>
  </si>
  <si>
    <t>Dekker, Onno den</t>
  </si>
  <si>
    <t>Lisa Kruithof</t>
  </si>
  <si>
    <t>Kilsdonk, Sophie</t>
  </si>
  <si>
    <t>Driesprong, Niek</t>
  </si>
  <si>
    <t>Linden, Benthe van der</t>
  </si>
  <si>
    <t>Mahabier, Jeevan</t>
  </si>
  <si>
    <t>E3</t>
  </si>
  <si>
    <t>Sam de Jager</t>
  </si>
  <si>
    <t>Lohuis, Floor</t>
  </si>
  <si>
    <t>Bonnier, Tijn</t>
  </si>
  <si>
    <t>Noa Los</t>
  </si>
  <si>
    <t>Reuvers, Lisa</t>
  </si>
  <si>
    <t>Quarre, Stephan</t>
  </si>
  <si>
    <t>Zwanenburg, Robin</t>
  </si>
  <si>
    <t>E4</t>
  </si>
  <si>
    <t>Renate Vliet-Koster</t>
  </si>
  <si>
    <t>Borsboom, Lis</t>
  </si>
  <si>
    <t>Est, Koen van</t>
  </si>
  <si>
    <t>Suzanne Klink</t>
  </si>
  <si>
    <t>Oomens, Hanna</t>
  </si>
  <si>
    <t>Kuijper, Raoul</t>
  </si>
  <si>
    <t>Voorbij, Doeska</t>
  </si>
  <si>
    <t>Vliet, Kian</t>
  </si>
  <si>
    <t>E5</t>
  </si>
  <si>
    <t>Nynke Brouwer</t>
  </si>
  <si>
    <t>Bemer, Githa</t>
  </si>
  <si>
    <t>Sempel, Jasper</t>
  </si>
  <si>
    <t>Lisa Volker</t>
  </si>
  <si>
    <t>Dongen, Madelief van</t>
  </si>
  <si>
    <t>Kamezman, Zoe</t>
  </si>
  <si>
    <t>Reijerkerk, Sterre</t>
  </si>
  <si>
    <t>E6</t>
  </si>
  <si>
    <t>E7</t>
  </si>
  <si>
    <t>Natasha Bernards</t>
  </si>
  <si>
    <t>E8</t>
  </si>
  <si>
    <t>Opstelling F - Teams 2017-2018</t>
  </si>
  <si>
    <t>F1</t>
  </si>
  <si>
    <t>Lianne Stomp</t>
  </si>
  <si>
    <t>Kleingeld, Julia</t>
  </si>
  <si>
    <t>Sas, Niek</t>
  </si>
  <si>
    <t>Tirza Fernhout</t>
  </si>
  <si>
    <t>Stomp, Noa</t>
  </si>
  <si>
    <t>Stomp, Joshua</t>
  </si>
  <si>
    <t>Marleen Batenburg</t>
  </si>
  <si>
    <t>Volker, Tess</t>
  </si>
  <si>
    <t>Ven, Jonas van de</t>
  </si>
  <si>
    <t>F2</t>
  </si>
  <si>
    <t>Loïs Fernhout</t>
  </si>
  <si>
    <t>Baas, Nikki</t>
  </si>
  <si>
    <t>Eva Teerds</t>
  </si>
  <si>
    <t>Burgt, Feline van de</t>
  </si>
  <si>
    <t>Est, Sarah van</t>
  </si>
  <si>
    <t>Klooster, Danique van de</t>
  </si>
  <si>
    <t>Plaisier, Floor</t>
  </si>
  <si>
    <t>Vaartmans, Britt</t>
  </si>
  <si>
    <t>F3</t>
  </si>
  <si>
    <t>Mirjam Noordam</t>
  </si>
  <si>
    <t>Bakker, Femke</t>
  </si>
  <si>
    <t>Hart, Olav 't</t>
  </si>
  <si>
    <t>Laura Koote</t>
  </si>
  <si>
    <t>Bouwknegt, Enora</t>
  </si>
  <si>
    <t>Post, Joaz</t>
  </si>
  <si>
    <t>Veld, Puck in 't</t>
  </si>
  <si>
    <t>Verhoef, Hanna</t>
  </si>
  <si>
    <t>F4</t>
  </si>
  <si>
    <t>Jet v Trooijen</t>
  </si>
  <si>
    <t>Boer, Esmee de</t>
  </si>
  <si>
    <t>Isabel Schröder</t>
  </si>
  <si>
    <t>Engelfriet, Demi</t>
  </si>
  <si>
    <t>Nijhoff, Liv</t>
  </si>
  <si>
    <t>Tijssen, Naomi</t>
  </si>
  <si>
    <t>Wiel, Danique van der</t>
  </si>
  <si>
    <t>F5</t>
  </si>
  <si>
    <t>Ingrid Vaartmans</t>
  </si>
  <si>
    <t>Tessa Dubbeld</t>
  </si>
  <si>
    <t>Mirte Rijsdijk</t>
  </si>
  <si>
    <t>F</t>
  </si>
  <si>
    <t>Camphens, Saar</t>
  </si>
  <si>
    <t>Heersping, Sander</t>
  </si>
  <si>
    <t>Romy van Klaveren</t>
  </si>
  <si>
    <t>Grootenboer, Tess</t>
  </si>
  <si>
    <t>Jongkind, Floortje</t>
  </si>
  <si>
    <t>Vercouteren, Noortje</t>
  </si>
  <si>
    <t>KANG</t>
  </si>
  <si>
    <t>Anouk de Reus</t>
  </si>
  <si>
    <t>Voorbij, Lova</t>
  </si>
  <si>
    <t>Laban, Freek</t>
  </si>
  <si>
    <t>Kim de Reus</t>
  </si>
  <si>
    <t>Sempel, Ruben</t>
  </si>
  <si>
    <t>Hilde Visser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</si>
</sst>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1" fillId="0" borderId="8" xfId="0" applyFont="1" applyBorder="1"/>
    <xf numFmtId="14" fontId="1" fillId="0" borderId="8" xfId="0" applyNumberFormat="1" applyFont="1" applyBorder="1"/>
    <xf numFmtId="0" fontId="1" fillId="0" borderId="8" xfId="0" applyFont="1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0" fillId="0" borderId="1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4" fontId="0" fillId="2" borderId="0" xfId="0" applyNumberFormat="1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8" xfId="0" applyBorder="1"/>
    <xf numFmtId="0" fontId="0" fillId="2" borderId="1" xfId="0" applyFill="1" applyBorder="1"/>
    <xf numFmtId="0" fontId="0" fillId="2" borderId="12" xfId="0" applyFill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5" fillId="0" borderId="1" xfId="0" applyFont="1" applyBorder="1"/>
    <xf numFmtId="0" fontId="0" fillId="6" borderId="0" xfId="0" applyFill="1"/>
    <xf numFmtId="0" fontId="0" fillId="3" borderId="2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14" fontId="0" fillId="0" borderId="8" xfId="0" applyNumberFormat="1" applyBorder="1"/>
    <xf numFmtId="0" fontId="0" fillId="0" borderId="8" xfId="0" applyBorder="1" applyAlignment="1">
      <alignment horizontal="center"/>
    </xf>
    <xf numFmtId="0" fontId="5" fillId="0" borderId="0" xfId="0" applyFont="1"/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" xfId="0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Standaard" xfId="0" builtinId="0"/>
  </cellStyles>
  <dxfs count="6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Korfbal\Seizoen%202017-2018\OW%20seizoen%202017-2018%20v1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Sen"/>
      <sheetName val="Team A"/>
      <sheetName val="Team B"/>
      <sheetName val="Team C"/>
      <sheetName val="Team D"/>
      <sheetName val="Team E"/>
      <sheetName val="Team F"/>
      <sheetName val="Leden"/>
      <sheetName val="Blad1"/>
      <sheetName val="Blad2"/>
      <sheetName val="Hulplij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Dames</v>
          </cell>
          <cell r="H1" t="str">
            <v>Team       17-18</v>
          </cell>
          <cell r="J1" t="str">
            <v>Heren</v>
          </cell>
          <cell r="Q1" t="str">
            <v>Team       17-18</v>
          </cell>
        </row>
        <row r="2">
          <cell r="A2" t="str">
            <v>Broere, Dionne</v>
          </cell>
          <cell r="B2" t="str">
            <v>NKC46R0</v>
          </cell>
          <cell r="C2" t="str">
            <v>Broere, Dionne</v>
          </cell>
          <cell r="D2" t="str">
            <v>Dionne</v>
          </cell>
          <cell r="E2">
            <v>36460</v>
          </cell>
          <cell r="H2" t="str">
            <v>A1</v>
          </cell>
          <cell r="J2" t="str">
            <v>Brouwer, Jop</v>
          </cell>
          <cell r="K2" t="str">
            <v>NJT90M2</v>
          </cell>
          <cell r="L2" t="str">
            <v>Brouwer, Jop</v>
          </cell>
          <cell r="M2" t="str">
            <v>Jop</v>
          </cell>
          <cell r="N2">
            <v>36429</v>
          </cell>
          <cell r="Q2" t="str">
            <v>A1</v>
          </cell>
        </row>
        <row r="3">
          <cell r="A3" t="str">
            <v>Euser, Susanne</v>
          </cell>
          <cell r="B3" t="str">
            <v>NJG60C4</v>
          </cell>
          <cell r="C3" t="str">
            <v>Euser, Susanne</v>
          </cell>
          <cell r="D3" t="str">
            <v>Susanne</v>
          </cell>
          <cell r="E3">
            <v>36429</v>
          </cell>
          <cell r="H3" t="str">
            <v>A1</v>
          </cell>
          <cell r="J3" t="str">
            <v>Gent, Tim van</v>
          </cell>
          <cell r="K3" t="str">
            <v>NJZ00W3</v>
          </cell>
          <cell r="L3" t="str">
            <v>Gent, Tim van</v>
          </cell>
          <cell r="M3" t="str">
            <v>Tim</v>
          </cell>
          <cell r="N3">
            <v>36567</v>
          </cell>
          <cell r="Q3" t="str">
            <v>A1</v>
          </cell>
        </row>
        <row r="4">
          <cell r="A4" t="str">
            <v>Morée, Jessica de</v>
          </cell>
          <cell r="B4" t="str">
            <v>NKD16N8</v>
          </cell>
          <cell r="C4" t="str">
            <v>Morée, Jessica de</v>
          </cell>
          <cell r="D4" t="str">
            <v>Jessica</v>
          </cell>
          <cell r="E4">
            <v>36706</v>
          </cell>
          <cell r="H4" t="str">
            <v>A1</v>
          </cell>
          <cell r="J4" t="str">
            <v>Oppe, Bo</v>
          </cell>
          <cell r="K4" t="str">
            <v>NJR12K2</v>
          </cell>
          <cell r="L4" t="str">
            <v>Oppe, Bo</v>
          </cell>
          <cell r="M4" t="str">
            <v>Bo</v>
          </cell>
          <cell r="N4">
            <v>36432</v>
          </cell>
          <cell r="Q4" t="str">
            <v>A1</v>
          </cell>
        </row>
        <row r="5">
          <cell r="A5" t="str">
            <v>Schram, Merel</v>
          </cell>
          <cell r="B5" t="str">
            <v>NJW77M6</v>
          </cell>
          <cell r="C5" t="str">
            <v>Schram, Merel</v>
          </cell>
          <cell r="D5" t="str">
            <v>Merel</v>
          </cell>
          <cell r="E5">
            <v>36432</v>
          </cell>
          <cell r="H5" t="str">
            <v>A1</v>
          </cell>
          <cell r="J5" t="str">
            <v>Schild, Yannick</v>
          </cell>
          <cell r="K5" t="str">
            <v>NJR87G4</v>
          </cell>
          <cell r="L5" t="str">
            <v>Schild, Yannick</v>
          </cell>
          <cell r="M5" t="str">
            <v>Yannick</v>
          </cell>
          <cell r="N5">
            <v>36272</v>
          </cell>
          <cell r="Q5" t="str">
            <v>A1</v>
          </cell>
        </row>
        <row r="6">
          <cell r="A6" t="str">
            <v>Zuijderwijk, Ilse</v>
          </cell>
          <cell r="B6" t="str">
            <v>NKD20B1</v>
          </cell>
          <cell r="C6" t="str">
            <v>Zuijderwijk, Ilse</v>
          </cell>
          <cell r="D6" t="str">
            <v>Ilse</v>
          </cell>
          <cell r="E6">
            <v>37091</v>
          </cell>
          <cell r="H6" t="str">
            <v>A1</v>
          </cell>
          <cell r="J6" t="str">
            <v>Friebel, Luuk</v>
          </cell>
          <cell r="K6" t="str">
            <v>NLB70W8</v>
          </cell>
          <cell r="L6" t="str">
            <v>Friebel, Luuk</v>
          </cell>
          <cell r="M6" t="str">
            <v>Luuk</v>
          </cell>
          <cell r="N6">
            <v>36683</v>
          </cell>
          <cell r="Q6" t="str">
            <v>A2</v>
          </cell>
        </row>
        <row r="7">
          <cell r="A7" t="str">
            <v>Dijk, Demi van</v>
          </cell>
          <cell r="B7" t="str">
            <v>NKG59L6</v>
          </cell>
          <cell r="C7" t="str">
            <v>Dijk, Demi van</v>
          </cell>
          <cell r="D7" t="str">
            <v>Demi</v>
          </cell>
          <cell r="E7">
            <v>36938</v>
          </cell>
          <cell r="H7" t="str">
            <v>A2</v>
          </cell>
          <cell r="J7" t="str">
            <v>Hooijdonk, Siem van</v>
          </cell>
          <cell r="K7" t="str">
            <v>NKW50T1</v>
          </cell>
          <cell r="L7" t="str">
            <v>Hooijdonk, Siem van</v>
          </cell>
          <cell r="M7" t="str">
            <v>Siem</v>
          </cell>
          <cell r="N7">
            <v>37027</v>
          </cell>
          <cell r="Q7" t="str">
            <v>A2</v>
          </cell>
        </row>
        <row r="8">
          <cell r="A8" t="str">
            <v>Dommisse, Kim</v>
          </cell>
          <cell r="B8" t="str">
            <v>NKG59H8</v>
          </cell>
          <cell r="C8" t="str">
            <v>Dommisse, Kim</v>
          </cell>
          <cell r="D8" t="str">
            <v>Kim</v>
          </cell>
          <cell r="E8">
            <v>36993</v>
          </cell>
          <cell r="H8" t="str">
            <v>A2</v>
          </cell>
          <cell r="J8" t="str">
            <v>Jager, Sam de</v>
          </cell>
          <cell r="K8" t="str">
            <v>NJZ00Y7</v>
          </cell>
          <cell r="L8" t="str">
            <v>Jager, Sam de</v>
          </cell>
          <cell r="M8" t="str">
            <v>Sam</v>
          </cell>
          <cell r="N8">
            <v>36588</v>
          </cell>
          <cell r="Q8" t="str">
            <v>A2</v>
          </cell>
        </row>
        <row r="9">
          <cell r="A9" t="str">
            <v>Driesprong, Anne</v>
          </cell>
          <cell r="B9" t="str">
            <v>NKD19X7</v>
          </cell>
          <cell r="C9" t="str">
            <v>Driesprong, Anne</v>
          </cell>
          <cell r="D9" t="str">
            <v>Anne</v>
          </cell>
          <cell r="E9">
            <v>36727</v>
          </cell>
          <cell r="H9" t="str">
            <v>A2</v>
          </cell>
          <cell r="J9" t="str">
            <v>Klink, Stijn</v>
          </cell>
          <cell r="K9" t="str">
            <v>NJX60W1</v>
          </cell>
          <cell r="L9" t="str">
            <v>Klink, Stijn</v>
          </cell>
          <cell r="M9" t="str">
            <v>Stijn</v>
          </cell>
          <cell r="N9">
            <v>36833</v>
          </cell>
          <cell r="Q9" t="str">
            <v>A2</v>
          </cell>
        </row>
        <row r="10">
          <cell r="A10" t="str">
            <v>Jong, Céline de</v>
          </cell>
          <cell r="B10" t="str">
            <v>NJX04V6</v>
          </cell>
          <cell r="C10" t="str">
            <v>Jong, Céline de</v>
          </cell>
          <cell r="D10" t="str">
            <v>Céline</v>
          </cell>
          <cell r="E10">
            <v>36849</v>
          </cell>
          <cell r="H10" t="str">
            <v>A2</v>
          </cell>
          <cell r="J10" t="str">
            <v>Lichteveld, Jarno</v>
          </cell>
          <cell r="K10" t="str">
            <v>NJF62V2</v>
          </cell>
          <cell r="L10" t="str">
            <v>Lichteveld, Jarno</v>
          </cell>
          <cell r="M10" t="str">
            <v>Jarno</v>
          </cell>
          <cell r="N10">
            <v>36724</v>
          </cell>
          <cell r="Q10" t="str">
            <v>A2</v>
          </cell>
        </row>
        <row r="11">
          <cell r="A11" t="str">
            <v>Kraaij, Channa</v>
          </cell>
          <cell r="B11" t="str">
            <v>NKJ87Y9</v>
          </cell>
          <cell r="C11" t="str">
            <v>Kraaij, Channa</v>
          </cell>
          <cell r="D11" t="str">
            <v>Channa</v>
          </cell>
          <cell r="E11">
            <v>36498</v>
          </cell>
          <cell r="H11" t="str">
            <v>A2</v>
          </cell>
          <cell r="J11" t="str">
            <v>Driel, Quinten van</v>
          </cell>
          <cell r="K11" t="str">
            <v>NKT73W8</v>
          </cell>
          <cell r="L11" t="str">
            <v>Driel, Quinten van</v>
          </cell>
          <cell r="M11" t="str">
            <v>Quinten</v>
          </cell>
          <cell r="N11">
            <v>36666</v>
          </cell>
          <cell r="Q11" t="str">
            <v>A3</v>
          </cell>
        </row>
        <row r="12">
          <cell r="A12" t="str">
            <v>Schild, Quinty</v>
          </cell>
          <cell r="B12" t="str">
            <v>NKL22V5</v>
          </cell>
          <cell r="C12" t="str">
            <v>Schild, Quinty</v>
          </cell>
          <cell r="D12" t="str">
            <v>Quinty</v>
          </cell>
          <cell r="E12">
            <v>37540</v>
          </cell>
          <cell r="H12" t="str">
            <v>A2</v>
          </cell>
          <cell r="J12" t="str">
            <v>Dubbeld, Ruben</v>
          </cell>
          <cell r="K12" t="str">
            <v>NJY83B4</v>
          </cell>
          <cell r="L12" t="str">
            <v>Dubbeld, Ruben</v>
          </cell>
          <cell r="M12" t="str">
            <v>Ruben</v>
          </cell>
          <cell r="N12">
            <v>36865</v>
          </cell>
          <cell r="Q12" t="str">
            <v>A3</v>
          </cell>
        </row>
        <row r="13">
          <cell r="A13" t="str">
            <v>Dubbeld, Tessa</v>
          </cell>
          <cell r="B13" t="str">
            <v>NJY82Z9</v>
          </cell>
          <cell r="C13" t="str">
            <v>Dubbeld, Tessa</v>
          </cell>
          <cell r="D13" t="str">
            <v>Tessa</v>
          </cell>
          <cell r="E13">
            <v>36865</v>
          </cell>
          <cell r="H13" t="str">
            <v>A3</v>
          </cell>
          <cell r="J13" t="str">
            <v>Jong, Erik de</v>
          </cell>
          <cell r="K13" t="str">
            <v>NKM14K0</v>
          </cell>
          <cell r="L13" t="str">
            <v>Jong, Erik de</v>
          </cell>
          <cell r="M13" t="str">
            <v>Erik</v>
          </cell>
          <cell r="N13">
            <v>36843</v>
          </cell>
          <cell r="Q13" t="str">
            <v>A3</v>
          </cell>
        </row>
        <row r="14">
          <cell r="A14" t="str">
            <v>Hulsker, Nina</v>
          </cell>
          <cell r="B14" t="str">
            <v>NKB62K8</v>
          </cell>
          <cell r="C14" t="str">
            <v>Hulsker, Nina</v>
          </cell>
          <cell r="D14" t="str">
            <v>Nina</v>
          </cell>
          <cell r="E14">
            <v>36385</v>
          </cell>
          <cell r="H14" t="str">
            <v>A3</v>
          </cell>
          <cell r="J14" t="str">
            <v>Klijn, Calvin</v>
          </cell>
          <cell r="K14" t="str">
            <v>NKQ70H1</v>
          </cell>
          <cell r="L14" t="str">
            <v>Klijn, Calvin</v>
          </cell>
          <cell r="M14" t="str">
            <v>Calvin</v>
          </cell>
          <cell r="N14">
            <v>36605</v>
          </cell>
          <cell r="Q14" t="str">
            <v>A3</v>
          </cell>
        </row>
        <row r="15">
          <cell r="A15" t="str">
            <v>Lacroes, Jany</v>
          </cell>
          <cell r="B15" t="str">
            <v>NJH13R4</v>
          </cell>
          <cell r="C15" t="str">
            <v>Lacroes, Jany</v>
          </cell>
          <cell r="D15" t="str">
            <v>Jany</v>
          </cell>
          <cell r="E15">
            <v>36013</v>
          </cell>
          <cell r="H15" t="str">
            <v>A3</v>
          </cell>
          <cell r="J15" t="str">
            <v>Baars, Luuk</v>
          </cell>
          <cell r="K15" t="str">
            <v>NKN65B6</v>
          </cell>
          <cell r="L15" t="str">
            <v>Baars, Luuk</v>
          </cell>
          <cell r="M15" t="str">
            <v>Luuk</v>
          </cell>
          <cell r="N15">
            <v>36929</v>
          </cell>
          <cell r="Q15" t="str">
            <v>A4</v>
          </cell>
        </row>
        <row r="16">
          <cell r="A16" t="str">
            <v>Oord, Kim van</v>
          </cell>
          <cell r="B16" t="str">
            <v>NJQ72Q3</v>
          </cell>
          <cell r="C16" t="str">
            <v>Oord, Kim van</v>
          </cell>
          <cell r="D16" t="str">
            <v>Kim</v>
          </cell>
          <cell r="E16">
            <v>36323</v>
          </cell>
          <cell r="H16" t="str">
            <v>A3</v>
          </cell>
          <cell r="J16" t="str">
            <v>Flach, Joram</v>
          </cell>
          <cell r="K16" t="str">
            <v>NKX56P2</v>
          </cell>
          <cell r="L16" t="str">
            <v>Flach, Joram</v>
          </cell>
          <cell r="M16" t="str">
            <v>Joram</v>
          </cell>
          <cell r="N16">
            <v>36465</v>
          </cell>
          <cell r="Q16" t="str">
            <v>A4</v>
          </cell>
        </row>
        <row r="17">
          <cell r="A17" t="str">
            <v>Schram, Lara</v>
          </cell>
          <cell r="B17" t="str">
            <v>NKC46S7</v>
          </cell>
          <cell r="C17" t="str">
            <v>Schram, Lara</v>
          </cell>
          <cell r="D17" t="str">
            <v>Lara</v>
          </cell>
          <cell r="E17">
            <v>36887</v>
          </cell>
          <cell r="H17" t="str">
            <v>A3</v>
          </cell>
          <cell r="J17" t="str">
            <v>Schindler, Mark</v>
          </cell>
          <cell r="K17" t="str">
            <v>NKD39Q8</v>
          </cell>
          <cell r="L17" t="str">
            <v>Schindler, Mark</v>
          </cell>
          <cell r="M17" t="str">
            <v>Mark</v>
          </cell>
          <cell r="N17">
            <v>36308</v>
          </cell>
          <cell r="Q17" t="str">
            <v>A4</v>
          </cell>
        </row>
        <row r="18">
          <cell r="A18" t="str">
            <v>Adriaansen, Isis</v>
          </cell>
          <cell r="B18" t="str">
            <v>NLC20R9</v>
          </cell>
          <cell r="C18" t="str">
            <v>Adriaansen, Isis</v>
          </cell>
          <cell r="D18" t="str">
            <v>Isis</v>
          </cell>
          <cell r="E18">
            <v>36801</v>
          </cell>
          <cell r="H18" t="str">
            <v>A4</v>
          </cell>
          <cell r="J18" t="str">
            <v>Berendsen, Peter</v>
          </cell>
          <cell r="K18" t="str">
            <v>NJH51W3</v>
          </cell>
          <cell r="L18" t="str">
            <v>Berendsen, Peter</v>
          </cell>
          <cell r="M18" t="str">
            <v>Peter</v>
          </cell>
          <cell r="N18">
            <v>35488</v>
          </cell>
          <cell r="Q18" t="str">
            <v>AR</v>
          </cell>
        </row>
        <row r="19">
          <cell r="A19" t="str">
            <v>Appelboom, Logan</v>
          </cell>
          <cell r="B19" t="str">
            <v>NKM15X4</v>
          </cell>
          <cell r="C19" t="str">
            <v>Appelboom, Logan</v>
          </cell>
          <cell r="D19" t="str">
            <v>Logan</v>
          </cell>
          <cell r="E19">
            <v>36758</v>
          </cell>
          <cell r="H19" t="str">
            <v>A4</v>
          </cell>
          <cell r="J19" t="str">
            <v>Doolaard, Christiaan</v>
          </cell>
          <cell r="K19" t="str">
            <v>NJB81P3</v>
          </cell>
          <cell r="L19" t="str">
            <v>Doolaard, Christiaan</v>
          </cell>
          <cell r="M19" t="str">
            <v>Christiaan</v>
          </cell>
          <cell r="N19">
            <v>33402</v>
          </cell>
          <cell r="Q19" t="str">
            <v>AR</v>
          </cell>
        </row>
        <row r="20">
          <cell r="A20" t="str">
            <v>Maas, Mara</v>
          </cell>
          <cell r="B20" t="str">
            <v>NKM80L0</v>
          </cell>
          <cell r="C20" t="str">
            <v>Maas, Mara</v>
          </cell>
          <cell r="D20" t="str">
            <v>Mara</v>
          </cell>
          <cell r="E20">
            <v>36928</v>
          </cell>
          <cell r="H20" t="str">
            <v>A4</v>
          </cell>
          <cell r="J20" t="str">
            <v>Hoed, Wilbert den</v>
          </cell>
          <cell r="K20" t="str">
            <v>NGT42Z3</v>
          </cell>
          <cell r="L20" t="str">
            <v>Hoed, Wilbert den</v>
          </cell>
          <cell r="M20" t="str">
            <v>Wilbert</v>
          </cell>
          <cell r="N20">
            <v>33052</v>
          </cell>
          <cell r="Q20" t="str">
            <v>AR</v>
          </cell>
        </row>
        <row r="21">
          <cell r="A21" t="str">
            <v>Schrôder, Isabel</v>
          </cell>
          <cell r="B21" t="str">
            <v>NJH77J0</v>
          </cell>
          <cell r="C21" t="str">
            <v>Schrôder, Isabel</v>
          </cell>
          <cell r="D21" t="str">
            <v>Isabel</v>
          </cell>
          <cell r="E21">
            <v>36755</v>
          </cell>
          <cell r="H21" t="str">
            <v>A4</v>
          </cell>
          <cell r="J21" t="str">
            <v>Jong, Bas de</v>
          </cell>
          <cell r="K21" t="str">
            <v>NGW10M4</v>
          </cell>
          <cell r="L21" t="str">
            <v>Jong, Bas de</v>
          </cell>
          <cell r="M21" t="str">
            <v>Bas</v>
          </cell>
          <cell r="N21">
            <v>33019</v>
          </cell>
          <cell r="Q21" t="str">
            <v>AR</v>
          </cell>
        </row>
        <row r="22">
          <cell r="A22" t="str">
            <v>Slotboom, Amber</v>
          </cell>
          <cell r="B22" t="str">
            <v>NKK88P0</v>
          </cell>
          <cell r="C22" t="str">
            <v>Slotboom, Amber</v>
          </cell>
          <cell r="D22" t="str">
            <v>Amber</v>
          </cell>
          <cell r="E22">
            <v>37224</v>
          </cell>
          <cell r="H22" t="str">
            <v>A4</v>
          </cell>
          <cell r="J22" t="str">
            <v>Kuperus, Steven</v>
          </cell>
          <cell r="K22" t="str">
            <v>NGT92Q5</v>
          </cell>
          <cell r="L22" t="str">
            <v>Kuperus, Steven</v>
          </cell>
          <cell r="M22" t="str">
            <v>Steven</v>
          </cell>
          <cell r="N22">
            <v>33058</v>
          </cell>
          <cell r="Q22" t="str">
            <v>AR</v>
          </cell>
        </row>
        <row r="23">
          <cell r="A23" t="str">
            <v>Torn, Esther</v>
          </cell>
          <cell r="B23" t="str">
            <v>NLG57J3</v>
          </cell>
          <cell r="C23" t="str">
            <v>Torn, Esther</v>
          </cell>
          <cell r="D23" t="str">
            <v>Esther</v>
          </cell>
          <cell r="E23">
            <v>36969</v>
          </cell>
          <cell r="H23" t="str">
            <v>A4</v>
          </cell>
          <cell r="J23" t="str">
            <v>Mans, Frank</v>
          </cell>
          <cell r="K23" t="str">
            <v>NJC15P1</v>
          </cell>
          <cell r="L23" t="str">
            <v>Mans, Frank</v>
          </cell>
          <cell r="M23" t="str">
            <v>Frank</v>
          </cell>
          <cell r="N23">
            <v>34751</v>
          </cell>
          <cell r="Q23" t="str">
            <v>AR</v>
          </cell>
        </row>
        <row r="24">
          <cell r="A24" t="str">
            <v>Vossepoel, Marjoleine</v>
          </cell>
          <cell r="B24" t="str">
            <v>NKZ78H4</v>
          </cell>
          <cell r="C24" t="str">
            <v>Vossepoel, Marjoleine</v>
          </cell>
          <cell r="D24" t="str">
            <v>Marjoleine</v>
          </cell>
          <cell r="E24">
            <v>36106</v>
          </cell>
          <cell r="H24" t="str">
            <v>A4</v>
          </cell>
          <cell r="J24" t="str">
            <v>Noordam, Jochem</v>
          </cell>
          <cell r="K24" t="str">
            <v>NJJ89L7</v>
          </cell>
          <cell r="L24" t="str">
            <v>Noordam, Jochem</v>
          </cell>
          <cell r="M24" t="str">
            <v>Jochem</v>
          </cell>
          <cell r="N24">
            <v>32807</v>
          </cell>
          <cell r="Q24" t="str">
            <v>AR</v>
          </cell>
        </row>
        <row r="25">
          <cell r="A25" t="str">
            <v>Wit, Nadia de</v>
          </cell>
          <cell r="B25" t="str">
            <v>NKQ14R3</v>
          </cell>
          <cell r="C25" t="str">
            <v>Wit, Nadia de</v>
          </cell>
          <cell r="D25" t="str">
            <v>Nadia</v>
          </cell>
          <cell r="E25">
            <v>37104</v>
          </cell>
          <cell r="H25" t="str">
            <v>A4</v>
          </cell>
          <cell r="J25" t="str">
            <v>Steen Redeker, Leon</v>
          </cell>
          <cell r="K25" t="str">
            <v>NGZ13W6</v>
          </cell>
          <cell r="L25" t="str">
            <v>Steen Redeker, Leon</v>
          </cell>
          <cell r="M25" t="str">
            <v>Leon</v>
          </cell>
          <cell r="N25">
            <v>33408</v>
          </cell>
          <cell r="Q25" t="str">
            <v>AR</v>
          </cell>
        </row>
        <row r="26">
          <cell r="A26" t="str">
            <v>Wit, Syrah de</v>
          </cell>
          <cell r="B26" t="str">
            <v>NKQ13Q3</v>
          </cell>
          <cell r="C26" t="str">
            <v>Wit, Syrah de</v>
          </cell>
          <cell r="D26" t="str">
            <v>Syrah</v>
          </cell>
          <cell r="E26">
            <v>37104</v>
          </cell>
          <cell r="H26" t="str">
            <v>A4</v>
          </cell>
          <cell r="J26" t="str">
            <v>Vries, Rik de</v>
          </cell>
          <cell r="K26" t="str">
            <v>NGX37Q4</v>
          </cell>
          <cell r="L26" t="str">
            <v>Vries, Rik de</v>
          </cell>
          <cell r="M26" t="str">
            <v>Rik</v>
          </cell>
          <cell r="N26">
            <v>33391</v>
          </cell>
          <cell r="Q26" t="str">
            <v>AR</v>
          </cell>
        </row>
        <row r="27">
          <cell r="A27" t="str">
            <v>Dreef, Lia</v>
          </cell>
          <cell r="B27" t="str">
            <v>NLM86X9</v>
          </cell>
          <cell r="C27" t="str">
            <v>Dreef, Lia</v>
          </cell>
          <cell r="D27" t="str">
            <v>Lia</v>
          </cell>
          <cell r="E27">
            <v>26227</v>
          </cell>
          <cell r="H27" t="str">
            <v>AR</v>
          </cell>
          <cell r="J27" t="str">
            <v>Alberts, Sem</v>
          </cell>
          <cell r="K27" t="str">
            <v>NKT15G2</v>
          </cell>
          <cell r="L27" t="str">
            <v>Alberts, Sem</v>
          </cell>
          <cell r="M27" t="str">
            <v>Sem</v>
          </cell>
          <cell r="N27">
            <v>38150</v>
          </cell>
          <cell r="Q27" t="str">
            <v>B1</v>
          </cell>
        </row>
        <row r="28">
          <cell r="A28" t="str">
            <v>Fernhout, Corine</v>
          </cell>
          <cell r="B28" t="str">
            <v>NKP97Z7</v>
          </cell>
          <cell r="C28" t="str">
            <v>Fernhout, Corine</v>
          </cell>
          <cell r="D28" t="str">
            <v>Corine</v>
          </cell>
          <cell r="E28">
            <v>26663</v>
          </cell>
          <cell r="H28" t="str">
            <v>AR</v>
          </cell>
          <cell r="J28" t="str">
            <v>Bras, Niels</v>
          </cell>
          <cell r="K28" t="str">
            <v>NKG59M3</v>
          </cell>
          <cell r="L28" t="str">
            <v>Bras, Niels</v>
          </cell>
          <cell r="M28" t="str">
            <v>Niels</v>
          </cell>
          <cell r="N28">
            <v>37292</v>
          </cell>
          <cell r="Q28" t="str">
            <v>B1</v>
          </cell>
        </row>
        <row r="29">
          <cell r="A29" t="str">
            <v>Valk-Helsloot, Gunilda</v>
          </cell>
          <cell r="B29" t="str">
            <v>NFW15M2</v>
          </cell>
          <cell r="C29" t="str">
            <v>Valk-Helsloot, Gunilda</v>
          </cell>
          <cell r="D29" t="str">
            <v>Gunilda</v>
          </cell>
          <cell r="E29">
            <v>27565</v>
          </cell>
          <cell r="H29" t="str">
            <v>AR</v>
          </cell>
          <cell r="J29" t="str">
            <v>Groeneweg, Tim</v>
          </cell>
          <cell r="K29" t="str">
            <v>NKG59J2</v>
          </cell>
          <cell r="L29" t="str">
            <v>Groeneweg, Tim</v>
          </cell>
          <cell r="M29" t="str">
            <v>Tim</v>
          </cell>
          <cell r="N29">
            <v>37246</v>
          </cell>
          <cell r="Q29" t="str">
            <v>B1</v>
          </cell>
        </row>
        <row r="30">
          <cell r="A30" t="str">
            <v>Brouwer, Nynke</v>
          </cell>
          <cell r="B30" t="str">
            <v>NKJ95M4</v>
          </cell>
          <cell r="C30" t="str">
            <v>Brouwer, Nynke</v>
          </cell>
          <cell r="D30" t="str">
            <v>Nynke</v>
          </cell>
          <cell r="E30">
            <v>37624</v>
          </cell>
          <cell r="H30" t="str">
            <v>B1</v>
          </cell>
          <cell r="J30" t="str">
            <v>Oppe, Mees</v>
          </cell>
          <cell r="K30" t="str">
            <v>NKJ95G2</v>
          </cell>
          <cell r="L30" t="str">
            <v>Oppe, Mees</v>
          </cell>
          <cell r="M30" t="str">
            <v>Mees</v>
          </cell>
          <cell r="N30">
            <v>37683</v>
          </cell>
          <cell r="Q30" t="str">
            <v>B1</v>
          </cell>
        </row>
        <row r="31">
          <cell r="A31" t="str">
            <v>Oppe, Milou</v>
          </cell>
          <cell r="B31" t="str">
            <v>NKJ95L7</v>
          </cell>
          <cell r="C31" t="str">
            <v>Oppe, Milou</v>
          </cell>
          <cell r="D31" t="str">
            <v>Milou</v>
          </cell>
          <cell r="E31">
            <v>37307</v>
          </cell>
          <cell r="H31" t="str">
            <v>B1</v>
          </cell>
          <cell r="J31" t="str">
            <v>Vinken, Jesper</v>
          </cell>
          <cell r="K31" t="str">
            <v>NKG15N8</v>
          </cell>
          <cell r="L31" t="str">
            <v>Vinken, Jesper</v>
          </cell>
          <cell r="M31" t="str">
            <v>Jesper</v>
          </cell>
          <cell r="N31">
            <v>38128</v>
          </cell>
          <cell r="Q31" t="str">
            <v>B1</v>
          </cell>
        </row>
        <row r="32">
          <cell r="A32" t="str">
            <v>Rijsdijk, Mirte</v>
          </cell>
          <cell r="B32" t="str">
            <v>NKN65D0</v>
          </cell>
          <cell r="C32" t="str">
            <v>Rijsdijk, Mirte</v>
          </cell>
          <cell r="D32" t="str">
            <v>Mirte</v>
          </cell>
          <cell r="E32">
            <v>37193</v>
          </cell>
          <cell r="H32" t="str">
            <v>B1</v>
          </cell>
          <cell r="J32" t="str">
            <v>Dalen, Freek van</v>
          </cell>
          <cell r="K32" t="str">
            <v>NKN65J2</v>
          </cell>
          <cell r="L32" t="str">
            <v>Dalen, Freek van</v>
          </cell>
          <cell r="M32" t="str">
            <v>Freek</v>
          </cell>
          <cell r="N32">
            <v>37823</v>
          </cell>
          <cell r="Q32" t="str">
            <v>B2</v>
          </cell>
        </row>
        <row r="33">
          <cell r="A33" t="str">
            <v>Seevinck, Djuna</v>
          </cell>
          <cell r="B33" t="str">
            <v>NKR20L5</v>
          </cell>
          <cell r="C33" t="str">
            <v>Seevinck, Djuna</v>
          </cell>
          <cell r="D33" t="str">
            <v>Djuna</v>
          </cell>
          <cell r="E33">
            <v>37246</v>
          </cell>
          <cell r="H33" t="str">
            <v>B1</v>
          </cell>
          <cell r="J33" t="str">
            <v>Hooijdonk, Otte van</v>
          </cell>
          <cell r="K33" t="str">
            <v>NKR57N5</v>
          </cell>
          <cell r="L33" t="str">
            <v>Hooijdonk, Otte van</v>
          </cell>
          <cell r="M33" t="str">
            <v>Otte</v>
          </cell>
          <cell r="N33">
            <v>37715</v>
          </cell>
          <cell r="Q33" t="str">
            <v>B2</v>
          </cell>
        </row>
        <row r="34">
          <cell r="A34" t="str">
            <v>Dielessen, Amy</v>
          </cell>
          <cell r="B34" t="str">
            <v>NKW21K6</v>
          </cell>
          <cell r="C34" t="str">
            <v>Dielessen, Amy</v>
          </cell>
          <cell r="D34" t="str">
            <v>Amy</v>
          </cell>
          <cell r="E34">
            <v>37858</v>
          </cell>
          <cell r="H34" t="str">
            <v>B2</v>
          </cell>
          <cell r="J34" t="str">
            <v>Steen Redeker, David</v>
          </cell>
          <cell r="K34" t="str">
            <v>NLB77H4</v>
          </cell>
          <cell r="L34" t="str">
            <v>Steen Redeker, David</v>
          </cell>
          <cell r="M34" t="str">
            <v>David</v>
          </cell>
          <cell r="N34">
            <v>37755</v>
          </cell>
          <cell r="Q34" t="str">
            <v>B2</v>
          </cell>
        </row>
        <row r="35">
          <cell r="A35" t="str">
            <v>Fernhout, Loïs</v>
          </cell>
          <cell r="B35" t="str">
            <v>NKK27B9</v>
          </cell>
          <cell r="C35" t="str">
            <v>Fernhout, Loïs</v>
          </cell>
          <cell r="D35" t="str">
            <v>Loïs</v>
          </cell>
          <cell r="E35">
            <v>37684</v>
          </cell>
          <cell r="H35" t="str">
            <v>B2</v>
          </cell>
          <cell r="J35" t="str">
            <v>Uijl, Daniel den</v>
          </cell>
          <cell r="K35" t="str">
            <v>NKY88T2</v>
          </cell>
          <cell r="L35" t="str">
            <v>Uijl, Daniel den</v>
          </cell>
          <cell r="M35" t="str">
            <v>Daniel</v>
          </cell>
          <cell r="N35">
            <v>37832</v>
          </cell>
          <cell r="Q35" t="str">
            <v>B2</v>
          </cell>
        </row>
        <row r="36">
          <cell r="A36" t="str">
            <v>Horst, Bridget ter</v>
          </cell>
          <cell r="B36" t="str">
            <v>NKR88F7</v>
          </cell>
          <cell r="C36" t="str">
            <v>Horst, Bridget ter</v>
          </cell>
          <cell r="D36" t="str">
            <v>Bridget</v>
          </cell>
          <cell r="E36">
            <v>37771</v>
          </cell>
          <cell r="H36" t="str">
            <v>B2</v>
          </cell>
          <cell r="J36" t="str">
            <v>Dalen, Daan van</v>
          </cell>
          <cell r="K36" t="str">
            <v>NKG18P1</v>
          </cell>
          <cell r="L36" t="str">
            <v>Dalen, Daan van</v>
          </cell>
          <cell r="M36" t="str">
            <v>Daan</v>
          </cell>
          <cell r="N36">
            <v>37432</v>
          </cell>
          <cell r="Q36" t="str">
            <v>B3</v>
          </cell>
        </row>
        <row r="37">
          <cell r="A37" t="str">
            <v>Teerds, Eva</v>
          </cell>
          <cell r="B37" t="str">
            <v>NKG18N7</v>
          </cell>
          <cell r="C37" t="str">
            <v>Teerds, Eva</v>
          </cell>
          <cell r="D37" t="str">
            <v>Eva</v>
          </cell>
          <cell r="E37">
            <v>37551</v>
          </cell>
          <cell r="H37" t="str">
            <v>B2</v>
          </cell>
          <cell r="J37" t="str">
            <v>Fasbender, Tijmen</v>
          </cell>
          <cell r="K37" t="str">
            <v>NKV95Q4</v>
          </cell>
          <cell r="L37" t="str">
            <v>Fasbender, Tijmen</v>
          </cell>
          <cell r="M37" t="str">
            <v>Tijmen</v>
          </cell>
          <cell r="N37">
            <v>37810</v>
          </cell>
          <cell r="Q37" t="str">
            <v>B3</v>
          </cell>
        </row>
        <row r="38">
          <cell r="A38" t="str">
            <v>Volker, Lisa</v>
          </cell>
          <cell r="B38" t="str">
            <v>NKW49Y8</v>
          </cell>
          <cell r="C38" t="str">
            <v>Volker, Lisa</v>
          </cell>
          <cell r="D38" t="str">
            <v>Lisa</v>
          </cell>
          <cell r="E38">
            <v>37712</v>
          </cell>
          <cell r="H38" t="str">
            <v>B2</v>
          </cell>
          <cell r="J38" t="str">
            <v>Boon, Thijs</v>
          </cell>
          <cell r="K38" t="str">
            <v>NKW50C2</v>
          </cell>
          <cell r="L38" t="str">
            <v>Boon, Thijs</v>
          </cell>
          <cell r="M38" t="str">
            <v>Thijs</v>
          </cell>
          <cell r="N38">
            <v>37960</v>
          </cell>
          <cell r="Q38" t="str">
            <v>B4</v>
          </cell>
        </row>
        <row r="39">
          <cell r="A39" t="str">
            <v>Auerbach, Femke</v>
          </cell>
          <cell r="B39" t="str">
            <v>NKJ95H9</v>
          </cell>
          <cell r="C39" t="str">
            <v>Auerbach, Femke</v>
          </cell>
          <cell r="D39" t="str">
            <v>Femke</v>
          </cell>
          <cell r="E39">
            <v>37481</v>
          </cell>
          <cell r="H39" t="str">
            <v>B3</v>
          </cell>
          <cell r="J39" t="str">
            <v>Vlaming, Jens de</v>
          </cell>
          <cell r="K39" t="str">
            <v>NKW30G0</v>
          </cell>
          <cell r="L39" t="str">
            <v>Vlaming, Jens de</v>
          </cell>
          <cell r="M39" t="str">
            <v>Jens</v>
          </cell>
          <cell r="N39">
            <v>37974</v>
          </cell>
          <cell r="Q39" t="str">
            <v>B4</v>
          </cell>
        </row>
        <row r="40">
          <cell r="A40" t="str">
            <v>Klaveren, Romy van</v>
          </cell>
          <cell r="B40" t="str">
            <v>NKP42S8</v>
          </cell>
          <cell r="C40" t="str">
            <v>Klaveren, Romy van</v>
          </cell>
          <cell r="D40" t="str">
            <v>Romy</v>
          </cell>
          <cell r="E40">
            <v>37590</v>
          </cell>
          <cell r="H40" t="str">
            <v>B3</v>
          </cell>
          <cell r="J40" t="str">
            <v>Altena, Jaron</v>
          </cell>
          <cell r="K40" t="str">
            <v>NLL19Y9</v>
          </cell>
          <cell r="L40" t="str">
            <v>Altena, Jaron</v>
          </cell>
          <cell r="M40" t="str">
            <v>Jaron</v>
          </cell>
          <cell r="N40">
            <v>37170</v>
          </cell>
          <cell r="Q40" t="str">
            <v>B5</v>
          </cell>
        </row>
        <row r="41">
          <cell r="A41" t="str">
            <v>Klink, Suzanne</v>
          </cell>
          <cell r="B41" t="str">
            <v>NKR09G7</v>
          </cell>
          <cell r="C41" t="str">
            <v>Klink, Suzanne</v>
          </cell>
          <cell r="D41" t="str">
            <v>Suzanne</v>
          </cell>
          <cell r="E41">
            <v>37801</v>
          </cell>
          <cell r="H41" t="str">
            <v>B3</v>
          </cell>
          <cell r="J41" t="str">
            <v>Wijgaart, Rick van de</v>
          </cell>
          <cell r="K41" t="str">
            <v>NLR23F9</v>
          </cell>
          <cell r="L41" t="str">
            <v>Wijgaart, Rick van de</v>
          </cell>
          <cell r="M41" t="str">
            <v>Rick</v>
          </cell>
          <cell r="N41">
            <v>37909</v>
          </cell>
          <cell r="Q41" t="str">
            <v>B5</v>
          </cell>
        </row>
        <row r="42">
          <cell r="A42" t="str">
            <v>Koote, Laura</v>
          </cell>
          <cell r="B42" t="str">
            <v>NKC46T4</v>
          </cell>
          <cell r="C42" t="str">
            <v>Koote, Laura</v>
          </cell>
          <cell r="D42" t="str">
            <v>Laura</v>
          </cell>
          <cell r="E42">
            <v>37269</v>
          </cell>
          <cell r="H42" t="str">
            <v>B3</v>
          </cell>
          <cell r="J42" t="str">
            <v>Hoeve, Milan ten</v>
          </cell>
          <cell r="K42" t="str">
            <v>NKR24P5</v>
          </cell>
          <cell r="L42" t="str">
            <v>Hoeve, Milan ten</v>
          </cell>
          <cell r="M42" t="str">
            <v>Milan</v>
          </cell>
          <cell r="N42">
            <v>37897</v>
          </cell>
          <cell r="Q42" t="str">
            <v>C1</v>
          </cell>
        </row>
        <row r="43">
          <cell r="A43" t="str">
            <v>Los, Noa</v>
          </cell>
          <cell r="B43" t="str">
            <v>NKJ95K0</v>
          </cell>
          <cell r="C43" t="str">
            <v>Los, Noa</v>
          </cell>
          <cell r="D43" t="str">
            <v>Noa</v>
          </cell>
          <cell r="E43">
            <v>37323</v>
          </cell>
          <cell r="H43" t="str">
            <v>B3</v>
          </cell>
          <cell r="J43" t="str">
            <v>Lohuis, Jens</v>
          </cell>
          <cell r="K43" t="str">
            <v>NLG59F1</v>
          </cell>
          <cell r="L43" t="str">
            <v>Lohuis, Jens</v>
          </cell>
          <cell r="M43" t="str">
            <v>Jens</v>
          </cell>
          <cell r="N43">
            <v>38578</v>
          </cell>
          <cell r="Q43" t="str">
            <v>C1</v>
          </cell>
        </row>
        <row r="44">
          <cell r="A44" t="str">
            <v>Spijk, Jikke van</v>
          </cell>
          <cell r="B44" t="str">
            <v>NKR57P9</v>
          </cell>
          <cell r="C44" t="str">
            <v>Spijk, Jikke van</v>
          </cell>
          <cell r="D44" t="str">
            <v>Jikke</v>
          </cell>
          <cell r="E44">
            <v>37868</v>
          </cell>
          <cell r="H44" t="str">
            <v>B3</v>
          </cell>
          <cell r="J44" t="str">
            <v>Minkelis, Jonathan van de</v>
          </cell>
          <cell r="K44" t="str">
            <v>NKW21L3</v>
          </cell>
          <cell r="L44" t="str">
            <v>Minkelis, Jonathan van de</v>
          </cell>
          <cell r="M44" t="str">
            <v>Jonathan</v>
          </cell>
          <cell r="N44">
            <v>38317</v>
          </cell>
          <cell r="Q44" t="str">
            <v>C1</v>
          </cell>
        </row>
        <row r="45">
          <cell r="A45" t="str">
            <v>Valk, Marlies</v>
          </cell>
          <cell r="B45" t="str">
            <v>NKK27G4</v>
          </cell>
          <cell r="C45" t="str">
            <v>Valk, Marlies</v>
          </cell>
          <cell r="D45" t="str">
            <v>Marlies</v>
          </cell>
          <cell r="E45">
            <v>37702</v>
          </cell>
          <cell r="H45" t="str">
            <v>B3</v>
          </cell>
          <cell r="J45" t="str">
            <v>Seevinck, Tim</v>
          </cell>
          <cell r="K45" t="str">
            <v>NKR20M2</v>
          </cell>
          <cell r="L45" t="str">
            <v>Seevinck, Tim</v>
          </cell>
          <cell r="M45" t="str">
            <v>Tim</v>
          </cell>
          <cell r="N45">
            <v>37932</v>
          </cell>
          <cell r="Q45" t="str">
            <v>C1</v>
          </cell>
        </row>
        <row r="46">
          <cell r="A46" t="str">
            <v>Ardon, Annelie</v>
          </cell>
          <cell r="B46" t="str">
            <v>NKX97P5</v>
          </cell>
          <cell r="C46" t="str">
            <v>Ardon, Annelie</v>
          </cell>
          <cell r="D46" t="str">
            <v>Annelie</v>
          </cell>
          <cell r="E46">
            <v>37669</v>
          </cell>
          <cell r="H46" t="str">
            <v>B4</v>
          </cell>
          <cell r="J46" t="str">
            <v>Dreef, Norbert</v>
          </cell>
          <cell r="K46" t="str">
            <v>NKW24B2</v>
          </cell>
          <cell r="L46" t="str">
            <v>Dreef, Norbert</v>
          </cell>
          <cell r="M46" t="str">
            <v>Norbert</v>
          </cell>
          <cell r="N46">
            <v>38034</v>
          </cell>
          <cell r="Q46" t="str">
            <v>C2</v>
          </cell>
        </row>
        <row r="47">
          <cell r="A47" t="str">
            <v>Klerk, Ayda de</v>
          </cell>
          <cell r="B47" t="str">
            <v>NLD55M5</v>
          </cell>
          <cell r="C47" t="str">
            <v>Klerk, Ayda de</v>
          </cell>
          <cell r="D47" t="str">
            <v>Ayda</v>
          </cell>
          <cell r="E47">
            <v>37720</v>
          </cell>
          <cell r="H47" t="str">
            <v>B4</v>
          </cell>
          <cell r="J47" t="str">
            <v>Geffen, Arend van</v>
          </cell>
          <cell r="K47" t="str">
            <v>NKW50B5</v>
          </cell>
          <cell r="L47" t="str">
            <v>Geffen, Arend van</v>
          </cell>
          <cell r="M47" t="str">
            <v>Arend</v>
          </cell>
          <cell r="N47">
            <v>38487</v>
          </cell>
          <cell r="Q47" t="str">
            <v>C2</v>
          </cell>
        </row>
        <row r="48">
          <cell r="A48" t="str">
            <v>Mol, Iris</v>
          </cell>
          <cell r="B48" t="str">
            <v>NKK27F7</v>
          </cell>
          <cell r="C48" t="str">
            <v>Mol, Iris</v>
          </cell>
          <cell r="D48" t="str">
            <v>Iris</v>
          </cell>
          <cell r="E48">
            <v>37516</v>
          </cell>
          <cell r="H48" t="str">
            <v>B4</v>
          </cell>
          <cell r="J48" t="str">
            <v>Koornneef, Wouter</v>
          </cell>
          <cell r="K48" t="str">
            <v>NLB71F2</v>
          </cell>
          <cell r="L48" t="str">
            <v>Koornneef, Wouter</v>
          </cell>
          <cell r="M48" t="str">
            <v>Wouter</v>
          </cell>
          <cell r="N48">
            <v>38517</v>
          </cell>
          <cell r="Q48" t="str">
            <v>C2</v>
          </cell>
        </row>
        <row r="49">
          <cell r="A49" t="str">
            <v>Oostlander, Elise</v>
          </cell>
          <cell r="B49" t="str">
            <v>NKT05Q7</v>
          </cell>
          <cell r="C49" t="str">
            <v>Oostlander, Elise</v>
          </cell>
          <cell r="D49" t="str">
            <v>Elise</v>
          </cell>
          <cell r="E49">
            <v>37494</v>
          </cell>
          <cell r="H49" t="str">
            <v>B4</v>
          </cell>
          <cell r="J49" t="str">
            <v>Kuijper, David</v>
          </cell>
          <cell r="K49" t="str">
            <v>NKW21H5</v>
          </cell>
          <cell r="L49" t="str">
            <v>Kuijper, David</v>
          </cell>
          <cell r="M49" t="str">
            <v>David</v>
          </cell>
          <cell r="N49">
            <v>37971</v>
          </cell>
          <cell r="Q49" t="str">
            <v>C2</v>
          </cell>
        </row>
        <row r="50">
          <cell r="A50" t="str">
            <v>Pierse, Anniek</v>
          </cell>
          <cell r="B50" t="str">
            <v>NKJ29C1</v>
          </cell>
          <cell r="C50" t="str">
            <v>Pierse, Anniek</v>
          </cell>
          <cell r="D50" t="str">
            <v>Anniek</v>
          </cell>
          <cell r="E50">
            <v>37324</v>
          </cell>
          <cell r="H50" t="str">
            <v>B4</v>
          </cell>
          <cell r="J50" t="str">
            <v>Meijer, Joeke</v>
          </cell>
          <cell r="K50" t="str">
            <v>NLB70Y2</v>
          </cell>
          <cell r="L50" t="str">
            <v>Meijer, Joeke</v>
          </cell>
          <cell r="M50" t="str">
            <v>Joeke</v>
          </cell>
          <cell r="N50">
            <v>38617</v>
          </cell>
          <cell r="Q50" t="str">
            <v>C3</v>
          </cell>
        </row>
        <row r="51">
          <cell r="A51" t="str">
            <v>Reus, Anouk de</v>
          </cell>
          <cell r="B51" t="str">
            <v>NKG18Q8</v>
          </cell>
          <cell r="C51" t="str">
            <v>Reus, Anouk de</v>
          </cell>
          <cell r="D51" t="str">
            <v>Anouk</v>
          </cell>
          <cell r="E51">
            <v>37466</v>
          </cell>
          <cell r="H51" t="str">
            <v>B4</v>
          </cell>
          <cell r="J51" t="str">
            <v>Vegt, Laurens van der</v>
          </cell>
          <cell r="K51" t="str">
            <v>NLM94J0</v>
          </cell>
          <cell r="L51" t="str">
            <v>Vegt, Laurens van der</v>
          </cell>
          <cell r="M51" t="str">
            <v>Laurens</v>
          </cell>
          <cell r="N51">
            <v>38716</v>
          </cell>
          <cell r="Q51" t="str">
            <v>C3</v>
          </cell>
        </row>
        <row r="52">
          <cell r="A52" t="str">
            <v>Wijngaarden, Dagmar van</v>
          </cell>
          <cell r="B52" t="str">
            <v>NKR24N1</v>
          </cell>
          <cell r="C52" t="str">
            <v>Wijngaarden, Dagmar van</v>
          </cell>
          <cell r="D52" t="str">
            <v>Dagmar</v>
          </cell>
          <cell r="E52">
            <v>37177</v>
          </cell>
          <cell r="H52" t="str">
            <v>B4</v>
          </cell>
          <cell r="J52" t="str">
            <v>IJben, Chris</v>
          </cell>
          <cell r="K52" t="str">
            <v>NLJ47N9</v>
          </cell>
          <cell r="L52" t="str">
            <v>IJben, Chris</v>
          </cell>
          <cell r="M52" t="str">
            <v>Chris</v>
          </cell>
          <cell r="N52">
            <v>38519</v>
          </cell>
          <cell r="Q52" t="str">
            <v>C4</v>
          </cell>
        </row>
        <row r="53">
          <cell r="A53" t="str">
            <v>Canli, Dilan</v>
          </cell>
          <cell r="B53" t="str">
            <v>NLN68P0</v>
          </cell>
          <cell r="C53" t="str">
            <v>Canli, Dilan</v>
          </cell>
          <cell r="D53" t="str">
            <v>Dilan</v>
          </cell>
          <cell r="E53">
            <v>37333</v>
          </cell>
          <cell r="H53" t="str">
            <v>B5</v>
          </cell>
          <cell r="J53" t="str">
            <v>Timmer, Jordan</v>
          </cell>
          <cell r="K53" t="str">
            <v>NLL37Q7</v>
          </cell>
          <cell r="L53" t="str">
            <v>Timmer, Jordan</v>
          </cell>
          <cell r="M53" t="str">
            <v>Jordan</v>
          </cell>
          <cell r="N53">
            <v>38010</v>
          </cell>
          <cell r="Q53" t="str">
            <v>C4</v>
          </cell>
        </row>
        <row r="54">
          <cell r="A54" t="str">
            <v>Dubbeld, Sanne</v>
          </cell>
          <cell r="B54" t="str">
            <v>NLS08G2</v>
          </cell>
          <cell r="C54" t="str">
            <v>Dubbeld, Sanne</v>
          </cell>
          <cell r="D54" t="str">
            <v>Sanne</v>
          </cell>
          <cell r="E54">
            <v>37295</v>
          </cell>
          <cell r="H54" t="str">
            <v>B5</v>
          </cell>
          <cell r="J54" t="str">
            <v>Wietses, Joël</v>
          </cell>
          <cell r="K54" t="str">
            <v>NKX66T5</v>
          </cell>
          <cell r="L54" t="str">
            <v>Wietses, Joël</v>
          </cell>
          <cell r="M54" t="str">
            <v>Joël</v>
          </cell>
          <cell r="N54">
            <v>38502</v>
          </cell>
          <cell r="Q54" t="str">
            <v>C4</v>
          </cell>
        </row>
        <row r="55">
          <cell r="A55" t="str">
            <v>Friebel, Angela</v>
          </cell>
          <cell r="B55" t="str">
            <v>NLB70X5</v>
          </cell>
          <cell r="C55" t="str">
            <v>Friebel, Angela</v>
          </cell>
          <cell r="D55" t="str">
            <v>Angela</v>
          </cell>
          <cell r="E55">
            <v>37541</v>
          </cell>
          <cell r="H55" t="str">
            <v>B5</v>
          </cell>
          <cell r="J55" t="str">
            <v>Bantis, Jorgos</v>
          </cell>
          <cell r="K55" t="str">
            <v>NKX06P7</v>
          </cell>
          <cell r="L55" t="str">
            <v>Bantis, Jorgos</v>
          </cell>
          <cell r="M55" t="str">
            <v>Jorgos</v>
          </cell>
          <cell r="N55">
            <v>38257</v>
          </cell>
          <cell r="Q55" t="str">
            <v>C5</v>
          </cell>
        </row>
        <row r="56">
          <cell r="A56" t="str">
            <v>Kloot, Elin</v>
          </cell>
          <cell r="B56" t="str">
            <v>NKW49Z5</v>
          </cell>
          <cell r="C56" t="str">
            <v>Kloot, Elin</v>
          </cell>
          <cell r="D56" t="str">
            <v>Elin</v>
          </cell>
          <cell r="E56">
            <v>37956</v>
          </cell>
          <cell r="H56" t="str">
            <v>B5</v>
          </cell>
          <cell r="J56" t="str">
            <v>Barneveld, Rob van</v>
          </cell>
          <cell r="K56" t="str">
            <v>NLG57K0</v>
          </cell>
          <cell r="L56" t="str">
            <v>Barneveld, Rob van</v>
          </cell>
          <cell r="M56" t="str">
            <v>Rob</v>
          </cell>
          <cell r="N56">
            <v>37992</v>
          </cell>
          <cell r="Q56" t="str">
            <v>C5</v>
          </cell>
        </row>
        <row r="57">
          <cell r="A57" t="str">
            <v>Koornneef, Lotte</v>
          </cell>
          <cell r="B57" t="str">
            <v>NKN64T9</v>
          </cell>
          <cell r="C57" t="str">
            <v>Koornneef, Lotte</v>
          </cell>
          <cell r="D57" t="str">
            <v>Lotte</v>
          </cell>
          <cell r="E57">
            <v>37673</v>
          </cell>
          <cell r="H57" t="str">
            <v>B5</v>
          </cell>
          <cell r="J57" t="str">
            <v>Everaarts, Jesse</v>
          </cell>
          <cell r="K57" t="str">
            <v>NLC07T4</v>
          </cell>
          <cell r="L57" t="str">
            <v>Everaarts, Jesse</v>
          </cell>
          <cell r="M57" t="str">
            <v>Jesse</v>
          </cell>
          <cell r="N57">
            <v>38346</v>
          </cell>
          <cell r="Q57" t="str">
            <v>C5</v>
          </cell>
        </row>
        <row r="58">
          <cell r="A58" t="str">
            <v>Taal, Lisa</v>
          </cell>
          <cell r="B58" t="str">
            <v>NLD26P4</v>
          </cell>
          <cell r="C58" t="str">
            <v>Taal, Lisa</v>
          </cell>
          <cell r="D58" t="str">
            <v>Lisa</v>
          </cell>
          <cell r="E58">
            <v>37931</v>
          </cell>
          <cell r="H58" t="str">
            <v>B5</v>
          </cell>
          <cell r="J58" t="str">
            <v>Lange, Mathijs</v>
          </cell>
          <cell r="K58" t="str">
            <v>NKW50D9</v>
          </cell>
          <cell r="L58" t="str">
            <v>Lange, Mathijs</v>
          </cell>
          <cell r="M58" t="str">
            <v>Mathijs</v>
          </cell>
          <cell r="N58">
            <v>38169</v>
          </cell>
          <cell r="Q58" t="str">
            <v>C5</v>
          </cell>
        </row>
        <row r="59">
          <cell r="A59" t="str">
            <v>Verhagen, Femke</v>
          </cell>
          <cell r="B59" t="str">
            <v>NKX56V4</v>
          </cell>
          <cell r="C59" t="str">
            <v>Verhagen, Femke</v>
          </cell>
          <cell r="D59" t="str">
            <v>Femke</v>
          </cell>
          <cell r="E59">
            <v>37292</v>
          </cell>
          <cell r="H59" t="str">
            <v>B5</v>
          </cell>
          <cell r="J59" t="str">
            <v>Schindler, Rick</v>
          </cell>
          <cell r="K59" t="str">
            <v>NKV67F8</v>
          </cell>
          <cell r="L59" t="str">
            <v>Schindler, Rick</v>
          </cell>
          <cell r="M59" t="str">
            <v>Rick</v>
          </cell>
          <cell r="N59">
            <v>37453</v>
          </cell>
          <cell r="Q59" t="str">
            <v>C5</v>
          </cell>
        </row>
        <row r="60">
          <cell r="A60" t="str">
            <v>Willigen, Danique van</v>
          </cell>
          <cell r="B60" t="str">
            <v>NLL37R4</v>
          </cell>
          <cell r="C60" t="str">
            <v>Willigen, Danique van</v>
          </cell>
          <cell r="D60" t="str">
            <v>Danique</v>
          </cell>
          <cell r="E60">
            <v>38240</v>
          </cell>
          <cell r="H60" t="str">
            <v>B5</v>
          </cell>
          <cell r="J60" t="str">
            <v>Verhagen, Laurens</v>
          </cell>
          <cell r="K60" t="str">
            <v>NKX56T0</v>
          </cell>
          <cell r="L60" t="str">
            <v>Verhagen, Laurens</v>
          </cell>
          <cell r="M60" t="str">
            <v>Laurens</v>
          </cell>
          <cell r="N60">
            <v>38090</v>
          </cell>
          <cell r="Q60" t="str">
            <v>C5</v>
          </cell>
        </row>
        <row r="61">
          <cell r="A61" t="str">
            <v>Driesprong, Meike</v>
          </cell>
          <cell r="B61" t="str">
            <v>NKQ40Q9</v>
          </cell>
          <cell r="C61" t="str">
            <v>Driesprong, Meike</v>
          </cell>
          <cell r="D61" t="str">
            <v>Meike</v>
          </cell>
          <cell r="E61">
            <v>38011</v>
          </cell>
          <cell r="H61" t="str">
            <v>C1</v>
          </cell>
          <cell r="J61" t="str">
            <v>Visser, Robert</v>
          </cell>
          <cell r="K61" t="str">
            <v>NLS37J5</v>
          </cell>
          <cell r="L61" t="str">
            <v>Visser, Robert</v>
          </cell>
          <cell r="M61" t="str">
            <v>Robert</v>
          </cell>
          <cell r="N61">
            <v>38135</v>
          </cell>
          <cell r="Q61" t="str">
            <v>C5</v>
          </cell>
        </row>
        <row r="62">
          <cell r="A62" t="str">
            <v>Mol, Laura</v>
          </cell>
          <cell r="B62" t="str">
            <v>NKK48D6</v>
          </cell>
          <cell r="C62" t="str">
            <v>Mol, Laura</v>
          </cell>
          <cell r="D62" t="str">
            <v>Laura</v>
          </cell>
          <cell r="E62">
            <v>38079</v>
          </cell>
          <cell r="H62" t="str">
            <v>C1</v>
          </cell>
          <cell r="J62" t="str">
            <v>Bäcker, Tijn</v>
          </cell>
          <cell r="K62" t="str">
            <v>NLG57P5</v>
          </cell>
          <cell r="L62" t="str">
            <v>Bäcker, Tijn</v>
          </cell>
          <cell r="M62" t="str">
            <v>Tijn</v>
          </cell>
          <cell r="N62">
            <v>39239</v>
          </cell>
          <cell r="Q62" t="str">
            <v>D1</v>
          </cell>
        </row>
        <row r="63">
          <cell r="A63" t="str">
            <v>Verbeek, Yente</v>
          </cell>
          <cell r="B63" t="str">
            <v>NKS24M5</v>
          </cell>
          <cell r="C63" t="str">
            <v>Verbeek, Yente</v>
          </cell>
          <cell r="D63" t="str">
            <v>Yente</v>
          </cell>
          <cell r="E63">
            <v>38012</v>
          </cell>
          <cell r="H63" t="str">
            <v>C1</v>
          </cell>
          <cell r="J63" t="str">
            <v>Koster, Senne</v>
          </cell>
          <cell r="K63" t="str">
            <v>NLG59G8</v>
          </cell>
          <cell r="L63" t="str">
            <v>Koster, Senne</v>
          </cell>
          <cell r="M63" t="str">
            <v>Senne</v>
          </cell>
          <cell r="N63">
            <v>38657</v>
          </cell>
          <cell r="Q63" t="str">
            <v>D1</v>
          </cell>
        </row>
        <row r="64">
          <cell r="A64" t="str">
            <v>Zuijderwijk, Britt</v>
          </cell>
          <cell r="B64" t="str">
            <v>NKV67G5</v>
          </cell>
          <cell r="C64" t="str">
            <v>Zuijderwijk, Britt</v>
          </cell>
          <cell r="D64" t="str">
            <v>Britt</v>
          </cell>
          <cell r="E64">
            <v>38401</v>
          </cell>
          <cell r="H64" t="str">
            <v>C1</v>
          </cell>
          <cell r="J64" t="str">
            <v>Tims, Shayn</v>
          </cell>
          <cell r="K64" t="str">
            <v>NKT91T1</v>
          </cell>
          <cell r="L64" t="str">
            <v>Tims, Shayn</v>
          </cell>
          <cell r="M64" t="str">
            <v>Shayn</v>
          </cell>
          <cell r="N64">
            <v>39281</v>
          </cell>
          <cell r="Q64" t="str">
            <v>D1</v>
          </cell>
        </row>
        <row r="65">
          <cell r="A65" t="str">
            <v>Boshoven, Sara</v>
          </cell>
          <cell r="B65" t="str">
            <v>NLB71D8</v>
          </cell>
          <cell r="C65" t="str">
            <v>Boshoven, Sara</v>
          </cell>
          <cell r="D65" t="str">
            <v>Sara</v>
          </cell>
          <cell r="E65">
            <v>38635</v>
          </cell>
          <cell r="H65" t="str">
            <v>C2</v>
          </cell>
          <cell r="J65" t="str">
            <v>Vaartmans, Jordi</v>
          </cell>
          <cell r="K65" t="str">
            <v>NLG58W7</v>
          </cell>
          <cell r="L65" t="str">
            <v>Vaartmans, Jordi</v>
          </cell>
          <cell r="M65" t="str">
            <v>Jordi</v>
          </cell>
          <cell r="N65">
            <v>39069</v>
          </cell>
          <cell r="Q65" t="str">
            <v>D1</v>
          </cell>
        </row>
        <row r="66">
          <cell r="A66" t="str">
            <v>Lievaart, Carlijn</v>
          </cell>
          <cell r="B66" t="str">
            <v>NLB70Z9</v>
          </cell>
          <cell r="C66" t="str">
            <v>Lievaart, Carlijn</v>
          </cell>
          <cell r="D66" t="str">
            <v>Carlijn</v>
          </cell>
          <cell r="E66">
            <v>38267</v>
          </cell>
          <cell r="H66" t="str">
            <v>C2</v>
          </cell>
          <cell r="J66" t="str">
            <v>Boeije, Thomas</v>
          </cell>
          <cell r="K66" t="str">
            <v>NLP77V6</v>
          </cell>
          <cell r="L66" t="str">
            <v>Boeije, Thomas</v>
          </cell>
          <cell r="M66" t="str">
            <v>Thomas</v>
          </cell>
          <cell r="N66">
            <v>39425</v>
          </cell>
          <cell r="Q66" t="str">
            <v>D2</v>
          </cell>
        </row>
        <row r="67">
          <cell r="A67" t="str">
            <v>Seijner, Fabiënne</v>
          </cell>
          <cell r="B67" t="str">
            <v>NKS62Q7</v>
          </cell>
          <cell r="C67" t="str">
            <v>Seijner, Fabiënne</v>
          </cell>
          <cell r="D67" t="str">
            <v>Fabiënne</v>
          </cell>
          <cell r="E67">
            <v>37673</v>
          </cell>
          <cell r="H67" t="str">
            <v>C2</v>
          </cell>
          <cell r="J67" t="str">
            <v>Burgt, Seth van de</v>
          </cell>
          <cell r="K67" t="str">
            <v>NLL20F4</v>
          </cell>
          <cell r="L67" t="str">
            <v>Burgt, Seth van de</v>
          </cell>
          <cell r="M67" t="str">
            <v>Seth</v>
          </cell>
          <cell r="N67">
            <v>39018</v>
          </cell>
          <cell r="Q67" t="str">
            <v>D2</v>
          </cell>
        </row>
        <row r="68">
          <cell r="A68" t="str">
            <v>Uijl, Eva den</v>
          </cell>
          <cell r="B68" t="str">
            <v>NLC20P5</v>
          </cell>
          <cell r="C68" t="str">
            <v>Uijl, Eva den</v>
          </cell>
          <cell r="D68" t="str">
            <v>Eva</v>
          </cell>
          <cell r="E68">
            <v>38650</v>
          </cell>
          <cell r="H68" t="str">
            <v>C2</v>
          </cell>
          <cell r="J68" t="str">
            <v>Meijers, Milo</v>
          </cell>
          <cell r="K68" t="str">
            <v>NLG93G0</v>
          </cell>
          <cell r="L68" t="str">
            <v>Meijers, Milo</v>
          </cell>
          <cell r="M68" t="str">
            <v>Milo</v>
          </cell>
          <cell r="N68">
            <v>38984</v>
          </cell>
          <cell r="Q68" t="str">
            <v>D2</v>
          </cell>
        </row>
        <row r="69">
          <cell r="A69" t="str">
            <v>Wensen, Maud van</v>
          </cell>
          <cell r="B69" t="str">
            <v>NLL20B6</v>
          </cell>
          <cell r="C69" t="str">
            <v>Wensen, Maud van</v>
          </cell>
          <cell r="D69" t="str">
            <v>Maud</v>
          </cell>
          <cell r="E69">
            <v>38451</v>
          </cell>
          <cell r="H69" t="str">
            <v>C2</v>
          </cell>
          <cell r="J69" t="str">
            <v>Valk, Jarno</v>
          </cell>
          <cell r="K69" t="str">
            <v>NLG57L7</v>
          </cell>
          <cell r="L69" t="str">
            <v>Valk, Jarno</v>
          </cell>
          <cell r="M69" t="str">
            <v>Jarno</v>
          </cell>
          <cell r="N69">
            <v>39367</v>
          </cell>
          <cell r="Q69" t="str">
            <v>D2</v>
          </cell>
        </row>
        <row r="70">
          <cell r="A70" t="str">
            <v>Bäcker, Sterre</v>
          </cell>
          <cell r="B70" t="str">
            <v>NKX66W6</v>
          </cell>
          <cell r="C70" t="str">
            <v>Bäcker, Sterre</v>
          </cell>
          <cell r="D70" t="str">
            <v>Sterre</v>
          </cell>
          <cell r="E70">
            <v>38342</v>
          </cell>
          <cell r="H70" t="str">
            <v>C3</v>
          </cell>
          <cell r="J70" t="str">
            <v>Zwanenburg, Jack</v>
          </cell>
          <cell r="K70" t="str">
            <v>NLL19V8</v>
          </cell>
          <cell r="L70" t="str">
            <v>Zwanenburg, Jack</v>
          </cell>
          <cell r="M70" t="str">
            <v>Jack</v>
          </cell>
          <cell r="N70">
            <v>39356</v>
          </cell>
          <cell r="Q70" t="str">
            <v>D2</v>
          </cell>
        </row>
        <row r="71">
          <cell r="A71" t="str">
            <v>Gent, Elsemieke van</v>
          </cell>
          <cell r="B71" t="str">
            <v>NKP41W3</v>
          </cell>
          <cell r="C71" t="str">
            <v>Gent, Elsemieke van</v>
          </cell>
          <cell r="D71" t="str">
            <v>Elsemieke</v>
          </cell>
          <cell r="E71">
            <v>38113</v>
          </cell>
          <cell r="H71" t="str">
            <v>C3</v>
          </cell>
          <cell r="J71" t="str">
            <v>Dongen, Freek van</v>
          </cell>
          <cell r="K71" t="str">
            <v>NLG58X4</v>
          </cell>
          <cell r="L71" t="str">
            <v>Dongen, Freek van</v>
          </cell>
          <cell r="M71" t="str">
            <v>Freek</v>
          </cell>
          <cell r="N71">
            <v>39196</v>
          </cell>
          <cell r="Q71" t="str">
            <v>D3</v>
          </cell>
        </row>
        <row r="72">
          <cell r="A72" t="str">
            <v>Groeneweg, Roos</v>
          </cell>
          <cell r="B72" t="str">
            <v>NKY17P6</v>
          </cell>
          <cell r="C72" t="str">
            <v>Groeneweg, Roos</v>
          </cell>
          <cell r="D72" t="str">
            <v>Roos</v>
          </cell>
          <cell r="E72">
            <v>38432</v>
          </cell>
          <cell r="H72" t="str">
            <v>C3</v>
          </cell>
          <cell r="J72" t="str">
            <v>Pagter, Levi de</v>
          </cell>
          <cell r="K72" t="str">
            <v>NLS07T0</v>
          </cell>
          <cell r="L72" t="str">
            <v>Pagter, Levi de</v>
          </cell>
          <cell r="M72" t="str">
            <v>Levi</v>
          </cell>
          <cell r="N72">
            <v>39335</v>
          </cell>
          <cell r="Q72" t="str">
            <v>D3</v>
          </cell>
        </row>
        <row r="73">
          <cell r="A73" t="str">
            <v>Horst, Renee ter</v>
          </cell>
          <cell r="B73" t="str">
            <v>NKR88D3</v>
          </cell>
          <cell r="C73" t="str">
            <v>Horst, Renee ter</v>
          </cell>
          <cell r="D73" t="str">
            <v>Renee</v>
          </cell>
          <cell r="E73">
            <v>38630</v>
          </cell>
          <cell r="H73" t="str">
            <v>C3</v>
          </cell>
          <cell r="J73" t="str">
            <v>Vliet, Tycho</v>
          </cell>
          <cell r="K73" t="str">
            <v>NLM05B2</v>
          </cell>
          <cell r="L73" t="str">
            <v>Vliet, Tycho</v>
          </cell>
          <cell r="M73" t="str">
            <v>Tycho</v>
          </cell>
          <cell r="N73">
            <v>39346</v>
          </cell>
          <cell r="Q73" t="str">
            <v>D3</v>
          </cell>
        </row>
        <row r="74">
          <cell r="A74" t="str">
            <v>Jongh, Anouk de</v>
          </cell>
          <cell r="B74" t="str">
            <v>NKT92K1</v>
          </cell>
          <cell r="C74" t="str">
            <v>Jongh, Anouk de</v>
          </cell>
          <cell r="D74" t="str">
            <v>Anouk</v>
          </cell>
          <cell r="E74">
            <v>38597</v>
          </cell>
          <cell r="H74" t="str">
            <v>C3</v>
          </cell>
          <cell r="J74" t="str">
            <v>Altena, Evan</v>
          </cell>
          <cell r="K74" t="str">
            <v>NLL19X2</v>
          </cell>
          <cell r="L74" t="str">
            <v>Altena, Evan</v>
          </cell>
          <cell r="M74" t="str">
            <v>Evan</v>
          </cell>
          <cell r="N74">
            <v>39100</v>
          </cell>
          <cell r="Q74" t="str">
            <v>D4</v>
          </cell>
        </row>
        <row r="75">
          <cell r="A75" t="str">
            <v>Manduapessy, Vera</v>
          </cell>
          <cell r="B75" t="str">
            <v>NKW30H7</v>
          </cell>
          <cell r="C75" t="str">
            <v>Manduapessy, Vera</v>
          </cell>
          <cell r="D75" t="str">
            <v>Vera</v>
          </cell>
          <cell r="E75">
            <v>38303</v>
          </cell>
          <cell r="H75" t="str">
            <v>C3</v>
          </cell>
          <cell r="J75" t="str">
            <v>Klein, Daan</v>
          </cell>
          <cell r="K75" t="str">
            <v>NLP77Y7</v>
          </cell>
          <cell r="L75" t="str">
            <v>Klein, Daan</v>
          </cell>
          <cell r="M75" t="str">
            <v>Daan</v>
          </cell>
          <cell r="N75">
            <v>38667</v>
          </cell>
          <cell r="Q75" t="str">
            <v>D4</v>
          </cell>
        </row>
        <row r="76">
          <cell r="A76" t="str">
            <v>Reus, Kim de</v>
          </cell>
          <cell r="B76" t="str">
            <v>NKL60P7</v>
          </cell>
          <cell r="C76" t="str">
            <v>Reus, Kim de</v>
          </cell>
          <cell r="D76" t="str">
            <v>Kim</v>
          </cell>
          <cell r="E76">
            <v>38159</v>
          </cell>
          <cell r="H76" t="str">
            <v>C3</v>
          </cell>
          <cell r="J76" t="str">
            <v>Westerbeek, Manuel</v>
          </cell>
          <cell r="K76" t="str">
            <v>NLT60Y5</v>
          </cell>
          <cell r="L76" t="str">
            <v>Westerbeek, Manuel</v>
          </cell>
          <cell r="M76" t="str">
            <v>Manuel</v>
          </cell>
          <cell r="N76">
            <v>39087</v>
          </cell>
          <cell r="Q76" t="str">
            <v>D4</v>
          </cell>
        </row>
        <row r="77">
          <cell r="A77" t="str">
            <v>Veen, Bente van der</v>
          </cell>
          <cell r="B77" t="str">
            <v>NLL49V3</v>
          </cell>
          <cell r="C77" t="str">
            <v>Veen, Bente van der</v>
          </cell>
          <cell r="D77" t="str">
            <v>Bente</v>
          </cell>
          <cell r="E77">
            <v>38275</v>
          </cell>
          <cell r="H77" t="str">
            <v>C3</v>
          </cell>
          <cell r="J77" t="str">
            <v>Hashmei, Ali</v>
          </cell>
          <cell r="K77" t="str">
            <v>NLW47J4</v>
          </cell>
          <cell r="L77" t="str">
            <v>Hashmei, Ali</v>
          </cell>
          <cell r="M77" t="str">
            <v>Ali</v>
          </cell>
          <cell r="N77">
            <v>39402</v>
          </cell>
          <cell r="Q77" t="str">
            <v>D5</v>
          </cell>
        </row>
        <row r="78">
          <cell r="A78" t="str">
            <v>Volker, Karlijn</v>
          </cell>
          <cell r="B78" t="str">
            <v>NLB70G6</v>
          </cell>
          <cell r="C78" t="str">
            <v>Volker, Karlijn</v>
          </cell>
          <cell r="D78" t="str">
            <v>Karlijn</v>
          </cell>
          <cell r="E78">
            <v>38417</v>
          </cell>
          <cell r="H78" t="str">
            <v>C3</v>
          </cell>
          <cell r="J78" t="str">
            <v>Koornneef, Tommie</v>
          </cell>
          <cell r="K78" t="str">
            <v>NLB71B4</v>
          </cell>
          <cell r="L78" t="str">
            <v>Koornneef, Tommie</v>
          </cell>
          <cell r="M78" t="str">
            <v>Tommie</v>
          </cell>
          <cell r="N78">
            <v>39123</v>
          </cell>
          <cell r="Q78" t="str">
            <v>D5</v>
          </cell>
        </row>
        <row r="79">
          <cell r="A79" t="str">
            <v>Boeije, Amber</v>
          </cell>
          <cell r="B79" t="str">
            <v>NLB70T7</v>
          </cell>
          <cell r="C79" t="str">
            <v>Boeije, Amber</v>
          </cell>
          <cell r="D79" t="str">
            <v>Amber</v>
          </cell>
          <cell r="E79">
            <v>38480</v>
          </cell>
          <cell r="H79" t="str">
            <v>C4</v>
          </cell>
          <cell r="J79" t="str">
            <v>Maas, Gijsbert</v>
          </cell>
          <cell r="K79" t="str">
            <v>NLW81C7</v>
          </cell>
          <cell r="L79" t="str">
            <v>Maas, Gijsbert</v>
          </cell>
          <cell r="M79" t="str">
            <v>Gijsbert</v>
          </cell>
          <cell r="N79">
            <v>38835</v>
          </cell>
          <cell r="Q79" t="str">
            <v>D5</v>
          </cell>
        </row>
        <row r="80">
          <cell r="A80" t="str">
            <v>Dekkers, Daniëlle</v>
          </cell>
          <cell r="B80" t="str">
            <v>NKR62S0</v>
          </cell>
          <cell r="C80" t="str">
            <v>Dekkers, Daniëlle</v>
          </cell>
          <cell r="D80" t="str">
            <v>Daniëlle</v>
          </cell>
          <cell r="E80">
            <v>38035</v>
          </cell>
          <cell r="H80" t="str">
            <v>C4</v>
          </cell>
          <cell r="J80" t="str">
            <v>Pille, Menno</v>
          </cell>
          <cell r="K80" t="str">
            <v>NLR06X4</v>
          </cell>
          <cell r="L80" t="str">
            <v>Pille, Menno</v>
          </cell>
          <cell r="M80" t="str">
            <v>Menno</v>
          </cell>
          <cell r="N80">
            <v>39187</v>
          </cell>
          <cell r="Q80" t="str">
            <v>D5</v>
          </cell>
        </row>
        <row r="81">
          <cell r="A81" t="str">
            <v>Don, Emma</v>
          </cell>
          <cell r="B81" t="str">
            <v>NKQ46X6</v>
          </cell>
          <cell r="C81" t="str">
            <v>Don, Emma</v>
          </cell>
          <cell r="D81" t="str">
            <v>Emma</v>
          </cell>
          <cell r="E81">
            <v>38555</v>
          </cell>
          <cell r="H81" t="str">
            <v>C4</v>
          </cell>
          <cell r="J81" t="str">
            <v>Camphens, Tijn</v>
          </cell>
          <cell r="K81" t="str">
            <v>NLL37S1</v>
          </cell>
          <cell r="L81" t="str">
            <v>Camphens, Tijn</v>
          </cell>
          <cell r="M81" t="str">
            <v>Tijn</v>
          </cell>
          <cell r="N81">
            <v>39744</v>
          </cell>
          <cell r="Q81" t="str">
            <v>E1</v>
          </cell>
        </row>
        <row r="82">
          <cell r="A82" t="str">
            <v>Leen, Marit van</v>
          </cell>
          <cell r="B82" t="str">
            <v>NLG59D7</v>
          </cell>
          <cell r="C82" t="str">
            <v>Leen, Marit van</v>
          </cell>
          <cell r="D82" t="str">
            <v>Marit</v>
          </cell>
          <cell r="E82">
            <v>38634</v>
          </cell>
          <cell r="H82" t="str">
            <v>C4</v>
          </cell>
          <cell r="J82" t="str">
            <v>Heersping, Dani</v>
          </cell>
          <cell r="K82" t="str">
            <v>NLS75Y4</v>
          </cell>
          <cell r="L82" t="str">
            <v>Heersping, Dani</v>
          </cell>
          <cell r="M82" t="str">
            <v>Dani</v>
          </cell>
          <cell r="N82">
            <v>39753</v>
          </cell>
          <cell r="Q82" t="str">
            <v>E1</v>
          </cell>
        </row>
        <row r="83">
          <cell r="A83" t="str">
            <v>Quarré, Elena</v>
          </cell>
          <cell r="B83" t="str">
            <v>NLB70S0</v>
          </cell>
          <cell r="C83" t="str">
            <v>Quarré, Elena</v>
          </cell>
          <cell r="D83" t="str">
            <v>Elena</v>
          </cell>
          <cell r="E83">
            <v>38509</v>
          </cell>
          <cell r="H83" t="str">
            <v>C4</v>
          </cell>
          <cell r="J83" t="str">
            <v>Sas, Maarten</v>
          </cell>
          <cell r="K83" t="str">
            <v>NLP78Q4</v>
          </cell>
          <cell r="L83" t="str">
            <v>Sas, Maarten</v>
          </cell>
          <cell r="M83" t="str">
            <v>Maarten</v>
          </cell>
          <cell r="N83">
            <v>39686</v>
          </cell>
          <cell r="Q83" t="str">
            <v>E1</v>
          </cell>
        </row>
        <row r="84">
          <cell r="A84" t="str">
            <v>Rubio Cubillos, Estelle</v>
          </cell>
          <cell r="B84" t="str">
            <v>NLG58Y1</v>
          </cell>
          <cell r="C84" t="str">
            <v>Rubio Cubillos, Estelle</v>
          </cell>
          <cell r="D84" t="str">
            <v>Estelle</v>
          </cell>
          <cell r="E84">
            <v>38648</v>
          </cell>
          <cell r="H84" t="str">
            <v>C4</v>
          </cell>
          <cell r="J84" t="str">
            <v>Dekker, Onno den</v>
          </cell>
          <cell r="K84" t="str">
            <v>NLS85H0</v>
          </cell>
          <cell r="L84" t="str">
            <v>Dekker, Onno den</v>
          </cell>
          <cell r="M84" t="str">
            <v>Onno</v>
          </cell>
          <cell r="N84">
            <v>39623</v>
          </cell>
          <cell r="Q84" t="str">
            <v>E2</v>
          </cell>
        </row>
        <row r="85">
          <cell r="A85" t="str">
            <v>Spaanbroek, Yzan</v>
          </cell>
          <cell r="B85" t="str">
            <v>NLG15C8</v>
          </cell>
          <cell r="C85" t="str">
            <v>Spaanbroek, Yzan</v>
          </cell>
          <cell r="D85" t="str">
            <v>Yzan</v>
          </cell>
          <cell r="E85">
            <v>38000</v>
          </cell>
          <cell r="H85" t="str">
            <v>C4</v>
          </cell>
          <cell r="J85" t="str">
            <v>Driesprong, Niek</v>
          </cell>
          <cell r="K85" t="str">
            <v>NLD36P9</v>
          </cell>
          <cell r="L85" t="str">
            <v>Driesprong, Niek</v>
          </cell>
          <cell r="M85" t="str">
            <v>Niek</v>
          </cell>
          <cell r="N85">
            <v>39655</v>
          </cell>
          <cell r="Q85" t="str">
            <v>E2</v>
          </cell>
        </row>
        <row r="86">
          <cell r="A86" t="str">
            <v>Steen Redeker, Levina</v>
          </cell>
          <cell r="B86" t="str">
            <v>NLC93N5</v>
          </cell>
          <cell r="C86" t="str">
            <v>Steen Redeker, Levina</v>
          </cell>
          <cell r="D86" t="str">
            <v>Levina</v>
          </cell>
          <cell r="E86">
            <v>38391</v>
          </cell>
          <cell r="H86" t="str">
            <v>C4</v>
          </cell>
          <cell r="J86" t="str">
            <v>Mahabier, Jeevan</v>
          </cell>
          <cell r="K86" t="str">
            <v>NLL49T9</v>
          </cell>
          <cell r="L86" t="str">
            <v>Mahabier, Jeevan</v>
          </cell>
          <cell r="M86" t="str">
            <v>Jeevan</v>
          </cell>
          <cell r="N86">
            <v>39646</v>
          </cell>
          <cell r="Q86" t="str">
            <v>E2</v>
          </cell>
        </row>
        <row r="87">
          <cell r="A87" t="str">
            <v>Auerbach, Lincy</v>
          </cell>
          <cell r="B87" t="str">
            <v>NLB70F9</v>
          </cell>
          <cell r="C87" t="str">
            <v>Auerbach, Lincy</v>
          </cell>
          <cell r="D87" t="str">
            <v>Lincy</v>
          </cell>
          <cell r="E87">
            <v>38693</v>
          </cell>
          <cell r="H87" t="str">
            <v>C5</v>
          </cell>
          <cell r="J87" t="str">
            <v>Bonnier, Tijn</v>
          </cell>
          <cell r="K87" t="str">
            <v>NLW88N5</v>
          </cell>
          <cell r="L87" t="str">
            <v>Bonnier, Tijn</v>
          </cell>
          <cell r="M87" t="str">
            <v>Tijn</v>
          </cell>
          <cell r="N87">
            <v>39825</v>
          </cell>
          <cell r="Q87" t="str">
            <v>E3</v>
          </cell>
        </row>
        <row r="88">
          <cell r="A88" t="str">
            <v>Jonkers, Syrah</v>
          </cell>
          <cell r="B88" t="str">
            <v>NLJ96J3</v>
          </cell>
          <cell r="C88" t="str">
            <v>Jonkers, Syrah</v>
          </cell>
          <cell r="D88" t="str">
            <v>Syrah</v>
          </cell>
          <cell r="E88">
            <v>38702</v>
          </cell>
          <cell r="H88" t="str">
            <v>C5</v>
          </cell>
          <cell r="J88" t="str">
            <v>Quarre, Stephan</v>
          </cell>
          <cell r="K88" t="str">
            <v>NLV35B6</v>
          </cell>
          <cell r="L88" t="str">
            <v>Quarre, Stephan</v>
          </cell>
          <cell r="M88" t="str">
            <v>Stephan</v>
          </cell>
          <cell r="N88">
            <v>39878</v>
          </cell>
          <cell r="Q88" t="str">
            <v>E3</v>
          </cell>
        </row>
        <row r="89">
          <cell r="A89" t="str">
            <v>Raab, Ilse</v>
          </cell>
          <cell r="B89" t="str">
            <v>NLG57S6</v>
          </cell>
          <cell r="C89" t="str">
            <v>Raab, Ilse</v>
          </cell>
          <cell r="D89" t="str">
            <v>Ilse</v>
          </cell>
          <cell r="E89">
            <v>38506</v>
          </cell>
          <cell r="H89" t="str">
            <v>C5</v>
          </cell>
          <cell r="J89" t="str">
            <v>Est, Koen van</v>
          </cell>
          <cell r="K89" t="str">
            <v>NLH06P8</v>
          </cell>
          <cell r="L89" t="str">
            <v>Est, Koen van</v>
          </cell>
          <cell r="M89" t="str">
            <v>Koen</v>
          </cell>
          <cell r="N89">
            <v>39693</v>
          </cell>
          <cell r="Q89" t="str">
            <v>E4</v>
          </cell>
        </row>
        <row r="90">
          <cell r="A90" t="str">
            <v>Tunςyürek, Süeda</v>
          </cell>
          <cell r="B90" t="str">
            <v>NLR80P0</v>
          </cell>
          <cell r="C90" t="str">
            <v>Tunςyürek, Süeda</v>
          </cell>
          <cell r="D90" t="str">
            <v>Süeda</v>
          </cell>
          <cell r="E90">
            <v>38618</v>
          </cell>
          <cell r="H90" t="str">
            <v>C5</v>
          </cell>
          <cell r="J90" t="str">
            <v>Kuijper, Raoul</v>
          </cell>
          <cell r="K90" t="str">
            <v>NLN28Y3</v>
          </cell>
          <cell r="L90" t="str">
            <v>Kuijper, Raoul</v>
          </cell>
          <cell r="M90" t="str">
            <v>Raoul</v>
          </cell>
          <cell r="N90">
            <v>39629</v>
          </cell>
          <cell r="Q90" t="str">
            <v>E4</v>
          </cell>
        </row>
        <row r="91">
          <cell r="A91" t="str">
            <v>Driesprong, Jana</v>
          </cell>
          <cell r="B91" t="str">
            <v>NKW52X5</v>
          </cell>
          <cell r="C91" t="str">
            <v>Driesprong, Jana</v>
          </cell>
          <cell r="D91" t="str">
            <v>Jana</v>
          </cell>
          <cell r="E91">
            <v>39205</v>
          </cell>
          <cell r="H91" t="str">
            <v>D1</v>
          </cell>
          <cell r="J91" t="str">
            <v>Vliet, Kian</v>
          </cell>
          <cell r="K91" t="str">
            <v>NLS85J4</v>
          </cell>
          <cell r="L91" t="str">
            <v>Vliet, Kian</v>
          </cell>
          <cell r="M91" t="str">
            <v>Kian</v>
          </cell>
          <cell r="N91">
            <v>40058</v>
          </cell>
          <cell r="Q91" t="str">
            <v>E4</v>
          </cell>
        </row>
        <row r="92">
          <cell r="A92" t="str">
            <v>Fasbender, Lindi</v>
          </cell>
          <cell r="B92" t="str">
            <v>NLF50K8</v>
          </cell>
          <cell r="C92" t="str">
            <v>Fasbender, Lindi</v>
          </cell>
          <cell r="D92" t="str">
            <v>Lindi</v>
          </cell>
          <cell r="E92">
            <v>38656</v>
          </cell>
          <cell r="H92" t="str">
            <v>D1</v>
          </cell>
          <cell r="J92" t="str">
            <v>Sempel, Jasper</v>
          </cell>
          <cell r="K92" t="str">
            <v>NLX00G3</v>
          </cell>
          <cell r="L92" t="str">
            <v>Sempel, Jasper</v>
          </cell>
          <cell r="M92" t="str">
            <v>Jasper</v>
          </cell>
          <cell r="N92">
            <v>40070</v>
          </cell>
          <cell r="Q92" t="str">
            <v>E5</v>
          </cell>
        </row>
        <row r="93">
          <cell r="A93" t="str">
            <v>Manduapessy, Merel</v>
          </cell>
          <cell r="B93" t="str">
            <v>NLL81G4</v>
          </cell>
          <cell r="C93" t="str">
            <v>Manduapessy, Merel</v>
          </cell>
          <cell r="D93" t="str">
            <v>Merel</v>
          </cell>
          <cell r="E93">
            <v>39324</v>
          </cell>
          <cell r="H93" t="str">
            <v>D1</v>
          </cell>
          <cell r="J93" t="str">
            <v>Sas, Niek</v>
          </cell>
          <cell r="K93" t="str">
            <v>NLP78P7</v>
          </cell>
          <cell r="L93" t="str">
            <v>Sas, Niek</v>
          </cell>
          <cell r="M93" t="str">
            <v>Niek</v>
          </cell>
          <cell r="N93">
            <v>40381</v>
          </cell>
          <cell r="Q93" t="str">
            <v>F1</v>
          </cell>
        </row>
        <row r="94">
          <cell r="A94" t="str">
            <v>Vinken, Merle</v>
          </cell>
          <cell r="B94" t="str">
            <v>NKQ39J2</v>
          </cell>
          <cell r="C94" t="str">
            <v>Vinken, Merle</v>
          </cell>
          <cell r="D94" t="str">
            <v>Merle</v>
          </cell>
          <cell r="E94">
            <v>38807</v>
          </cell>
          <cell r="H94" t="str">
            <v>D1</v>
          </cell>
          <cell r="J94" t="str">
            <v>Stomp, Joshua</v>
          </cell>
          <cell r="K94" t="str">
            <v>NLW14T0</v>
          </cell>
          <cell r="L94" t="str">
            <v>Stomp, Joshua</v>
          </cell>
          <cell r="M94" t="str">
            <v>Joshua</v>
          </cell>
          <cell r="N94">
            <v>40869</v>
          </cell>
          <cell r="Q94" t="str">
            <v>F1</v>
          </cell>
        </row>
        <row r="95">
          <cell r="A95" t="str">
            <v>Wolleswinkel, Iza</v>
          </cell>
          <cell r="B95" t="str">
            <v>NLP78N3</v>
          </cell>
          <cell r="C95" t="str">
            <v>Wolleswinkel, Iza</v>
          </cell>
          <cell r="D95" t="str">
            <v>Iza</v>
          </cell>
          <cell r="E95">
            <v>39328</v>
          </cell>
          <cell r="H95" t="str">
            <v>D1</v>
          </cell>
          <cell r="J95" t="str">
            <v>Hart, Olav 't</v>
          </cell>
          <cell r="K95" t="str">
            <v>NLX08F0</v>
          </cell>
          <cell r="L95" t="str">
            <v>Hart, Olav 't</v>
          </cell>
          <cell r="M95" t="str">
            <v>Olav</v>
          </cell>
          <cell r="N95">
            <v>40291</v>
          </cell>
          <cell r="Q95" t="str">
            <v>F3</v>
          </cell>
        </row>
        <row r="96">
          <cell r="A96" t="str">
            <v>Aydin, Rana</v>
          </cell>
          <cell r="B96" t="str">
            <v>NLP78F7</v>
          </cell>
          <cell r="C96" t="str">
            <v>Aydin, Rana</v>
          </cell>
          <cell r="D96" t="str">
            <v>Rana</v>
          </cell>
          <cell r="E96">
            <v>39026</v>
          </cell>
          <cell r="H96" t="str">
            <v>D2</v>
          </cell>
          <cell r="J96" t="str">
            <v>Post, Joaz</v>
          </cell>
          <cell r="K96" t="str">
            <v>NLX04H2</v>
          </cell>
          <cell r="L96" t="str">
            <v>Post, Joaz</v>
          </cell>
          <cell r="M96" t="str">
            <v>Joaz</v>
          </cell>
          <cell r="N96">
            <v>40309</v>
          </cell>
          <cell r="Q96" t="str">
            <v>F3</v>
          </cell>
        </row>
        <row r="97">
          <cell r="A97" t="str">
            <v>Blankenstijn, Naomi</v>
          </cell>
          <cell r="B97" t="str">
            <v>NLM86T1</v>
          </cell>
          <cell r="C97" t="str">
            <v>Blankenstijn, Naomi</v>
          </cell>
          <cell r="D97" t="str">
            <v>Naomi</v>
          </cell>
          <cell r="E97">
            <v>39220</v>
          </cell>
          <cell r="H97" t="str">
            <v>D2</v>
          </cell>
          <cell r="J97" t="str">
            <v>Heersping, Sander</v>
          </cell>
          <cell r="K97" t="str">
            <v>NLV80P4</v>
          </cell>
          <cell r="L97" t="str">
            <v>Heersping, Sander</v>
          </cell>
          <cell r="M97" t="str">
            <v>Sander</v>
          </cell>
          <cell r="N97">
            <v>40806</v>
          </cell>
          <cell r="Q97" t="str">
            <v>F5</v>
          </cell>
        </row>
        <row r="98">
          <cell r="A98" t="str">
            <v>Rubio Cubillos, Luana</v>
          </cell>
          <cell r="B98" t="str">
            <v>NLJ05D3</v>
          </cell>
          <cell r="C98" t="str">
            <v>Rubio Cubillos, Luana</v>
          </cell>
          <cell r="D98" t="str">
            <v>Luana</v>
          </cell>
          <cell r="E98">
            <v>39411</v>
          </cell>
          <cell r="H98" t="str">
            <v>D2</v>
          </cell>
          <cell r="J98" t="str">
            <v>Laban, Freek</v>
          </cell>
          <cell r="K98" t="str">
            <v>NLV80M3</v>
          </cell>
          <cell r="L98" t="str">
            <v>Laban, Freek</v>
          </cell>
          <cell r="M98" t="str">
            <v>Freek</v>
          </cell>
          <cell r="N98">
            <v>41044</v>
          </cell>
          <cell r="Q98" t="str">
            <v>Kang</v>
          </cell>
        </row>
        <row r="99">
          <cell r="A99" t="str">
            <v>Wijngaarden, Bente van</v>
          </cell>
          <cell r="B99" t="str">
            <v>NKS24S7</v>
          </cell>
          <cell r="C99" t="str">
            <v>Wijngaarden, Bente van</v>
          </cell>
          <cell r="D99" t="str">
            <v>Bente</v>
          </cell>
          <cell r="E99">
            <v>38928</v>
          </cell>
          <cell r="H99" t="str">
            <v>D2</v>
          </cell>
          <cell r="J99" t="str">
            <v>Sempel, Ruben</v>
          </cell>
          <cell r="K99" t="str">
            <v>NLX00D2</v>
          </cell>
          <cell r="L99" t="str">
            <v>Sempel, Ruben</v>
          </cell>
          <cell r="M99" t="str">
            <v>Ruben</v>
          </cell>
          <cell r="N99">
            <v>41502</v>
          </cell>
          <cell r="Q99" t="str">
            <v>Kang</v>
          </cell>
        </row>
        <row r="100">
          <cell r="A100" t="str">
            <v>Wit, Mila de</v>
          </cell>
          <cell r="B100" t="str">
            <v>NLL19T4</v>
          </cell>
          <cell r="C100" t="str">
            <v>Wit, Mila de</v>
          </cell>
          <cell r="D100" t="str">
            <v>Mila</v>
          </cell>
          <cell r="E100">
            <v>39433</v>
          </cell>
          <cell r="H100" t="str">
            <v>D2</v>
          </cell>
          <cell r="J100" t="str">
            <v>Belder, Erwin</v>
          </cell>
          <cell r="K100" t="str">
            <v>NFW40B5</v>
          </cell>
          <cell r="L100" t="str">
            <v>Belder, Erwin</v>
          </cell>
          <cell r="M100" t="str">
            <v>Erwin</v>
          </cell>
          <cell r="N100">
            <v>28259</v>
          </cell>
          <cell r="Q100" t="str">
            <v>MW1</v>
          </cell>
        </row>
        <row r="101">
          <cell r="A101" t="str">
            <v>Everdingen, Tessa van</v>
          </cell>
          <cell r="B101" t="str">
            <v>NLJ47P3</v>
          </cell>
          <cell r="C101" t="str">
            <v>Everdingen, Tessa van</v>
          </cell>
          <cell r="D101" t="str">
            <v>Tessa</v>
          </cell>
          <cell r="E101">
            <v>38900</v>
          </cell>
          <cell r="H101" t="str">
            <v>D3</v>
          </cell>
          <cell r="J101" t="str">
            <v>Boshoven, Rik</v>
          </cell>
          <cell r="K101" t="str">
            <v>NFW40F3</v>
          </cell>
          <cell r="L101" t="str">
            <v>Boshoven, Rik</v>
          </cell>
          <cell r="M101" t="str">
            <v>Rik</v>
          </cell>
          <cell r="N101">
            <v>28760</v>
          </cell>
          <cell r="Q101" t="str">
            <v>MW1</v>
          </cell>
        </row>
        <row r="102">
          <cell r="A102" t="str">
            <v>Mert, Rezzan</v>
          </cell>
          <cell r="B102" t="str">
            <v>NLP77W3</v>
          </cell>
          <cell r="C102" t="str">
            <v>Mert, Rezzan</v>
          </cell>
          <cell r="D102" t="str">
            <v>Rezzan</v>
          </cell>
          <cell r="E102">
            <v>38848</v>
          </cell>
          <cell r="H102" t="str">
            <v>D3</v>
          </cell>
          <cell r="J102" t="str">
            <v>Kooij, Wilco</v>
          </cell>
          <cell r="K102" t="str">
            <v>NKH71P1</v>
          </cell>
          <cell r="L102" t="str">
            <v>Kooij, Wilco</v>
          </cell>
          <cell r="M102" t="str">
            <v>Wilco</v>
          </cell>
          <cell r="N102">
            <v>27643</v>
          </cell>
          <cell r="Q102" t="str">
            <v>MW1</v>
          </cell>
        </row>
        <row r="103">
          <cell r="A103" t="str">
            <v>Nobel, Merle</v>
          </cell>
          <cell r="B103" t="str">
            <v>NLG58Z8</v>
          </cell>
          <cell r="C103" t="str">
            <v>Nobel, Merle</v>
          </cell>
          <cell r="D103" t="str">
            <v>Merle</v>
          </cell>
          <cell r="E103">
            <v>38847</v>
          </cell>
          <cell r="H103" t="str">
            <v>D3</v>
          </cell>
          <cell r="J103" t="str">
            <v>Meijer, Koen</v>
          </cell>
          <cell r="K103" t="str">
            <v>NJJ38C6</v>
          </cell>
          <cell r="L103" t="str">
            <v>Meijer, Koen</v>
          </cell>
          <cell r="M103" t="str">
            <v>Koen</v>
          </cell>
          <cell r="N103">
            <v>32931</v>
          </cell>
          <cell r="Q103" t="str">
            <v>MW1</v>
          </cell>
        </row>
        <row r="104">
          <cell r="A104" t="str">
            <v>Prosman, Ann-Sophie</v>
          </cell>
          <cell r="B104" t="str">
            <v>NLF26P6</v>
          </cell>
          <cell r="C104" t="str">
            <v>Prosman, Ann-Sophie</v>
          </cell>
          <cell r="D104" t="str">
            <v>Ann-Sophie</v>
          </cell>
          <cell r="E104">
            <v>38811</v>
          </cell>
          <cell r="H104" t="str">
            <v>D3</v>
          </cell>
          <cell r="J104" t="str">
            <v>Ullmann, Mor</v>
          </cell>
          <cell r="K104" t="str">
            <v>NJD38S2</v>
          </cell>
          <cell r="L104" t="str">
            <v>Ullmann, Mor</v>
          </cell>
          <cell r="M104" t="str">
            <v>Mor</v>
          </cell>
          <cell r="N104">
            <v>30136</v>
          </cell>
          <cell r="Q104" t="str">
            <v>MW1</v>
          </cell>
        </row>
        <row r="105">
          <cell r="A105" t="str">
            <v>Rijsdijk, Bente</v>
          </cell>
          <cell r="B105" t="str">
            <v>NLJ47L5</v>
          </cell>
          <cell r="C105" t="str">
            <v>Rijsdijk, Bente</v>
          </cell>
          <cell r="D105" t="str">
            <v>Bente</v>
          </cell>
          <cell r="E105">
            <v>39289</v>
          </cell>
          <cell r="H105" t="str">
            <v>D3</v>
          </cell>
          <cell r="J105" t="str">
            <v>Vos, Egbert</v>
          </cell>
          <cell r="K105" t="str">
            <v>NFW26Q8</v>
          </cell>
          <cell r="L105" t="str">
            <v>Vos, Egbert</v>
          </cell>
          <cell r="M105" t="str">
            <v>Egbert</v>
          </cell>
          <cell r="N105">
            <v>29725</v>
          </cell>
          <cell r="Q105" t="str">
            <v>MW1</v>
          </cell>
        </row>
        <row r="106">
          <cell r="A106" t="str">
            <v>Bonnier, Fenna</v>
          </cell>
          <cell r="B106" t="str">
            <v>NLR59C1</v>
          </cell>
          <cell r="C106" t="str">
            <v>Bonnier, Fenna</v>
          </cell>
          <cell r="D106" t="str">
            <v>Fenna</v>
          </cell>
          <cell r="E106">
            <v>38778</v>
          </cell>
          <cell r="H106" t="str">
            <v>D4</v>
          </cell>
          <cell r="J106" t="str">
            <v>Wolff, Paul</v>
          </cell>
          <cell r="K106" t="str">
            <v>NFX10D5</v>
          </cell>
          <cell r="L106" t="str">
            <v>Wolff, Paul</v>
          </cell>
          <cell r="M106" t="str">
            <v>Paul</v>
          </cell>
          <cell r="N106">
            <v>21292</v>
          </cell>
          <cell r="Q106" t="str">
            <v>REC</v>
          </cell>
        </row>
        <row r="107">
          <cell r="A107" t="str">
            <v>Bouwknegt, Lianne</v>
          </cell>
          <cell r="B107" t="str">
            <v>NKY54N3</v>
          </cell>
          <cell r="C107" t="str">
            <v>Bouwknegt, Lianne</v>
          </cell>
          <cell r="D107" t="str">
            <v>Lianne</v>
          </cell>
          <cell r="E107">
            <v>39199</v>
          </cell>
          <cell r="H107" t="str">
            <v>D4</v>
          </cell>
          <cell r="J107" t="str">
            <v>Dijk, Joeri van</v>
          </cell>
          <cell r="K107" t="str">
            <v>NJD65S8</v>
          </cell>
          <cell r="L107" t="str">
            <v>Dijk, Joeri van</v>
          </cell>
          <cell r="M107" t="str">
            <v>Joeri</v>
          </cell>
          <cell r="N107">
            <v>35873</v>
          </cell>
          <cell r="Q107" t="str">
            <v>S1/S2</v>
          </cell>
        </row>
        <row r="108">
          <cell r="A108" t="str">
            <v>Geus, Noa de</v>
          </cell>
          <cell r="B108" t="str">
            <v>NLS45P6</v>
          </cell>
          <cell r="C108" t="str">
            <v>Geus, Noa de</v>
          </cell>
          <cell r="D108" t="str">
            <v>Noa</v>
          </cell>
          <cell r="E108">
            <v>38733</v>
          </cell>
          <cell r="H108" t="str">
            <v>D4</v>
          </cell>
          <cell r="J108" t="str">
            <v>Driesprong, Bart</v>
          </cell>
          <cell r="K108" t="str">
            <v>NKD19Y4</v>
          </cell>
          <cell r="L108" t="str">
            <v>Driesprong, Bart</v>
          </cell>
          <cell r="M108" t="str">
            <v>Bart</v>
          </cell>
          <cell r="N108">
            <v>36077</v>
          </cell>
          <cell r="Q108" t="str">
            <v>S4</v>
          </cell>
        </row>
        <row r="109">
          <cell r="A109" t="str">
            <v>Rijkers, Ilse</v>
          </cell>
          <cell r="B109" t="str">
            <v>NLP78J5</v>
          </cell>
          <cell r="C109" t="str">
            <v>Rijkers, Ilse</v>
          </cell>
          <cell r="D109" t="str">
            <v>Ilse</v>
          </cell>
          <cell r="E109">
            <v>38820</v>
          </cell>
          <cell r="H109" t="str">
            <v>D4</v>
          </cell>
          <cell r="J109" t="str">
            <v>Gent, Lex van</v>
          </cell>
          <cell r="K109" t="str">
            <v>NJC17J5</v>
          </cell>
          <cell r="L109" t="str">
            <v>Gent, Lex van</v>
          </cell>
          <cell r="M109" t="str">
            <v>Lex</v>
          </cell>
          <cell r="N109">
            <v>34711</v>
          </cell>
          <cell r="Q109" t="str">
            <v>S1/S2</v>
          </cell>
        </row>
        <row r="110">
          <cell r="A110" t="str">
            <v>Timmer, Edith</v>
          </cell>
          <cell r="B110" t="str">
            <v>NLP78K2</v>
          </cell>
          <cell r="C110" t="str">
            <v>Timmer, Edith</v>
          </cell>
          <cell r="D110" t="str">
            <v>Edith</v>
          </cell>
          <cell r="E110">
            <v>38929</v>
          </cell>
          <cell r="H110" t="str">
            <v>D4</v>
          </cell>
          <cell r="J110" t="str">
            <v>Strijen, Lars van</v>
          </cell>
          <cell r="K110" t="str">
            <v>NJF53H2</v>
          </cell>
          <cell r="L110" t="str">
            <v>Strijen, Lars van</v>
          </cell>
          <cell r="M110" t="str">
            <v>Lars</v>
          </cell>
          <cell r="N110">
            <v>35330</v>
          </cell>
          <cell r="Q110" t="str">
            <v>S1/S2</v>
          </cell>
        </row>
        <row r="111">
          <cell r="A111" t="str">
            <v>Verkerke, Julia</v>
          </cell>
          <cell r="B111" t="str">
            <v>NLP78B9</v>
          </cell>
          <cell r="C111" t="str">
            <v>Verkerke, Julia</v>
          </cell>
          <cell r="D111" t="str">
            <v>Julia</v>
          </cell>
          <cell r="E111">
            <v>39044</v>
          </cell>
          <cell r="H111" t="str">
            <v>D4</v>
          </cell>
          <cell r="J111" t="str">
            <v>Kalkeren, Robin van</v>
          </cell>
          <cell r="K111" t="str">
            <v>NJF24X2</v>
          </cell>
          <cell r="L111" t="str">
            <v>Kalkeren, Robin van</v>
          </cell>
          <cell r="M111" t="str">
            <v>Robin</v>
          </cell>
          <cell r="N111">
            <v>35246</v>
          </cell>
          <cell r="Q111" t="str">
            <v>S1/S2</v>
          </cell>
        </row>
        <row r="112">
          <cell r="A112" t="str">
            <v>Bozuwa, Julia</v>
          </cell>
          <cell r="B112" t="str">
            <v>NLP78G4</v>
          </cell>
          <cell r="C112" t="str">
            <v>Bozuwa, Julia</v>
          </cell>
          <cell r="D112" t="str">
            <v>Julia</v>
          </cell>
          <cell r="E112">
            <v>39274</v>
          </cell>
          <cell r="H112" t="str">
            <v>D5</v>
          </cell>
          <cell r="J112" t="str">
            <v>Klink, Marijn</v>
          </cell>
          <cell r="K112" t="str">
            <v>NJF77Y3</v>
          </cell>
          <cell r="L112" t="str">
            <v>Klink, Marijn</v>
          </cell>
          <cell r="M112" t="str">
            <v>Marijn</v>
          </cell>
          <cell r="N112">
            <v>35550</v>
          </cell>
          <cell r="Q112" t="str">
            <v>S1/S2</v>
          </cell>
        </row>
        <row r="113">
          <cell r="A113" t="str">
            <v>Hage, Quindsey</v>
          </cell>
          <cell r="B113" t="str">
            <v>NLP77X0</v>
          </cell>
          <cell r="C113" t="str">
            <v>Hage, Quindsey</v>
          </cell>
          <cell r="D113" t="str">
            <v>Quindsey</v>
          </cell>
          <cell r="E113">
            <v>39361</v>
          </cell>
          <cell r="H113" t="str">
            <v>D5</v>
          </cell>
          <cell r="J113" t="str">
            <v>Mans, Bob</v>
          </cell>
          <cell r="K113" t="str">
            <v>NJF95S5</v>
          </cell>
          <cell r="L113" t="str">
            <v>Mans, Bob</v>
          </cell>
          <cell r="M113" t="str">
            <v>Bob</v>
          </cell>
          <cell r="N113">
            <v>35372</v>
          </cell>
          <cell r="Q113" t="str">
            <v>S1/S2</v>
          </cell>
        </row>
        <row r="114">
          <cell r="A114" t="str">
            <v>Steenis, Yelena van</v>
          </cell>
          <cell r="B114" t="str">
            <v>NLT04D0</v>
          </cell>
          <cell r="C114" t="str">
            <v>Steenis, Yelena van</v>
          </cell>
          <cell r="D114" t="str">
            <v>Yelena</v>
          </cell>
          <cell r="E114">
            <v>39444</v>
          </cell>
          <cell r="H114" t="str">
            <v>D5</v>
          </cell>
          <cell r="J114" t="str">
            <v>Mol, Thomas</v>
          </cell>
          <cell r="K114" t="str">
            <v>NJT90P3</v>
          </cell>
          <cell r="L114" t="str">
            <v>Mol, Thomas</v>
          </cell>
          <cell r="M114" t="str">
            <v>Thomas</v>
          </cell>
          <cell r="N114">
            <v>35291</v>
          </cell>
          <cell r="Q114" t="str">
            <v>S1/S2</v>
          </cell>
        </row>
        <row r="115">
          <cell r="A115" t="str">
            <v>Tunςyürek, Sümeyra</v>
          </cell>
          <cell r="B115" t="str">
            <v>NLR80N6</v>
          </cell>
          <cell r="C115" t="str">
            <v>Tunςyürek, Sümeyra</v>
          </cell>
          <cell r="D115" t="str">
            <v>Sümeyra</v>
          </cell>
          <cell r="E115">
            <v>39167</v>
          </cell>
          <cell r="H115" t="str">
            <v>D5</v>
          </cell>
          <cell r="J115" t="str">
            <v>Peuter, Freek de</v>
          </cell>
          <cell r="K115" t="str">
            <v>NJG52P6</v>
          </cell>
          <cell r="L115" t="str">
            <v>Peuter, Freek de</v>
          </cell>
          <cell r="M115" t="str">
            <v>Freek</v>
          </cell>
          <cell r="N115">
            <v>35270</v>
          </cell>
          <cell r="Q115" t="str">
            <v>S1/S2</v>
          </cell>
        </row>
        <row r="116">
          <cell r="A116" t="str">
            <v>Varik, Roos van</v>
          </cell>
          <cell r="B116" t="str">
            <v>NLL19W5</v>
          </cell>
          <cell r="C116" t="str">
            <v>Varik, Roos van</v>
          </cell>
          <cell r="D116" t="str">
            <v>Roos</v>
          </cell>
          <cell r="E116">
            <v>39236</v>
          </cell>
          <cell r="H116" t="str">
            <v>D5</v>
          </cell>
          <cell r="J116" t="str">
            <v>Brugge, Bart van der</v>
          </cell>
          <cell r="K116" t="str">
            <v>NJH39X4</v>
          </cell>
          <cell r="L116" t="str">
            <v>Brugge, Bart van der</v>
          </cell>
          <cell r="M116" t="str">
            <v>Bart</v>
          </cell>
          <cell r="N116">
            <v>34900</v>
          </cell>
        </row>
        <row r="117">
          <cell r="A117" t="str">
            <v>Burgt, Elize van de</v>
          </cell>
          <cell r="B117" t="str">
            <v>NLL20G1</v>
          </cell>
          <cell r="C117" t="str">
            <v>Burgt, Elize van de</v>
          </cell>
          <cell r="D117" t="str">
            <v>Elize</v>
          </cell>
          <cell r="E117">
            <v>39804</v>
          </cell>
          <cell r="H117" t="str">
            <v>E1</v>
          </cell>
          <cell r="J117" t="str">
            <v>Isarin, Thomas</v>
          </cell>
          <cell r="K117" t="str">
            <v>NGD51N5</v>
          </cell>
          <cell r="L117" t="str">
            <v>Isarin, Thomas</v>
          </cell>
          <cell r="M117" t="str">
            <v>Thomas</v>
          </cell>
          <cell r="N117">
            <v>32357</v>
          </cell>
          <cell r="Q117" t="str">
            <v>S1/S2</v>
          </cell>
        </row>
        <row r="118">
          <cell r="A118" t="str">
            <v>Klooster, Carmen van der</v>
          </cell>
          <cell r="B118" t="str">
            <v>NLN05N7</v>
          </cell>
          <cell r="C118" t="str">
            <v>Klooster, Carmen van der</v>
          </cell>
          <cell r="D118" t="str">
            <v>Carmen</v>
          </cell>
          <cell r="E118">
            <v>39760</v>
          </cell>
          <cell r="H118" t="str">
            <v>E1</v>
          </cell>
          <cell r="J118" t="str">
            <v>Klink, Olivier</v>
          </cell>
          <cell r="K118" t="str">
            <v>NJH76N5</v>
          </cell>
          <cell r="L118" t="str">
            <v>Klink, Olivier</v>
          </cell>
          <cell r="M118" t="str">
            <v>Olivier</v>
          </cell>
          <cell r="N118">
            <v>36143</v>
          </cell>
        </row>
        <row r="119">
          <cell r="A119" t="str">
            <v>Verboom, Stella</v>
          </cell>
          <cell r="B119" t="str">
            <v>NLP78C6</v>
          </cell>
          <cell r="C119" t="str">
            <v>Verboom, Stella</v>
          </cell>
          <cell r="D119" t="str">
            <v>Stella</v>
          </cell>
          <cell r="E119">
            <v>39562</v>
          </cell>
          <cell r="H119" t="str">
            <v>E1</v>
          </cell>
          <cell r="J119" t="str">
            <v>Mastijn, Lennart</v>
          </cell>
          <cell r="K119" t="str">
            <v>NGL92K5</v>
          </cell>
          <cell r="L119" t="str">
            <v>Mastijn, Lennart</v>
          </cell>
          <cell r="M119" t="str">
            <v>Lennart</v>
          </cell>
          <cell r="N119">
            <v>33342</v>
          </cell>
        </row>
        <row r="120">
          <cell r="A120" t="str">
            <v>Everaarts, Anna</v>
          </cell>
          <cell r="B120" t="str">
            <v>NLC07S7</v>
          </cell>
          <cell r="C120" t="str">
            <v>Everaarts, Anna</v>
          </cell>
          <cell r="D120" t="str">
            <v>Anna</v>
          </cell>
          <cell r="E120">
            <v>39589</v>
          </cell>
          <cell r="H120" t="str">
            <v>E2</v>
          </cell>
          <cell r="J120" t="str">
            <v>Haan, Anne de</v>
          </cell>
          <cell r="K120" t="str">
            <v>NGL45C3</v>
          </cell>
          <cell r="L120" t="str">
            <v>Haan, Anne de</v>
          </cell>
          <cell r="M120" t="str">
            <v>Anne</v>
          </cell>
          <cell r="N120">
            <v>32861</v>
          </cell>
          <cell r="Q120" t="str">
            <v>S4</v>
          </cell>
        </row>
        <row r="121">
          <cell r="A121" t="str">
            <v>Kilsdonk, Sophie</v>
          </cell>
          <cell r="B121" t="str">
            <v>NLS45N2</v>
          </cell>
          <cell r="C121" t="str">
            <v>Kilsdonk, Sophie</v>
          </cell>
          <cell r="D121" t="str">
            <v>Sophie</v>
          </cell>
          <cell r="E121">
            <v>39538</v>
          </cell>
          <cell r="H121" t="str">
            <v>E2</v>
          </cell>
          <cell r="J121" t="str">
            <v>Jong, Jouke de</v>
          </cell>
          <cell r="K121" t="str">
            <v>NKH35N9</v>
          </cell>
          <cell r="L121" t="str">
            <v>Jong, Jouke de</v>
          </cell>
          <cell r="M121" t="str">
            <v>Jouke</v>
          </cell>
          <cell r="N121">
            <v>35797</v>
          </cell>
          <cell r="Q121" t="str">
            <v>S4</v>
          </cell>
        </row>
        <row r="122">
          <cell r="A122" t="str">
            <v>Linden, Benthe van der</v>
          </cell>
          <cell r="B122" t="str">
            <v>NLP78D3</v>
          </cell>
          <cell r="C122" t="str">
            <v>Linden, Benthe van der</v>
          </cell>
          <cell r="D122" t="str">
            <v>Benthe</v>
          </cell>
          <cell r="E122">
            <v>39629</v>
          </cell>
          <cell r="H122" t="str">
            <v>E2</v>
          </cell>
          <cell r="J122" t="str">
            <v>Pierse, Jorik</v>
          </cell>
          <cell r="K122" t="str">
            <v>NJC15Q8</v>
          </cell>
          <cell r="L122" t="str">
            <v>Pierse, Jorik</v>
          </cell>
          <cell r="M122" t="str">
            <v>Jorik</v>
          </cell>
          <cell r="N122">
            <v>34960</v>
          </cell>
          <cell r="Q122" t="str">
            <v>S4</v>
          </cell>
        </row>
        <row r="123">
          <cell r="A123" t="str">
            <v>Lohuis, Floor</v>
          </cell>
          <cell r="B123" t="str">
            <v>NLJ04Z4</v>
          </cell>
          <cell r="C123" t="str">
            <v>Lohuis, Floor</v>
          </cell>
          <cell r="D123" t="str">
            <v>Floor</v>
          </cell>
          <cell r="E123">
            <v>39878</v>
          </cell>
          <cell r="H123" t="str">
            <v>E3</v>
          </cell>
          <cell r="J123" t="str">
            <v>Wolff, Alexander</v>
          </cell>
          <cell r="K123" t="str">
            <v>NKH56N2</v>
          </cell>
          <cell r="L123" t="str">
            <v>Wolff, Alexander</v>
          </cell>
          <cell r="M123" t="str">
            <v>Alexander</v>
          </cell>
          <cell r="N123">
            <v>35231</v>
          </cell>
        </row>
        <row r="124">
          <cell r="A124" t="str">
            <v>Reuvers, Lisa</v>
          </cell>
          <cell r="B124" t="str">
            <v>NLS08H9</v>
          </cell>
          <cell r="C124" t="str">
            <v>Reuvers, Lisa</v>
          </cell>
          <cell r="D124" t="str">
            <v>Lisa</v>
          </cell>
          <cell r="E124">
            <v>39993</v>
          </cell>
          <cell r="H124" t="str">
            <v>E3</v>
          </cell>
          <cell r="J124" t="str">
            <v>Belder, Steven</v>
          </cell>
          <cell r="K124" t="str">
            <v>NFW42L1</v>
          </cell>
          <cell r="L124" t="str">
            <v>Belder, Steven</v>
          </cell>
          <cell r="M124" t="str">
            <v>Steven</v>
          </cell>
          <cell r="N124">
            <v>29709</v>
          </cell>
          <cell r="Q124" t="str">
            <v>S3</v>
          </cell>
        </row>
        <row r="125">
          <cell r="A125" t="str">
            <v>Zwanenburg, Robin</v>
          </cell>
          <cell r="B125" t="str">
            <v>NLS76C3</v>
          </cell>
          <cell r="C125" t="str">
            <v>Zwanenburg, Robin</v>
          </cell>
          <cell r="D125" t="str">
            <v>Robin</v>
          </cell>
          <cell r="E125">
            <v>40097</v>
          </cell>
          <cell r="H125" t="str">
            <v>E3</v>
          </cell>
          <cell r="J125" t="str">
            <v>Boshoven, Davy</v>
          </cell>
          <cell r="K125" t="str">
            <v>NFW40D9</v>
          </cell>
          <cell r="L125" t="str">
            <v>Boshoven, Davy</v>
          </cell>
          <cell r="M125" t="str">
            <v>Davy</v>
          </cell>
          <cell r="N125">
            <v>27506</v>
          </cell>
          <cell r="Q125" t="str">
            <v>S3</v>
          </cell>
        </row>
        <row r="126">
          <cell r="A126" t="str">
            <v>Borsboom, Lis</v>
          </cell>
          <cell r="B126" t="str">
            <v>NLV54V3</v>
          </cell>
          <cell r="C126" t="str">
            <v>Borsboom, Lis</v>
          </cell>
          <cell r="D126" t="str">
            <v>Lis</v>
          </cell>
          <cell r="E126">
            <v>39637</v>
          </cell>
          <cell r="H126" t="str">
            <v>E4</v>
          </cell>
          <cell r="J126" t="str">
            <v>Kalkeren, Marco van</v>
          </cell>
          <cell r="K126" t="str">
            <v>NFW13Y0</v>
          </cell>
          <cell r="L126" t="str">
            <v>Kalkeren, Marco van</v>
          </cell>
          <cell r="M126" t="str">
            <v>Marco</v>
          </cell>
          <cell r="N126">
            <v>25227</v>
          </cell>
          <cell r="Q126" t="str">
            <v>S3</v>
          </cell>
        </row>
        <row r="127">
          <cell r="A127" t="str">
            <v>Oomens, Hanna</v>
          </cell>
          <cell r="B127" t="str">
            <v>NLS08K0</v>
          </cell>
          <cell r="C127" t="str">
            <v>Oomens, Hanna</v>
          </cell>
          <cell r="D127" t="str">
            <v>Hanna</v>
          </cell>
          <cell r="E127">
            <v>39635</v>
          </cell>
          <cell r="H127" t="str">
            <v>E4</v>
          </cell>
          <cell r="J127" t="str">
            <v>Laban, Antjan</v>
          </cell>
          <cell r="K127" t="str">
            <v>NFW92M3</v>
          </cell>
          <cell r="L127" t="str">
            <v>Laban, Antjan</v>
          </cell>
          <cell r="M127" t="str">
            <v>Antjan</v>
          </cell>
          <cell r="N127">
            <v>29340</v>
          </cell>
          <cell r="Q127" t="str">
            <v>S3</v>
          </cell>
        </row>
        <row r="128">
          <cell r="A128" t="str">
            <v>Voorbij, Doeska</v>
          </cell>
          <cell r="B128" t="str">
            <v>NLT96R9</v>
          </cell>
          <cell r="C128" t="str">
            <v>Voorbij, Doeska</v>
          </cell>
          <cell r="D128" t="str">
            <v>Doeska</v>
          </cell>
          <cell r="E128">
            <v>39751</v>
          </cell>
          <cell r="H128" t="str">
            <v>E4</v>
          </cell>
          <cell r="J128" t="str">
            <v>Noels, Arjan</v>
          </cell>
          <cell r="K128" t="str">
            <v>NFW26G8</v>
          </cell>
          <cell r="L128" t="str">
            <v>Noels, Arjan</v>
          </cell>
          <cell r="M128" t="str">
            <v>Arjan</v>
          </cell>
          <cell r="N128">
            <v>29523</v>
          </cell>
          <cell r="Q128" t="str">
            <v>S3</v>
          </cell>
        </row>
        <row r="129">
          <cell r="A129" t="str">
            <v>Bemer, Githa</v>
          </cell>
          <cell r="B129" t="str">
            <v>NLX00H0</v>
          </cell>
          <cell r="C129" t="str">
            <v>Bemer, Githa</v>
          </cell>
          <cell r="D129" t="str">
            <v>Githa</v>
          </cell>
          <cell r="E129">
            <v>40169</v>
          </cell>
          <cell r="H129" t="str">
            <v>E5</v>
          </cell>
          <cell r="J129" t="str">
            <v>Verwaal, Jan-Peter</v>
          </cell>
          <cell r="K129" t="str">
            <v>NFW14Y3</v>
          </cell>
          <cell r="L129" t="str">
            <v>Verwaal, Jan-Peter</v>
          </cell>
          <cell r="M129" t="str">
            <v>Jan-Peter</v>
          </cell>
          <cell r="N129">
            <v>25273</v>
          </cell>
          <cell r="Q129" t="str">
            <v>S3</v>
          </cell>
        </row>
        <row r="130">
          <cell r="A130" t="str">
            <v>Dongen, Madelief van</v>
          </cell>
          <cell r="B130" t="str">
            <v>NLL53K3</v>
          </cell>
          <cell r="C130" t="str">
            <v>Dongen, Madelief van</v>
          </cell>
          <cell r="D130" t="str">
            <v>Madelief</v>
          </cell>
          <cell r="E130">
            <v>40143</v>
          </cell>
          <cell r="H130" t="str">
            <v>E5</v>
          </cell>
          <cell r="J130" t="str">
            <v>Ameijden, Marijn van</v>
          </cell>
          <cell r="K130" t="str">
            <v>NGP49D6</v>
          </cell>
          <cell r="L130" t="str">
            <v>Ameijden, Marijn van</v>
          </cell>
          <cell r="M130" t="str">
            <v>Marijn</v>
          </cell>
          <cell r="N130">
            <v>32911</v>
          </cell>
          <cell r="Q130" t="str">
            <v>S5</v>
          </cell>
        </row>
        <row r="131">
          <cell r="A131" t="str">
            <v>Kamezman, Zoe</v>
          </cell>
          <cell r="B131" t="str">
            <v>NLX08G7</v>
          </cell>
          <cell r="C131" t="str">
            <v>Kamezman, Zoe</v>
          </cell>
          <cell r="D131" t="str">
            <v>Zoe</v>
          </cell>
          <cell r="E131">
            <v>40015</v>
          </cell>
          <cell r="H131" t="str">
            <v>E5</v>
          </cell>
          <cell r="J131" t="str">
            <v>Scheurwater, Tiemen</v>
          </cell>
          <cell r="K131" t="str">
            <v>NJB72K6</v>
          </cell>
          <cell r="L131" t="str">
            <v>Scheurwater, Tiemen</v>
          </cell>
          <cell r="M131" t="str">
            <v>Tiemen</v>
          </cell>
          <cell r="N131">
            <v>32967</v>
          </cell>
          <cell r="Q131" t="str">
            <v>S5</v>
          </cell>
        </row>
        <row r="132">
          <cell r="A132" t="str">
            <v>Reijerkerk, Sterre</v>
          </cell>
          <cell r="B132" t="str">
            <v>NLX08D6</v>
          </cell>
          <cell r="C132" t="str">
            <v>Reijerkerk, Sterre</v>
          </cell>
          <cell r="D132" t="str">
            <v>Sterre</v>
          </cell>
          <cell r="E132">
            <v>39861</v>
          </cell>
          <cell r="H132" t="str">
            <v>E5</v>
          </cell>
          <cell r="J132" t="str">
            <v>Stehouwer, Ferry</v>
          </cell>
          <cell r="K132" t="str">
            <v>NGZ14L2</v>
          </cell>
          <cell r="L132" t="str">
            <v>Stehouwer, Ferry</v>
          </cell>
          <cell r="M132" t="str">
            <v>Ferry</v>
          </cell>
          <cell r="N132">
            <v>33439</v>
          </cell>
          <cell r="Q132" t="str">
            <v>S5</v>
          </cell>
        </row>
        <row r="133">
          <cell r="A133" t="str">
            <v>Kleingeld, Julia</v>
          </cell>
          <cell r="B133" t="str">
            <v>NKT65Z0</v>
          </cell>
          <cell r="C133" t="str">
            <v>Kleingeld, Julia</v>
          </cell>
          <cell r="D133" t="str">
            <v>Julia</v>
          </cell>
          <cell r="E133">
            <v>40446</v>
          </cell>
          <cell r="H133" t="str">
            <v>F1</v>
          </cell>
          <cell r="J133" t="str">
            <v>Tol, Wout van</v>
          </cell>
          <cell r="K133" t="str">
            <v>NGP79X1</v>
          </cell>
          <cell r="L133" t="str">
            <v>Tol, Wout van</v>
          </cell>
          <cell r="M133" t="str">
            <v>Wout</v>
          </cell>
          <cell r="N133">
            <v>32911</v>
          </cell>
          <cell r="Q133" t="str">
            <v>S5</v>
          </cell>
        </row>
        <row r="134">
          <cell r="A134" t="str">
            <v>Stomp, Noa</v>
          </cell>
          <cell r="B134" t="str">
            <v>NLN41L1</v>
          </cell>
          <cell r="C134" t="str">
            <v>Stomp, Noa</v>
          </cell>
          <cell r="D134" t="str">
            <v>Noa</v>
          </cell>
          <cell r="E134">
            <v>40439</v>
          </cell>
          <cell r="H134" t="str">
            <v>F1</v>
          </cell>
          <cell r="J134" t="str">
            <v>Hendriks, Tom</v>
          </cell>
          <cell r="K134" t="str">
            <v>NJF34K6</v>
          </cell>
          <cell r="L134" t="str">
            <v>Hendriks, Tom</v>
          </cell>
          <cell r="M134" t="str">
            <v>Tom</v>
          </cell>
          <cell r="N134">
            <v>35092</v>
          </cell>
          <cell r="Q134" t="str">
            <v>S7</v>
          </cell>
        </row>
        <row r="135">
          <cell r="A135" t="str">
            <v>Volker, Tess</v>
          </cell>
          <cell r="B135" t="str">
            <v>NLP89W4</v>
          </cell>
          <cell r="C135" t="str">
            <v>Volker, Tess</v>
          </cell>
          <cell r="D135" t="str">
            <v>Tess</v>
          </cell>
          <cell r="E135">
            <v>40227</v>
          </cell>
          <cell r="H135" t="str">
            <v>F1</v>
          </cell>
          <cell r="J135" t="str">
            <v>Tol, Rob van</v>
          </cell>
          <cell r="K135" t="str">
            <v>NFY89D8</v>
          </cell>
          <cell r="L135" t="str">
            <v>Tol, Rob van</v>
          </cell>
          <cell r="M135" t="str">
            <v>Rob</v>
          </cell>
          <cell r="N135">
            <v>32205</v>
          </cell>
          <cell r="Q135" t="str">
            <v>S7</v>
          </cell>
        </row>
        <row r="136">
          <cell r="A136" t="str">
            <v>Baas, Nikki</v>
          </cell>
          <cell r="B136" t="str">
            <v>NLS54M7</v>
          </cell>
          <cell r="C136" t="str">
            <v>Baas, Nikki</v>
          </cell>
          <cell r="D136" t="str">
            <v>Nikki</v>
          </cell>
          <cell r="E136">
            <v>40498</v>
          </cell>
          <cell r="H136" t="str">
            <v>F2</v>
          </cell>
          <cell r="J136" t="str">
            <v>Ton, Thomas</v>
          </cell>
          <cell r="K136" t="str">
            <v>NHY59B3</v>
          </cell>
          <cell r="L136" t="str">
            <v>Ton, Thomas</v>
          </cell>
          <cell r="M136" t="str">
            <v>Thomas</v>
          </cell>
          <cell r="N136">
            <v>33325</v>
          </cell>
          <cell r="Q136" t="str">
            <v>S7</v>
          </cell>
        </row>
        <row r="137">
          <cell r="A137" t="str">
            <v>Burgt, Feline van de</v>
          </cell>
          <cell r="B137" t="str">
            <v>NLL20H8</v>
          </cell>
          <cell r="C137" t="str">
            <v>Burgt, Feline van de</v>
          </cell>
          <cell r="D137" t="str">
            <v>Feline</v>
          </cell>
          <cell r="E137">
            <v>40429</v>
          </cell>
          <cell r="H137" t="str">
            <v>F2</v>
          </cell>
          <cell r="J137" t="str">
            <v>Witter, Herman</v>
          </cell>
          <cell r="K137" t="str">
            <v>NGK16P1</v>
          </cell>
          <cell r="L137" t="str">
            <v>Witter, Herman</v>
          </cell>
          <cell r="M137" t="str">
            <v>Herman</v>
          </cell>
          <cell r="N137">
            <v>32462</v>
          </cell>
          <cell r="Q137" t="str">
            <v>S7</v>
          </cell>
        </row>
        <row r="138">
          <cell r="A138" t="str">
            <v>Est, Sarah van</v>
          </cell>
          <cell r="B138" t="str">
            <v>NLV80N0</v>
          </cell>
          <cell r="C138" t="str">
            <v>Est, Sarah van</v>
          </cell>
          <cell r="D138" t="str">
            <v>Sarah</v>
          </cell>
          <cell r="E138">
            <v>40213</v>
          </cell>
          <cell r="H138" t="str">
            <v>F2</v>
          </cell>
          <cell r="J138" t="str">
            <v>Wondergem, Mark-Jan</v>
          </cell>
          <cell r="K138" t="str">
            <v>NGB14K1</v>
          </cell>
          <cell r="L138" t="str">
            <v>Wondergem, Mark-Jan</v>
          </cell>
          <cell r="M138" t="str">
            <v>Mark-Jan</v>
          </cell>
          <cell r="N138">
            <v>31211</v>
          </cell>
          <cell r="Q138" t="str">
            <v>S7</v>
          </cell>
        </row>
        <row r="139">
          <cell r="A139" t="str">
            <v>Klooster, Danique van de</v>
          </cell>
          <cell r="B139" t="str">
            <v>NLP77Z4</v>
          </cell>
          <cell r="C139" t="str">
            <v>Klooster, Danique van de</v>
          </cell>
          <cell r="D139" t="str">
            <v>Danique</v>
          </cell>
          <cell r="E139">
            <v>40239</v>
          </cell>
          <cell r="H139" t="str">
            <v>F2</v>
          </cell>
          <cell r="J139" t="str">
            <v>Ameijden, Robbert van</v>
          </cell>
          <cell r="K139" t="str">
            <v>NGP49B2</v>
          </cell>
          <cell r="L139" t="str">
            <v>Ameijden, Robbert van</v>
          </cell>
          <cell r="M139" t="str">
            <v>Robbert</v>
          </cell>
          <cell r="N139">
            <v>32911</v>
          </cell>
          <cell r="Q139" t="str">
            <v>S8</v>
          </cell>
        </row>
        <row r="140">
          <cell r="A140" t="str">
            <v>Vaartmans, Britt</v>
          </cell>
          <cell r="B140" t="str">
            <v>NLM86V5</v>
          </cell>
          <cell r="C140" t="str">
            <v>Vaartmans, Britt</v>
          </cell>
          <cell r="D140" t="str">
            <v>Britt</v>
          </cell>
          <cell r="E140">
            <v>40561</v>
          </cell>
          <cell r="H140" t="str">
            <v>F2</v>
          </cell>
          <cell r="J140" t="str">
            <v>Draaijer, Rens</v>
          </cell>
          <cell r="K140" t="str">
            <v>NGT42V5</v>
          </cell>
          <cell r="L140" t="str">
            <v>Draaijer, Rens</v>
          </cell>
          <cell r="M140" t="str">
            <v>Rens</v>
          </cell>
          <cell r="N140">
            <v>33211</v>
          </cell>
          <cell r="Q140" t="str">
            <v>S8</v>
          </cell>
        </row>
        <row r="141">
          <cell r="A141" t="str">
            <v>Bakker, Femke</v>
          </cell>
          <cell r="B141" t="str">
            <v>NLQ98H2</v>
          </cell>
          <cell r="C141" t="str">
            <v>Bakker, Femke</v>
          </cell>
          <cell r="D141" t="str">
            <v>Femke</v>
          </cell>
          <cell r="E141">
            <v>40344</v>
          </cell>
          <cell r="H141" t="str">
            <v>F3</v>
          </cell>
          <cell r="J141" t="str">
            <v>Helmos, Roy</v>
          </cell>
          <cell r="K141" t="str">
            <v>NFW28Q4</v>
          </cell>
          <cell r="L141" t="str">
            <v>Helmos, Roy</v>
          </cell>
          <cell r="M141" t="str">
            <v>Roy</v>
          </cell>
          <cell r="N141">
            <v>30440</v>
          </cell>
          <cell r="Q141" t="str">
            <v>S8</v>
          </cell>
        </row>
        <row r="142">
          <cell r="A142" t="str">
            <v>Bouwknegt, Enora</v>
          </cell>
          <cell r="B142" t="str">
            <v>NLM40K0</v>
          </cell>
          <cell r="C142" t="str">
            <v>Bouwknegt, Enora</v>
          </cell>
          <cell r="D142" t="str">
            <v>Enora</v>
          </cell>
          <cell r="E142">
            <v>40512</v>
          </cell>
          <cell r="H142" t="str">
            <v>F3</v>
          </cell>
          <cell r="J142" t="str">
            <v>Verstappen, Philip</v>
          </cell>
          <cell r="K142" t="str">
            <v>NFZ27D3</v>
          </cell>
          <cell r="L142" t="str">
            <v>Verstappen, Philip</v>
          </cell>
          <cell r="M142" t="str">
            <v>Philip</v>
          </cell>
          <cell r="N142">
            <v>31528</v>
          </cell>
          <cell r="Q142" t="str">
            <v>S8</v>
          </cell>
        </row>
        <row r="143">
          <cell r="A143" t="str">
            <v>Veld, Puck in 't</v>
          </cell>
          <cell r="B143" t="str">
            <v>NLX00J4</v>
          </cell>
          <cell r="C143" t="str">
            <v>Veld, Puck in 't</v>
          </cell>
          <cell r="D143" t="str">
            <v>Puck</v>
          </cell>
          <cell r="E143">
            <v>40409</v>
          </cell>
          <cell r="H143" t="str">
            <v>F3</v>
          </cell>
          <cell r="J143" t="str">
            <v>Verwaal, Stefan</v>
          </cell>
          <cell r="K143" t="str">
            <v>NJF06N8</v>
          </cell>
          <cell r="L143" t="str">
            <v>Verwaal, Stefan</v>
          </cell>
          <cell r="M143" t="str">
            <v>Stefan</v>
          </cell>
          <cell r="N143">
            <v>35564</v>
          </cell>
          <cell r="Q143" t="str">
            <v>S8</v>
          </cell>
        </row>
        <row r="144">
          <cell r="A144" t="str">
            <v>Verhoef, Hanna</v>
          </cell>
          <cell r="B144" t="str">
            <v>NLS76B6</v>
          </cell>
          <cell r="C144" t="str">
            <v>Verhoef, Hanna</v>
          </cell>
          <cell r="D144" t="str">
            <v>Hanna</v>
          </cell>
          <cell r="E144">
            <v>40402</v>
          </cell>
          <cell r="H144" t="str">
            <v>F3</v>
          </cell>
          <cell r="J144" t="str">
            <v>Wiel, Martijn van der</v>
          </cell>
          <cell r="K144" t="str">
            <v>NFW26R5</v>
          </cell>
          <cell r="L144" t="str">
            <v>Wiel, Martijn van der</v>
          </cell>
          <cell r="M144" t="str">
            <v>Martijn</v>
          </cell>
          <cell r="N144">
            <v>29603</v>
          </cell>
          <cell r="Q144" t="str">
            <v>S8</v>
          </cell>
        </row>
        <row r="145">
          <cell r="A145" t="str">
            <v>Boer, Esmee de</v>
          </cell>
          <cell r="B145" t="str">
            <v>NLX64V0</v>
          </cell>
          <cell r="C145" t="str">
            <v>Boer, Esmee de</v>
          </cell>
          <cell r="D145" t="str">
            <v>Esmee</v>
          </cell>
          <cell r="E145">
            <v>40328</v>
          </cell>
          <cell r="H145" t="str">
            <v>F4</v>
          </cell>
          <cell r="J145" t="str">
            <v>Donkervoort, Max</v>
          </cell>
          <cell r="K145" t="str">
            <v>NJF43V5</v>
          </cell>
          <cell r="L145" t="str">
            <v>Donkervoort, Max</v>
          </cell>
          <cell r="M145" t="str">
            <v>Max</v>
          </cell>
          <cell r="N145">
            <v>34896</v>
          </cell>
          <cell r="Q145" t="str">
            <v>Stopt</v>
          </cell>
        </row>
        <row r="146">
          <cell r="A146" t="str">
            <v>Engelfriet, Demi</v>
          </cell>
          <cell r="B146" t="str">
            <v>NLX25R5</v>
          </cell>
          <cell r="C146" t="str">
            <v>Engelfriet, Demi</v>
          </cell>
          <cell r="D146" t="str">
            <v>Demi</v>
          </cell>
          <cell r="E146">
            <v>40327</v>
          </cell>
          <cell r="H146" t="str">
            <v>F4</v>
          </cell>
          <cell r="J146" t="str">
            <v>Hartman, Victor</v>
          </cell>
          <cell r="K146" t="str">
            <v>NJC21L6</v>
          </cell>
          <cell r="L146" t="str">
            <v>Hartman, Victor</v>
          </cell>
          <cell r="M146" t="str">
            <v>Victor</v>
          </cell>
          <cell r="N146">
            <v>34421</v>
          </cell>
          <cell r="Q146" t="str">
            <v>Stopt</v>
          </cell>
        </row>
        <row r="147">
          <cell r="A147" t="str">
            <v>Nijhoff, Liv</v>
          </cell>
          <cell r="B147" t="str">
            <v>NLT36L7</v>
          </cell>
          <cell r="C147" t="str">
            <v>Nijhoff, Liv</v>
          </cell>
          <cell r="D147" t="str">
            <v>Liv</v>
          </cell>
          <cell r="E147">
            <v>40565</v>
          </cell>
          <cell r="H147" t="str">
            <v>F4</v>
          </cell>
          <cell r="J147" t="str">
            <v>Jong, Micha de</v>
          </cell>
          <cell r="K147" t="str">
            <v>NLC24S8</v>
          </cell>
          <cell r="L147" t="str">
            <v>Jong, Micha de</v>
          </cell>
          <cell r="M147" t="str">
            <v>Micha</v>
          </cell>
          <cell r="N147">
            <v>39061</v>
          </cell>
          <cell r="Q147" t="str">
            <v>Stopt</v>
          </cell>
        </row>
        <row r="148">
          <cell r="A148" t="str">
            <v>Tijssen, Naomi</v>
          </cell>
          <cell r="C148" t="str">
            <v>Tijssen, Naomi</v>
          </cell>
          <cell r="D148" t="str">
            <v>Naomi</v>
          </cell>
          <cell r="E148">
            <v>40660</v>
          </cell>
          <cell r="H148" t="str">
            <v>F4</v>
          </cell>
          <cell r="J148" t="str">
            <v>Ploeg, Henno</v>
          </cell>
          <cell r="K148" t="str">
            <v>NFW29N6</v>
          </cell>
          <cell r="L148" t="str">
            <v>Ploeg, Henno</v>
          </cell>
          <cell r="M148" t="str">
            <v>Henno</v>
          </cell>
          <cell r="N148">
            <v>31501</v>
          </cell>
          <cell r="Q148" t="str">
            <v>Stopt</v>
          </cell>
        </row>
        <row r="149">
          <cell r="A149" t="str">
            <v>Wiel, Danique van der</v>
          </cell>
          <cell r="B149" t="str">
            <v>NLP78L9</v>
          </cell>
          <cell r="C149" t="str">
            <v>Wiel, Danique van der</v>
          </cell>
          <cell r="D149" t="str">
            <v>Danique</v>
          </cell>
          <cell r="E149">
            <v>40538</v>
          </cell>
          <cell r="H149" t="str">
            <v>F4</v>
          </cell>
          <cell r="J149" t="str">
            <v>Vlaming, Roy de</v>
          </cell>
          <cell r="K149" t="str">
            <v>NKQ40P2</v>
          </cell>
          <cell r="L149" t="str">
            <v>Vlaming, Roy de</v>
          </cell>
          <cell r="M149" t="str">
            <v>Roy</v>
          </cell>
          <cell r="N149">
            <v>30994</v>
          </cell>
          <cell r="Q149" t="str">
            <v>Stopt</v>
          </cell>
        </row>
        <row r="150">
          <cell r="A150" t="str">
            <v>Camphens, Saar</v>
          </cell>
          <cell r="B150" t="str">
            <v>NLS34M7</v>
          </cell>
          <cell r="C150" t="str">
            <v>Camphens, Saar</v>
          </cell>
          <cell r="D150" t="str">
            <v>Saar</v>
          </cell>
          <cell r="E150">
            <v>40786</v>
          </cell>
          <cell r="H150" t="str">
            <v>F5</v>
          </cell>
          <cell r="J150" t="str">
            <v>Wall, Jeffrey van der</v>
          </cell>
          <cell r="K150" t="str">
            <v>NKC46P6</v>
          </cell>
          <cell r="L150" t="str">
            <v>Wall, Jeffrey van der</v>
          </cell>
          <cell r="M150" t="str">
            <v>Jeffrey</v>
          </cell>
          <cell r="N150">
            <v>36664</v>
          </cell>
          <cell r="Q150" t="str">
            <v>Stopt</v>
          </cell>
        </row>
        <row r="151">
          <cell r="A151" t="str">
            <v>Grootenboer, Tess</v>
          </cell>
          <cell r="B151" t="str">
            <v>NLP89T3</v>
          </cell>
          <cell r="C151" t="str">
            <v>Grootenboer, Tess</v>
          </cell>
          <cell r="D151" t="str">
            <v>Tess</v>
          </cell>
          <cell r="E151">
            <v>40652</v>
          </cell>
          <cell r="H151" t="str">
            <v>F5</v>
          </cell>
          <cell r="J151" t="str">
            <v>Wiel, Peter van der</v>
          </cell>
          <cell r="K151" t="str">
            <v>NGL91T5</v>
          </cell>
          <cell r="L151" t="str">
            <v>Wiel, Peter van der</v>
          </cell>
          <cell r="M151" t="str">
            <v>Peter</v>
          </cell>
          <cell r="N151">
            <v>32808</v>
          </cell>
          <cell r="Q151" t="str">
            <v>Stopt</v>
          </cell>
        </row>
        <row r="152">
          <cell r="A152" t="str">
            <v>Jongkind, Floortje</v>
          </cell>
          <cell r="B152" t="str">
            <v>NLR34F7</v>
          </cell>
          <cell r="C152" t="str">
            <v>Jongkind, Floortje</v>
          </cell>
          <cell r="D152" t="str">
            <v>Floortje</v>
          </cell>
          <cell r="E152">
            <v>40243</v>
          </cell>
          <cell r="H152" t="str">
            <v>F5</v>
          </cell>
          <cell r="J152" t="str">
            <v>Ameijden, Jasper van</v>
          </cell>
          <cell r="K152" t="str">
            <v>NFW42H3</v>
          </cell>
          <cell r="L152" t="str">
            <v>Ameijden, Jasper van</v>
          </cell>
          <cell r="M152" t="str">
            <v>Jasper</v>
          </cell>
          <cell r="N152">
            <v>29509</v>
          </cell>
        </row>
        <row r="153">
          <cell r="A153" t="str">
            <v>Vercouteren, Noortje</v>
          </cell>
          <cell r="B153" t="str">
            <v>NLV84L8</v>
          </cell>
          <cell r="C153" t="str">
            <v>Vercouteren, Noortje</v>
          </cell>
          <cell r="D153" t="str">
            <v>Noortje</v>
          </cell>
          <cell r="E153">
            <v>40226</v>
          </cell>
          <cell r="H153" t="str">
            <v>F5</v>
          </cell>
          <cell r="J153" t="str">
            <v>Ameijden, Sjoerd van</v>
          </cell>
          <cell r="K153" t="str">
            <v>NFW28J5</v>
          </cell>
          <cell r="L153" t="str">
            <v>Ameijden, Sjoerd van</v>
          </cell>
          <cell r="M153" t="str">
            <v>Sjoerd</v>
          </cell>
          <cell r="N153">
            <v>30480</v>
          </cell>
        </row>
        <row r="154">
          <cell r="A154" t="str">
            <v>Voorbij, Lova</v>
          </cell>
          <cell r="B154" t="str">
            <v>NLV84M5</v>
          </cell>
          <cell r="C154" t="str">
            <v>Voorbij, Lova</v>
          </cell>
          <cell r="D154" t="str">
            <v>Lova</v>
          </cell>
          <cell r="E154">
            <v>41174</v>
          </cell>
          <cell r="H154" t="str">
            <v>Kang</v>
          </cell>
          <cell r="J154" t="str">
            <v>Ardon, Rob</v>
          </cell>
          <cell r="K154" t="str">
            <v>NJW93L7</v>
          </cell>
          <cell r="L154" t="str">
            <v>Ardon, Rob</v>
          </cell>
          <cell r="M154" t="str">
            <v>Rob</v>
          </cell>
          <cell r="N154">
            <v>23297</v>
          </cell>
        </row>
        <row r="155">
          <cell r="A155" t="str">
            <v>Bakker-Verwaal, Lieke</v>
          </cell>
          <cell r="B155" t="str">
            <v>NFW28G4</v>
          </cell>
          <cell r="C155" t="str">
            <v>Bakker-Verwaal, Lieke</v>
          </cell>
          <cell r="D155" t="str">
            <v>Lieke</v>
          </cell>
          <cell r="E155">
            <v>30344</v>
          </cell>
          <cell r="H155" t="str">
            <v>MW1</v>
          </cell>
          <cell r="J155" t="str">
            <v>Bas, Arno</v>
          </cell>
          <cell r="K155" t="str">
            <v>NFW42K4</v>
          </cell>
          <cell r="L155" t="str">
            <v>Bas, Arno</v>
          </cell>
          <cell r="M155" t="str">
            <v>Arno</v>
          </cell>
          <cell r="N155">
            <v>29473</v>
          </cell>
        </row>
        <row r="156">
          <cell r="A156" t="str">
            <v>Everaarts, Damaris</v>
          </cell>
          <cell r="B156" t="str">
            <v>NKX56Q9</v>
          </cell>
          <cell r="C156" t="str">
            <v>Everaarts, Damaris</v>
          </cell>
          <cell r="D156" t="str">
            <v>Damaris</v>
          </cell>
          <cell r="E156">
            <v>28948</v>
          </cell>
          <cell r="H156" t="str">
            <v>MW1</v>
          </cell>
          <cell r="J156" t="str">
            <v>Bezooijen, Marco van</v>
          </cell>
          <cell r="K156" t="str">
            <v>NKK48C9</v>
          </cell>
          <cell r="L156" t="str">
            <v>Bezooijen, Marco van</v>
          </cell>
          <cell r="M156" t="str">
            <v>Marco</v>
          </cell>
          <cell r="N156">
            <v>27038</v>
          </cell>
        </row>
        <row r="157">
          <cell r="A157" t="str">
            <v>Honschoten, Sylvia van</v>
          </cell>
          <cell r="B157" t="str">
            <v>NJF85H3</v>
          </cell>
          <cell r="C157" t="str">
            <v>Honschoten, Sylvia van</v>
          </cell>
          <cell r="D157" t="str">
            <v>Sylvia</v>
          </cell>
          <cell r="E157">
            <v>33673</v>
          </cell>
          <cell r="H157" t="str">
            <v>MW1</v>
          </cell>
          <cell r="J157" t="str">
            <v>Blaak, Dick</v>
          </cell>
          <cell r="K157" t="str">
            <v>NFW54X6</v>
          </cell>
          <cell r="L157" t="str">
            <v>Blaak, Dick</v>
          </cell>
          <cell r="M157" t="str">
            <v>Dick</v>
          </cell>
          <cell r="N157">
            <v>23712</v>
          </cell>
        </row>
        <row r="158">
          <cell r="A158" t="str">
            <v>Opstal-Haksteen, Tamara van</v>
          </cell>
          <cell r="B158" t="str">
            <v>NFX24T4</v>
          </cell>
          <cell r="C158" t="str">
            <v>Opstal-Haksteen, Tamara van</v>
          </cell>
          <cell r="D158" t="str">
            <v>Tamara</v>
          </cell>
          <cell r="E158">
            <v>32197</v>
          </cell>
          <cell r="H158" t="str">
            <v>MW1</v>
          </cell>
          <cell r="J158" t="str">
            <v>Boer, Alexander de</v>
          </cell>
          <cell r="K158" t="str">
            <v>NFW42M8</v>
          </cell>
          <cell r="L158" t="str">
            <v>Boer, Alexander de</v>
          </cell>
          <cell r="M158" t="str">
            <v>Alexander</v>
          </cell>
          <cell r="N158">
            <v>29189</v>
          </cell>
        </row>
        <row r="159">
          <cell r="A159" t="str">
            <v>Quarré, Martha</v>
          </cell>
          <cell r="B159" t="str">
            <v>NJH50Y4</v>
          </cell>
          <cell r="C159" t="str">
            <v>Quarré, Martha</v>
          </cell>
          <cell r="D159" t="str">
            <v>Martha</v>
          </cell>
          <cell r="E159">
            <v>25795</v>
          </cell>
          <cell r="H159" t="str">
            <v>MW1</v>
          </cell>
          <cell r="J159" t="str">
            <v>Boshoven, Walter</v>
          </cell>
          <cell r="K159" t="str">
            <v>NFW13H1</v>
          </cell>
          <cell r="L159" t="str">
            <v>Boshoven, Walter</v>
          </cell>
          <cell r="M159" t="str">
            <v>Walter</v>
          </cell>
          <cell r="N159">
            <v>18431</v>
          </cell>
        </row>
        <row r="160">
          <cell r="A160" t="str">
            <v>Vliet-Koster, Renate</v>
          </cell>
          <cell r="B160" t="str">
            <v>NFW41J4</v>
          </cell>
          <cell r="C160" t="str">
            <v>Vliet-Koster, Renate</v>
          </cell>
          <cell r="D160" t="str">
            <v>Renate</v>
          </cell>
          <cell r="E160">
            <v>28792</v>
          </cell>
          <cell r="H160" t="str">
            <v>MW1</v>
          </cell>
          <cell r="J160" t="str">
            <v>Broek, Edwin van den</v>
          </cell>
          <cell r="K160" t="str">
            <v>NGH43G1</v>
          </cell>
          <cell r="L160" t="str">
            <v>Broek, Edwin van den</v>
          </cell>
          <cell r="M160" t="str">
            <v>Edwin</v>
          </cell>
          <cell r="N160">
            <v>32004</v>
          </cell>
        </row>
        <row r="161">
          <cell r="A161" t="str">
            <v>Koote, Ciska</v>
          </cell>
          <cell r="B161" t="str">
            <v>NFW01S7</v>
          </cell>
          <cell r="C161" t="str">
            <v>Koote, Ciska</v>
          </cell>
          <cell r="D161" t="str">
            <v>Ciska</v>
          </cell>
          <cell r="E161">
            <v>23698</v>
          </cell>
          <cell r="H161" t="str">
            <v>REC</v>
          </cell>
          <cell r="J161" t="str">
            <v>Broek, Rende van den</v>
          </cell>
          <cell r="K161" t="str">
            <v>NFW13J5</v>
          </cell>
          <cell r="L161" t="str">
            <v>Broek, Rende van den</v>
          </cell>
          <cell r="M161" t="str">
            <v>Rende</v>
          </cell>
          <cell r="N161">
            <v>25923</v>
          </cell>
        </row>
        <row r="162">
          <cell r="A162" t="str">
            <v>Ardon, Linda</v>
          </cell>
          <cell r="B162" t="str">
            <v>NJK42D1</v>
          </cell>
          <cell r="C162" t="str">
            <v>Ardon, Linda</v>
          </cell>
          <cell r="D162" t="str">
            <v>Linda</v>
          </cell>
          <cell r="E162">
            <v>33696</v>
          </cell>
          <cell r="H162" t="str">
            <v>S1/S2</v>
          </cell>
          <cell r="J162" t="str">
            <v>Brugge, Henk van der</v>
          </cell>
          <cell r="K162" t="str">
            <v>NKX70C3</v>
          </cell>
          <cell r="L162" t="str">
            <v>Brugge, Henk van der</v>
          </cell>
          <cell r="M162" t="str">
            <v>Henk</v>
          </cell>
          <cell r="N162">
            <v>22089</v>
          </cell>
        </row>
        <row r="163">
          <cell r="A163" t="str">
            <v>Bax, Erinn</v>
          </cell>
          <cell r="B163" t="str">
            <v>NJX40G9</v>
          </cell>
          <cell r="C163" t="str">
            <v>Bax, Erinn</v>
          </cell>
          <cell r="D163" t="str">
            <v>Erinn</v>
          </cell>
          <cell r="E163">
            <v>36032</v>
          </cell>
          <cell r="H163" t="str">
            <v>S1/S2</v>
          </cell>
          <cell r="J163" t="str">
            <v>Dalen, Arjo van</v>
          </cell>
          <cell r="K163" t="str">
            <v>NKQ46S1</v>
          </cell>
          <cell r="L163" t="str">
            <v>Dalen, Arjo van</v>
          </cell>
          <cell r="M163" t="str">
            <v>Arjo</v>
          </cell>
          <cell r="N163">
            <v>26213</v>
          </cell>
        </row>
        <row r="164">
          <cell r="A164" t="str">
            <v>Dommisse, Robin</v>
          </cell>
          <cell r="B164" t="str">
            <v>NJQ72K1</v>
          </cell>
          <cell r="C164" t="str">
            <v>Dommisse, Robin</v>
          </cell>
          <cell r="D164" t="str">
            <v>Robin</v>
          </cell>
          <cell r="E164">
            <v>36111</v>
          </cell>
          <cell r="H164" t="str">
            <v>S1/S2</v>
          </cell>
          <cell r="J164" t="str">
            <v>Dalen, Lex van</v>
          </cell>
          <cell r="K164" t="str">
            <v>NFX11D8</v>
          </cell>
          <cell r="L164" t="str">
            <v>Dalen, Lex van</v>
          </cell>
          <cell r="M164" t="str">
            <v>Lex</v>
          </cell>
          <cell r="N164">
            <v>24583</v>
          </cell>
        </row>
        <row r="165">
          <cell r="A165" t="str">
            <v>Gurp, Merel van</v>
          </cell>
          <cell r="B165" t="str">
            <v>NJK08X9</v>
          </cell>
          <cell r="C165" t="str">
            <v>Gurp, Merel van</v>
          </cell>
          <cell r="D165" t="str">
            <v>Merel</v>
          </cell>
          <cell r="E165">
            <v>33828</v>
          </cell>
          <cell r="H165" t="str">
            <v>S1/S2</v>
          </cell>
          <cell r="J165" t="str">
            <v>Dekkers, Harjan</v>
          </cell>
          <cell r="K165" t="str">
            <v>NFW13K2</v>
          </cell>
          <cell r="L165" t="str">
            <v>Dekkers, Harjan</v>
          </cell>
          <cell r="M165" t="str">
            <v>Harjan</v>
          </cell>
          <cell r="N165">
            <v>26065</v>
          </cell>
        </row>
        <row r="166">
          <cell r="A166" t="str">
            <v>Bruyn, Daphne de</v>
          </cell>
          <cell r="B166" t="str">
            <v>NJB68C3</v>
          </cell>
          <cell r="C166" t="str">
            <v>Bruyn, Daphne de</v>
          </cell>
          <cell r="D166" t="str">
            <v>Daphne</v>
          </cell>
          <cell r="E166">
            <v>35615</v>
          </cell>
          <cell r="H166" t="str">
            <v>S1/S2</v>
          </cell>
          <cell r="J166" t="str">
            <v>Dijk, Eric van</v>
          </cell>
          <cell r="K166" t="str">
            <v>NFW13L9</v>
          </cell>
          <cell r="L166" t="str">
            <v>Dijk, Eric van</v>
          </cell>
          <cell r="M166" t="str">
            <v>Eric</v>
          </cell>
          <cell r="N166">
            <v>23380</v>
          </cell>
        </row>
        <row r="167">
          <cell r="A167" t="str">
            <v>Klink, Xanne</v>
          </cell>
          <cell r="B167" t="str">
            <v>NJF85B1</v>
          </cell>
          <cell r="C167" t="str">
            <v>Klink, Xanne</v>
          </cell>
          <cell r="D167" t="str">
            <v>Xanne</v>
          </cell>
          <cell r="E167">
            <v>34885</v>
          </cell>
          <cell r="H167" t="str">
            <v>S1/S2</v>
          </cell>
          <cell r="J167" t="str">
            <v>Draaijer, Cees</v>
          </cell>
          <cell r="K167" t="str">
            <v>NFW13M6</v>
          </cell>
          <cell r="L167" t="str">
            <v>Draaijer, Cees</v>
          </cell>
          <cell r="M167" t="str">
            <v>Cees</v>
          </cell>
          <cell r="N167">
            <v>19958</v>
          </cell>
        </row>
        <row r="168">
          <cell r="A168" t="str">
            <v>Leijdsman, Robin</v>
          </cell>
          <cell r="B168" t="str">
            <v>NJF17P0</v>
          </cell>
          <cell r="C168" t="str">
            <v>Leijdsman, Robin</v>
          </cell>
          <cell r="D168" t="str">
            <v>Robin</v>
          </cell>
          <cell r="E168">
            <v>35195</v>
          </cell>
          <cell r="H168" t="str">
            <v>S1/S2</v>
          </cell>
          <cell r="J168" t="str">
            <v>Elshout, Martijn</v>
          </cell>
          <cell r="K168" t="str">
            <v>NFW40G0</v>
          </cell>
          <cell r="L168" t="str">
            <v>Elshout, Martijn</v>
          </cell>
          <cell r="M168" t="str">
            <v>Martijn</v>
          </cell>
          <cell r="N168">
            <v>27663</v>
          </cell>
        </row>
        <row r="169">
          <cell r="A169" t="str">
            <v>Schryver, Karo de</v>
          </cell>
          <cell r="B169" t="str">
            <v>NLX08D6</v>
          </cell>
          <cell r="C169" t="str">
            <v>Schryver, Karo de</v>
          </cell>
          <cell r="D169" t="str">
            <v>Karo</v>
          </cell>
          <cell r="E169">
            <v>34724</v>
          </cell>
          <cell r="H169" t="str">
            <v>S1/S2</v>
          </cell>
          <cell r="J169" t="str">
            <v>Fruyt van Hertog, Hans</v>
          </cell>
          <cell r="K169" t="str">
            <v>NFW13N3</v>
          </cell>
          <cell r="L169" t="str">
            <v>Fruyt van Hertog, Hans</v>
          </cell>
          <cell r="M169" t="str">
            <v>Hans</v>
          </cell>
          <cell r="N169">
            <v>21166</v>
          </cell>
        </row>
        <row r="170">
          <cell r="A170" t="str">
            <v>Verweij, Mirthe</v>
          </cell>
          <cell r="B170" t="str">
            <v>NJH51Q1</v>
          </cell>
          <cell r="C170" t="str">
            <v>Verweij, Mirthe</v>
          </cell>
          <cell r="D170" t="str">
            <v>Mirthe</v>
          </cell>
          <cell r="E170">
            <v>34650</v>
          </cell>
          <cell r="H170" t="str">
            <v>S1/S2</v>
          </cell>
          <cell r="J170" t="str">
            <v>Gent, Peter van</v>
          </cell>
          <cell r="K170" t="str">
            <v>NFW55C2</v>
          </cell>
          <cell r="L170" t="str">
            <v>Gent, Peter van</v>
          </cell>
          <cell r="M170" t="str">
            <v>Peter</v>
          </cell>
          <cell r="N170">
            <v>23648</v>
          </cell>
        </row>
        <row r="171">
          <cell r="A171" t="str">
            <v>Visser, Diana</v>
          </cell>
          <cell r="B171" t="str">
            <v>NJC15T9</v>
          </cell>
          <cell r="C171" t="str">
            <v>Visser, Diana</v>
          </cell>
          <cell r="D171" t="str">
            <v>Diana</v>
          </cell>
          <cell r="E171">
            <v>33777</v>
          </cell>
          <cell r="H171" t="str">
            <v>S1/S2</v>
          </cell>
          <cell r="J171" t="str">
            <v>Gerritsen, Peter</v>
          </cell>
          <cell r="K171" t="str">
            <v>NJM89M7</v>
          </cell>
          <cell r="L171" t="str">
            <v>Gerritsen, Peter</v>
          </cell>
          <cell r="M171" t="str">
            <v>Peter</v>
          </cell>
          <cell r="N171">
            <v>21926</v>
          </cell>
        </row>
        <row r="172">
          <cell r="A172" t="str">
            <v>Assem, Lisette van den</v>
          </cell>
          <cell r="B172" t="str">
            <v>NFW26V3</v>
          </cell>
          <cell r="C172" t="str">
            <v>Assem, Lisette van den</v>
          </cell>
          <cell r="D172" t="str">
            <v>Lisette</v>
          </cell>
          <cell r="E172">
            <v>30573</v>
          </cell>
          <cell r="H172" t="str">
            <v>S3</v>
          </cell>
          <cell r="J172" t="str">
            <v>Giessen, Ronald van der</v>
          </cell>
          <cell r="K172" t="str">
            <v>NFW55D9</v>
          </cell>
          <cell r="L172" t="str">
            <v>Giessen, Ronald van der</v>
          </cell>
          <cell r="M172" t="str">
            <v>Ronald</v>
          </cell>
          <cell r="N172">
            <v>21767</v>
          </cell>
        </row>
        <row r="173">
          <cell r="A173" t="str">
            <v>Laban-Sinke, Ingrid</v>
          </cell>
          <cell r="B173" t="str">
            <v>NGQ19P6</v>
          </cell>
          <cell r="C173" t="str">
            <v>Laban-Sinke, Ingrid</v>
          </cell>
          <cell r="D173" t="str">
            <v>Ingrid</v>
          </cell>
          <cell r="E173">
            <v>31209</v>
          </cell>
          <cell r="H173" t="str">
            <v>S3</v>
          </cell>
          <cell r="J173" t="str">
            <v>Goudriaan, Bert</v>
          </cell>
          <cell r="K173" t="str">
            <v>NFW13P7</v>
          </cell>
          <cell r="L173" t="str">
            <v>Goudriaan, Bert</v>
          </cell>
          <cell r="M173" t="str">
            <v>Bert</v>
          </cell>
          <cell r="N173">
            <v>23437</v>
          </cell>
        </row>
        <row r="174">
          <cell r="A174" t="str">
            <v>Nelemans, Ingrid</v>
          </cell>
          <cell r="B174" t="str">
            <v>NFX00K9</v>
          </cell>
          <cell r="C174" t="str">
            <v>Nelemans, Ingrid</v>
          </cell>
          <cell r="D174" t="str">
            <v>Ingrid</v>
          </cell>
          <cell r="E174">
            <v>24525</v>
          </cell>
          <cell r="H174" t="str">
            <v>S3</v>
          </cell>
          <cell r="J174" t="str">
            <v>Goudriaan, Mark</v>
          </cell>
          <cell r="K174" t="str">
            <v>NFW28P7</v>
          </cell>
          <cell r="L174" t="str">
            <v>Goudriaan, Mark</v>
          </cell>
          <cell r="M174" t="str">
            <v>Mark</v>
          </cell>
          <cell r="N174">
            <v>30821</v>
          </cell>
        </row>
        <row r="175">
          <cell r="A175" t="str">
            <v>Noordam, Mirjam</v>
          </cell>
          <cell r="B175" t="str">
            <v>NGT43H0</v>
          </cell>
          <cell r="C175" t="str">
            <v>Noordam, Mirjam</v>
          </cell>
          <cell r="D175" t="str">
            <v>Mirjam</v>
          </cell>
          <cell r="E175">
            <v>32119</v>
          </cell>
          <cell r="H175" t="str">
            <v>S3</v>
          </cell>
          <cell r="J175" t="str">
            <v>Goudriaan, Rick</v>
          </cell>
          <cell r="K175" t="str">
            <v>NJK08W2</v>
          </cell>
          <cell r="L175" t="str">
            <v>Goudriaan, Rick</v>
          </cell>
          <cell r="M175" t="str">
            <v>Rick</v>
          </cell>
          <cell r="N175">
            <v>34255</v>
          </cell>
        </row>
        <row r="176">
          <cell r="A176" t="str">
            <v>Ploeg, Lieke</v>
          </cell>
          <cell r="B176" t="str">
            <v>NJK34W5</v>
          </cell>
          <cell r="C176" t="str">
            <v>Ploeg, Lieke</v>
          </cell>
          <cell r="D176" t="str">
            <v>Lieke</v>
          </cell>
          <cell r="E176">
            <v>31732</v>
          </cell>
          <cell r="H176" t="str">
            <v>S3</v>
          </cell>
          <cell r="J176" t="str">
            <v>Goudriaan, Stefan</v>
          </cell>
          <cell r="K176" t="str">
            <v>NJK05M3</v>
          </cell>
          <cell r="L176" t="str">
            <v>Goudriaan, Stefan</v>
          </cell>
          <cell r="M176" t="str">
            <v>Stefan</v>
          </cell>
          <cell r="N176">
            <v>34255</v>
          </cell>
        </row>
        <row r="177">
          <cell r="A177" t="str">
            <v>Wibbens, Esther</v>
          </cell>
          <cell r="B177" t="str">
            <v>NJC46R3</v>
          </cell>
          <cell r="C177" t="str">
            <v>Wibbens, Esther</v>
          </cell>
          <cell r="D177" t="str">
            <v>Esther</v>
          </cell>
          <cell r="E177">
            <v>33690</v>
          </cell>
          <cell r="H177" t="str">
            <v>S3</v>
          </cell>
          <cell r="J177" t="str">
            <v>Hemelaar, Han</v>
          </cell>
          <cell r="K177" t="str">
            <v>NFW55F3</v>
          </cell>
          <cell r="L177" t="str">
            <v>Hemelaar, Han</v>
          </cell>
          <cell r="M177" t="str">
            <v>Han</v>
          </cell>
          <cell r="N177">
            <v>17286</v>
          </cell>
        </row>
        <row r="178">
          <cell r="A178" t="str">
            <v>Fernhout, Tirsa</v>
          </cell>
          <cell r="B178" t="str">
            <v>NKF94H2</v>
          </cell>
          <cell r="C178" t="str">
            <v>Fernhout, Tirsa</v>
          </cell>
          <cell r="D178" t="str">
            <v>Tirsa</v>
          </cell>
          <cell r="E178">
            <v>35817</v>
          </cell>
          <cell r="H178" t="str">
            <v>S4</v>
          </cell>
          <cell r="J178" t="str">
            <v>Heumen, Erik van</v>
          </cell>
          <cell r="K178" t="str">
            <v>NFT37Y9</v>
          </cell>
          <cell r="L178" t="str">
            <v>Heumen, Erik van</v>
          </cell>
          <cell r="M178" t="str">
            <v>Erik</v>
          </cell>
          <cell r="N178">
            <v>29970</v>
          </cell>
        </row>
        <row r="179">
          <cell r="A179" t="str">
            <v>Haan-van Dijk, Suzan de</v>
          </cell>
          <cell r="B179" t="str">
            <v>NHP43T7</v>
          </cell>
          <cell r="C179" t="str">
            <v>Haan-van Dijk, Suzan de</v>
          </cell>
          <cell r="D179" t="str">
            <v>Suzan</v>
          </cell>
          <cell r="E179">
            <v>34028</v>
          </cell>
          <cell r="H179" t="str">
            <v>S4</v>
          </cell>
          <cell r="J179" t="str">
            <v>Horst, Fred ter</v>
          </cell>
          <cell r="K179" t="str">
            <v>NFW55G0</v>
          </cell>
          <cell r="L179" t="str">
            <v>Horst, Fred ter</v>
          </cell>
          <cell r="M179" t="str">
            <v>Fred</v>
          </cell>
          <cell r="N179">
            <v>20388</v>
          </cell>
        </row>
        <row r="180">
          <cell r="A180" t="str">
            <v>Visser, Hilde</v>
          </cell>
          <cell r="B180" t="str">
            <v>NGT43N2</v>
          </cell>
          <cell r="C180" t="str">
            <v>Visser, Hilde</v>
          </cell>
          <cell r="D180" t="str">
            <v>Hilde</v>
          </cell>
          <cell r="E180">
            <v>33146</v>
          </cell>
          <cell r="H180" t="str">
            <v>S4</v>
          </cell>
          <cell r="J180" t="str">
            <v>Horst, Henk ter</v>
          </cell>
          <cell r="K180" t="str">
            <v>NFW13S8</v>
          </cell>
          <cell r="L180" t="str">
            <v>Horst, Henk ter</v>
          </cell>
          <cell r="M180" t="str">
            <v>Henk</v>
          </cell>
          <cell r="N180">
            <v>19273</v>
          </cell>
        </row>
        <row r="181">
          <cell r="A181" t="str">
            <v>Visser, Renske</v>
          </cell>
          <cell r="B181" t="str">
            <v>NJG35B7</v>
          </cell>
          <cell r="C181" t="str">
            <v>Visser, Renske</v>
          </cell>
          <cell r="D181" t="str">
            <v>Renske</v>
          </cell>
          <cell r="E181">
            <v>36011</v>
          </cell>
          <cell r="H181" t="str">
            <v>S4</v>
          </cell>
          <cell r="J181" t="str">
            <v>Huijgen, Tim</v>
          </cell>
          <cell r="K181" t="str">
            <v>NLT96S6</v>
          </cell>
          <cell r="L181" t="str">
            <v>Huijgen, Tim</v>
          </cell>
          <cell r="M181" t="str">
            <v>Tim</v>
          </cell>
          <cell r="N181">
            <v>39742</v>
          </cell>
        </row>
        <row r="182">
          <cell r="A182" t="str">
            <v>Wieten, Karla</v>
          </cell>
          <cell r="B182" t="str">
            <v>NJD25W6</v>
          </cell>
          <cell r="C182" t="str">
            <v>Wieten, Karla</v>
          </cell>
          <cell r="D182" t="str">
            <v>Karla</v>
          </cell>
          <cell r="E182">
            <v>32449</v>
          </cell>
          <cell r="H182" t="str">
            <v>S4</v>
          </cell>
          <cell r="J182" t="str">
            <v>Jong, Rene 't</v>
          </cell>
          <cell r="K182" t="str">
            <v>NFW13X3</v>
          </cell>
          <cell r="L182" t="str">
            <v>Jong, Rene 't</v>
          </cell>
          <cell r="M182" t="str">
            <v>Rene</v>
          </cell>
          <cell r="N182">
            <v>20081</v>
          </cell>
        </row>
        <row r="183">
          <cell r="A183" t="str">
            <v>Zwoll, Simone van</v>
          </cell>
          <cell r="B183" t="str">
            <v>NJQ72J4</v>
          </cell>
          <cell r="C183" t="str">
            <v>Zwoll, Simone van</v>
          </cell>
          <cell r="D183" t="str">
            <v>Simone</v>
          </cell>
          <cell r="E183">
            <v>34635</v>
          </cell>
          <cell r="H183" t="str">
            <v>S4</v>
          </cell>
          <cell r="J183" t="str">
            <v>Jonker, Jeroen</v>
          </cell>
          <cell r="K183" t="str">
            <v>NFW42Y2</v>
          </cell>
          <cell r="L183" t="str">
            <v>Jonker, Jeroen</v>
          </cell>
          <cell r="M183" t="str">
            <v>Jeroen</v>
          </cell>
          <cell r="N183">
            <v>29216</v>
          </cell>
        </row>
        <row r="184">
          <cell r="A184" t="str">
            <v>Andel, Sanne van</v>
          </cell>
          <cell r="B184" t="str">
            <v>NJK27R4</v>
          </cell>
          <cell r="C184" t="str">
            <v>Andel, Sanne van</v>
          </cell>
          <cell r="D184" t="str">
            <v>Sanne</v>
          </cell>
          <cell r="E184">
            <v>33211</v>
          </cell>
          <cell r="H184" t="str">
            <v>S5</v>
          </cell>
          <cell r="J184" t="str">
            <v>Kamerbeek, Ruben</v>
          </cell>
          <cell r="K184" t="str">
            <v>NFW28S8</v>
          </cell>
          <cell r="L184" t="str">
            <v>Kamerbeek, Ruben</v>
          </cell>
          <cell r="M184" t="str">
            <v>Ruben</v>
          </cell>
          <cell r="N184">
            <v>31344</v>
          </cell>
        </row>
        <row r="185">
          <cell r="A185" t="str">
            <v>Brand, Liesbeth</v>
          </cell>
          <cell r="B185" t="str">
            <v>NGT42S4</v>
          </cell>
          <cell r="C185" t="str">
            <v>Brand, Liesbeth</v>
          </cell>
          <cell r="D185" t="str">
            <v>Liesbeth</v>
          </cell>
          <cell r="E185">
            <v>33086</v>
          </cell>
          <cell r="H185" t="str">
            <v>S5</v>
          </cell>
          <cell r="J185" t="str">
            <v>Kleingeld, Jasper</v>
          </cell>
          <cell r="K185" t="str">
            <v>NFW28T5</v>
          </cell>
          <cell r="L185" t="str">
            <v>Kleingeld, Jasper</v>
          </cell>
          <cell r="M185" t="str">
            <v>Jasper</v>
          </cell>
          <cell r="N185">
            <v>31083</v>
          </cell>
        </row>
        <row r="186">
          <cell r="A186" t="str">
            <v>Oeveren, Kristel van</v>
          </cell>
          <cell r="B186" t="str">
            <v>NJG42T9</v>
          </cell>
          <cell r="C186" t="str">
            <v>Oeveren, Kristel van</v>
          </cell>
          <cell r="D186" t="str">
            <v>Kristel</v>
          </cell>
          <cell r="E186">
            <v>34962</v>
          </cell>
          <cell r="H186" t="str">
            <v>S5</v>
          </cell>
          <cell r="J186" t="str">
            <v>Kleingeld, Kees</v>
          </cell>
          <cell r="K186" t="str">
            <v>NFY84P7</v>
          </cell>
          <cell r="L186" t="str">
            <v>Kleingeld, Kees</v>
          </cell>
          <cell r="M186" t="str">
            <v>Kees</v>
          </cell>
          <cell r="N186">
            <v>20984</v>
          </cell>
        </row>
        <row r="187">
          <cell r="A187" t="str">
            <v>Slijkhuis, Anne</v>
          </cell>
          <cell r="B187" t="str">
            <v>NJD38L3</v>
          </cell>
          <cell r="C187" t="str">
            <v>Slijkhuis, Anne</v>
          </cell>
          <cell r="D187" t="str">
            <v>Anne</v>
          </cell>
          <cell r="E187">
            <v>33786</v>
          </cell>
          <cell r="H187" t="str">
            <v>S5</v>
          </cell>
          <cell r="J187" t="str">
            <v>Koote, Fred</v>
          </cell>
          <cell r="K187" t="str">
            <v>NGT92S9</v>
          </cell>
          <cell r="L187" t="str">
            <v>Koote, Fred</v>
          </cell>
          <cell r="M187" t="str">
            <v>Fred</v>
          </cell>
          <cell r="N187">
            <v>22231</v>
          </cell>
        </row>
        <row r="188">
          <cell r="A188" t="str">
            <v>Starre, Kim van der</v>
          </cell>
          <cell r="B188" t="str">
            <v>NJK09N2</v>
          </cell>
          <cell r="C188" t="str">
            <v>Starre, Kim van der</v>
          </cell>
          <cell r="D188" t="str">
            <v>Kim</v>
          </cell>
          <cell r="E188">
            <v>32843</v>
          </cell>
          <cell r="H188" t="str">
            <v>S5</v>
          </cell>
          <cell r="J188" t="str">
            <v>Lagendijk, Pieter</v>
          </cell>
          <cell r="K188" t="str">
            <v>NFV90Z7</v>
          </cell>
          <cell r="L188" t="str">
            <v>Lagendijk, Pieter</v>
          </cell>
          <cell r="M188" t="str">
            <v>Pieter</v>
          </cell>
          <cell r="N188">
            <v>29948</v>
          </cell>
          <cell r="Q188" t="str">
            <v>S5</v>
          </cell>
        </row>
        <row r="189">
          <cell r="A189" t="str">
            <v>Bezemer, Karin</v>
          </cell>
          <cell r="B189" t="str">
            <v>NGW66P8</v>
          </cell>
          <cell r="C189" t="str">
            <v>Bezemer, Karin</v>
          </cell>
          <cell r="D189" t="str">
            <v>Karin</v>
          </cell>
          <cell r="E189">
            <v>33243</v>
          </cell>
          <cell r="H189" t="str">
            <v>S7</v>
          </cell>
          <cell r="J189" t="str">
            <v>Lokers, Harm</v>
          </cell>
          <cell r="K189" t="str">
            <v>NFW14J8</v>
          </cell>
          <cell r="L189" t="str">
            <v>Lokers, Harm</v>
          </cell>
          <cell r="M189" t="str">
            <v>Harm</v>
          </cell>
          <cell r="N189">
            <v>25473</v>
          </cell>
        </row>
        <row r="190">
          <cell r="A190" t="str">
            <v>Dongen, Irene van</v>
          </cell>
          <cell r="B190" t="str">
            <v>NHY54X2</v>
          </cell>
          <cell r="C190" t="str">
            <v>Dongen, Irene van</v>
          </cell>
          <cell r="D190" t="str">
            <v>Irene</v>
          </cell>
          <cell r="E190">
            <v>33874</v>
          </cell>
          <cell r="H190" t="str">
            <v>S7</v>
          </cell>
          <cell r="J190" t="str">
            <v>Mans, Leo</v>
          </cell>
          <cell r="K190" t="str">
            <v>NFW14K5</v>
          </cell>
          <cell r="L190" t="str">
            <v>Mans, Leo</v>
          </cell>
          <cell r="M190" t="str">
            <v>Leo</v>
          </cell>
          <cell r="N190">
            <v>24487</v>
          </cell>
        </row>
        <row r="191">
          <cell r="A191" t="str">
            <v>Schenau, Laura</v>
          </cell>
          <cell r="B191" t="str">
            <v>NGT43L8</v>
          </cell>
          <cell r="C191" t="str">
            <v>Schenau, Laura</v>
          </cell>
          <cell r="D191" t="str">
            <v>Laura</v>
          </cell>
          <cell r="E191">
            <v>33315</v>
          </cell>
          <cell r="H191" t="str">
            <v>S7</v>
          </cell>
          <cell r="J191" t="str">
            <v>Mastijn, Niels</v>
          </cell>
          <cell r="K191" t="str">
            <v>NFW28X3</v>
          </cell>
          <cell r="L191" t="str">
            <v>Mastijn, Niels</v>
          </cell>
          <cell r="M191" t="str">
            <v>Niels</v>
          </cell>
          <cell r="N191">
            <v>31676</v>
          </cell>
        </row>
        <row r="192">
          <cell r="A192" t="str">
            <v>Tol, Moniek van</v>
          </cell>
          <cell r="B192" t="str">
            <v>NHT58X9</v>
          </cell>
          <cell r="C192" t="str">
            <v>Tol, Moniek van</v>
          </cell>
          <cell r="D192" t="str">
            <v>Moniek</v>
          </cell>
          <cell r="E192">
            <v>33796</v>
          </cell>
          <cell r="H192" t="str">
            <v>S7</v>
          </cell>
          <cell r="J192" t="str">
            <v>Merwe, Adriaan van de</v>
          </cell>
          <cell r="K192" t="str">
            <v>NJZ84Q3</v>
          </cell>
          <cell r="L192" t="str">
            <v>Merwe, Adriaan van de</v>
          </cell>
          <cell r="M192" t="str">
            <v>Adriaan</v>
          </cell>
          <cell r="N192">
            <v>18052</v>
          </cell>
        </row>
        <row r="193">
          <cell r="A193" t="str">
            <v>Van Haren-Leijs, Renee</v>
          </cell>
          <cell r="B193" t="str">
            <v>NJC15N7</v>
          </cell>
          <cell r="C193" t="str">
            <v>Van Haren-Leijs, Renee</v>
          </cell>
          <cell r="D193" t="str">
            <v>Renee</v>
          </cell>
          <cell r="E193">
            <v>34827</v>
          </cell>
          <cell r="H193" t="str">
            <v>S7</v>
          </cell>
          <cell r="J193" t="str">
            <v>Mol, Arie</v>
          </cell>
          <cell r="K193" t="str">
            <v>NJW94G5</v>
          </cell>
          <cell r="L193" t="str">
            <v>Mol, Arie</v>
          </cell>
          <cell r="M193" t="str">
            <v>Arie</v>
          </cell>
          <cell r="N193">
            <v>9033</v>
          </cell>
        </row>
        <row r="194">
          <cell r="A194" t="str">
            <v>Fruyt van Hertog, Marjolein</v>
          </cell>
          <cell r="B194" t="str">
            <v>NGT42X9</v>
          </cell>
          <cell r="C194" t="str">
            <v>Fruyt van Hertog, Marjolein</v>
          </cell>
          <cell r="D194" t="str">
            <v>Marjolein</v>
          </cell>
          <cell r="E194">
            <v>32582</v>
          </cell>
          <cell r="H194" t="str">
            <v>S8</v>
          </cell>
          <cell r="J194" t="str">
            <v>Mol, Jaap</v>
          </cell>
          <cell r="K194" t="str">
            <v>NFW55N9</v>
          </cell>
          <cell r="L194" t="str">
            <v>Mol, Jaap</v>
          </cell>
          <cell r="M194" t="str">
            <v>Jaap</v>
          </cell>
          <cell r="N194">
            <v>19193</v>
          </cell>
        </row>
        <row r="195">
          <cell r="A195" t="str">
            <v>Grootenboer-Dijk, Mariette van</v>
          </cell>
          <cell r="B195" t="str">
            <v>NFW40Y6</v>
          </cell>
          <cell r="C195" t="str">
            <v>Grootenboer-Dijk, Mariette van</v>
          </cell>
          <cell r="D195" t="str">
            <v>Mariette</v>
          </cell>
          <cell r="E195">
            <v>29687</v>
          </cell>
          <cell r="H195" t="str">
            <v>S8</v>
          </cell>
          <cell r="J195" t="str">
            <v>Mol, Jan</v>
          </cell>
          <cell r="K195" t="str">
            <v>NFY34K7</v>
          </cell>
          <cell r="L195" t="str">
            <v>Mol, Jan</v>
          </cell>
          <cell r="M195" t="str">
            <v>Jan</v>
          </cell>
          <cell r="N195">
            <v>18437</v>
          </cell>
        </row>
        <row r="196">
          <cell r="A196" t="str">
            <v>Kuijper-Vanhooydonck, Simone</v>
          </cell>
          <cell r="B196" t="str">
            <v>NGL91R1</v>
          </cell>
          <cell r="C196" t="str">
            <v>Kuijper-Vanhooydonck, Simone</v>
          </cell>
          <cell r="D196" t="str">
            <v>Simone</v>
          </cell>
          <cell r="E196">
            <v>31686</v>
          </cell>
          <cell r="H196" t="str">
            <v>S8</v>
          </cell>
          <cell r="J196" t="str">
            <v>Molendijk, Arie</v>
          </cell>
          <cell r="K196" t="str">
            <v>NJC15S2</v>
          </cell>
          <cell r="L196" t="str">
            <v>Molendijk, Arie</v>
          </cell>
          <cell r="M196" t="str">
            <v>Arie</v>
          </cell>
          <cell r="N196">
            <v>22894</v>
          </cell>
        </row>
        <row r="197">
          <cell r="A197" t="str">
            <v>Petegem, Johanna van</v>
          </cell>
          <cell r="B197" t="str">
            <v>NJF95Y7</v>
          </cell>
          <cell r="C197" t="str">
            <v>Petegem, Johanna van</v>
          </cell>
          <cell r="D197" t="str">
            <v>Johanna</v>
          </cell>
          <cell r="E197">
            <v>33584</v>
          </cell>
          <cell r="H197" t="str">
            <v>S8</v>
          </cell>
          <cell r="J197" t="str">
            <v>Muller, Arthijn</v>
          </cell>
          <cell r="K197" t="str">
            <v>NFW26D7</v>
          </cell>
          <cell r="L197" t="str">
            <v>Muller, Arthijn</v>
          </cell>
          <cell r="M197" t="str">
            <v>Arthijn</v>
          </cell>
          <cell r="N197">
            <v>29630</v>
          </cell>
        </row>
        <row r="198">
          <cell r="A198" t="str">
            <v>Veld, Dorien in 't</v>
          </cell>
          <cell r="B198" t="str">
            <v>NFW28D3</v>
          </cell>
          <cell r="C198" t="str">
            <v>Veld, Dorien in 't</v>
          </cell>
          <cell r="D198" t="str">
            <v>Dorien</v>
          </cell>
          <cell r="E198">
            <v>31086</v>
          </cell>
          <cell r="H198" t="str">
            <v>S8</v>
          </cell>
          <cell r="J198" t="str">
            <v>Noels, Cees</v>
          </cell>
          <cell r="K198" t="str">
            <v>NJF24Y9</v>
          </cell>
          <cell r="L198" t="str">
            <v>Noels, Cees</v>
          </cell>
          <cell r="M198" t="str">
            <v>Cees</v>
          </cell>
          <cell r="N198">
            <v>18817</v>
          </cell>
        </row>
        <row r="199">
          <cell r="A199" t="str">
            <v>Veld, Lisette in 't</v>
          </cell>
          <cell r="B199" t="str">
            <v>NGD97S8</v>
          </cell>
          <cell r="C199" t="str">
            <v>Veld, Lisette in 't</v>
          </cell>
          <cell r="D199" t="str">
            <v>Lisette</v>
          </cell>
          <cell r="E199">
            <v>25981</v>
          </cell>
          <cell r="H199" t="str">
            <v>S8</v>
          </cell>
          <cell r="J199" t="str">
            <v>Oppe, Kees Jan</v>
          </cell>
          <cell r="K199" t="str">
            <v>NFY88Q6</v>
          </cell>
          <cell r="L199" t="str">
            <v>Oppe, Kees Jan</v>
          </cell>
          <cell r="M199" t="str">
            <v>Kees Jan</v>
          </cell>
          <cell r="N199">
            <v>25048</v>
          </cell>
        </row>
        <row r="200">
          <cell r="A200" t="str">
            <v>Verwaal, Melanie</v>
          </cell>
          <cell r="B200" t="str">
            <v>NJF06P2</v>
          </cell>
          <cell r="C200" t="str">
            <v>Verwaal, Melanie</v>
          </cell>
          <cell r="D200" t="str">
            <v>Melanie</v>
          </cell>
          <cell r="E200">
            <v>34813</v>
          </cell>
          <cell r="H200" t="str">
            <v>S8</v>
          </cell>
          <cell r="J200" t="str">
            <v>Ploeg, Gert-Jan</v>
          </cell>
          <cell r="K200" t="str">
            <v>NGG54Q8</v>
          </cell>
          <cell r="L200" t="str">
            <v>Ploeg, Gert-Jan</v>
          </cell>
          <cell r="M200" t="str">
            <v>Gert-Jan</v>
          </cell>
          <cell r="N200">
            <v>31188</v>
          </cell>
        </row>
        <row r="201">
          <cell r="A201" t="str">
            <v>Ardon, Kim</v>
          </cell>
          <cell r="B201" t="str">
            <v>NJF95V6</v>
          </cell>
          <cell r="C201" t="str">
            <v>Ardon, Kim</v>
          </cell>
          <cell r="D201" t="str">
            <v>Kim</v>
          </cell>
          <cell r="E201">
            <v>35153</v>
          </cell>
          <cell r="H201" t="str">
            <v>Stopt</v>
          </cell>
          <cell r="J201" t="str">
            <v>Ploeg, Hans</v>
          </cell>
          <cell r="K201" t="str">
            <v>NGG54S2</v>
          </cell>
          <cell r="L201" t="str">
            <v>Ploeg, Hans</v>
          </cell>
          <cell r="M201" t="str">
            <v>Hans</v>
          </cell>
          <cell r="N201">
            <v>32170</v>
          </cell>
        </row>
        <row r="202">
          <cell r="A202" t="str">
            <v>Batenburg, Hanneke</v>
          </cell>
          <cell r="B202" t="str">
            <v>NGG54V3</v>
          </cell>
          <cell r="C202" t="str">
            <v>Batenburg, Hanneke</v>
          </cell>
          <cell r="D202" t="str">
            <v>Hanneke</v>
          </cell>
          <cell r="E202">
            <v>32050</v>
          </cell>
          <cell r="H202" t="str">
            <v>Stopt</v>
          </cell>
          <cell r="J202" t="str">
            <v>Riet, Ronald</v>
          </cell>
          <cell r="K202" t="str">
            <v>NFV13V8</v>
          </cell>
          <cell r="L202" t="str">
            <v>Riet, Ronald</v>
          </cell>
          <cell r="M202" t="str">
            <v>Ronald</v>
          </cell>
          <cell r="N202">
            <v>30397</v>
          </cell>
        </row>
        <row r="203">
          <cell r="A203" t="str">
            <v>Drooge, Lieke van</v>
          </cell>
          <cell r="B203" t="str">
            <v>NJF06S3</v>
          </cell>
          <cell r="C203" t="str">
            <v>Drooge, Lieke van</v>
          </cell>
          <cell r="D203" t="str">
            <v>Lieke</v>
          </cell>
          <cell r="E203">
            <v>35142</v>
          </cell>
          <cell r="H203" t="str">
            <v>Stopt</v>
          </cell>
          <cell r="J203" t="str">
            <v>Romijn, Aad</v>
          </cell>
          <cell r="K203" t="str">
            <v>NFX74K6</v>
          </cell>
          <cell r="L203" t="str">
            <v>Romijn, Aad</v>
          </cell>
          <cell r="M203" t="str">
            <v>Aad</v>
          </cell>
          <cell r="N203">
            <v>22941</v>
          </cell>
        </row>
        <row r="204">
          <cell r="A204" t="str">
            <v>Kok, Jente</v>
          </cell>
          <cell r="B204" t="str">
            <v>NKL60L9</v>
          </cell>
          <cell r="C204" t="str">
            <v>Kok, Jente</v>
          </cell>
          <cell r="D204" t="str">
            <v>Jente</v>
          </cell>
          <cell r="E204">
            <v>37387</v>
          </cell>
          <cell r="H204" t="str">
            <v>B4</v>
          </cell>
          <cell r="J204" t="str">
            <v>Schipper, Ad</v>
          </cell>
          <cell r="K204" t="str">
            <v>NJV31M7</v>
          </cell>
          <cell r="L204" t="str">
            <v>Schipper, Ad</v>
          </cell>
          <cell r="M204" t="str">
            <v>Ad</v>
          </cell>
          <cell r="N204">
            <v>15646</v>
          </cell>
        </row>
        <row r="205">
          <cell r="A205" t="str">
            <v>Vaartmans, Ingrid</v>
          </cell>
          <cell r="B205" t="str">
            <v>NLS07R6</v>
          </cell>
          <cell r="C205" t="str">
            <v>Vaartmans, Ingrid</v>
          </cell>
          <cell r="D205" t="str">
            <v>Ingrid</v>
          </cell>
          <cell r="E205">
            <v>29385</v>
          </cell>
          <cell r="H205" t="str">
            <v>Stopt</v>
          </cell>
          <cell r="J205" t="str">
            <v>Schmidt, Michael</v>
          </cell>
          <cell r="K205" t="str">
            <v>NJY57Y2</v>
          </cell>
          <cell r="L205" t="str">
            <v>Schmidt, Michael</v>
          </cell>
          <cell r="M205" t="str">
            <v>Michael</v>
          </cell>
          <cell r="N205">
            <v>21227</v>
          </cell>
        </row>
        <row r="206">
          <cell r="A206" t="str">
            <v>Vasiljev, Aljona</v>
          </cell>
          <cell r="B206" t="str">
            <v>NLD80Z6</v>
          </cell>
          <cell r="C206" t="str">
            <v>Vasiljev, Aljona</v>
          </cell>
          <cell r="D206" t="str">
            <v>Aljona</v>
          </cell>
          <cell r="E206">
            <v>37122</v>
          </cell>
          <cell r="H206" t="str">
            <v>Stopt</v>
          </cell>
          <cell r="J206" t="str">
            <v>Seevinck, Bert</v>
          </cell>
          <cell r="K206" t="str">
            <v>NKX66V9</v>
          </cell>
          <cell r="L206" t="str">
            <v>Seevinck, Bert</v>
          </cell>
          <cell r="M206" t="str">
            <v>Bert</v>
          </cell>
          <cell r="N206">
            <v>22358</v>
          </cell>
        </row>
        <row r="207">
          <cell r="A207" t="str">
            <v>Wesenick, Luca</v>
          </cell>
          <cell r="B207" t="str">
            <v>NKG59P4</v>
          </cell>
          <cell r="C207" t="str">
            <v>Wesenick, Luca</v>
          </cell>
          <cell r="D207" t="str">
            <v>Luca</v>
          </cell>
          <cell r="E207">
            <v>37337</v>
          </cell>
          <cell r="H207" t="str">
            <v>Stopt</v>
          </cell>
          <cell r="J207" t="str">
            <v>Sterk, Wim</v>
          </cell>
          <cell r="K207" t="str">
            <v>NFW14S1</v>
          </cell>
          <cell r="L207" t="str">
            <v>Sterk, Wim</v>
          </cell>
          <cell r="M207" t="str">
            <v>Wim</v>
          </cell>
          <cell r="N207">
            <v>20871</v>
          </cell>
        </row>
        <row r="208">
          <cell r="A208" t="str">
            <v>Zuidgeest, Astrid</v>
          </cell>
          <cell r="B208" t="str">
            <v>NJD42X4</v>
          </cell>
          <cell r="C208" t="str">
            <v>Zuidgeest, Astrid</v>
          </cell>
          <cell r="D208" t="str">
            <v>Astrid</v>
          </cell>
          <cell r="E208">
            <v>33692</v>
          </cell>
          <cell r="H208" t="str">
            <v>Stopt</v>
          </cell>
          <cell r="J208" t="str">
            <v>Stomp, Wilfred</v>
          </cell>
          <cell r="K208" t="str">
            <v>NFV13X2</v>
          </cell>
          <cell r="L208" t="str">
            <v>Stomp, Wilfred</v>
          </cell>
          <cell r="M208" t="str">
            <v>Wilfred</v>
          </cell>
          <cell r="N208">
            <v>30389</v>
          </cell>
        </row>
        <row r="209">
          <cell r="A209" t="str">
            <v>Zwets, Lotte</v>
          </cell>
          <cell r="B209" t="str">
            <v>NKW21M0</v>
          </cell>
          <cell r="C209" t="str">
            <v>Zwets, Lotte</v>
          </cell>
          <cell r="D209" t="str">
            <v>Lotte</v>
          </cell>
          <cell r="E209">
            <v>35968</v>
          </cell>
          <cell r="H209" t="str">
            <v>Stopt</v>
          </cell>
          <cell r="J209" t="str">
            <v>Strohmeijer, Anton</v>
          </cell>
          <cell r="K209" t="str">
            <v>NJZ84V8</v>
          </cell>
          <cell r="L209" t="str">
            <v>Strohmeijer, Anton</v>
          </cell>
          <cell r="M209" t="str">
            <v>Anton</v>
          </cell>
          <cell r="N209">
            <v>19873</v>
          </cell>
        </row>
        <row r="210">
          <cell r="A210" t="str">
            <v>Ameijden, Lenie van</v>
          </cell>
          <cell r="B210" t="str">
            <v>NJV62X2</v>
          </cell>
          <cell r="C210" t="str">
            <v>Ameijden, Lenie van</v>
          </cell>
          <cell r="D210" t="str">
            <v>Lenie</v>
          </cell>
          <cell r="E210">
            <v>21916</v>
          </cell>
          <cell r="J210" t="str">
            <v>Strohmeijer, Roland</v>
          </cell>
          <cell r="K210" t="str">
            <v>NGT09H8</v>
          </cell>
          <cell r="L210" t="str">
            <v>Strohmeijer, Roland</v>
          </cell>
          <cell r="M210" t="str">
            <v>Roland</v>
          </cell>
          <cell r="N210">
            <v>31471</v>
          </cell>
        </row>
        <row r="211">
          <cell r="A211" t="str">
            <v>Ardon, Elly</v>
          </cell>
          <cell r="B211" t="str">
            <v>NFW00V5</v>
          </cell>
          <cell r="C211" t="str">
            <v>Ardon, Elly</v>
          </cell>
          <cell r="D211" t="str">
            <v>Elly</v>
          </cell>
          <cell r="E211">
            <v>23707</v>
          </cell>
          <cell r="J211" t="str">
            <v>Tijssen, Bart</v>
          </cell>
          <cell r="K211" t="str">
            <v>NFY07G3</v>
          </cell>
          <cell r="L211" t="str">
            <v>Tijssen, Bart</v>
          </cell>
          <cell r="M211" t="str">
            <v>Bart</v>
          </cell>
          <cell r="N211">
            <v>30521</v>
          </cell>
        </row>
        <row r="212">
          <cell r="A212" t="str">
            <v>Assem, Marian van den</v>
          </cell>
          <cell r="B212" t="str">
            <v>NFW00W2</v>
          </cell>
          <cell r="C212" t="str">
            <v>Assem, Marian van den</v>
          </cell>
          <cell r="D212" t="str">
            <v>Marian</v>
          </cell>
          <cell r="E212">
            <v>20526</v>
          </cell>
          <cell r="J212" t="str">
            <v>Veld, Erwin in 't</v>
          </cell>
          <cell r="K212" t="str">
            <v>NFW29J8</v>
          </cell>
          <cell r="L212" t="str">
            <v>Veld, Erwin in 't</v>
          </cell>
          <cell r="M212" t="str">
            <v>Erwin</v>
          </cell>
          <cell r="N212">
            <v>30436</v>
          </cell>
        </row>
        <row r="213">
          <cell r="A213" t="str">
            <v>Batenburg, Annemarie</v>
          </cell>
          <cell r="B213" t="str">
            <v>NJC16R8</v>
          </cell>
          <cell r="C213" t="str">
            <v>Batenburg, Annemarie</v>
          </cell>
          <cell r="D213" t="str">
            <v>Annemarie</v>
          </cell>
          <cell r="E213">
            <v>20724</v>
          </cell>
          <cell r="J213" t="str">
            <v>Veld, Ger in 't</v>
          </cell>
          <cell r="K213" t="str">
            <v>NFW14W9</v>
          </cell>
          <cell r="L213" t="str">
            <v>Veld, Ger in 't</v>
          </cell>
          <cell r="M213" t="str">
            <v>Ger</v>
          </cell>
          <cell r="N213">
            <v>18152</v>
          </cell>
        </row>
        <row r="214">
          <cell r="A214" t="str">
            <v>Blom, Michelle</v>
          </cell>
          <cell r="B214" t="str">
            <v>NJQ72R0</v>
          </cell>
          <cell r="C214" t="str">
            <v>Blom, Michelle</v>
          </cell>
          <cell r="D214" t="str">
            <v>Michelle</v>
          </cell>
          <cell r="E214">
            <v>36479</v>
          </cell>
          <cell r="J214" t="str">
            <v>Vermeul, Paul</v>
          </cell>
          <cell r="K214" t="str">
            <v>NJF43Q0</v>
          </cell>
          <cell r="L214" t="str">
            <v>Vermeul, Paul</v>
          </cell>
          <cell r="M214" t="str">
            <v>Paul</v>
          </cell>
          <cell r="N214">
            <v>24206</v>
          </cell>
        </row>
        <row r="215">
          <cell r="A215" t="str">
            <v>Boer, Samantha</v>
          </cell>
          <cell r="B215" t="str">
            <v>NGT44B1</v>
          </cell>
          <cell r="C215" t="str">
            <v>Boer, Samantha</v>
          </cell>
          <cell r="D215" t="str">
            <v>Samantha</v>
          </cell>
          <cell r="E215">
            <v>31758</v>
          </cell>
          <cell r="J215" t="str">
            <v>Verwaal, Chiel</v>
          </cell>
          <cell r="K215" t="str">
            <v>NFW14Z0</v>
          </cell>
          <cell r="L215" t="str">
            <v>Verwaal, Chiel</v>
          </cell>
          <cell r="M215" t="str">
            <v>Chiel</v>
          </cell>
          <cell r="N215">
            <v>17293</v>
          </cell>
        </row>
        <row r="216">
          <cell r="A216" t="str">
            <v>Boom, Kim</v>
          </cell>
          <cell r="B216" t="str">
            <v>NFT48H8</v>
          </cell>
          <cell r="C216" t="str">
            <v>Boom, Kim</v>
          </cell>
          <cell r="D216" t="str">
            <v>Kim</v>
          </cell>
          <cell r="E216">
            <v>32058</v>
          </cell>
          <cell r="J216" t="str">
            <v>Verwaal, Johan</v>
          </cell>
          <cell r="K216" t="str">
            <v>NFW14X6</v>
          </cell>
          <cell r="L216" t="str">
            <v>Verwaal, Johan</v>
          </cell>
          <cell r="M216" t="str">
            <v>Johan</v>
          </cell>
          <cell r="N216">
            <v>22833</v>
          </cell>
        </row>
        <row r="217">
          <cell r="A217" t="str">
            <v>Bouwknegt-Zwijnenburg, Ilonka</v>
          </cell>
          <cell r="B217" t="str">
            <v>NJC90M5</v>
          </cell>
          <cell r="C217" t="str">
            <v>Bouwknegt-Zwijnenburg, Ilonka</v>
          </cell>
          <cell r="D217" t="str">
            <v>Ilonka</v>
          </cell>
          <cell r="E217">
            <v>27792</v>
          </cell>
          <cell r="J217" t="str">
            <v>Verwaal, Michel</v>
          </cell>
          <cell r="K217" t="str">
            <v>NFW15B5</v>
          </cell>
          <cell r="L217" t="str">
            <v>Verwaal, Michel</v>
          </cell>
          <cell r="M217" t="str">
            <v>Michel</v>
          </cell>
          <cell r="N217">
            <v>21869</v>
          </cell>
        </row>
        <row r="218">
          <cell r="A218" t="str">
            <v>Broekema, Juliska</v>
          </cell>
          <cell r="B218" t="str">
            <v>NGJ30G9</v>
          </cell>
          <cell r="C218" t="str">
            <v>Broekema, Juliska</v>
          </cell>
          <cell r="D218" t="str">
            <v>Juliska</v>
          </cell>
          <cell r="E218">
            <v>32329</v>
          </cell>
          <cell r="J218" t="str">
            <v>Waal, Adriaan van de</v>
          </cell>
          <cell r="K218" t="str">
            <v>NFW15D9</v>
          </cell>
          <cell r="L218" t="str">
            <v>Waal, Adriaan van de</v>
          </cell>
          <cell r="M218" t="str">
            <v>Adriaan</v>
          </cell>
          <cell r="N218">
            <v>20120</v>
          </cell>
        </row>
        <row r="219">
          <cell r="A219" t="str">
            <v>Broekhuijsen, Jose</v>
          </cell>
          <cell r="B219" t="str">
            <v>NFW54F0</v>
          </cell>
          <cell r="C219" t="str">
            <v>Broekhuijsen, Jose</v>
          </cell>
          <cell r="D219" t="str">
            <v>Jose</v>
          </cell>
          <cell r="E219">
            <v>22398</v>
          </cell>
          <cell r="J219" t="str">
            <v>Wall, Johan van der</v>
          </cell>
          <cell r="K219" t="str">
            <v>NFW15F3</v>
          </cell>
          <cell r="L219" t="str">
            <v>Wall, Johan van der</v>
          </cell>
          <cell r="M219" t="str">
            <v>Johan</v>
          </cell>
          <cell r="N219">
            <v>24003</v>
          </cell>
        </row>
        <row r="220">
          <cell r="A220" t="str">
            <v>Camphens-Moerman, Barbara</v>
          </cell>
          <cell r="B220" t="str">
            <v>NFW41S7</v>
          </cell>
          <cell r="C220" t="str">
            <v>Camphens-Moerman, Barbara</v>
          </cell>
          <cell r="D220" t="str">
            <v>Barbara</v>
          </cell>
          <cell r="E220">
            <v>29885</v>
          </cell>
          <cell r="J220" t="str">
            <v>Wiel, Henk van der</v>
          </cell>
          <cell r="K220" t="str">
            <v>NFW15G0</v>
          </cell>
          <cell r="L220" t="str">
            <v>Wiel, Henk van der</v>
          </cell>
          <cell r="M220" t="str">
            <v>Henk</v>
          </cell>
          <cell r="N220">
            <v>20014</v>
          </cell>
        </row>
        <row r="221">
          <cell r="A221" t="str">
            <v>Dekkers-de Bruijn, Willy</v>
          </cell>
          <cell r="B221" t="str">
            <v>NFW53Z7</v>
          </cell>
          <cell r="C221" t="str">
            <v>Dekkers-de Bruijn, Willy</v>
          </cell>
          <cell r="D221" t="str">
            <v>Willy</v>
          </cell>
          <cell r="E221">
            <v>15798</v>
          </cell>
          <cell r="J221" t="str">
            <v>Wiel, Robbie van der</v>
          </cell>
          <cell r="K221" t="str">
            <v>NFW29M9</v>
          </cell>
          <cell r="L221" t="str">
            <v>Wiel, Robbie van der</v>
          </cell>
          <cell r="M221" t="str">
            <v>Robbie</v>
          </cell>
          <cell r="N221">
            <v>30822</v>
          </cell>
        </row>
        <row r="222">
          <cell r="A222" t="str">
            <v>Dijk, Ria van</v>
          </cell>
          <cell r="B222" t="str">
            <v>NFW01C5</v>
          </cell>
          <cell r="C222" t="str">
            <v>Dijk, Ria van</v>
          </cell>
          <cell r="D222" t="str">
            <v>Ria</v>
          </cell>
          <cell r="E222">
            <v>25782</v>
          </cell>
          <cell r="J222" t="str">
            <v>Zuijderwijk, Patrick</v>
          </cell>
          <cell r="K222" t="str">
            <v>NLJ05B9</v>
          </cell>
          <cell r="L222" t="str">
            <v>Zuijderwijk, Patrick</v>
          </cell>
          <cell r="M222" t="str">
            <v>Patrick</v>
          </cell>
          <cell r="N222">
            <v>25931</v>
          </cell>
        </row>
        <row r="223">
          <cell r="A223" t="str">
            <v>Draaijer, Nora</v>
          </cell>
          <cell r="B223" t="str">
            <v>NFW01G3</v>
          </cell>
          <cell r="C223" t="str">
            <v>Draaijer, Nora</v>
          </cell>
          <cell r="D223" t="str">
            <v>Nora</v>
          </cell>
          <cell r="E223">
            <v>20520</v>
          </cell>
          <cell r="J223" t="str">
            <v>Ven, Jonas van de</v>
          </cell>
          <cell r="K223" t="str">
            <v>NLY32T6</v>
          </cell>
          <cell r="L223" t="str">
            <v>Ven, Jonas van de</v>
          </cell>
          <cell r="M223" t="str">
            <v>Jonas</v>
          </cell>
          <cell r="N223">
            <v>40413</v>
          </cell>
          <cell r="Q223" t="str">
            <v>F1</v>
          </cell>
        </row>
        <row r="224">
          <cell r="A224" t="str">
            <v>Horst, Willeke ter</v>
          </cell>
          <cell r="B224" t="str">
            <v>NFW54D6</v>
          </cell>
          <cell r="C224" t="str">
            <v>Horst, Willeke ter</v>
          </cell>
          <cell r="D224" t="str">
            <v>Willeke</v>
          </cell>
          <cell r="E224">
            <v>20811</v>
          </cell>
          <cell r="J224">
            <v>0</v>
          </cell>
        </row>
        <row r="225">
          <cell r="A225" t="str">
            <v>Isarin, Andrea</v>
          </cell>
          <cell r="B225" t="str">
            <v>NJF06T0</v>
          </cell>
          <cell r="C225" t="str">
            <v>Isarin, Andrea</v>
          </cell>
          <cell r="D225" t="str">
            <v>Andrea</v>
          </cell>
          <cell r="E225">
            <v>35375</v>
          </cell>
          <cell r="J225">
            <v>0</v>
          </cell>
        </row>
        <row r="226">
          <cell r="A226" t="str">
            <v>Kalkeren, Paula van</v>
          </cell>
          <cell r="B226" t="str">
            <v>NFW54G7</v>
          </cell>
          <cell r="C226" t="str">
            <v>Kalkeren, Paula van</v>
          </cell>
          <cell r="D226" t="str">
            <v>Paula</v>
          </cell>
          <cell r="E226">
            <v>13622</v>
          </cell>
          <cell r="J226">
            <v>0</v>
          </cell>
        </row>
        <row r="227">
          <cell r="A227" t="str">
            <v>Kalkeren-Mans, Hanneke van</v>
          </cell>
          <cell r="B227" t="str">
            <v>NFW01L8</v>
          </cell>
          <cell r="C227" t="str">
            <v>Kalkeren-Mans, Hanneke van</v>
          </cell>
          <cell r="D227" t="str">
            <v>Hanneke</v>
          </cell>
          <cell r="E227">
            <v>23915</v>
          </cell>
          <cell r="J227">
            <v>0</v>
          </cell>
        </row>
        <row r="228">
          <cell r="A228" t="str">
            <v>Kleingeld-van der Windt, Johanna</v>
          </cell>
          <cell r="B228" t="str">
            <v>NLM86Y6</v>
          </cell>
          <cell r="C228" t="str">
            <v>Kleingeld-van der Windt, Johanna</v>
          </cell>
          <cell r="D228" t="str">
            <v>Johanna</v>
          </cell>
          <cell r="E228">
            <v>21735</v>
          </cell>
          <cell r="J228">
            <v>0</v>
          </cell>
        </row>
        <row r="229">
          <cell r="A229" t="str">
            <v>Kleingeld-Wibbens, Liesbeth</v>
          </cell>
          <cell r="B229" t="str">
            <v>NJK42C4</v>
          </cell>
          <cell r="C229" t="str">
            <v>Kleingeld-Wibbens, Liesbeth</v>
          </cell>
          <cell r="D229" t="str">
            <v>Liesbeth</v>
          </cell>
          <cell r="E229">
            <v>31969</v>
          </cell>
          <cell r="J229">
            <v>0</v>
          </cell>
        </row>
        <row r="230">
          <cell r="A230" t="str">
            <v>Klink, Ellen</v>
          </cell>
          <cell r="B230" t="str">
            <v>NFW15J1</v>
          </cell>
          <cell r="C230" t="str">
            <v>Klink, Ellen</v>
          </cell>
          <cell r="D230" t="str">
            <v>Ellen</v>
          </cell>
          <cell r="E230">
            <v>25658</v>
          </cell>
          <cell r="J230">
            <v>0</v>
          </cell>
        </row>
        <row r="231">
          <cell r="A231" t="str">
            <v>Kloot-Post, Ilse</v>
          </cell>
          <cell r="B231" t="str">
            <v>NLH06R2</v>
          </cell>
          <cell r="C231" t="str">
            <v>Kloot-Post, Ilse</v>
          </cell>
          <cell r="D231" t="str">
            <v>Ilse</v>
          </cell>
          <cell r="E231">
            <v>27256</v>
          </cell>
          <cell r="J231">
            <v>0</v>
          </cell>
        </row>
        <row r="232">
          <cell r="A232" t="str">
            <v>Koegler, Nellie</v>
          </cell>
          <cell r="B232" t="str">
            <v>NFW54J8</v>
          </cell>
          <cell r="C232" t="str">
            <v>Koegler, Nellie</v>
          </cell>
          <cell r="D232" t="str">
            <v>Nellie</v>
          </cell>
          <cell r="E232">
            <v>20542</v>
          </cell>
          <cell r="J232">
            <v>0</v>
          </cell>
        </row>
        <row r="233">
          <cell r="A233" t="str">
            <v>Leertouwer, Anne-Marie</v>
          </cell>
          <cell r="B233" t="str">
            <v>NJD47Q0</v>
          </cell>
          <cell r="C233" t="str">
            <v>Leertouwer, Anne-Marie</v>
          </cell>
          <cell r="D233" t="str">
            <v>Anne-Marie</v>
          </cell>
          <cell r="E233">
            <v>33431</v>
          </cell>
          <cell r="J233">
            <v>0</v>
          </cell>
        </row>
        <row r="234">
          <cell r="A234" t="str">
            <v>Mans, Corrie</v>
          </cell>
          <cell r="B234" t="str">
            <v>NFW53V9</v>
          </cell>
          <cell r="C234" t="str">
            <v>Mans, Corrie</v>
          </cell>
          <cell r="D234" t="str">
            <v>Corrie</v>
          </cell>
          <cell r="E234">
            <v>25099</v>
          </cell>
          <cell r="J234">
            <v>0</v>
          </cell>
        </row>
        <row r="235">
          <cell r="A235" t="str">
            <v>Mastijn, Elsa</v>
          </cell>
          <cell r="B235" t="str">
            <v>NFW12L6</v>
          </cell>
          <cell r="C235" t="str">
            <v>Mastijn, Elsa</v>
          </cell>
          <cell r="D235" t="str">
            <v>Elsa</v>
          </cell>
          <cell r="E235">
            <v>20777</v>
          </cell>
          <cell r="J235">
            <v>0</v>
          </cell>
        </row>
        <row r="236">
          <cell r="A236" t="str">
            <v>Mol, Marian</v>
          </cell>
          <cell r="B236" t="str">
            <v>NFW12N0</v>
          </cell>
          <cell r="C236" t="str">
            <v>Mol, Marian</v>
          </cell>
          <cell r="E236">
            <v>21084</v>
          </cell>
          <cell r="J236">
            <v>0</v>
          </cell>
        </row>
        <row r="237">
          <cell r="A237" t="str">
            <v>Molendijk, Jolanda</v>
          </cell>
          <cell r="B237" t="str">
            <v>NGL91W6</v>
          </cell>
          <cell r="C237" t="str">
            <v>Molendijk, Jolanda</v>
          </cell>
          <cell r="D237" t="str">
            <v>Jolanda</v>
          </cell>
          <cell r="E237">
            <v>22604</v>
          </cell>
          <cell r="J237">
            <v>0</v>
          </cell>
        </row>
        <row r="238">
          <cell r="A238" t="str">
            <v>Nobel-Verwaal, Martine</v>
          </cell>
          <cell r="B238" t="str">
            <v>NFW39Z5</v>
          </cell>
          <cell r="C238" t="str">
            <v>Nobel-Verwaal, Martine</v>
          </cell>
          <cell r="D238" t="str">
            <v>Martine</v>
          </cell>
          <cell r="E238">
            <v>28186</v>
          </cell>
          <cell r="J238">
            <v>0</v>
          </cell>
        </row>
        <row r="239">
          <cell r="A239" t="str">
            <v>Oosterwijk, Pieta</v>
          </cell>
          <cell r="B239" t="str">
            <v>NFW12M3</v>
          </cell>
          <cell r="C239" t="str">
            <v>Oosterwijk, Pieta</v>
          </cell>
          <cell r="D239" t="str">
            <v>Pieta</v>
          </cell>
          <cell r="E239">
            <v>20812</v>
          </cell>
          <cell r="J239">
            <v>0</v>
          </cell>
        </row>
        <row r="240">
          <cell r="A240" t="str">
            <v>Oppe-van den Broek, Monique</v>
          </cell>
          <cell r="B240" t="str">
            <v>NFS56R6</v>
          </cell>
          <cell r="C240" t="str">
            <v>Oppe-van den Broek, Monique</v>
          </cell>
          <cell r="D240" t="str">
            <v>Monique</v>
          </cell>
          <cell r="E240">
            <v>24796</v>
          </cell>
          <cell r="J240">
            <v>0</v>
          </cell>
        </row>
        <row r="241">
          <cell r="A241" t="str">
            <v>Ploeg- van Ballegooijen, Irene</v>
          </cell>
          <cell r="B241" t="str">
            <v>NGX49G5</v>
          </cell>
          <cell r="C241" t="str">
            <v>Ploeg- van Ballegooijen, Irene</v>
          </cell>
          <cell r="D241" t="str">
            <v>Irene</v>
          </cell>
          <cell r="E241">
            <v>32045</v>
          </cell>
          <cell r="J241">
            <v>0</v>
          </cell>
        </row>
        <row r="242">
          <cell r="A242" t="str">
            <v>Ploeg, Elleke</v>
          </cell>
          <cell r="B242" t="str">
            <v>NJH51C3</v>
          </cell>
          <cell r="C242" t="str">
            <v>Ploeg, Elleke</v>
          </cell>
          <cell r="D242" t="str">
            <v>Elleke</v>
          </cell>
          <cell r="E242">
            <v>34851</v>
          </cell>
          <cell r="J242">
            <v>0</v>
          </cell>
        </row>
        <row r="243">
          <cell r="A243" t="str">
            <v>Reus, Annemieke de</v>
          </cell>
          <cell r="B243" t="str">
            <v>NFW12T2</v>
          </cell>
          <cell r="C243" t="str">
            <v>Reus, Annemieke de</v>
          </cell>
          <cell r="D243" t="str">
            <v>Annemieke</v>
          </cell>
          <cell r="E243">
            <v>25798</v>
          </cell>
          <cell r="J243">
            <v>0</v>
          </cell>
        </row>
        <row r="244">
          <cell r="A244" t="str">
            <v>Schipper, Annemarie</v>
          </cell>
          <cell r="B244" t="str">
            <v>NFW15V5</v>
          </cell>
          <cell r="C244" t="str">
            <v>Schipper, Annemarie</v>
          </cell>
          <cell r="D244" t="str">
            <v>Annemarie</v>
          </cell>
          <cell r="E244">
            <v>28581</v>
          </cell>
          <cell r="J244">
            <v>0</v>
          </cell>
        </row>
        <row r="245">
          <cell r="A245" t="str">
            <v>Stomp-Burgt, Lianne vd</v>
          </cell>
          <cell r="B245" t="str">
            <v>NFV12W2</v>
          </cell>
          <cell r="C245" t="str">
            <v>Stomp-Burgt, Lianne vd</v>
          </cell>
          <cell r="D245" t="str">
            <v>Lianne</v>
          </cell>
          <cell r="E245">
            <v>31161</v>
          </cell>
          <cell r="J245">
            <v>0</v>
          </cell>
        </row>
        <row r="246">
          <cell r="A246" t="str">
            <v>Tol, Annelies van</v>
          </cell>
          <cell r="B246" t="str">
            <v>NJY57X5</v>
          </cell>
          <cell r="C246" t="str">
            <v>Tol, Annelies van</v>
          </cell>
          <cell r="D246" t="str">
            <v>Annelies</v>
          </cell>
          <cell r="E246">
            <v>22145</v>
          </cell>
          <cell r="J246">
            <v>0</v>
          </cell>
        </row>
        <row r="247">
          <cell r="A247" t="str">
            <v>Trooijen, Jet van</v>
          </cell>
          <cell r="B247" t="str">
            <v>NKZ02T5</v>
          </cell>
          <cell r="C247" t="str">
            <v>Trooijen, Jet van</v>
          </cell>
          <cell r="D247" t="str">
            <v>Jet</v>
          </cell>
          <cell r="E247">
            <v>24821</v>
          </cell>
          <cell r="J247">
            <v>0</v>
          </cell>
        </row>
        <row r="248">
          <cell r="A248" t="str">
            <v>Veld, Tineke in 't</v>
          </cell>
          <cell r="B248" t="str">
            <v>NFW54N6</v>
          </cell>
          <cell r="C248" t="str">
            <v>Veld, Tineke in 't</v>
          </cell>
          <cell r="D248" t="str">
            <v>Tineke</v>
          </cell>
          <cell r="E248">
            <v>20018</v>
          </cell>
          <cell r="J248">
            <v>0</v>
          </cell>
        </row>
        <row r="249">
          <cell r="A249" t="str">
            <v>Vermij, Cora</v>
          </cell>
          <cell r="B249" t="str">
            <v>NFW12Z4</v>
          </cell>
          <cell r="C249" t="str">
            <v>Vermij, Cora</v>
          </cell>
          <cell r="D249" t="str">
            <v>Cora</v>
          </cell>
          <cell r="E249">
            <v>23877</v>
          </cell>
          <cell r="J249">
            <v>0</v>
          </cell>
        </row>
        <row r="250">
          <cell r="A250" t="str">
            <v>Verwaal, Arja</v>
          </cell>
          <cell r="B250" t="str">
            <v>NFW54P0</v>
          </cell>
          <cell r="C250" t="str">
            <v>Verwaal, Arja</v>
          </cell>
          <cell r="D250" t="str">
            <v>Arja</v>
          </cell>
          <cell r="E250">
            <v>22330</v>
          </cell>
          <cell r="J250">
            <v>0</v>
          </cell>
        </row>
        <row r="251">
          <cell r="A251" t="str">
            <v>Zwanenburg-Moerman, Debita</v>
          </cell>
          <cell r="B251" t="str">
            <v>NFW15S4</v>
          </cell>
          <cell r="C251" t="str">
            <v>Zwanenburg-Moerman, Debita</v>
          </cell>
          <cell r="D251" t="str">
            <v>Debita</v>
          </cell>
          <cell r="E251">
            <v>28329</v>
          </cell>
          <cell r="J251">
            <v>0</v>
          </cell>
        </row>
        <row r="252">
          <cell r="A252" t="str">
            <v>Ton, Sterre</v>
          </cell>
          <cell r="B252" t="str">
            <v>NJW15C0</v>
          </cell>
          <cell r="C252" t="str">
            <v>Ton, Sterre</v>
          </cell>
          <cell r="D252" t="str">
            <v>Sterre</v>
          </cell>
          <cell r="E252">
            <v>35971</v>
          </cell>
          <cell r="H252" t="str">
            <v>S1/S2</v>
          </cell>
          <cell r="J252">
            <v>0</v>
          </cell>
        </row>
        <row r="253">
          <cell r="A253" t="str">
            <v>Bezooijen, Danique van</v>
          </cell>
          <cell r="B253" t="str">
            <v>NJV63S0</v>
          </cell>
          <cell r="C253" t="str">
            <v>Bezooijen, Danique van</v>
          </cell>
          <cell r="D253" t="str">
            <v>Danique</v>
          </cell>
          <cell r="E253">
            <v>36530</v>
          </cell>
          <cell r="H253" t="str">
            <v>A3</v>
          </cell>
          <cell r="J253">
            <v>0</v>
          </cell>
        </row>
        <row r="254">
          <cell r="A254" t="str">
            <v>Plaisier, Floor</v>
          </cell>
          <cell r="B254" t="str">
            <v>NLY51T3</v>
          </cell>
          <cell r="C254" t="str">
            <v>Plaisier, Floor</v>
          </cell>
          <cell r="D254" t="str">
            <v>Floor</v>
          </cell>
          <cell r="E254">
            <v>40205</v>
          </cell>
          <cell r="H254" t="str">
            <v>F2</v>
          </cell>
          <cell r="J254">
            <v>0</v>
          </cell>
        </row>
        <row r="255">
          <cell r="A255">
            <v>0</v>
          </cell>
          <cell r="J255">
            <v>0</v>
          </cell>
        </row>
        <row r="256">
          <cell r="A256">
            <v>0</v>
          </cell>
          <cell r="J256">
            <v>0</v>
          </cell>
        </row>
        <row r="257">
          <cell r="A257">
            <v>0</v>
          </cell>
          <cell r="J257">
            <v>0</v>
          </cell>
        </row>
        <row r="258">
          <cell r="A258">
            <v>0</v>
          </cell>
          <cell r="J258">
            <v>0</v>
          </cell>
        </row>
        <row r="259">
          <cell r="A259">
            <v>0</v>
          </cell>
          <cell r="J259">
            <v>0</v>
          </cell>
        </row>
        <row r="260">
          <cell r="A260">
            <v>0</v>
          </cell>
          <cell r="J260">
            <v>0</v>
          </cell>
        </row>
        <row r="261">
          <cell r="A261">
            <v>0</v>
          </cell>
          <cell r="J261">
            <v>0</v>
          </cell>
        </row>
        <row r="262">
          <cell r="A262">
            <v>0</v>
          </cell>
          <cell r="J262">
            <v>0</v>
          </cell>
        </row>
        <row r="263">
          <cell r="A263">
            <v>0</v>
          </cell>
          <cell r="J263">
            <v>0</v>
          </cell>
        </row>
        <row r="264">
          <cell r="A264">
            <v>0</v>
          </cell>
          <cell r="J264">
            <v>0</v>
          </cell>
        </row>
        <row r="265">
          <cell r="A265">
            <v>0</v>
          </cell>
          <cell r="J265">
            <v>0</v>
          </cell>
        </row>
        <row r="266">
          <cell r="A266">
            <v>0</v>
          </cell>
          <cell r="J266">
            <v>0</v>
          </cell>
        </row>
        <row r="267">
          <cell r="A267">
            <v>0</v>
          </cell>
          <cell r="J267">
            <v>0</v>
          </cell>
        </row>
        <row r="268">
          <cell r="A268">
            <v>0</v>
          </cell>
          <cell r="J268">
            <v>0</v>
          </cell>
        </row>
        <row r="269">
          <cell r="A269">
            <v>0</v>
          </cell>
          <cell r="J269">
            <v>0</v>
          </cell>
        </row>
        <row r="270">
          <cell r="A270">
            <v>0</v>
          </cell>
          <cell r="J270">
            <v>0</v>
          </cell>
        </row>
        <row r="271">
          <cell r="A271">
            <v>0</v>
          </cell>
          <cell r="J271">
            <v>0</v>
          </cell>
        </row>
        <row r="272">
          <cell r="A272">
            <v>0</v>
          </cell>
          <cell r="J272">
            <v>0</v>
          </cell>
        </row>
        <row r="273">
          <cell r="A273">
            <v>0</v>
          </cell>
          <cell r="J273">
            <v>0</v>
          </cell>
        </row>
        <row r="274">
          <cell r="A274">
            <v>0</v>
          </cell>
          <cell r="J274">
            <v>0</v>
          </cell>
        </row>
        <row r="275">
          <cell r="A275">
            <v>0</v>
          </cell>
          <cell r="J275">
            <v>0</v>
          </cell>
        </row>
        <row r="276">
          <cell r="A276">
            <v>0</v>
          </cell>
          <cell r="J276">
            <v>0</v>
          </cell>
        </row>
        <row r="277">
          <cell r="A277">
            <v>0</v>
          </cell>
          <cell r="J277">
            <v>0</v>
          </cell>
        </row>
        <row r="278">
          <cell r="A278">
            <v>0</v>
          </cell>
          <cell r="J278">
            <v>0</v>
          </cell>
        </row>
        <row r="279">
          <cell r="A279">
            <v>0</v>
          </cell>
          <cell r="J279">
            <v>0</v>
          </cell>
        </row>
        <row r="280">
          <cell r="A280">
            <v>0</v>
          </cell>
          <cell r="J280">
            <v>0</v>
          </cell>
        </row>
        <row r="281">
          <cell r="A281">
            <v>0</v>
          </cell>
          <cell r="J281">
            <v>0</v>
          </cell>
        </row>
        <row r="282">
          <cell r="A282">
            <v>0</v>
          </cell>
          <cell r="J282">
            <v>0</v>
          </cell>
        </row>
        <row r="283">
          <cell r="A283">
            <v>0</v>
          </cell>
          <cell r="J283">
            <v>0</v>
          </cell>
        </row>
        <row r="284">
          <cell r="A284">
            <v>0</v>
          </cell>
          <cell r="J284">
            <v>0</v>
          </cell>
        </row>
        <row r="285">
          <cell r="A285">
            <v>0</v>
          </cell>
          <cell r="J285">
            <v>0</v>
          </cell>
        </row>
        <row r="286">
          <cell r="A286">
            <v>0</v>
          </cell>
          <cell r="J286">
            <v>0</v>
          </cell>
        </row>
        <row r="287">
          <cell r="A287">
            <v>0</v>
          </cell>
          <cell r="J287">
            <v>0</v>
          </cell>
        </row>
        <row r="288">
          <cell r="A288">
            <v>0</v>
          </cell>
          <cell r="J288">
            <v>0</v>
          </cell>
        </row>
        <row r="289">
          <cell r="A289">
            <v>0</v>
          </cell>
          <cell r="J289">
            <v>0</v>
          </cell>
        </row>
        <row r="290">
          <cell r="A290">
            <v>0</v>
          </cell>
          <cell r="J290">
            <v>0</v>
          </cell>
        </row>
        <row r="291">
          <cell r="A291">
            <v>0</v>
          </cell>
          <cell r="J291">
            <v>0</v>
          </cell>
        </row>
        <row r="292">
          <cell r="A292">
            <v>0</v>
          </cell>
          <cell r="J292">
            <v>0</v>
          </cell>
        </row>
        <row r="293">
          <cell r="A293">
            <v>0</v>
          </cell>
          <cell r="J293">
            <v>0</v>
          </cell>
        </row>
        <row r="294">
          <cell r="A294">
            <v>0</v>
          </cell>
          <cell r="J294">
            <v>0</v>
          </cell>
        </row>
        <row r="295">
          <cell r="A295">
            <v>0</v>
          </cell>
          <cell r="J295">
            <v>0</v>
          </cell>
        </row>
        <row r="296">
          <cell r="A296">
            <v>0</v>
          </cell>
          <cell r="J296">
            <v>0</v>
          </cell>
        </row>
        <row r="297">
          <cell r="A297">
            <v>0</v>
          </cell>
          <cell r="J297">
            <v>0</v>
          </cell>
        </row>
        <row r="298">
          <cell r="A298">
            <v>0</v>
          </cell>
          <cell r="J298">
            <v>0</v>
          </cell>
        </row>
        <row r="299">
          <cell r="A299">
            <v>0</v>
          </cell>
          <cell r="J299">
            <v>0</v>
          </cell>
        </row>
        <row r="300">
          <cell r="A300">
            <v>0</v>
          </cell>
          <cell r="J300">
            <v>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R174"/>
  <sheetViews>
    <sheetView showGridLines="0" topLeftCell="A68" workbookViewId="0">
      <selection activeCell="N76" sqref="M76:N77"/>
    </sheetView>
  </sheetViews>
  <sheetFormatPr defaultRowHeight="14.25" x14ac:dyDescent="0.45"/>
  <cols>
    <col min="1" max="1" width="1.73046875" customWidth="1"/>
    <col min="2" max="2" width="3" style="28" customWidth="1"/>
    <col min="3" max="3" width="29.73046875" style="28" customWidth="1"/>
    <col min="4" max="4" width="11.1328125" style="28" customWidth="1"/>
    <col min="5" max="5" width="7.86328125" style="34" customWidth="1"/>
    <col min="6" max="6" width="3" style="28" customWidth="1"/>
    <col min="7" max="7" width="26.59765625" style="28" customWidth="1"/>
    <col min="8" max="8" width="11" style="28" customWidth="1"/>
    <col min="9" max="9" width="7.86328125" style="34" customWidth="1"/>
    <col min="10" max="10" width="6.3984375" style="28" customWidth="1"/>
    <col min="11" max="11" width="12.73046875" style="28" customWidth="1"/>
    <col min="12" max="12" width="9.1328125" style="28"/>
    <col min="13" max="15" width="9.1328125" style="32"/>
    <col min="16" max="18" width="9.1328125" style="4"/>
  </cols>
  <sheetData>
    <row r="1" spans="1:12" ht="38.25" customHeight="1" x14ac:dyDescent="0.45">
      <c r="A1" s="4"/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32"/>
    </row>
    <row r="2" spans="1:12" ht="21" customHeight="1" x14ac:dyDescent="0.65">
      <c r="A2" s="4"/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4"/>
      <c r="L2" s="32"/>
    </row>
    <row r="3" spans="1:12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</v>
      </c>
      <c r="K3" s="47"/>
      <c r="L3" s="32"/>
    </row>
    <row r="4" spans="1:12" x14ac:dyDescent="0.45">
      <c r="A4" s="4"/>
      <c r="B4" s="15"/>
      <c r="C4" s="15" t="s">
        <v>5</v>
      </c>
      <c r="D4" s="26" t="s">
        <v>6</v>
      </c>
      <c r="E4" s="27" t="s">
        <v>7</v>
      </c>
      <c r="F4" s="15"/>
      <c r="G4" s="15" t="s">
        <v>5</v>
      </c>
      <c r="H4" s="26" t="s">
        <v>6</v>
      </c>
      <c r="I4" s="27" t="s">
        <v>7</v>
      </c>
      <c r="J4" s="38" t="s">
        <v>8</v>
      </c>
      <c r="K4" s="39"/>
      <c r="L4" s="32"/>
    </row>
    <row r="5" spans="1:12" ht="15" customHeight="1" x14ac:dyDescent="0.45">
      <c r="A5" s="4"/>
      <c r="B5" s="1">
        <v>1</v>
      </c>
      <c r="C5" s="1" t="s">
        <v>9</v>
      </c>
      <c r="D5" s="2">
        <v>33696</v>
      </c>
      <c r="E5" s="3">
        <v>25</v>
      </c>
      <c r="F5" s="1">
        <v>1</v>
      </c>
      <c r="G5" s="1" t="s">
        <v>10</v>
      </c>
      <c r="H5" s="2">
        <v>35873</v>
      </c>
      <c r="I5" s="3">
        <v>19</v>
      </c>
      <c r="J5" s="48" t="s">
        <v>11</v>
      </c>
      <c r="K5" s="48"/>
      <c r="L5" s="32"/>
    </row>
    <row r="6" spans="1:12" x14ac:dyDescent="0.45">
      <c r="A6" s="4"/>
      <c r="B6" s="1">
        <v>2</v>
      </c>
      <c r="C6" s="1" t="s">
        <v>12</v>
      </c>
      <c r="D6" s="2">
        <v>36032</v>
      </c>
      <c r="E6" s="3">
        <v>19</v>
      </c>
      <c r="F6" s="1">
        <v>2</v>
      </c>
      <c r="G6" s="1" t="s">
        <v>13</v>
      </c>
      <c r="H6" s="2">
        <v>34711</v>
      </c>
      <c r="I6" s="3">
        <v>22</v>
      </c>
      <c r="J6" s="40" t="s">
        <v>14</v>
      </c>
      <c r="K6" s="41"/>
      <c r="L6" s="32"/>
    </row>
    <row r="7" spans="1:12" ht="15" customHeight="1" x14ac:dyDescent="0.45">
      <c r="A7" s="4"/>
      <c r="B7" s="1">
        <v>3</v>
      </c>
      <c r="C7" s="1" t="s">
        <v>15</v>
      </c>
      <c r="D7" s="2">
        <v>35615</v>
      </c>
      <c r="E7" s="3">
        <v>20</v>
      </c>
      <c r="F7" s="1">
        <v>3</v>
      </c>
      <c r="G7" s="1" t="s">
        <v>16</v>
      </c>
      <c r="H7" s="2">
        <v>32357</v>
      </c>
      <c r="I7" s="3">
        <v>29</v>
      </c>
      <c r="J7" s="38" t="s">
        <v>17</v>
      </c>
      <c r="K7" s="39"/>
      <c r="L7" s="32"/>
    </row>
    <row r="8" spans="1:12" ht="15" customHeight="1" x14ac:dyDescent="0.45">
      <c r="A8" s="4"/>
      <c r="B8" s="1">
        <v>4</v>
      </c>
      <c r="C8" s="1" t="s">
        <v>18</v>
      </c>
      <c r="D8" s="2">
        <v>36111</v>
      </c>
      <c r="E8" s="3">
        <v>19</v>
      </c>
      <c r="F8" s="1">
        <v>4</v>
      </c>
      <c r="G8" s="1" t="s">
        <v>19</v>
      </c>
      <c r="H8" s="2">
        <v>35246</v>
      </c>
      <c r="I8" s="3">
        <v>21</v>
      </c>
      <c r="J8" s="50" t="s">
        <v>20</v>
      </c>
      <c r="K8" s="50"/>
      <c r="L8" s="32"/>
    </row>
    <row r="9" spans="1:12" ht="15" customHeight="1" x14ac:dyDescent="0.45">
      <c r="A9" s="4"/>
      <c r="B9" s="1">
        <v>5</v>
      </c>
      <c r="C9" s="1" t="s">
        <v>21</v>
      </c>
      <c r="D9" s="2">
        <v>33828</v>
      </c>
      <c r="E9" s="3">
        <v>25</v>
      </c>
      <c r="F9" s="1">
        <v>5</v>
      </c>
      <c r="G9" s="1" t="s">
        <v>22</v>
      </c>
      <c r="H9" s="2">
        <v>35550</v>
      </c>
      <c r="I9" s="3">
        <v>20</v>
      </c>
      <c r="J9" s="40" t="s">
        <v>23</v>
      </c>
      <c r="K9" s="41"/>
      <c r="L9" s="32"/>
    </row>
    <row r="10" spans="1:12" ht="15" customHeight="1" x14ac:dyDescent="0.45">
      <c r="A10" s="4"/>
      <c r="B10" s="1">
        <v>6</v>
      </c>
      <c r="C10" s="1" t="s">
        <v>24</v>
      </c>
      <c r="D10" s="2">
        <v>34885</v>
      </c>
      <c r="E10" s="3">
        <v>22</v>
      </c>
      <c r="F10" s="1">
        <v>6</v>
      </c>
      <c r="G10" s="1" t="s">
        <v>25</v>
      </c>
      <c r="H10" s="2">
        <v>35372</v>
      </c>
      <c r="I10" s="3">
        <v>21</v>
      </c>
      <c r="J10" s="38" t="s">
        <v>26</v>
      </c>
      <c r="K10" s="39"/>
      <c r="L10" s="32"/>
    </row>
    <row r="11" spans="1:12" x14ac:dyDescent="0.45">
      <c r="A11" s="4"/>
      <c r="B11" s="1">
        <v>7</v>
      </c>
      <c r="C11" s="1" t="s">
        <v>27</v>
      </c>
      <c r="D11" s="2">
        <v>35195</v>
      </c>
      <c r="E11" s="3">
        <v>21</v>
      </c>
      <c r="F11" s="1">
        <v>7</v>
      </c>
      <c r="G11" s="1" t="s">
        <v>28</v>
      </c>
      <c r="H11" s="2">
        <v>35291</v>
      </c>
      <c r="I11" s="3">
        <v>21</v>
      </c>
      <c r="J11" s="38" t="s">
        <v>29</v>
      </c>
      <c r="K11" s="39"/>
      <c r="L11" s="32"/>
    </row>
    <row r="12" spans="1:12" x14ac:dyDescent="0.45">
      <c r="A12" s="4"/>
      <c r="B12" s="1">
        <v>8</v>
      </c>
      <c r="C12" s="1" t="s">
        <v>30</v>
      </c>
      <c r="D12" s="2">
        <v>34724</v>
      </c>
      <c r="E12" s="3">
        <v>22</v>
      </c>
      <c r="F12" s="1">
        <v>8</v>
      </c>
      <c r="G12" s="1" t="s">
        <v>31</v>
      </c>
      <c r="H12" s="2">
        <v>35270</v>
      </c>
      <c r="I12" s="3">
        <v>21</v>
      </c>
      <c r="J12" s="40" t="s">
        <v>32</v>
      </c>
      <c r="K12" s="41"/>
      <c r="L12" s="32"/>
    </row>
    <row r="13" spans="1:12" x14ac:dyDescent="0.45">
      <c r="A13" s="4"/>
      <c r="B13" s="1">
        <v>9</v>
      </c>
      <c r="C13" s="1" t="s">
        <v>33</v>
      </c>
      <c r="D13" s="2">
        <v>35971</v>
      </c>
      <c r="E13" s="3">
        <v>19</v>
      </c>
      <c r="F13" s="1">
        <v>9</v>
      </c>
      <c r="G13" s="1" t="s">
        <v>34</v>
      </c>
      <c r="H13" s="2">
        <v>35330</v>
      </c>
      <c r="I13" s="3">
        <v>21</v>
      </c>
      <c r="J13" s="38" t="s">
        <v>35</v>
      </c>
      <c r="K13" s="39"/>
      <c r="L13" s="32"/>
    </row>
    <row r="14" spans="1:12" x14ac:dyDescent="0.45">
      <c r="A14" s="4"/>
      <c r="B14" s="1">
        <v>10</v>
      </c>
      <c r="C14" s="1" t="s">
        <v>36</v>
      </c>
      <c r="D14" s="2">
        <v>34650</v>
      </c>
      <c r="E14" s="3">
        <v>23</v>
      </c>
      <c r="F14" s="1">
        <v>10</v>
      </c>
      <c r="G14" s="1" t="s">
        <v>37</v>
      </c>
      <c r="H14" s="2" t="s">
        <v>37</v>
      </c>
      <c r="I14" s="3" t="s">
        <v>37</v>
      </c>
      <c r="J14" s="40" t="s">
        <v>38</v>
      </c>
      <c r="K14" s="41"/>
      <c r="L14" s="32"/>
    </row>
    <row r="15" spans="1:12" x14ac:dyDescent="0.45">
      <c r="A15" s="4"/>
      <c r="B15" s="1">
        <v>11</v>
      </c>
      <c r="C15" s="1" t="s">
        <v>39</v>
      </c>
      <c r="D15" s="2">
        <v>33777</v>
      </c>
      <c r="E15" s="3">
        <v>25</v>
      </c>
      <c r="F15" s="1">
        <v>11</v>
      </c>
      <c r="G15" s="1" t="s">
        <v>37</v>
      </c>
      <c r="H15" s="2" t="s">
        <v>37</v>
      </c>
      <c r="I15" s="3" t="s">
        <v>37</v>
      </c>
      <c r="J15" s="38" t="s">
        <v>40</v>
      </c>
      <c r="K15" s="39"/>
      <c r="L15" s="32"/>
    </row>
    <row r="16" spans="1:12" x14ac:dyDescent="0.45">
      <c r="A16" s="4"/>
      <c r="B16" s="1">
        <v>12</v>
      </c>
      <c r="C16" s="1" t="s">
        <v>37</v>
      </c>
      <c r="D16" s="2" t="s">
        <v>37</v>
      </c>
      <c r="E16" s="3" t="s">
        <v>37</v>
      </c>
      <c r="F16" s="1">
        <v>12</v>
      </c>
      <c r="G16" s="1" t="s">
        <v>37</v>
      </c>
      <c r="H16" s="2" t="s">
        <v>37</v>
      </c>
      <c r="I16" s="3" t="s">
        <v>37</v>
      </c>
      <c r="L16" s="32"/>
    </row>
    <row r="17" spans="1:12" x14ac:dyDescent="0.45">
      <c r="A17" s="4"/>
      <c r="B17" s="1">
        <v>13</v>
      </c>
      <c r="C17" s="1"/>
      <c r="D17" s="2" t="s">
        <v>37</v>
      </c>
      <c r="E17" s="3" t="s">
        <v>37</v>
      </c>
      <c r="F17" s="1">
        <v>13</v>
      </c>
      <c r="G17" s="1" t="s">
        <v>37</v>
      </c>
      <c r="H17" s="2" t="s">
        <v>37</v>
      </c>
      <c r="I17" s="3" t="s">
        <v>37</v>
      </c>
      <c r="J17" s="16" t="s">
        <v>41</v>
      </c>
      <c r="K17" s="4"/>
      <c r="L17" s="32"/>
    </row>
    <row r="18" spans="1:12" x14ac:dyDescent="0.45">
      <c r="A18" s="4"/>
      <c r="B18" s="8">
        <v>14</v>
      </c>
      <c r="C18" s="8" t="s">
        <v>37</v>
      </c>
      <c r="D18" s="9" t="s">
        <v>37</v>
      </c>
      <c r="E18" s="10" t="s">
        <v>37</v>
      </c>
      <c r="F18" s="8">
        <v>14</v>
      </c>
      <c r="G18" s="1" t="s">
        <v>37</v>
      </c>
      <c r="H18" s="2" t="s">
        <v>37</v>
      </c>
      <c r="I18" s="3" t="s">
        <v>37</v>
      </c>
      <c r="J18" s="29">
        <f>IF(COUNT(E5:E18,I5:I18)=0,0,COUNT(E5:E18,I5:I18))</f>
        <v>20</v>
      </c>
      <c r="K18" s="4"/>
      <c r="L18" s="32"/>
    </row>
    <row r="19" spans="1:12" ht="21" hidden="1" x14ac:dyDescent="0.65">
      <c r="A19" s="4"/>
      <c r="B19" s="42" t="s">
        <v>42</v>
      </c>
      <c r="C19" s="43"/>
      <c r="D19" s="43"/>
      <c r="E19" s="43"/>
      <c r="F19" s="43"/>
      <c r="G19" s="43"/>
      <c r="H19" s="43"/>
      <c r="I19" s="43"/>
      <c r="J19" s="43"/>
      <c r="K19" s="44"/>
      <c r="L19" s="32"/>
    </row>
    <row r="20" spans="1:12" hidden="1" x14ac:dyDescent="0.45">
      <c r="A20" s="4"/>
      <c r="B20" s="45" t="s">
        <v>2</v>
      </c>
      <c r="C20" s="46"/>
      <c r="D20" s="46"/>
      <c r="E20" s="46"/>
      <c r="F20" s="46" t="s">
        <v>3</v>
      </c>
      <c r="G20" s="46"/>
      <c r="H20" s="46"/>
      <c r="I20" s="46"/>
      <c r="J20" s="46" t="s">
        <v>43</v>
      </c>
      <c r="K20" s="47"/>
      <c r="L20" s="32"/>
    </row>
    <row r="21" spans="1:12" hidden="1" x14ac:dyDescent="0.45">
      <c r="A21" s="4"/>
      <c r="B21" s="15"/>
      <c r="C21" s="15" t="s">
        <v>5</v>
      </c>
      <c r="D21" s="26" t="s">
        <v>6</v>
      </c>
      <c r="E21" s="27" t="s">
        <v>7</v>
      </c>
      <c r="F21" s="15"/>
      <c r="G21" s="15" t="s">
        <v>5</v>
      </c>
      <c r="H21" s="26" t="s">
        <v>6</v>
      </c>
      <c r="I21" s="27" t="s">
        <v>7</v>
      </c>
      <c r="L21" s="32"/>
    </row>
    <row r="22" spans="1:12" hidden="1" x14ac:dyDescent="0.45">
      <c r="A22" s="4"/>
      <c r="B22" s="1">
        <v>1</v>
      </c>
      <c r="C22" s="1" t="e">
        <v>#NAME?</v>
      </c>
      <c r="D22" s="2" t="e">
        <v>#NAME?</v>
      </c>
      <c r="E22" s="3" t="e">
        <v>#NAME?</v>
      </c>
      <c r="F22" s="1">
        <v>1</v>
      </c>
      <c r="G22" s="1" t="e">
        <v>#NAME?</v>
      </c>
      <c r="H22" s="2" t="e">
        <v>#NAME?</v>
      </c>
      <c r="I22" s="3" t="e">
        <v>#NAME?</v>
      </c>
      <c r="J22" s="37"/>
      <c r="K22" s="37"/>
      <c r="L22" s="32"/>
    </row>
    <row r="23" spans="1:12" hidden="1" x14ac:dyDescent="0.45">
      <c r="A23" s="4"/>
      <c r="B23" s="1">
        <v>2</v>
      </c>
      <c r="C23" s="1" t="e">
        <v>#NAME?</v>
      </c>
      <c r="D23" s="2" t="e">
        <v>#NAME?</v>
      </c>
      <c r="E23" s="3" t="e">
        <v>#NAME?</v>
      </c>
      <c r="F23" s="1">
        <v>2</v>
      </c>
      <c r="G23" s="1" t="e">
        <v>#NAME?</v>
      </c>
      <c r="H23" s="2" t="e">
        <v>#NAME?</v>
      </c>
      <c r="I23" s="3" t="e">
        <v>#NAME?</v>
      </c>
      <c r="J23" s="40" t="s">
        <v>23</v>
      </c>
      <c r="K23" s="41"/>
      <c r="L23" s="32"/>
    </row>
    <row r="24" spans="1:12" hidden="1" x14ac:dyDescent="0.45">
      <c r="A24" s="4"/>
      <c r="B24" s="1">
        <v>3</v>
      </c>
      <c r="C24" s="1" t="e">
        <v>#NAME?</v>
      </c>
      <c r="D24" s="2" t="e">
        <v>#NAME?</v>
      </c>
      <c r="E24" s="3" t="e">
        <v>#NAME?</v>
      </c>
      <c r="F24" s="1">
        <v>3</v>
      </c>
      <c r="G24" s="1" t="e">
        <v>#NAME?</v>
      </c>
      <c r="H24" s="2" t="e">
        <v>#NAME?</v>
      </c>
      <c r="I24" s="3" t="e">
        <v>#NAME?</v>
      </c>
      <c r="L24" s="32"/>
    </row>
    <row r="25" spans="1:12" hidden="1" x14ac:dyDescent="0.45">
      <c r="A25" s="4"/>
      <c r="B25" s="1">
        <v>4</v>
      </c>
      <c r="C25" s="1" t="e">
        <v>#NAME?</v>
      </c>
      <c r="D25" s="2" t="e">
        <v>#NAME?</v>
      </c>
      <c r="E25" s="3" t="e">
        <v>#NAME?</v>
      </c>
      <c r="F25" s="1">
        <v>4</v>
      </c>
      <c r="G25" s="1" t="e">
        <v>#NAME?</v>
      </c>
      <c r="H25" s="2" t="e">
        <v>#NAME?</v>
      </c>
      <c r="I25" s="3" t="e">
        <v>#NAME?</v>
      </c>
      <c r="J25" s="4"/>
      <c r="K25" s="4"/>
      <c r="L25" s="32"/>
    </row>
    <row r="26" spans="1:12" hidden="1" x14ac:dyDescent="0.45">
      <c r="A26" s="4"/>
      <c r="B26" s="1">
        <v>5</v>
      </c>
      <c r="C26" s="1" t="e">
        <v>#NAME?</v>
      </c>
      <c r="D26" s="2" t="e">
        <v>#NAME?</v>
      </c>
      <c r="E26" s="3" t="e">
        <v>#NAME?</v>
      </c>
      <c r="F26" s="1">
        <v>5</v>
      </c>
      <c r="G26" s="1" t="e">
        <v>#NAME?</v>
      </c>
      <c r="H26" s="2" t="e">
        <v>#NAME?</v>
      </c>
      <c r="I26" s="3" t="e">
        <v>#NAME?</v>
      </c>
      <c r="J26" s="4"/>
      <c r="K26" s="4"/>
      <c r="L26" s="32"/>
    </row>
    <row r="27" spans="1:12" hidden="1" x14ac:dyDescent="0.45">
      <c r="A27" s="4"/>
      <c r="B27" s="1">
        <v>6</v>
      </c>
      <c r="C27" s="1" t="e">
        <v>#NAME?</v>
      </c>
      <c r="D27" s="2" t="e">
        <v>#NAME?</v>
      </c>
      <c r="E27" s="3" t="e">
        <v>#NAME?</v>
      </c>
      <c r="F27" s="1">
        <v>6</v>
      </c>
      <c r="G27" s="1" t="e">
        <v>#NAME?</v>
      </c>
      <c r="H27" s="2" t="e">
        <v>#NAME?</v>
      </c>
      <c r="I27" s="3" t="e">
        <v>#NAME?</v>
      </c>
      <c r="J27" s="4"/>
      <c r="K27" s="4"/>
      <c r="L27" s="32"/>
    </row>
    <row r="28" spans="1:12" hidden="1" x14ac:dyDescent="0.45">
      <c r="A28" s="4"/>
      <c r="B28" s="1">
        <v>7</v>
      </c>
      <c r="C28" s="1" t="e">
        <v>#NAME?</v>
      </c>
      <c r="D28" s="2" t="e">
        <v>#NAME?</v>
      </c>
      <c r="E28" s="3" t="e">
        <v>#NAME?</v>
      </c>
      <c r="F28" s="1">
        <v>7</v>
      </c>
      <c r="G28" s="1" t="e">
        <v>#NAME?</v>
      </c>
      <c r="H28" s="2" t="e">
        <v>#NAME?</v>
      </c>
      <c r="I28" s="3" t="e">
        <v>#NAME?</v>
      </c>
      <c r="J28" s="4"/>
      <c r="K28" s="4"/>
      <c r="L28" s="32"/>
    </row>
    <row r="29" spans="1:12" hidden="1" x14ac:dyDescent="0.45">
      <c r="A29" s="4"/>
      <c r="B29" s="1">
        <v>8</v>
      </c>
      <c r="C29" s="1" t="e">
        <v>#NAME?</v>
      </c>
      <c r="D29" s="2" t="e">
        <v>#NAME?</v>
      </c>
      <c r="E29" s="3" t="e">
        <v>#NAME?</v>
      </c>
      <c r="F29" s="1">
        <v>8</v>
      </c>
      <c r="G29" s="1" t="e">
        <v>#NAME?</v>
      </c>
      <c r="H29" s="2" t="e">
        <v>#NAME?</v>
      </c>
      <c r="I29" s="3" t="e">
        <v>#NAME?</v>
      </c>
      <c r="J29" s="4"/>
      <c r="K29" s="4"/>
      <c r="L29" s="32"/>
    </row>
    <row r="30" spans="1:12" hidden="1" x14ac:dyDescent="0.45">
      <c r="A30" s="4"/>
      <c r="B30" s="1">
        <v>9</v>
      </c>
      <c r="C30" s="1" t="e">
        <v>#NAME?</v>
      </c>
      <c r="D30" s="2" t="e">
        <v>#NAME?</v>
      </c>
      <c r="E30" s="3" t="e">
        <v>#NAME?</v>
      </c>
      <c r="F30" s="1">
        <v>9</v>
      </c>
      <c r="G30" s="1" t="e">
        <v>#NAME?</v>
      </c>
      <c r="H30" s="2" t="e">
        <v>#NAME?</v>
      </c>
      <c r="I30" s="3" t="e">
        <v>#NAME?</v>
      </c>
      <c r="J30"/>
      <c r="K30" s="4"/>
      <c r="L30" s="32"/>
    </row>
    <row r="31" spans="1:12" hidden="1" x14ac:dyDescent="0.45">
      <c r="A31" s="4"/>
      <c r="B31" s="1">
        <v>10</v>
      </c>
      <c r="C31" s="1" t="e">
        <v>#NAME?</v>
      </c>
      <c r="D31" s="2" t="e">
        <v>#NAME?</v>
      </c>
      <c r="E31" s="3" t="e">
        <v>#NAME?</v>
      </c>
      <c r="F31" s="1">
        <v>10</v>
      </c>
      <c r="G31" s="1" t="e">
        <v>#NAME?</v>
      </c>
      <c r="H31" s="2" t="e">
        <v>#NAME?</v>
      </c>
      <c r="I31" s="3" t="e">
        <v>#NAME?</v>
      </c>
      <c r="J31"/>
      <c r="K31" s="4"/>
      <c r="L31" s="32"/>
    </row>
    <row r="32" spans="1:12" ht="21" x14ac:dyDescent="0.65">
      <c r="A32" s="4"/>
      <c r="B32" s="42" t="s">
        <v>44</v>
      </c>
      <c r="C32" s="43"/>
      <c r="D32" s="43"/>
      <c r="E32" s="43"/>
      <c r="F32" s="43"/>
      <c r="G32" s="43"/>
      <c r="H32" s="43"/>
      <c r="I32" s="43"/>
      <c r="J32" s="43"/>
      <c r="K32" s="44"/>
      <c r="L32" s="32"/>
    </row>
    <row r="33" spans="1:12" x14ac:dyDescent="0.45">
      <c r="A33" s="4"/>
      <c r="B33" s="45" t="s">
        <v>2</v>
      </c>
      <c r="C33" s="46"/>
      <c r="D33" s="46"/>
      <c r="E33" s="46"/>
      <c r="F33" s="46" t="s">
        <v>3</v>
      </c>
      <c r="G33" s="46"/>
      <c r="H33" s="46"/>
      <c r="I33" s="46"/>
      <c r="J33" s="46" t="s">
        <v>43</v>
      </c>
      <c r="K33" s="47"/>
      <c r="L33" s="32"/>
    </row>
    <row r="34" spans="1:12" x14ac:dyDescent="0.45">
      <c r="A34" s="4"/>
      <c r="B34" s="15"/>
      <c r="C34" s="15" t="s">
        <v>5</v>
      </c>
      <c r="D34" s="26" t="s">
        <v>6</v>
      </c>
      <c r="E34" s="27" t="s">
        <v>7</v>
      </c>
      <c r="F34" s="15"/>
      <c r="G34" s="15" t="s">
        <v>5</v>
      </c>
      <c r="H34" s="26" t="s">
        <v>6</v>
      </c>
      <c r="I34" s="27" t="s">
        <v>7</v>
      </c>
      <c r="J34" s="48"/>
      <c r="K34" s="48"/>
      <c r="L34" s="32"/>
    </row>
    <row r="35" spans="1:12" x14ac:dyDescent="0.45">
      <c r="A35" s="4"/>
      <c r="B35" s="1">
        <v>1</v>
      </c>
      <c r="C35" s="8" t="s">
        <v>45</v>
      </c>
      <c r="D35" s="2">
        <v>30573</v>
      </c>
      <c r="E35" s="3">
        <v>34</v>
      </c>
      <c r="F35" s="1">
        <v>1</v>
      </c>
      <c r="G35" s="1" t="s">
        <v>46</v>
      </c>
      <c r="H35" s="2">
        <v>29709</v>
      </c>
      <c r="I35" s="3">
        <v>36</v>
      </c>
      <c r="J35" s="37"/>
      <c r="K35" s="37"/>
      <c r="L35" s="32"/>
    </row>
    <row r="36" spans="1:12" x14ac:dyDescent="0.45">
      <c r="A36" s="4"/>
      <c r="B36" s="1">
        <v>2</v>
      </c>
      <c r="C36" s="8" t="s">
        <v>47</v>
      </c>
      <c r="D36" s="2">
        <v>31209</v>
      </c>
      <c r="E36" s="3">
        <v>32</v>
      </c>
      <c r="F36" s="1">
        <v>2</v>
      </c>
      <c r="G36" s="1" t="s">
        <v>48</v>
      </c>
      <c r="H36" s="2">
        <v>27506</v>
      </c>
      <c r="I36" s="3">
        <v>42</v>
      </c>
      <c r="J36" s="51"/>
      <c r="K36" s="51"/>
      <c r="L36" s="32"/>
    </row>
    <row r="37" spans="1:12" x14ac:dyDescent="0.45">
      <c r="A37" s="4"/>
      <c r="B37" s="1">
        <v>3</v>
      </c>
      <c r="C37" s="8" t="s">
        <v>49</v>
      </c>
      <c r="D37" s="2">
        <v>24525</v>
      </c>
      <c r="E37" s="3">
        <v>50</v>
      </c>
      <c r="F37" s="1">
        <v>3</v>
      </c>
      <c r="G37" s="1" t="s">
        <v>50</v>
      </c>
      <c r="H37" s="2">
        <v>25227</v>
      </c>
      <c r="I37" s="3">
        <v>48</v>
      </c>
      <c r="J37" s="51"/>
      <c r="K37" s="51"/>
      <c r="L37" s="32"/>
    </row>
    <row r="38" spans="1:12" x14ac:dyDescent="0.45">
      <c r="A38" s="4"/>
      <c r="B38" s="1">
        <v>4</v>
      </c>
      <c r="C38" s="8" t="s">
        <v>51</v>
      </c>
      <c r="D38" s="2">
        <v>32119</v>
      </c>
      <c r="E38" s="3">
        <v>30</v>
      </c>
      <c r="F38" s="1">
        <v>4</v>
      </c>
      <c r="G38" s="1" t="s">
        <v>52</v>
      </c>
      <c r="H38" s="2">
        <v>29340</v>
      </c>
      <c r="I38" s="3">
        <v>37</v>
      </c>
      <c r="J38" s="4"/>
      <c r="K38" s="4"/>
      <c r="L38" s="32"/>
    </row>
    <row r="39" spans="1:12" x14ac:dyDescent="0.45">
      <c r="A39" s="4"/>
      <c r="B39" s="1">
        <v>5</v>
      </c>
      <c r="C39" s="8" t="s">
        <v>53</v>
      </c>
      <c r="D39" s="2">
        <v>31732</v>
      </c>
      <c r="E39" s="3">
        <v>31</v>
      </c>
      <c r="F39" s="1">
        <v>5</v>
      </c>
      <c r="G39" s="1" t="s">
        <v>54</v>
      </c>
      <c r="H39" s="2">
        <v>29523</v>
      </c>
      <c r="I39" s="3">
        <v>37</v>
      </c>
      <c r="J39" s="4"/>
      <c r="K39" s="4"/>
      <c r="L39" s="32"/>
    </row>
    <row r="40" spans="1:12" x14ac:dyDescent="0.45">
      <c r="A40" s="4"/>
      <c r="B40" s="1">
        <v>6</v>
      </c>
      <c r="C40" s="8" t="s">
        <v>55</v>
      </c>
      <c r="D40" s="2">
        <v>33690</v>
      </c>
      <c r="E40" s="3">
        <v>25</v>
      </c>
      <c r="F40" s="1">
        <v>6</v>
      </c>
      <c r="G40" s="1" t="s">
        <v>56</v>
      </c>
      <c r="H40" s="2">
        <v>25273</v>
      </c>
      <c r="I40" s="3">
        <v>48</v>
      </c>
      <c r="J40" s="4"/>
      <c r="K40" s="4"/>
      <c r="L40" s="32"/>
    </row>
    <row r="41" spans="1:12" x14ac:dyDescent="0.45">
      <c r="A41" s="4"/>
      <c r="B41" s="1">
        <v>7</v>
      </c>
      <c r="C41" s="8" t="s">
        <v>37</v>
      </c>
      <c r="D41" s="2" t="s">
        <v>37</v>
      </c>
      <c r="E41" s="3" t="s">
        <v>37</v>
      </c>
      <c r="F41" s="1">
        <v>7</v>
      </c>
      <c r="G41" s="1" t="s">
        <v>37</v>
      </c>
      <c r="H41" s="2" t="s">
        <v>37</v>
      </c>
      <c r="I41" s="3" t="s">
        <v>37</v>
      </c>
      <c r="J41" s="4"/>
      <c r="K41" s="4"/>
      <c r="L41" s="32"/>
    </row>
    <row r="42" spans="1:12" x14ac:dyDescent="0.45">
      <c r="A42" s="4"/>
      <c r="B42" s="1">
        <v>8</v>
      </c>
      <c r="C42" s="8" t="s">
        <v>37</v>
      </c>
      <c r="D42" s="2" t="s">
        <v>37</v>
      </c>
      <c r="E42" s="3" t="s">
        <v>37</v>
      </c>
      <c r="F42" s="1">
        <v>8</v>
      </c>
      <c r="G42" s="1" t="s">
        <v>37</v>
      </c>
      <c r="H42" s="2" t="s">
        <v>37</v>
      </c>
      <c r="I42" s="3" t="s">
        <v>37</v>
      </c>
      <c r="J42" s="4"/>
      <c r="K42" s="4"/>
      <c r="L42" s="32"/>
    </row>
    <row r="43" spans="1:12" x14ac:dyDescent="0.45">
      <c r="A43" s="4"/>
      <c r="B43" s="1">
        <v>9</v>
      </c>
      <c r="C43" s="8" t="s">
        <v>37</v>
      </c>
      <c r="D43" s="2" t="s">
        <v>37</v>
      </c>
      <c r="E43" s="3" t="s">
        <v>37</v>
      </c>
      <c r="F43" s="1">
        <v>9</v>
      </c>
      <c r="G43" s="1" t="s">
        <v>37</v>
      </c>
      <c r="H43" s="2" t="s">
        <v>37</v>
      </c>
      <c r="I43" s="3" t="s">
        <v>37</v>
      </c>
      <c r="J43" s="4"/>
      <c r="K43" s="4"/>
      <c r="L43" s="32"/>
    </row>
    <row r="44" spans="1:12" x14ac:dyDescent="0.45">
      <c r="A44" s="4"/>
      <c r="B44" s="1">
        <v>10</v>
      </c>
      <c r="C44" s="8" t="s">
        <v>37</v>
      </c>
      <c r="D44" s="2" t="s">
        <v>37</v>
      </c>
      <c r="E44" s="3" t="s">
        <v>37</v>
      </c>
      <c r="F44" s="1">
        <v>10</v>
      </c>
      <c r="G44" s="1" t="s">
        <v>37</v>
      </c>
      <c r="H44" s="2" t="s">
        <v>37</v>
      </c>
      <c r="I44" s="3" t="s">
        <v>37</v>
      </c>
      <c r="J44" s="16" t="s">
        <v>41</v>
      </c>
      <c r="K44" s="4"/>
      <c r="L44" s="32"/>
    </row>
    <row r="45" spans="1:12" x14ac:dyDescent="0.45">
      <c r="A45" s="4"/>
      <c r="B45" s="1">
        <v>11</v>
      </c>
      <c r="C45" s="8" t="s">
        <v>37</v>
      </c>
      <c r="D45" s="2" t="s">
        <v>37</v>
      </c>
      <c r="E45" s="3" t="s">
        <v>37</v>
      </c>
      <c r="F45" s="1">
        <v>11</v>
      </c>
      <c r="G45" s="1" t="s">
        <v>37</v>
      </c>
      <c r="H45" s="2" t="s">
        <v>37</v>
      </c>
      <c r="I45" s="3" t="s">
        <v>37</v>
      </c>
      <c r="J45" s="30">
        <f>IF(COUNT(E35:E45,I35:I45)=0,0,COUNT(E35:E45,I35:I45))</f>
        <v>12</v>
      </c>
      <c r="K45" s="4"/>
      <c r="L45" s="32"/>
    </row>
    <row r="46" spans="1:12" ht="21" x14ac:dyDescent="0.65">
      <c r="A46" s="4"/>
      <c r="B46" s="42" t="s">
        <v>57</v>
      </c>
      <c r="C46" s="43"/>
      <c r="D46" s="43"/>
      <c r="E46" s="43"/>
      <c r="F46" s="43"/>
      <c r="G46" s="43"/>
      <c r="H46" s="43"/>
      <c r="I46" s="43"/>
      <c r="J46" s="43"/>
      <c r="K46" s="44"/>
      <c r="L46" s="32"/>
    </row>
    <row r="47" spans="1:12" x14ac:dyDescent="0.45">
      <c r="A47" s="4"/>
      <c r="B47" s="45" t="s">
        <v>2</v>
      </c>
      <c r="C47" s="46"/>
      <c r="D47" s="46"/>
      <c r="E47" s="46"/>
      <c r="F47" s="46" t="s">
        <v>3</v>
      </c>
      <c r="G47" s="46"/>
      <c r="H47" s="46"/>
      <c r="I47" s="46"/>
      <c r="J47" s="46" t="s">
        <v>43</v>
      </c>
      <c r="K47" s="47"/>
      <c r="L47" s="32"/>
    </row>
    <row r="48" spans="1:12" x14ac:dyDescent="0.45">
      <c r="A48" s="4"/>
      <c r="B48" s="1"/>
      <c r="C48" s="1" t="s">
        <v>5</v>
      </c>
      <c r="D48" s="2" t="s">
        <v>6</v>
      </c>
      <c r="E48" s="3" t="s">
        <v>7</v>
      </c>
      <c r="F48" s="1"/>
      <c r="G48" s="1" t="s">
        <v>5</v>
      </c>
      <c r="H48" s="2" t="s">
        <v>6</v>
      </c>
      <c r="I48" s="3" t="s">
        <v>7</v>
      </c>
      <c r="J48" s="48" t="s">
        <v>58</v>
      </c>
      <c r="K48" s="48"/>
      <c r="L48" s="32"/>
    </row>
    <row r="49" spans="1:12" x14ac:dyDescent="0.45">
      <c r="A49" s="4"/>
      <c r="B49" s="1">
        <v>1</v>
      </c>
      <c r="C49" s="8" t="s">
        <v>59</v>
      </c>
      <c r="D49" s="2">
        <v>35817</v>
      </c>
      <c r="E49" s="3">
        <v>19</v>
      </c>
      <c r="F49" s="1">
        <v>1</v>
      </c>
      <c r="G49" s="8" t="s">
        <v>60</v>
      </c>
      <c r="H49" s="2">
        <v>36077</v>
      </c>
      <c r="I49" s="3">
        <v>19</v>
      </c>
      <c r="J49" s="37"/>
      <c r="K49" s="37"/>
      <c r="L49" s="32"/>
    </row>
    <row r="50" spans="1:12" x14ac:dyDescent="0.45">
      <c r="A50" s="4"/>
      <c r="B50" s="1">
        <v>2</v>
      </c>
      <c r="C50" s="8" t="s">
        <v>61</v>
      </c>
      <c r="D50" s="2">
        <v>34028</v>
      </c>
      <c r="E50" s="3">
        <v>24</v>
      </c>
      <c r="F50" s="1">
        <v>2</v>
      </c>
      <c r="G50" s="8" t="s">
        <v>62</v>
      </c>
      <c r="H50" s="2">
        <v>32861</v>
      </c>
      <c r="I50" s="3">
        <v>28</v>
      </c>
      <c r="J50" s="4"/>
      <c r="K50" s="4"/>
      <c r="L50" s="32"/>
    </row>
    <row r="51" spans="1:12" x14ac:dyDescent="0.45">
      <c r="A51" s="4"/>
      <c r="B51" s="1">
        <v>3</v>
      </c>
      <c r="C51" s="8" t="s">
        <v>63</v>
      </c>
      <c r="D51" s="2">
        <v>33146</v>
      </c>
      <c r="E51" s="3">
        <v>27</v>
      </c>
      <c r="F51" s="1">
        <v>3</v>
      </c>
      <c r="G51" s="8" t="s">
        <v>64</v>
      </c>
      <c r="H51" s="2">
        <v>35797</v>
      </c>
      <c r="I51" s="3">
        <v>19</v>
      </c>
      <c r="J51" s="4"/>
      <c r="K51" s="4"/>
      <c r="L51" s="32"/>
    </row>
    <row r="52" spans="1:12" x14ac:dyDescent="0.45">
      <c r="A52" s="4"/>
      <c r="B52" s="1">
        <v>4</v>
      </c>
      <c r="C52" s="8" t="s">
        <v>65</v>
      </c>
      <c r="D52" s="2">
        <v>36011</v>
      </c>
      <c r="E52" s="3">
        <v>19</v>
      </c>
      <c r="F52" s="1">
        <v>4</v>
      </c>
      <c r="G52" s="8" t="s">
        <v>66</v>
      </c>
      <c r="H52" s="2">
        <v>34960</v>
      </c>
      <c r="I52" s="3">
        <v>22</v>
      </c>
      <c r="J52" s="4"/>
      <c r="K52" s="4"/>
      <c r="L52" s="32"/>
    </row>
    <row r="53" spans="1:12" x14ac:dyDescent="0.45">
      <c r="A53" s="4"/>
      <c r="B53" s="1">
        <v>5</v>
      </c>
      <c r="C53" s="8" t="s">
        <v>67</v>
      </c>
      <c r="D53" s="2">
        <v>32449</v>
      </c>
      <c r="E53" s="3">
        <v>29</v>
      </c>
      <c r="F53" s="1">
        <v>5</v>
      </c>
      <c r="G53" s="8" t="s">
        <v>60</v>
      </c>
      <c r="H53" s="2">
        <v>36077</v>
      </c>
      <c r="I53" s="3">
        <v>19</v>
      </c>
      <c r="J53" s="4"/>
      <c r="K53" s="4"/>
      <c r="L53" s="32"/>
    </row>
    <row r="54" spans="1:12" x14ac:dyDescent="0.45">
      <c r="A54" s="4"/>
      <c r="B54" s="1">
        <v>6</v>
      </c>
      <c r="C54" s="8" t="s">
        <v>68</v>
      </c>
      <c r="D54" s="2">
        <v>34635</v>
      </c>
      <c r="E54" s="3">
        <v>23</v>
      </c>
      <c r="F54" s="1">
        <v>6</v>
      </c>
      <c r="G54" s="8" t="s">
        <v>37</v>
      </c>
      <c r="H54" s="2" t="s">
        <v>37</v>
      </c>
      <c r="I54" s="3" t="s">
        <v>37</v>
      </c>
      <c r="J54" s="4"/>
      <c r="K54" s="4"/>
      <c r="L54" s="32"/>
    </row>
    <row r="55" spans="1:12" x14ac:dyDescent="0.45">
      <c r="A55" s="4"/>
      <c r="B55" s="1">
        <v>7</v>
      </c>
      <c r="C55" s="8" t="s">
        <v>37</v>
      </c>
      <c r="D55" s="2" t="s">
        <v>37</v>
      </c>
      <c r="E55" s="3" t="s">
        <v>37</v>
      </c>
      <c r="F55" s="1">
        <v>7</v>
      </c>
      <c r="G55" s="8" t="s">
        <v>37</v>
      </c>
      <c r="H55" s="2" t="s">
        <v>37</v>
      </c>
      <c r="I55" s="3" t="s">
        <v>37</v>
      </c>
      <c r="J55" s="4"/>
      <c r="K55" s="4"/>
      <c r="L55" s="32"/>
    </row>
    <row r="56" spans="1:12" x14ac:dyDescent="0.45">
      <c r="A56" s="4"/>
      <c r="B56" s="1">
        <v>8</v>
      </c>
      <c r="C56" s="8" t="s">
        <v>37</v>
      </c>
      <c r="D56" s="2" t="s">
        <v>37</v>
      </c>
      <c r="E56" s="3" t="s">
        <v>37</v>
      </c>
      <c r="F56" s="1">
        <v>8</v>
      </c>
      <c r="G56" s="8" t="s">
        <v>37</v>
      </c>
      <c r="H56" s="2" t="s">
        <v>37</v>
      </c>
      <c r="I56" s="3" t="s">
        <v>37</v>
      </c>
      <c r="J56" s="4"/>
      <c r="K56" s="4"/>
      <c r="L56" s="32"/>
    </row>
    <row r="57" spans="1:12" x14ac:dyDescent="0.45">
      <c r="A57" s="4"/>
      <c r="B57" s="1">
        <v>9</v>
      </c>
      <c r="C57" s="8" t="s">
        <v>37</v>
      </c>
      <c r="D57" s="2" t="s">
        <v>37</v>
      </c>
      <c r="E57" s="3" t="s">
        <v>37</v>
      </c>
      <c r="F57" s="1">
        <v>9</v>
      </c>
      <c r="G57" s="8" t="s">
        <v>37</v>
      </c>
      <c r="H57" s="2" t="s">
        <v>37</v>
      </c>
      <c r="I57" s="3" t="s">
        <v>37</v>
      </c>
      <c r="J57" s="16" t="s">
        <v>41</v>
      </c>
      <c r="K57" s="4"/>
      <c r="L57" s="32"/>
    </row>
    <row r="58" spans="1:12" x14ac:dyDescent="0.45">
      <c r="A58" s="4"/>
      <c r="B58" s="1">
        <v>10</v>
      </c>
      <c r="C58" s="8" t="s">
        <v>37</v>
      </c>
      <c r="D58" s="2" t="s">
        <v>37</v>
      </c>
      <c r="E58" s="3" t="s">
        <v>37</v>
      </c>
      <c r="F58" s="1">
        <v>10</v>
      </c>
      <c r="G58" s="8" t="s">
        <v>37</v>
      </c>
      <c r="H58" s="2" t="s">
        <v>37</v>
      </c>
      <c r="I58" s="3" t="s">
        <v>37</v>
      </c>
      <c r="J58" s="30">
        <f>IF(COUNT(E49:E58,I49:I58)=0,0,COUNT(E49:E58,I49:I58))</f>
        <v>11</v>
      </c>
      <c r="K58" s="4"/>
      <c r="L58" s="32"/>
    </row>
    <row r="59" spans="1:12" ht="21" x14ac:dyDescent="0.65">
      <c r="A59" s="4"/>
      <c r="B59" s="42" t="s">
        <v>69</v>
      </c>
      <c r="C59" s="43"/>
      <c r="D59" s="43"/>
      <c r="E59" s="43"/>
      <c r="F59" s="43"/>
      <c r="G59" s="43"/>
      <c r="H59" s="43"/>
      <c r="I59" s="43"/>
      <c r="J59" s="43"/>
      <c r="K59" s="44"/>
      <c r="L59" s="32"/>
    </row>
    <row r="60" spans="1:12" x14ac:dyDescent="0.45">
      <c r="A60" s="4"/>
      <c r="B60" s="45" t="s">
        <v>2</v>
      </c>
      <c r="C60" s="46"/>
      <c r="D60" s="46"/>
      <c r="E60" s="46"/>
      <c r="F60" s="46" t="s">
        <v>3</v>
      </c>
      <c r="G60" s="46"/>
      <c r="H60" s="46"/>
      <c r="I60" s="46"/>
      <c r="J60" s="46" t="s">
        <v>43</v>
      </c>
      <c r="K60" s="47"/>
      <c r="L60" s="32"/>
    </row>
    <row r="61" spans="1:12" x14ac:dyDescent="0.45">
      <c r="A61" s="4"/>
      <c r="B61" s="1"/>
      <c r="C61" s="1" t="s">
        <v>5</v>
      </c>
      <c r="D61" s="2" t="s">
        <v>6</v>
      </c>
      <c r="E61" s="3" t="s">
        <v>7</v>
      </c>
      <c r="F61" s="1"/>
      <c r="G61" s="1" t="s">
        <v>5</v>
      </c>
      <c r="H61" s="2" t="s">
        <v>6</v>
      </c>
      <c r="I61" s="3" t="s">
        <v>7</v>
      </c>
      <c r="J61" s="37"/>
      <c r="K61" s="37"/>
      <c r="L61" s="32"/>
    </row>
    <row r="62" spans="1:12" x14ac:dyDescent="0.45">
      <c r="A62" s="4"/>
      <c r="B62" s="1">
        <v>1</v>
      </c>
      <c r="C62" s="8" t="s">
        <v>70</v>
      </c>
      <c r="D62" s="2">
        <v>33211</v>
      </c>
      <c r="E62" s="3">
        <v>27</v>
      </c>
      <c r="F62" s="1">
        <v>1</v>
      </c>
      <c r="G62" s="8" t="s">
        <v>71</v>
      </c>
      <c r="H62" s="2">
        <v>32911</v>
      </c>
      <c r="I62" s="3">
        <v>27</v>
      </c>
      <c r="J62" s="37"/>
      <c r="K62" s="37"/>
      <c r="L62" s="32"/>
    </row>
    <row r="63" spans="1:12" x14ac:dyDescent="0.45">
      <c r="A63" s="4"/>
      <c r="B63" s="1">
        <v>2</v>
      </c>
      <c r="C63" s="8" t="s">
        <v>72</v>
      </c>
      <c r="D63" s="2">
        <v>33086</v>
      </c>
      <c r="E63" s="3">
        <v>27</v>
      </c>
      <c r="F63" s="1">
        <v>2</v>
      </c>
      <c r="G63" s="8" t="s">
        <v>73</v>
      </c>
      <c r="H63" s="2">
        <v>29948</v>
      </c>
      <c r="I63" s="3">
        <v>36</v>
      </c>
      <c r="J63" s="4"/>
      <c r="K63" s="4"/>
      <c r="L63" s="32"/>
    </row>
    <row r="64" spans="1:12" x14ac:dyDescent="0.45">
      <c r="A64" s="4"/>
      <c r="B64" s="1">
        <v>3</v>
      </c>
      <c r="C64" s="8" t="s">
        <v>74</v>
      </c>
      <c r="D64" s="2">
        <v>34962</v>
      </c>
      <c r="E64" s="3">
        <v>22</v>
      </c>
      <c r="F64" s="1">
        <v>3</v>
      </c>
      <c r="G64" s="8" t="s">
        <v>75</v>
      </c>
      <c r="H64" s="2">
        <v>32967</v>
      </c>
      <c r="I64" s="3">
        <v>27</v>
      </c>
      <c r="J64" s="4"/>
      <c r="K64" s="4"/>
      <c r="L64" s="32"/>
    </row>
    <row r="65" spans="1:12" x14ac:dyDescent="0.45">
      <c r="A65" s="4"/>
      <c r="B65" s="1">
        <v>4</v>
      </c>
      <c r="C65" s="8" t="s">
        <v>76</v>
      </c>
      <c r="D65" s="2">
        <v>33786</v>
      </c>
      <c r="E65" s="3">
        <v>25</v>
      </c>
      <c r="F65" s="1">
        <v>4</v>
      </c>
      <c r="G65" s="8" t="s">
        <v>77</v>
      </c>
      <c r="H65" s="2">
        <v>33439</v>
      </c>
      <c r="I65" s="3">
        <v>26</v>
      </c>
      <c r="J65" s="4"/>
      <c r="K65" s="4"/>
      <c r="L65" s="32"/>
    </row>
    <row r="66" spans="1:12" x14ac:dyDescent="0.45">
      <c r="A66" s="4"/>
      <c r="B66" s="1">
        <v>5</v>
      </c>
      <c r="C66" s="8" t="s">
        <v>78</v>
      </c>
      <c r="D66" s="2">
        <v>32843</v>
      </c>
      <c r="E66" s="3">
        <v>28</v>
      </c>
      <c r="F66" s="1">
        <v>5</v>
      </c>
      <c r="G66" s="8" t="s">
        <v>79</v>
      </c>
      <c r="H66" s="2">
        <v>32911</v>
      </c>
      <c r="I66" s="3">
        <v>27</v>
      </c>
      <c r="J66" s="4"/>
      <c r="K66" s="4"/>
      <c r="L66" s="32"/>
    </row>
    <row r="67" spans="1:12" x14ac:dyDescent="0.45">
      <c r="A67" s="4"/>
      <c r="B67" s="1">
        <v>6</v>
      </c>
      <c r="C67" s="8" t="s">
        <v>37</v>
      </c>
      <c r="D67" s="2" t="s">
        <v>37</v>
      </c>
      <c r="E67" s="3" t="s">
        <v>37</v>
      </c>
      <c r="F67" s="1">
        <v>6</v>
      </c>
      <c r="G67" s="8" t="s">
        <v>37</v>
      </c>
      <c r="H67" s="2" t="s">
        <v>37</v>
      </c>
      <c r="I67" s="3" t="s">
        <v>37</v>
      </c>
      <c r="J67" s="4"/>
      <c r="K67" s="4"/>
      <c r="L67" s="32"/>
    </row>
    <row r="68" spans="1:12" x14ac:dyDescent="0.45">
      <c r="A68" s="4"/>
      <c r="B68" s="1">
        <v>7</v>
      </c>
      <c r="C68" s="8" t="s">
        <v>37</v>
      </c>
      <c r="D68" s="2" t="s">
        <v>37</v>
      </c>
      <c r="E68" s="3" t="s">
        <v>37</v>
      </c>
      <c r="F68" s="1">
        <v>7</v>
      </c>
      <c r="G68" s="8" t="s">
        <v>37</v>
      </c>
      <c r="H68" s="2" t="s">
        <v>37</v>
      </c>
      <c r="I68" s="3" t="s">
        <v>37</v>
      </c>
      <c r="J68" s="4"/>
      <c r="K68" s="4"/>
      <c r="L68" s="32"/>
    </row>
    <row r="69" spans="1:12" x14ac:dyDescent="0.45">
      <c r="A69" s="4"/>
      <c r="B69" s="1">
        <v>8</v>
      </c>
      <c r="C69" s="8" t="s">
        <v>37</v>
      </c>
      <c r="D69" s="2" t="s">
        <v>37</v>
      </c>
      <c r="E69" s="3" t="s">
        <v>37</v>
      </c>
      <c r="F69" s="1">
        <v>8</v>
      </c>
      <c r="G69" s="8" t="s">
        <v>37</v>
      </c>
      <c r="H69" s="2" t="s">
        <v>37</v>
      </c>
      <c r="I69" s="3" t="s">
        <v>37</v>
      </c>
      <c r="J69" s="4"/>
      <c r="K69" s="4"/>
      <c r="L69" s="32"/>
    </row>
    <row r="70" spans="1:12" x14ac:dyDescent="0.45">
      <c r="A70" s="4"/>
      <c r="B70" s="1">
        <v>9</v>
      </c>
      <c r="C70" s="8" t="s">
        <v>37</v>
      </c>
      <c r="D70" s="2" t="s">
        <v>37</v>
      </c>
      <c r="E70" s="3" t="s">
        <v>37</v>
      </c>
      <c r="F70" s="1">
        <v>9</v>
      </c>
      <c r="G70" s="8" t="s">
        <v>37</v>
      </c>
      <c r="H70" s="2" t="s">
        <v>37</v>
      </c>
      <c r="I70" s="3" t="s">
        <v>37</v>
      </c>
      <c r="J70" s="16" t="s">
        <v>41</v>
      </c>
      <c r="K70" s="4"/>
      <c r="L70" s="32"/>
    </row>
    <row r="71" spans="1:12" x14ac:dyDescent="0.45">
      <c r="A71" s="4"/>
      <c r="B71" s="1">
        <v>10</v>
      </c>
      <c r="C71" s="8" t="s">
        <v>37</v>
      </c>
      <c r="D71" s="2" t="s">
        <v>37</v>
      </c>
      <c r="E71" s="3" t="s">
        <v>37</v>
      </c>
      <c r="F71" s="1">
        <v>10</v>
      </c>
      <c r="G71" s="8" t="s">
        <v>37</v>
      </c>
      <c r="H71" s="2" t="s">
        <v>37</v>
      </c>
      <c r="I71" s="3" t="s">
        <v>37</v>
      </c>
      <c r="J71" s="30">
        <f>IF(COUNT(E62:E71,I62:I71)=0,0,COUNT(E62:E71,I62:I71))</f>
        <v>10</v>
      </c>
      <c r="K71" s="4"/>
      <c r="L71" s="32"/>
    </row>
    <row r="72" spans="1:12" ht="21" x14ac:dyDescent="0.65">
      <c r="A72" s="4"/>
      <c r="B72" s="42" t="s">
        <v>80</v>
      </c>
      <c r="C72" s="43"/>
      <c r="D72" s="43"/>
      <c r="E72" s="43"/>
      <c r="F72" s="43"/>
      <c r="G72" s="43"/>
      <c r="H72" s="43"/>
      <c r="I72" s="43"/>
      <c r="J72" s="43"/>
      <c r="K72" s="44"/>
      <c r="L72" s="32"/>
    </row>
    <row r="73" spans="1:12" x14ac:dyDescent="0.45">
      <c r="A73" s="4"/>
      <c r="B73" s="45" t="s">
        <v>2</v>
      </c>
      <c r="C73" s="46"/>
      <c r="D73" s="46"/>
      <c r="E73" s="46"/>
      <c r="F73" s="46" t="s">
        <v>3</v>
      </c>
      <c r="G73" s="46"/>
      <c r="H73" s="46"/>
      <c r="I73" s="46"/>
      <c r="J73" s="46" t="s">
        <v>43</v>
      </c>
      <c r="K73" s="47"/>
      <c r="L73" s="32"/>
    </row>
    <row r="74" spans="1:12" x14ac:dyDescent="0.45">
      <c r="A74" s="4"/>
      <c r="B74" s="1"/>
      <c r="C74" s="1" t="s">
        <v>5</v>
      </c>
      <c r="D74" s="2" t="s">
        <v>6</v>
      </c>
      <c r="E74" s="3" t="s">
        <v>7</v>
      </c>
      <c r="F74" s="1"/>
      <c r="G74" s="1" t="s">
        <v>5</v>
      </c>
      <c r="H74" s="2" t="s">
        <v>6</v>
      </c>
      <c r="I74" s="3" t="s">
        <v>7</v>
      </c>
      <c r="J74" s="37"/>
      <c r="K74" s="37"/>
      <c r="L74" s="32"/>
    </row>
    <row r="75" spans="1:12" x14ac:dyDescent="0.45">
      <c r="A75" s="4"/>
      <c r="B75" s="1">
        <v>1</v>
      </c>
      <c r="C75" s="8" t="s">
        <v>81</v>
      </c>
      <c r="D75" s="2">
        <v>33243</v>
      </c>
      <c r="E75" s="3">
        <v>26</v>
      </c>
      <c r="F75" s="1">
        <v>1</v>
      </c>
      <c r="G75" s="8" t="s">
        <v>82</v>
      </c>
      <c r="H75" s="2">
        <v>35092</v>
      </c>
      <c r="I75" s="3">
        <v>21</v>
      </c>
      <c r="J75" s="37"/>
      <c r="K75" s="37"/>
      <c r="L75" s="32"/>
    </row>
    <row r="76" spans="1:12" x14ac:dyDescent="0.45">
      <c r="A76" s="4"/>
      <c r="B76" s="1">
        <v>2</v>
      </c>
      <c r="C76" s="8" t="s">
        <v>83</v>
      </c>
      <c r="D76" s="2">
        <v>33874</v>
      </c>
      <c r="E76" s="3">
        <v>25</v>
      </c>
      <c r="F76" s="1">
        <v>2</v>
      </c>
      <c r="G76" s="8" t="s">
        <v>84</v>
      </c>
      <c r="H76" s="2">
        <v>32205</v>
      </c>
      <c r="I76" s="3">
        <v>29</v>
      </c>
      <c r="J76" s="4"/>
      <c r="K76" s="4"/>
      <c r="L76" s="32"/>
    </row>
    <row r="77" spans="1:12" x14ac:dyDescent="0.45">
      <c r="A77" s="4"/>
      <c r="B77" s="1">
        <v>3</v>
      </c>
      <c r="C77" s="8" t="s">
        <v>85</v>
      </c>
      <c r="D77" s="2">
        <v>33315</v>
      </c>
      <c r="E77" s="3">
        <v>26</v>
      </c>
      <c r="F77" s="1">
        <v>3</v>
      </c>
      <c r="G77" s="8" t="s">
        <v>86</v>
      </c>
      <c r="H77" s="2">
        <v>33325</v>
      </c>
      <c r="I77" s="3">
        <v>26</v>
      </c>
      <c r="J77" s="4"/>
      <c r="K77" s="4"/>
      <c r="L77" s="32"/>
    </row>
    <row r="78" spans="1:12" x14ac:dyDescent="0.45">
      <c r="A78" s="4"/>
      <c r="B78" s="1">
        <v>4</v>
      </c>
      <c r="C78" s="8" t="s">
        <v>87</v>
      </c>
      <c r="D78" s="2">
        <v>33796</v>
      </c>
      <c r="E78" s="3">
        <v>25</v>
      </c>
      <c r="F78" s="1">
        <v>4</v>
      </c>
      <c r="G78" s="8" t="s">
        <v>88</v>
      </c>
      <c r="H78" s="2">
        <v>32462</v>
      </c>
      <c r="I78" s="3">
        <v>29</v>
      </c>
      <c r="J78" s="4"/>
      <c r="K78" s="4"/>
      <c r="L78" s="32"/>
    </row>
    <row r="79" spans="1:12" x14ac:dyDescent="0.45">
      <c r="A79" s="4"/>
      <c r="B79" s="1">
        <v>5</v>
      </c>
      <c r="C79" s="8" t="s">
        <v>89</v>
      </c>
      <c r="D79" s="2">
        <v>34827</v>
      </c>
      <c r="E79" s="3">
        <v>22</v>
      </c>
      <c r="F79" s="1">
        <v>5</v>
      </c>
      <c r="G79" s="8" t="s">
        <v>90</v>
      </c>
      <c r="H79" s="2">
        <v>31211</v>
      </c>
      <c r="I79" s="3">
        <v>32</v>
      </c>
      <c r="J79" s="4"/>
      <c r="K79" s="4"/>
      <c r="L79" s="32"/>
    </row>
    <row r="80" spans="1:12" x14ac:dyDescent="0.45">
      <c r="A80" s="4"/>
      <c r="B80" s="1">
        <v>6</v>
      </c>
      <c r="C80" s="8" t="s">
        <v>37</v>
      </c>
      <c r="D80" s="2" t="s">
        <v>37</v>
      </c>
      <c r="E80" s="3" t="s">
        <v>37</v>
      </c>
      <c r="F80" s="1">
        <v>6</v>
      </c>
      <c r="G80" s="8" t="s">
        <v>37</v>
      </c>
      <c r="H80" s="2" t="s">
        <v>37</v>
      </c>
      <c r="I80" s="3" t="s">
        <v>37</v>
      </c>
      <c r="J80" s="4"/>
      <c r="K80" s="4"/>
      <c r="L80" s="32"/>
    </row>
    <row r="81" spans="1:12" x14ac:dyDescent="0.45">
      <c r="A81" s="4"/>
      <c r="B81" s="1">
        <v>7</v>
      </c>
      <c r="C81" s="8" t="s">
        <v>37</v>
      </c>
      <c r="D81" s="2" t="s">
        <v>37</v>
      </c>
      <c r="E81" s="3" t="s">
        <v>37</v>
      </c>
      <c r="F81" s="1">
        <v>7</v>
      </c>
      <c r="G81" s="8" t="s">
        <v>37</v>
      </c>
      <c r="H81" s="2" t="s">
        <v>37</v>
      </c>
      <c r="I81" s="3" t="s">
        <v>37</v>
      </c>
      <c r="J81" s="4"/>
      <c r="K81" s="4"/>
      <c r="L81" s="32"/>
    </row>
    <row r="82" spans="1:12" x14ac:dyDescent="0.45">
      <c r="A82" s="4"/>
      <c r="B82" s="1">
        <v>8</v>
      </c>
      <c r="C82" s="8" t="s">
        <v>37</v>
      </c>
      <c r="D82" s="2" t="s">
        <v>37</v>
      </c>
      <c r="E82" s="3" t="s">
        <v>37</v>
      </c>
      <c r="F82" s="1">
        <v>8</v>
      </c>
      <c r="G82" s="8" t="s">
        <v>37</v>
      </c>
      <c r="H82" s="2" t="s">
        <v>37</v>
      </c>
      <c r="I82" s="3" t="s">
        <v>37</v>
      </c>
      <c r="J82" s="4"/>
      <c r="K82" s="4"/>
      <c r="L82" s="32"/>
    </row>
    <row r="83" spans="1:12" x14ac:dyDescent="0.45">
      <c r="A83" s="4"/>
      <c r="B83" s="1">
        <v>9</v>
      </c>
      <c r="C83" s="8" t="s">
        <v>37</v>
      </c>
      <c r="D83" s="2" t="s">
        <v>37</v>
      </c>
      <c r="E83" s="3" t="s">
        <v>37</v>
      </c>
      <c r="F83" s="1">
        <v>9</v>
      </c>
      <c r="G83" s="8" t="s">
        <v>37</v>
      </c>
      <c r="H83" s="2" t="s">
        <v>37</v>
      </c>
      <c r="I83" s="3" t="s">
        <v>37</v>
      </c>
      <c r="J83" s="16" t="s">
        <v>41</v>
      </c>
      <c r="K83" s="4"/>
      <c r="L83" s="32"/>
    </row>
    <row r="84" spans="1:12" x14ac:dyDescent="0.45">
      <c r="A84" s="4"/>
      <c r="B84" s="8">
        <v>10</v>
      </c>
      <c r="C84" s="8" t="s">
        <v>37</v>
      </c>
      <c r="D84" s="9" t="s">
        <v>37</v>
      </c>
      <c r="E84" s="10" t="s">
        <v>37</v>
      </c>
      <c r="F84" s="8">
        <v>10</v>
      </c>
      <c r="G84" s="8" t="s">
        <v>37</v>
      </c>
      <c r="H84" s="9" t="s">
        <v>37</v>
      </c>
      <c r="I84" s="10" t="s">
        <v>37</v>
      </c>
      <c r="J84" s="29">
        <f>IF(COUNT(E75:E84,I75:I84)=0,0,COUNT(E75:E84,I75:I84))</f>
        <v>10</v>
      </c>
      <c r="K84" s="4"/>
      <c r="L84" s="32"/>
    </row>
    <row r="85" spans="1:12" ht="21" x14ac:dyDescent="0.65">
      <c r="A85" s="4"/>
      <c r="B85" s="42" t="s">
        <v>91</v>
      </c>
      <c r="C85" s="43"/>
      <c r="D85" s="43"/>
      <c r="E85" s="43"/>
      <c r="F85" s="43"/>
      <c r="G85" s="43"/>
      <c r="H85" s="43"/>
      <c r="I85" s="43"/>
      <c r="J85" s="43"/>
      <c r="K85" s="44"/>
      <c r="L85" s="32"/>
    </row>
    <row r="86" spans="1:12" x14ac:dyDescent="0.45">
      <c r="A86" s="4"/>
      <c r="B86" s="45" t="s">
        <v>2</v>
      </c>
      <c r="C86" s="46"/>
      <c r="D86" s="46"/>
      <c r="E86" s="46"/>
      <c r="F86" s="46" t="s">
        <v>3</v>
      </c>
      <c r="G86" s="46"/>
      <c r="H86" s="46"/>
      <c r="I86" s="46"/>
      <c r="J86" s="46" t="s">
        <v>92</v>
      </c>
      <c r="K86" s="47"/>
      <c r="L86" s="32"/>
    </row>
    <row r="87" spans="1:12" x14ac:dyDescent="0.45">
      <c r="A87" s="4"/>
      <c r="B87" s="15">
        <v>1</v>
      </c>
      <c r="C87" s="15" t="s">
        <v>93</v>
      </c>
      <c r="D87" s="26">
        <v>32582</v>
      </c>
      <c r="E87" s="27">
        <v>28</v>
      </c>
      <c r="F87" s="15">
        <v>1</v>
      </c>
      <c r="G87" s="15" t="s">
        <v>94</v>
      </c>
      <c r="H87" s="26">
        <v>32911</v>
      </c>
      <c r="I87" s="27">
        <v>27</v>
      </c>
      <c r="J87" s="52"/>
      <c r="K87" s="52"/>
      <c r="L87" s="32"/>
    </row>
    <row r="88" spans="1:12" x14ac:dyDescent="0.45">
      <c r="A88" s="4"/>
      <c r="B88" s="1">
        <v>2</v>
      </c>
      <c r="C88" s="8" t="s">
        <v>95</v>
      </c>
      <c r="D88" s="2">
        <v>29687</v>
      </c>
      <c r="E88" s="3">
        <v>36</v>
      </c>
      <c r="F88" s="1">
        <v>2</v>
      </c>
      <c r="G88" s="8" t="s">
        <v>96</v>
      </c>
      <c r="H88" s="2">
        <v>33211</v>
      </c>
      <c r="I88" s="3">
        <v>27</v>
      </c>
      <c r="L88" s="32"/>
    </row>
    <row r="89" spans="1:12" x14ac:dyDescent="0.45">
      <c r="A89" s="4"/>
      <c r="B89" s="1">
        <v>3</v>
      </c>
      <c r="C89" s="8" t="s">
        <v>97</v>
      </c>
      <c r="D89" s="2">
        <v>31686</v>
      </c>
      <c r="E89" s="3">
        <v>31</v>
      </c>
      <c r="F89" s="1">
        <v>3</v>
      </c>
      <c r="G89" s="8" t="s">
        <v>98</v>
      </c>
      <c r="H89" s="2">
        <v>30440</v>
      </c>
      <c r="I89" s="3">
        <v>34</v>
      </c>
      <c r="J89" s="38"/>
      <c r="K89" s="39"/>
      <c r="L89" s="32"/>
    </row>
    <row r="90" spans="1:12" x14ac:dyDescent="0.45">
      <c r="A90" s="4"/>
      <c r="B90" s="1">
        <v>4</v>
      </c>
      <c r="C90" s="8" t="s">
        <v>99</v>
      </c>
      <c r="D90" s="2">
        <v>33584</v>
      </c>
      <c r="E90" s="3">
        <v>26</v>
      </c>
      <c r="F90" s="1">
        <v>4</v>
      </c>
      <c r="G90" s="8" t="s">
        <v>100</v>
      </c>
      <c r="H90" s="2">
        <v>31528</v>
      </c>
      <c r="I90" s="3">
        <v>31</v>
      </c>
      <c r="J90" s="4"/>
      <c r="K90" s="4"/>
      <c r="L90" s="32"/>
    </row>
    <row r="91" spans="1:12" x14ac:dyDescent="0.45">
      <c r="A91" s="4"/>
      <c r="B91" s="1">
        <v>5</v>
      </c>
      <c r="C91" s="8" t="s">
        <v>101</v>
      </c>
      <c r="D91" s="2">
        <v>31086</v>
      </c>
      <c r="E91" s="3">
        <v>32</v>
      </c>
      <c r="F91" s="1">
        <v>5</v>
      </c>
      <c r="G91" s="8" t="s">
        <v>102</v>
      </c>
      <c r="H91" s="2">
        <v>35564</v>
      </c>
      <c r="I91" s="3">
        <v>20</v>
      </c>
      <c r="J91" s="4"/>
      <c r="K91" s="4"/>
      <c r="L91" s="32"/>
    </row>
    <row r="92" spans="1:12" x14ac:dyDescent="0.45">
      <c r="A92" s="4"/>
      <c r="B92" s="1">
        <v>6</v>
      </c>
      <c r="C92" s="8" t="s">
        <v>103</v>
      </c>
      <c r="D92" s="2">
        <v>25981</v>
      </c>
      <c r="E92" s="3">
        <v>46</v>
      </c>
      <c r="F92" s="1">
        <v>6</v>
      </c>
      <c r="G92" s="8" t="s">
        <v>104</v>
      </c>
      <c r="H92" s="2">
        <v>29603</v>
      </c>
      <c r="I92" s="3">
        <v>36</v>
      </c>
      <c r="J92" s="4"/>
      <c r="K92" s="4"/>
      <c r="L92" s="32"/>
    </row>
    <row r="93" spans="1:12" x14ac:dyDescent="0.45">
      <c r="A93" s="4"/>
      <c r="B93" s="1">
        <v>7</v>
      </c>
      <c r="C93" s="8" t="s">
        <v>105</v>
      </c>
      <c r="D93" s="2">
        <v>34813</v>
      </c>
      <c r="E93" s="3">
        <v>22</v>
      </c>
      <c r="F93" s="1">
        <v>7</v>
      </c>
      <c r="G93" s="8" t="s">
        <v>37</v>
      </c>
      <c r="H93" s="2" t="s">
        <v>37</v>
      </c>
      <c r="I93" s="3" t="s">
        <v>37</v>
      </c>
      <c r="J93" s="4"/>
      <c r="K93" s="4"/>
      <c r="L93" s="32"/>
    </row>
    <row r="94" spans="1:12" x14ac:dyDescent="0.45">
      <c r="A94" s="4"/>
      <c r="B94" s="1">
        <v>8</v>
      </c>
      <c r="C94" s="8" t="s">
        <v>37</v>
      </c>
      <c r="D94" s="2" t="s">
        <v>37</v>
      </c>
      <c r="E94" s="3" t="s">
        <v>37</v>
      </c>
      <c r="F94" s="1">
        <v>8</v>
      </c>
      <c r="G94" s="8" t="s">
        <v>37</v>
      </c>
      <c r="H94" s="2" t="s">
        <v>37</v>
      </c>
      <c r="I94" s="3" t="s">
        <v>37</v>
      </c>
      <c r="J94" s="4"/>
      <c r="K94" s="4"/>
      <c r="L94" s="32"/>
    </row>
    <row r="95" spans="1:12" x14ac:dyDescent="0.45">
      <c r="A95" s="4"/>
      <c r="B95" s="1">
        <v>9</v>
      </c>
      <c r="C95" s="8" t="s">
        <v>37</v>
      </c>
      <c r="D95" s="2" t="s">
        <v>37</v>
      </c>
      <c r="E95" s="3" t="s">
        <v>37</v>
      </c>
      <c r="F95" s="1">
        <v>9</v>
      </c>
      <c r="G95" s="8" t="s">
        <v>37</v>
      </c>
      <c r="H95" s="2" t="s">
        <v>37</v>
      </c>
      <c r="I95" s="3" t="s">
        <v>37</v>
      </c>
      <c r="J95" s="4"/>
      <c r="K95" s="4"/>
      <c r="L95" s="32"/>
    </row>
    <row r="96" spans="1:12" x14ac:dyDescent="0.45">
      <c r="A96" s="4"/>
      <c r="B96" s="1">
        <v>10</v>
      </c>
      <c r="C96" s="8" t="s">
        <v>37</v>
      </c>
      <c r="D96" s="2" t="s">
        <v>37</v>
      </c>
      <c r="E96" s="3" t="s">
        <v>37</v>
      </c>
      <c r="F96" s="1">
        <v>10</v>
      </c>
      <c r="G96" s="8" t="s">
        <v>37</v>
      </c>
      <c r="H96" s="2" t="s">
        <v>37</v>
      </c>
      <c r="I96" s="3" t="s">
        <v>37</v>
      </c>
      <c r="J96" s="16" t="s">
        <v>41</v>
      </c>
      <c r="K96" s="4"/>
      <c r="L96" s="32"/>
    </row>
    <row r="97" spans="1:12" x14ac:dyDescent="0.45">
      <c r="A97" s="4"/>
      <c r="B97" s="8">
        <v>10</v>
      </c>
      <c r="C97" s="8" t="s">
        <v>37</v>
      </c>
      <c r="D97" s="9" t="s">
        <v>37</v>
      </c>
      <c r="E97" s="10" t="s">
        <v>37</v>
      </c>
      <c r="F97" s="8">
        <v>10</v>
      </c>
      <c r="G97" s="8" t="s">
        <v>37</v>
      </c>
      <c r="H97" s="9" t="s">
        <v>37</v>
      </c>
      <c r="I97" s="10" t="s">
        <v>37</v>
      </c>
      <c r="J97" s="29">
        <f>IF(COUNT(E88:E97,I88:I97)=0,0,COUNT(E88:E97,I88:I97))</f>
        <v>11</v>
      </c>
      <c r="K97" s="4"/>
      <c r="L97" s="32"/>
    </row>
    <row r="98" spans="1:12" ht="21" x14ac:dyDescent="0.65">
      <c r="A98" s="4"/>
      <c r="B98" s="42" t="s">
        <v>106</v>
      </c>
      <c r="C98" s="43"/>
      <c r="D98" s="43"/>
      <c r="E98" s="43"/>
      <c r="F98" s="43"/>
      <c r="G98" s="43"/>
      <c r="H98" s="43"/>
      <c r="I98" s="43"/>
      <c r="J98" s="43"/>
      <c r="K98" s="44"/>
      <c r="L98" s="32"/>
    </row>
    <row r="99" spans="1:12" x14ac:dyDescent="0.45">
      <c r="A99" s="4"/>
      <c r="B99" s="45" t="s">
        <v>2</v>
      </c>
      <c r="C99" s="46"/>
      <c r="D99" s="46"/>
      <c r="E99" s="46"/>
      <c r="F99" s="46" t="s">
        <v>3</v>
      </c>
      <c r="G99" s="46"/>
      <c r="H99" s="46"/>
      <c r="I99" s="46"/>
      <c r="J99" s="46" t="s">
        <v>43</v>
      </c>
      <c r="K99" s="47"/>
      <c r="L99" s="32"/>
    </row>
    <row r="100" spans="1:12" x14ac:dyDescent="0.45">
      <c r="A100" s="4"/>
      <c r="B100" s="1"/>
      <c r="C100" s="1" t="s">
        <v>5</v>
      </c>
      <c r="D100" s="2" t="s">
        <v>6</v>
      </c>
      <c r="E100" s="3" t="s">
        <v>7</v>
      </c>
      <c r="F100" s="1"/>
      <c r="G100" s="1" t="s">
        <v>5</v>
      </c>
      <c r="H100" s="2" t="s">
        <v>6</v>
      </c>
      <c r="I100" s="3" t="s">
        <v>7</v>
      </c>
      <c r="J100" s="37"/>
      <c r="K100" s="37"/>
      <c r="L100" s="32"/>
    </row>
    <row r="101" spans="1:12" x14ac:dyDescent="0.45">
      <c r="A101" s="4"/>
      <c r="B101" s="1">
        <v>1</v>
      </c>
      <c r="C101" s="8" t="s">
        <v>107</v>
      </c>
      <c r="D101" s="2">
        <v>30344</v>
      </c>
      <c r="E101" s="3">
        <v>34</v>
      </c>
      <c r="F101" s="1">
        <v>1</v>
      </c>
      <c r="G101" s="8" t="s">
        <v>108</v>
      </c>
      <c r="H101" s="2">
        <v>28259</v>
      </c>
      <c r="I101" s="3">
        <v>40</v>
      </c>
      <c r="J101" s="37"/>
      <c r="K101" s="37"/>
      <c r="L101" s="32"/>
    </row>
    <row r="102" spans="1:12" x14ac:dyDescent="0.45">
      <c r="A102" s="4"/>
      <c r="B102" s="1">
        <v>2</v>
      </c>
      <c r="C102" s="8" t="s">
        <v>109</v>
      </c>
      <c r="D102" s="2">
        <v>28948</v>
      </c>
      <c r="E102" s="3">
        <v>38</v>
      </c>
      <c r="F102" s="1">
        <v>2</v>
      </c>
      <c r="G102" s="8" t="s">
        <v>110</v>
      </c>
      <c r="H102" s="2">
        <v>28760</v>
      </c>
      <c r="I102" s="3">
        <v>39</v>
      </c>
      <c r="J102" s="4"/>
      <c r="K102" s="4"/>
      <c r="L102" s="32"/>
    </row>
    <row r="103" spans="1:12" x14ac:dyDescent="0.45">
      <c r="A103" s="4"/>
      <c r="B103" s="1">
        <v>3</v>
      </c>
      <c r="C103" s="8" t="s">
        <v>111</v>
      </c>
      <c r="D103" s="2">
        <v>33673</v>
      </c>
      <c r="E103" s="3">
        <v>25</v>
      </c>
      <c r="F103" s="1">
        <v>3</v>
      </c>
      <c r="G103" s="8" t="s">
        <v>112</v>
      </c>
      <c r="H103" s="2">
        <v>27643</v>
      </c>
      <c r="I103" s="3">
        <v>42</v>
      </c>
      <c r="J103" s="4"/>
      <c r="K103" s="4"/>
      <c r="L103" s="32"/>
    </row>
    <row r="104" spans="1:12" x14ac:dyDescent="0.45">
      <c r="A104" s="4"/>
      <c r="B104" s="1">
        <v>4</v>
      </c>
      <c r="C104" s="8" t="s">
        <v>113</v>
      </c>
      <c r="D104" s="2">
        <v>32197</v>
      </c>
      <c r="E104" s="3">
        <v>29</v>
      </c>
      <c r="F104" s="1">
        <v>4</v>
      </c>
      <c r="G104" s="8" t="s">
        <v>114</v>
      </c>
      <c r="H104" s="2">
        <v>32931</v>
      </c>
      <c r="I104" s="3">
        <v>27</v>
      </c>
      <c r="J104" s="4"/>
      <c r="K104" s="4"/>
      <c r="L104" s="32"/>
    </row>
    <row r="105" spans="1:12" x14ac:dyDescent="0.45">
      <c r="A105" s="4"/>
      <c r="B105" s="1">
        <v>5</v>
      </c>
      <c r="C105" s="8" t="s">
        <v>115</v>
      </c>
      <c r="D105" s="2">
        <v>25795</v>
      </c>
      <c r="E105" s="3">
        <v>47</v>
      </c>
      <c r="F105" s="1">
        <v>5</v>
      </c>
      <c r="G105" s="8" t="s">
        <v>116</v>
      </c>
      <c r="H105" s="2">
        <v>30136</v>
      </c>
      <c r="I105" s="3">
        <v>35</v>
      </c>
      <c r="J105" s="4"/>
      <c r="K105" s="4"/>
      <c r="L105" s="32"/>
    </row>
    <row r="106" spans="1:12" x14ac:dyDescent="0.45">
      <c r="A106" s="4"/>
      <c r="B106" s="1">
        <v>6</v>
      </c>
      <c r="C106" s="8" t="s">
        <v>117</v>
      </c>
      <c r="D106" s="2">
        <v>28792</v>
      </c>
      <c r="E106" s="3">
        <v>39</v>
      </c>
      <c r="F106" s="1">
        <v>6</v>
      </c>
      <c r="G106" s="8" t="s">
        <v>118</v>
      </c>
      <c r="H106" s="2">
        <v>29725</v>
      </c>
      <c r="I106" s="3">
        <v>36</v>
      </c>
      <c r="J106" s="4"/>
      <c r="K106" s="4"/>
      <c r="L106" s="32"/>
    </row>
    <row r="107" spans="1:12" x14ac:dyDescent="0.45">
      <c r="A107" s="4"/>
      <c r="B107" s="1">
        <v>7</v>
      </c>
      <c r="C107" s="8" t="s">
        <v>37</v>
      </c>
      <c r="D107" s="2" t="s">
        <v>37</v>
      </c>
      <c r="E107" s="3" t="s">
        <v>37</v>
      </c>
      <c r="F107" s="1">
        <v>7</v>
      </c>
      <c r="G107" s="8" t="s">
        <v>37</v>
      </c>
      <c r="H107" s="2" t="s">
        <v>37</v>
      </c>
      <c r="I107" s="3" t="s">
        <v>37</v>
      </c>
      <c r="J107" s="4"/>
      <c r="K107" s="4"/>
      <c r="L107" s="32"/>
    </row>
    <row r="108" spans="1:12" x14ac:dyDescent="0.45">
      <c r="A108" s="4"/>
      <c r="B108" s="1">
        <v>8</v>
      </c>
      <c r="C108" s="8" t="s">
        <v>37</v>
      </c>
      <c r="D108" s="2" t="s">
        <v>37</v>
      </c>
      <c r="E108" s="3" t="s">
        <v>37</v>
      </c>
      <c r="F108" s="1">
        <v>8</v>
      </c>
      <c r="G108" s="8" t="s">
        <v>37</v>
      </c>
      <c r="H108" s="2" t="s">
        <v>37</v>
      </c>
      <c r="I108" s="3" t="s">
        <v>37</v>
      </c>
      <c r="J108" s="4"/>
      <c r="K108" s="4"/>
      <c r="L108" s="32"/>
    </row>
    <row r="109" spans="1:12" x14ac:dyDescent="0.45">
      <c r="A109" s="4"/>
      <c r="B109" s="1">
        <v>9</v>
      </c>
      <c r="C109" s="8" t="s">
        <v>37</v>
      </c>
      <c r="D109" s="2" t="s">
        <v>37</v>
      </c>
      <c r="E109" s="3" t="s">
        <v>37</v>
      </c>
      <c r="F109" s="1">
        <v>9</v>
      </c>
      <c r="G109" s="8" t="s">
        <v>37</v>
      </c>
      <c r="H109" s="2" t="s">
        <v>37</v>
      </c>
      <c r="I109" s="3" t="s">
        <v>37</v>
      </c>
      <c r="J109" s="16" t="s">
        <v>41</v>
      </c>
      <c r="K109" s="4"/>
      <c r="L109" s="32"/>
    </row>
    <row r="110" spans="1:12" x14ac:dyDescent="0.45">
      <c r="A110" s="4"/>
      <c r="B110" s="1">
        <v>10</v>
      </c>
      <c r="C110" s="8" t="s">
        <v>37</v>
      </c>
      <c r="D110" s="2" t="s">
        <v>37</v>
      </c>
      <c r="E110" s="3" t="s">
        <v>37</v>
      </c>
      <c r="F110" s="1">
        <v>10</v>
      </c>
      <c r="G110" s="8" t="s">
        <v>37</v>
      </c>
      <c r="H110" s="2" t="s">
        <v>37</v>
      </c>
      <c r="I110" s="3" t="s">
        <v>37</v>
      </c>
      <c r="J110" s="30">
        <f>IF(COUNT(E101:E110,I101:I110)=0,0,COUNT(E101:E110,I101:I110))</f>
        <v>12</v>
      </c>
      <c r="K110" s="4"/>
      <c r="L110" s="32"/>
    </row>
    <row r="111" spans="1:12" ht="21" x14ac:dyDescent="0.65">
      <c r="A111" s="4"/>
      <c r="B111" s="42" t="s">
        <v>119</v>
      </c>
      <c r="C111" s="43"/>
      <c r="D111" s="43"/>
      <c r="E111" s="43"/>
      <c r="F111" s="43"/>
      <c r="G111" s="43"/>
      <c r="H111" s="43"/>
      <c r="I111" s="43"/>
      <c r="J111" s="43"/>
      <c r="K111" s="44"/>
      <c r="L111" s="32"/>
    </row>
    <row r="112" spans="1:12" x14ac:dyDescent="0.45">
      <c r="A112" s="4"/>
      <c r="B112" s="45" t="s">
        <v>2</v>
      </c>
      <c r="C112" s="46"/>
      <c r="D112" s="46"/>
      <c r="E112" s="46"/>
      <c r="F112" s="46" t="s">
        <v>3</v>
      </c>
      <c r="G112" s="46"/>
      <c r="H112" s="46"/>
      <c r="I112" s="46"/>
      <c r="J112" s="46" t="s">
        <v>43</v>
      </c>
      <c r="K112" s="47"/>
      <c r="L112" s="32"/>
    </row>
    <row r="113" spans="1:12" x14ac:dyDescent="0.45">
      <c r="A113" s="4"/>
      <c r="B113" s="1"/>
      <c r="C113" s="1" t="s">
        <v>5</v>
      </c>
      <c r="D113" s="2" t="s">
        <v>6</v>
      </c>
      <c r="E113" s="3" t="s">
        <v>7</v>
      </c>
      <c r="F113" s="1"/>
      <c r="G113" s="1" t="s">
        <v>5</v>
      </c>
      <c r="H113" s="2" t="s">
        <v>6</v>
      </c>
      <c r="I113" s="3" t="s">
        <v>7</v>
      </c>
      <c r="J113" s="37"/>
      <c r="K113" s="37"/>
      <c r="L113" s="32"/>
    </row>
    <row r="114" spans="1:12" x14ac:dyDescent="0.45">
      <c r="A114" s="4"/>
      <c r="B114" s="1">
        <v>1</v>
      </c>
      <c r="C114" s="8" t="s">
        <v>120</v>
      </c>
      <c r="D114" s="2">
        <v>26227</v>
      </c>
      <c r="E114" s="3">
        <v>46</v>
      </c>
      <c r="F114" s="1">
        <v>1</v>
      </c>
      <c r="G114" s="8" t="s">
        <v>121</v>
      </c>
      <c r="H114" s="2">
        <v>35488</v>
      </c>
      <c r="I114" s="3">
        <v>20</v>
      </c>
      <c r="J114" s="37"/>
      <c r="K114" s="37"/>
      <c r="L114" s="32"/>
    </row>
    <row r="115" spans="1:12" x14ac:dyDescent="0.45">
      <c r="A115" s="4"/>
      <c r="B115" s="1">
        <v>2</v>
      </c>
      <c r="C115" s="8" t="s">
        <v>122</v>
      </c>
      <c r="D115" s="2">
        <v>26663</v>
      </c>
      <c r="E115" s="3">
        <v>45</v>
      </c>
      <c r="F115" s="1">
        <v>2</v>
      </c>
      <c r="G115" s="8" t="s">
        <v>123</v>
      </c>
      <c r="H115" s="2">
        <v>33402</v>
      </c>
      <c r="I115" s="3">
        <v>26</v>
      </c>
      <c r="J115" s="4"/>
      <c r="K115" s="4"/>
      <c r="L115" s="32"/>
    </row>
    <row r="116" spans="1:12" x14ac:dyDescent="0.45">
      <c r="A116" s="4"/>
      <c r="B116" s="1">
        <v>3</v>
      </c>
      <c r="C116" s="8" t="s">
        <v>124</v>
      </c>
      <c r="D116" s="2">
        <v>27565</v>
      </c>
      <c r="E116" s="3">
        <v>42</v>
      </c>
      <c r="F116" s="1">
        <v>3</v>
      </c>
      <c r="G116" s="8" t="s">
        <v>125</v>
      </c>
      <c r="H116" s="2">
        <v>33052</v>
      </c>
      <c r="I116" s="3">
        <v>27</v>
      </c>
      <c r="J116" s="4"/>
      <c r="K116" s="4"/>
      <c r="L116" s="32"/>
    </row>
    <row r="117" spans="1:12" x14ac:dyDescent="0.45">
      <c r="A117" s="4"/>
      <c r="B117" s="1">
        <v>4</v>
      </c>
      <c r="C117" s="8" t="s">
        <v>37</v>
      </c>
      <c r="D117" s="2" t="s">
        <v>37</v>
      </c>
      <c r="E117" s="3" t="s">
        <v>37</v>
      </c>
      <c r="F117" s="1">
        <v>4</v>
      </c>
      <c r="G117" s="8" t="s">
        <v>126</v>
      </c>
      <c r="H117" s="2">
        <v>33019</v>
      </c>
      <c r="I117" s="3">
        <v>27</v>
      </c>
      <c r="J117" s="4"/>
      <c r="K117" s="4"/>
      <c r="L117" s="32"/>
    </row>
    <row r="118" spans="1:12" x14ac:dyDescent="0.45">
      <c r="A118" s="4"/>
      <c r="B118" s="1">
        <v>5</v>
      </c>
      <c r="C118" s="8" t="s">
        <v>37</v>
      </c>
      <c r="D118" s="2" t="s">
        <v>37</v>
      </c>
      <c r="E118" s="3" t="s">
        <v>37</v>
      </c>
      <c r="F118" s="1">
        <v>5</v>
      </c>
      <c r="G118" s="8" t="s">
        <v>127</v>
      </c>
      <c r="H118" s="2">
        <v>33058</v>
      </c>
      <c r="I118" s="3">
        <v>27</v>
      </c>
      <c r="J118" s="4"/>
      <c r="K118" s="4"/>
      <c r="L118" s="32"/>
    </row>
    <row r="119" spans="1:12" x14ac:dyDescent="0.45">
      <c r="A119" s="4"/>
      <c r="B119" s="1">
        <v>6</v>
      </c>
      <c r="C119" s="8" t="s">
        <v>37</v>
      </c>
      <c r="D119" s="2" t="s">
        <v>37</v>
      </c>
      <c r="E119" s="3" t="s">
        <v>37</v>
      </c>
      <c r="F119" s="1">
        <v>6</v>
      </c>
      <c r="G119" s="8" t="s">
        <v>128</v>
      </c>
      <c r="H119" s="2">
        <v>34751</v>
      </c>
      <c r="I119" s="3">
        <v>22</v>
      </c>
      <c r="J119" s="4"/>
      <c r="K119" s="4"/>
      <c r="L119" s="32"/>
    </row>
    <row r="120" spans="1:12" x14ac:dyDescent="0.45">
      <c r="A120" s="4"/>
      <c r="B120" s="1">
        <v>7</v>
      </c>
      <c r="C120" s="8" t="s">
        <v>37</v>
      </c>
      <c r="D120" s="2" t="s">
        <v>37</v>
      </c>
      <c r="E120" s="3" t="s">
        <v>37</v>
      </c>
      <c r="F120" s="1">
        <v>7</v>
      </c>
      <c r="G120" s="8" t="s">
        <v>129</v>
      </c>
      <c r="H120" s="2">
        <v>32807</v>
      </c>
      <c r="I120" s="3">
        <v>28</v>
      </c>
      <c r="J120" s="4"/>
      <c r="K120" s="4"/>
      <c r="L120" s="32"/>
    </row>
    <row r="121" spans="1:12" x14ac:dyDescent="0.45">
      <c r="A121" s="4"/>
      <c r="B121" s="1">
        <v>8</v>
      </c>
      <c r="C121" s="8" t="s">
        <v>37</v>
      </c>
      <c r="D121" s="2" t="s">
        <v>37</v>
      </c>
      <c r="E121" s="3" t="s">
        <v>37</v>
      </c>
      <c r="F121" s="1">
        <v>8</v>
      </c>
      <c r="G121" s="8" t="s">
        <v>130</v>
      </c>
      <c r="H121" s="2">
        <v>33408</v>
      </c>
      <c r="I121" s="3">
        <v>26</v>
      </c>
      <c r="J121" s="4"/>
      <c r="K121" s="4"/>
      <c r="L121" s="32"/>
    </row>
    <row r="122" spans="1:12" x14ac:dyDescent="0.45">
      <c r="A122" s="4"/>
      <c r="B122" s="1">
        <v>9</v>
      </c>
      <c r="C122" s="8" t="s">
        <v>37</v>
      </c>
      <c r="D122" s="2" t="s">
        <v>37</v>
      </c>
      <c r="E122" s="3" t="s">
        <v>37</v>
      </c>
      <c r="F122" s="1">
        <v>9</v>
      </c>
      <c r="G122" s="8" t="s">
        <v>131</v>
      </c>
      <c r="H122" s="2">
        <v>33391</v>
      </c>
      <c r="I122" s="3">
        <v>26</v>
      </c>
      <c r="J122" s="16" t="s">
        <v>41</v>
      </c>
      <c r="K122" s="4"/>
      <c r="L122" s="32"/>
    </row>
    <row r="123" spans="1:12" x14ac:dyDescent="0.45">
      <c r="A123" s="4"/>
      <c r="B123" s="8">
        <v>10</v>
      </c>
      <c r="C123" s="8" t="s">
        <v>37</v>
      </c>
      <c r="D123" s="2" t="s">
        <v>37</v>
      </c>
      <c r="E123" s="3" t="s">
        <v>37</v>
      </c>
      <c r="F123" s="8">
        <v>10</v>
      </c>
      <c r="G123" s="8" t="s">
        <v>37</v>
      </c>
      <c r="H123" s="2" t="s">
        <v>37</v>
      </c>
      <c r="I123" s="3" t="s">
        <v>37</v>
      </c>
      <c r="J123" s="31"/>
      <c r="K123" s="4"/>
      <c r="L123" s="32"/>
    </row>
    <row r="124" spans="1:12" x14ac:dyDescent="0.45">
      <c r="A124" s="4"/>
      <c r="B124" s="8">
        <v>11</v>
      </c>
      <c r="C124" s="8" t="s">
        <v>37</v>
      </c>
      <c r="D124" s="2" t="s">
        <v>37</v>
      </c>
      <c r="E124" s="3" t="s">
        <v>37</v>
      </c>
      <c r="F124" s="8">
        <v>11</v>
      </c>
      <c r="G124" s="8" t="s">
        <v>37</v>
      </c>
      <c r="H124" s="2" t="s">
        <v>37</v>
      </c>
      <c r="I124" s="3" t="s">
        <v>37</v>
      </c>
      <c r="J124" s="31"/>
      <c r="K124" s="4"/>
      <c r="L124" s="32"/>
    </row>
    <row r="125" spans="1:12" x14ac:dyDescent="0.45">
      <c r="A125" s="4"/>
      <c r="B125" s="8">
        <v>12</v>
      </c>
      <c r="C125" s="8" t="s">
        <v>37</v>
      </c>
      <c r="D125" s="2" t="s">
        <v>37</v>
      </c>
      <c r="E125" s="3" t="s">
        <v>37</v>
      </c>
      <c r="F125" s="8">
        <v>12</v>
      </c>
      <c r="G125" s="8" t="s">
        <v>37</v>
      </c>
      <c r="H125" s="2" t="s">
        <v>37</v>
      </c>
      <c r="I125" s="3" t="s">
        <v>37</v>
      </c>
      <c r="J125" s="31"/>
      <c r="K125" s="4"/>
      <c r="L125" s="32"/>
    </row>
    <row r="126" spans="1:12" x14ac:dyDescent="0.45">
      <c r="A126" s="4"/>
      <c r="B126" s="8">
        <v>13</v>
      </c>
      <c r="C126" s="8" t="s">
        <v>37</v>
      </c>
      <c r="D126" s="2" t="s">
        <v>37</v>
      </c>
      <c r="E126" s="3" t="s">
        <v>37</v>
      </c>
      <c r="F126" s="8">
        <v>13</v>
      </c>
      <c r="G126" s="8" t="s">
        <v>37</v>
      </c>
      <c r="H126" s="2" t="s">
        <v>37</v>
      </c>
      <c r="I126" s="3" t="s">
        <v>37</v>
      </c>
      <c r="J126" s="31"/>
      <c r="K126" s="4"/>
      <c r="L126" s="32"/>
    </row>
    <row r="127" spans="1:12" x14ac:dyDescent="0.45">
      <c r="A127" s="4"/>
      <c r="B127" s="8">
        <v>14</v>
      </c>
      <c r="C127" s="8" t="s">
        <v>37</v>
      </c>
      <c r="D127" s="2" t="s">
        <v>37</v>
      </c>
      <c r="E127" s="3" t="s">
        <v>37</v>
      </c>
      <c r="F127" s="8">
        <v>14</v>
      </c>
      <c r="G127" s="8" t="s">
        <v>37</v>
      </c>
      <c r="H127" s="2" t="s">
        <v>37</v>
      </c>
      <c r="I127" s="3" t="s">
        <v>37</v>
      </c>
      <c r="J127" s="31"/>
      <c r="K127" s="4"/>
      <c r="L127" s="32"/>
    </row>
    <row r="128" spans="1:12" x14ac:dyDescent="0.45">
      <c r="A128" s="4"/>
      <c r="B128" s="8">
        <v>15</v>
      </c>
      <c r="C128" s="8" t="s">
        <v>37</v>
      </c>
      <c r="D128" s="2" t="s">
        <v>37</v>
      </c>
      <c r="E128" s="3" t="s">
        <v>37</v>
      </c>
      <c r="F128" s="8">
        <v>15</v>
      </c>
      <c r="G128" s="8" t="s">
        <v>37</v>
      </c>
      <c r="H128" s="2" t="s">
        <v>37</v>
      </c>
      <c r="I128" s="3" t="s">
        <v>37</v>
      </c>
      <c r="J128" s="31"/>
      <c r="K128" s="4"/>
      <c r="L128" s="32"/>
    </row>
    <row r="129" spans="1:12" x14ac:dyDescent="0.45">
      <c r="A129" s="4"/>
      <c r="B129" s="8">
        <v>16</v>
      </c>
      <c r="C129" s="8" t="s">
        <v>37</v>
      </c>
      <c r="D129" s="2" t="s">
        <v>37</v>
      </c>
      <c r="E129" s="3" t="s">
        <v>37</v>
      </c>
      <c r="F129" s="8">
        <v>16</v>
      </c>
      <c r="G129" s="8" t="s">
        <v>37</v>
      </c>
      <c r="H129" s="2" t="s">
        <v>37</v>
      </c>
      <c r="I129" s="3" t="s">
        <v>37</v>
      </c>
      <c r="J129" s="31"/>
      <c r="K129" s="4"/>
      <c r="L129" s="32"/>
    </row>
    <row r="130" spans="1:12" x14ac:dyDescent="0.45">
      <c r="A130" s="4"/>
      <c r="B130" s="8">
        <v>17</v>
      </c>
      <c r="C130" s="8" t="s">
        <v>37</v>
      </c>
      <c r="D130" s="2" t="s">
        <v>37</v>
      </c>
      <c r="E130" s="3" t="s">
        <v>37</v>
      </c>
      <c r="F130" s="8">
        <v>17</v>
      </c>
      <c r="G130" s="8" t="s">
        <v>37</v>
      </c>
      <c r="H130" s="2" t="s">
        <v>37</v>
      </c>
      <c r="I130" s="3" t="s">
        <v>37</v>
      </c>
      <c r="J130" s="31"/>
      <c r="K130" s="4"/>
      <c r="L130" s="32"/>
    </row>
    <row r="131" spans="1:12" x14ac:dyDescent="0.45">
      <c r="A131" s="4"/>
      <c r="B131" s="8">
        <v>18</v>
      </c>
      <c r="C131" s="8" t="s">
        <v>37</v>
      </c>
      <c r="D131" s="2" t="s">
        <v>37</v>
      </c>
      <c r="E131" s="3" t="s">
        <v>37</v>
      </c>
      <c r="F131" s="8">
        <v>18</v>
      </c>
      <c r="G131" s="8" t="s">
        <v>37</v>
      </c>
      <c r="H131" s="2" t="s">
        <v>37</v>
      </c>
      <c r="I131" s="3" t="s">
        <v>37</v>
      </c>
      <c r="J131" s="31"/>
      <c r="K131" s="4"/>
      <c r="L131" s="32"/>
    </row>
    <row r="132" spans="1:12" x14ac:dyDescent="0.45">
      <c r="A132" s="4"/>
      <c r="B132" s="8">
        <v>19</v>
      </c>
      <c r="C132" s="8" t="s">
        <v>37</v>
      </c>
      <c r="D132" s="2" t="s">
        <v>37</v>
      </c>
      <c r="E132" s="3" t="s">
        <v>37</v>
      </c>
      <c r="F132" s="8">
        <v>19</v>
      </c>
      <c r="G132" s="8" t="s">
        <v>37</v>
      </c>
      <c r="H132" s="2" t="s">
        <v>37</v>
      </c>
      <c r="I132" s="3" t="s">
        <v>37</v>
      </c>
      <c r="J132" s="31"/>
      <c r="K132" s="4"/>
      <c r="L132" s="32"/>
    </row>
    <row r="133" spans="1:12" x14ac:dyDescent="0.45">
      <c r="A133" s="4"/>
      <c r="B133" s="8">
        <v>20</v>
      </c>
      <c r="C133" s="8" t="s">
        <v>37</v>
      </c>
      <c r="D133" s="2" t="s">
        <v>37</v>
      </c>
      <c r="E133" s="3" t="s">
        <v>37</v>
      </c>
      <c r="F133" s="8">
        <v>20</v>
      </c>
      <c r="G133" s="8" t="s">
        <v>37</v>
      </c>
      <c r="H133" s="2" t="s">
        <v>37</v>
      </c>
      <c r="I133" s="3" t="s">
        <v>37</v>
      </c>
      <c r="J133" s="29">
        <f>IF(COUNT(E114:E133,I114:I133)=0,0,COUNT(E114:E133,I114:I133))</f>
        <v>12</v>
      </c>
      <c r="K133" s="4"/>
      <c r="L133" s="32"/>
    </row>
    <row r="134" spans="1:12" ht="21" x14ac:dyDescent="0.65">
      <c r="A134" s="4"/>
      <c r="B134" s="42" t="s">
        <v>132</v>
      </c>
      <c r="C134" s="43"/>
      <c r="D134" s="43"/>
      <c r="E134" s="43"/>
      <c r="F134" s="43"/>
      <c r="G134" s="43"/>
      <c r="H134" s="43"/>
      <c r="I134" s="43"/>
      <c r="J134" s="43"/>
      <c r="K134" s="44"/>
      <c r="L134" s="32"/>
    </row>
    <row r="135" spans="1:12" x14ac:dyDescent="0.45">
      <c r="A135" s="4"/>
      <c r="B135" s="45" t="s">
        <v>2</v>
      </c>
      <c r="C135" s="46"/>
      <c r="D135" s="46"/>
      <c r="E135" s="46"/>
      <c r="F135" s="46" t="s">
        <v>3</v>
      </c>
      <c r="G135" s="46"/>
      <c r="H135" s="46"/>
      <c r="I135" s="46"/>
      <c r="J135" s="46" t="s">
        <v>43</v>
      </c>
      <c r="K135" s="47"/>
      <c r="L135" s="32"/>
    </row>
    <row r="136" spans="1:12" x14ac:dyDescent="0.45">
      <c r="A136" s="4"/>
      <c r="B136" s="15"/>
      <c r="C136" s="15" t="s">
        <v>5</v>
      </c>
      <c r="D136" s="26" t="s">
        <v>6</v>
      </c>
      <c r="E136" s="27" t="s">
        <v>7</v>
      </c>
      <c r="F136" s="15"/>
      <c r="G136" s="15" t="s">
        <v>5</v>
      </c>
      <c r="H136" s="26" t="s">
        <v>6</v>
      </c>
      <c r="I136" s="27" t="s">
        <v>7</v>
      </c>
      <c r="J136" s="52"/>
      <c r="K136" s="52"/>
      <c r="L136" s="32"/>
    </row>
    <row r="137" spans="1:12" x14ac:dyDescent="0.45">
      <c r="A137" s="4"/>
      <c r="B137" s="1">
        <v>1</v>
      </c>
      <c r="C137" s="8" t="s">
        <v>133</v>
      </c>
      <c r="D137" s="2">
        <v>23698</v>
      </c>
      <c r="E137" s="3">
        <v>53</v>
      </c>
      <c r="F137" s="1">
        <v>1</v>
      </c>
      <c r="G137" s="8" t="s">
        <v>134</v>
      </c>
      <c r="H137" s="2">
        <v>21292</v>
      </c>
      <c r="I137" s="3">
        <v>59</v>
      </c>
      <c r="J137" s="37"/>
      <c r="K137" s="37"/>
      <c r="L137" s="32"/>
    </row>
    <row r="138" spans="1:12" x14ac:dyDescent="0.45">
      <c r="A138" s="4"/>
      <c r="B138" s="1">
        <v>2</v>
      </c>
      <c r="C138" s="8" t="s">
        <v>37</v>
      </c>
      <c r="D138" s="2" t="s">
        <v>37</v>
      </c>
      <c r="E138" s="3" t="s">
        <v>37</v>
      </c>
      <c r="F138" s="1">
        <v>2</v>
      </c>
      <c r="G138" s="8" t="s">
        <v>37</v>
      </c>
      <c r="H138" s="2" t="s">
        <v>37</v>
      </c>
      <c r="I138" s="3" t="s">
        <v>37</v>
      </c>
      <c r="J138" s="4"/>
      <c r="K138" s="4"/>
      <c r="L138" s="32"/>
    </row>
    <row r="139" spans="1:12" x14ac:dyDescent="0.45">
      <c r="A139" s="4"/>
      <c r="B139" s="1">
        <v>3</v>
      </c>
      <c r="C139" s="8" t="s">
        <v>37</v>
      </c>
      <c r="D139" s="2" t="s">
        <v>37</v>
      </c>
      <c r="E139" s="3" t="s">
        <v>37</v>
      </c>
      <c r="F139" s="1">
        <v>3</v>
      </c>
      <c r="G139" s="8" t="s">
        <v>37</v>
      </c>
      <c r="H139" s="2" t="s">
        <v>37</v>
      </c>
      <c r="I139" s="3" t="s">
        <v>37</v>
      </c>
      <c r="J139" s="4"/>
      <c r="K139" s="4"/>
      <c r="L139" s="32"/>
    </row>
    <row r="140" spans="1:12" x14ac:dyDescent="0.45">
      <c r="A140" s="4"/>
      <c r="B140" s="1">
        <v>4</v>
      </c>
      <c r="C140" s="8" t="s">
        <v>37</v>
      </c>
      <c r="D140" s="2" t="s">
        <v>37</v>
      </c>
      <c r="E140" s="3" t="s">
        <v>37</v>
      </c>
      <c r="F140" s="1">
        <v>4</v>
      </c>
      <c r="G140" s="8" t="s">
        <v>37</v>
      </c>
      <c r="H140" s="2" t="s">
        <v>37</v>
      </c>
      <c r="I140" s="3" t="s">
        <v>37</v>
      </c>
      <c r="J140" s="4"/>
      <c r="K140" s="4"/>
      <c r="L140" s="32"/>
    </row>
    <row r="141" spans="1:12" x14ac:dyDescent="0.45">
      <c r="A141" s="4"/>
      <c r="B141" s="1">
        <v>5</v>
      </c>
      <c r="C141" s="8" t="s">
        <v>37</v>
      </c>
      <c r="D141" s="2" t="s">
        <v>37</v>
      </c>
      <c r="E141" s="3" t="s">
        <v>37</v>
      </c>
      <c r="F141" s="1">
        <v>5</v>
      </c>
      <c r="G141" s="8" t="s">
        <v>37</v>
      </c>
      <c r="H141" s="2" t="s">
        <v>37</v>
      </c>
      <c r="I141" s="3" t="s">
        <v>37</v>
      </c>
      <c r="J141" s="4"/>
      <c r="K141" s="4"/>
      <c r="L141" s="32"/>
    </row>
    <row r="142" spans="1:12" x14ac:dyDescent="0.45">
      <c r="A142" s="4"/>
      <c r="B142" s="1">
        <v>6</v>
      </c>
      <c r="C142" s="8" t="s">
        <v>37</v>
      </c>
      <c r="D142" s="2" t="s">
        <v>37</v>
      </c>
      <c r="E142" s="3" t="s">
        <v>37</v>
      </c>
      <c r="F142" s="1">
        <v>6</v>
      </c>
      <c r="G142" s="8" t="s">
        <v>37</v>
      </c>
      <c r="H142" s="2" t="s">
        <v>37</v>
      </c>
      <c r="I142" s="3" t="s">
        <v>37</v>
      </c>
      <c r="J142" s="4"/>
      <c r="K142" s="4"/>
      <c r="L142" s="32"/>
    </row>
    <row r="143" spans="1:12" x14ac:dyDescent="0.45">
      <c r="A143" s="4"/>
      <c r="B143" s="1">
        <v>7</v>
      </c>
      <c r="C143" s="8" t="s">
        <v>37</v>
      </c>
      <c r="D143" s="2" t="s">
        <v>37</v>
      </c>
      <c r="E143" s="3" t="s">
        <v>37</v>
      </c>
      <c r="F143" s="1">
        <v>7</v>
      </c>
      <c r="G143" s="8" t="s">
        <v>37</v>
      </c>
      <c r="H143" s="2" t="s">
        <v>37</v>
      </c>
      <c r="I143" s="3" t="s">
        <v>37</v>
      </c>
      <c r="J143" s="4"/>
      <c r="K143" s="4"/>
      <c r="L143" s="32"/>
    </row>
    <row r="144" spans="1:12" x14ac:dyDescent="0.45">
      <c r="A144" s="4"/>
      <c r="B144" s="1">
        <v>8</v>
      </c>
      <c r="C144" s="8" t="s">
        <v>37</v>
      </c>
      <c r="D144" s="2" t="s">
        <v>37</v>
      </c>
      <c r="E144" s="3" t="s">
        <v>37</v>
      </c>
      <c r="F144" s="1">
        <v>8</v>
      </c>
      <c r="G144" s="8" t="s">
        <v>37</v>
      </c>
      <c r="H144" s="2" t="s">
        <v>37</v>
      </c>
      <c r="I144" s="3" t="s">
        <v>37</v>
      </c>
      <c r="J144" s="4"/>
      <c r="K144" s="4"/>
      <c r="L144" s="32"/>
    </row>
    <row r="145" spans="1:12" x14ac:dyDescent="0.45">
      <c r="A145" s="4"/>
      <c r="B145" s="1">
        <v>9</v>
      </c>
      <c r="C145" s="8" t="s">
        <v>37</v>
      </c>
      <c r="D145" s="2" t="s">
        <v>37</v>
      </c>
      <c r="E145" s="3" t="s">
        <v>37</v>
      </c>
      <c r="F145" s="1">
        <v>9</v>
      </c>
      <c r="G145" s="8" t="s">
        <v>37</v>
      </c>
      <c r="H145" s="2" t="s">
        <v>37</v>
      </c>
      <c r="I145" s="3" t="s">
        <v>37</v>
      </c>
      <c r="J145" s="16" t="s">
        <v>41</v>
      </c>
      <c r="K145" s="4"/>
      <c r="L145" s="32"/>
    </row>
    <row r="146" spans="1:12" x14ac:dyDescent="0.45">
      <c r="A146" s="4"/>
      <c r="B146" s="1">
        <v>10</v>
      </c>
      <c r="C146" s="1" t="s">
        <v>37</v>
      </c>
      <c r="D146" s="2" t="s">
        <v>37</v>
      </c>
      <c r="E146" s="3" t="s">
        <v>37</v>
      </c>
      <c r="F146" s="1">
        <v>10</v>
      </c>
      <c r="G146" s="1" t="s">
        <v>37</v>
      </c>
      <c r="H146" s="2" t="s">
        <v>37</v>
      </c>
      <c r="I146" s="3" t="s">
        <v>37</v>
      </c>
      <c r="J146" s="30">
        <f>IF(COUNT(E137:E146,I137:I146)=0,0,COUNT(E137:E146,I137:I146))</f>
        <v>2</v>
      </c>
      <c r="K146" s="4"/>
      <c r="L146" s="32"/>
    </row>
    <row r="147" spans="1:12" x14ac:dyDescent="0.45">
      <c r="A147" s="4"/>
      <c r="B147" s="32"/>
      <c r="C147" s="32"/>
      <c r="D147" s="32"/>
      <c r="E147" s="33"/>
      <c r="F147" s="32"/>
      <c r="G147" s="32"/>
      <c r="H147" s="32"/>
      <c r="I147" s="33"/>
      <c r="J147" s="32"/>
      <c r="K147" s="32"/>
      <c r="L147" s="32"/>
    </row>
    <row r="148" spans="1:12" x14ac:dyDescent="0.45">
      <c r="A148" s="4"/>
      <c r="B148" s="32"/>
      <c r="C148" s="32"/>
      <c r="D148" s="32"/>
      <c r="E148" s="33"/>
      <c r="F148" s="32"/>
      <c r="G148" s="32"/>
      <c r="H148" s="32"/>
      <c r="I148" s="33"/>
      <c r="J148" s="32"/>
      <c r="K148" s="32"/>
      <c r="L148" s="32"/>
    </row>
    <row r="149" spans="1:12" x14ac:dyDescent="0.45">
      <c r="A149" s="4"/>
      <c r="B149" s="32"/>
      <c r="C149" s="32"/>
      <c r="D149" s="32"/>
      <c r="E149" s="33"/>
      <c r="F149" s="32"/>
      <c r="G149" s="32"/>
      <c r="H149" s="32"/>
      <c r="I149" s="33"/>
      <c r="J149" s="32"/>
      <c r="K149" s="32"/>
      <c r="L149" s="32"/>
    </row>
    <row r="150" spans="1:12" x14ac:dyDescent="0.45">
      <c r="A150" s="4"/>
      <c r="B150" s="32"/>
      <c r="C150" s="32"/>
      <c r="D150" s="32"/>
      <c r="E150" s="33"/>
      <c r="F150" s="32"/>
      <c r="G150" s="32"/>
      <c r="H150" s="32"/>
      <c r="I150" s="33"/>
      <c r="J150" s="32"/>
      <c r="K150" s="32"/>
      <c r="L150" s="32"/>
    </row>
    <row r="151" spans="1:12" x14ac:dyDescent="0.45">
      <c r="A151" s="4"/>
      <c r="B151" s="32"/>
      <c r="C151" s="32"/>
      <c r="D151" s="32"/>
      <c r="E151" s="33"/>
      <c r="F151" s="32"/>
      <c r="G151" s="32"/>
      <c r="H151" s="32"/>
      <c r="I151" s="33"/>
      <c r="J151" s="32"/>
      <c r="K151" s="32"/>
      <c r="L151" s="32"/>
    </row>
    <row r="152" spans="1:12" x14ac:dyDescent="0.45">
      <c r="A152" s="4"/>
      <c r="B152" s="32"/>
      <c r="C152" s="32"/>
      <c r="D152" s="32"/>
      <c r="E152" s="33"/>
      <c r="F152" s="32"/>
      <c r="G152" s="32"/>
      <c r="H152" s="32"/>
      <c r="I152" s="33"/>
      <c r="J152" s="32"/>
      <c r="K152" s="32"/>
      <c r="L152" s="32"/>
    </row>
    <row r="153" spans="1:12" x14ac:dyDescent="0.45">
      <c r="A153" s="4"/>
      <c r="B153" s="32"/>
      <c r="C153" s="32"/>
      <c r="D153" s="32"/>
      <c r="E153" s="33"/>
      <c r="F153" s="32"/>
      <c r="G153" s="32"/>
      <c r="H153" s="32"/>
      <c r="I153" s="33"/>
      <c r="J153" s="32"/>
      <c r="K153" s="32"/>
      <c r="L153" s="32"/>
    </row>
    <row r="154" spans="1:12" x14ac:dyDescent="0.45">
      <c r="A154" s="4"/>
      <c r="B154" s="32"/>
      <c r="C154" s="32"/>
      <c r="D154" s="32"/>
      <c r="E154" s="33"/>
      <c r="F154" s="32"/>
      <c r="G154" s="32"/>
      <c r="H154" s="32"/>
      <c r="I154" s="33"/>
      <c r="J154" s="32"/>
      <c r="K154" s="32"/>
      <c r="L154" s="32"/>
    </row>
    <row r="155" spans="1:12" x14ac:dyDescent="0.45">
      <c r="A155" s="4"/>
      <c r="B155" s="32"/>
      <c r="C155" s="32"/>
      <c r="D155" s="32"/>
      <c r="E155" s="33"/>
      <c r="F155" s="32"/>
      <c r="G155" s="32"/>
      <c r="H155" s="32"/>
      <c r="I155" s="33"/>
      <c r="J155" s="32"/>
      <c r="K155" s="32"/>
      <c r="L155" s="32"/>
    </row>
    <row r="156" spans="1:12" x14ac:dyDescent="0.45">
      <c r="A156" s="4"/>
      <c r="B156" s="32"/>
      <c r="C156" s="32"/>
      <c r="D156" s="32"/>
      <c r="E156" s="33"/>
      <c r="F156" s="32"/>
      <c r="G156" s="32"/>
      <c r="H156" s="32"/>
      <c r="I156" s="33"/>
      <c r="J156" s="32"/>
      <c r="K156" s="32"/>
      <c r="L156" s="32"/>
    </row>
    <row r="157" spans="1:12" x14ac:dyDescent="0.45">
      <c r="A157" s="4"/>
      <c r="B157" s="32"/>
      <c r="C157" s="32"/>
      <c r="D157" s="32"/>
      <c r="E157" s="33"/>
      <c r="F157" s="32"/>
      <c r="G157" s="32"/>
      <c r="H157" s="32"/>
      <c r="I157" s="33"/>
      <c r="J157" s="32"/>
      <c r="K157" s="32"/>
      <c r="L157" s="32"/>
    </row>
    <row r="158" spans="1:12" x14ac:dyDescent="0.45">
      <c r="A158" s="4"/>
      <c r="B158" s="32"/>
      <c r="C158" s="32"/>
      <c r="D158" s="32"/>
      <c r="E158" s="33"/>
      <c r="F158" s="32"/>
      <c r="G158" s="32"/>
      <c r="H158" s="32"/>
      <c r="I158" s="33"/>
      <c r="J158" s="32"/>
      <c r="K158" s="32"/>
      <c r="L158" s="32"/>
    </row>
    <row r="159" spans="1:12" x14ac:dyDescent="0.45">
      <c r="A159" s="4"/>
      <c r="B159" s="32"/>
      <c r="C159" s="32"/>
      <c r="D159" s="32"/>
      <c r="E159" s="33"/>
      <c r="F159" s="32"/>
      <c r="G159" s="32"/>
      <c r="H159" s="32"/>
      <c r="I159" s="33"/>
      <c r="J159" s="32"/>
      <c r="K159" s="32"/>
      <c r="L159" s="32"/>
    </row>
    <row r="160" spans="1:12" x14ac:dyDescent="0.45">
      <c r="A160" s="4"/>
      <c r="B160" s="32"/>
      <c r="C160" s="32"/>
      <c r="D160" s="32"/>
      <c r="E160" s="33"/>
      <c r="F160" s="32"/>
      <c r="G160" s="32"/>
      <c r="H160" s="32"/>
      <c r="I160" s="33"/>
      <c r="J160" s="32"/>
      <c r="K160" s="32"/>
      <c r="L160" s="32"/>
    </row>
    <row r="161" spans="1:12" x14ac:dyDescent="0.45">
      <c r="A161" s="4"/>
      <c r="B161" s="32"/>
      <c r="C161" s="32"/>
      <c r="D161" s="32"/>
      <c r="E161" s="33"/>
      <c r="F161" s="32"/>
      <c r="G161" s="32"/>
      <c r="H161" s="32"/>
      <c r="I161" s="33"/>
      <c r="J161" s="32"/>
      <c r="K161" s="32"/>
      <c r="L161" s="32"/>
    </row>
    <row r="162" spans="1:12" x14ac:dyDescent="0.45">
      <c r="A162" s="4"/>
      <c r="B162" s="32"/>
      <c r="C162" s="32"/>
      <c r="D162" s="32"/>
      <c r="E162" s="33"/>
      <c r="F162" s="32"/>
      <c r="G162" s="32"/>
      <c r="H162" s="32"/>
      <c r="I162" s="33"/>
      <c r="J162" s="32"/>
      <c r="K162" s="32"/>
      <c r="L162" s="32"/>
    </row>
    <row r="163" spans="1:12" x14ac:dyDescent="0.45">
      <c r="A163" s="4"/>
      <c r="B163" s="32"/>
      <c r="C163" s="32"/>
      <c r="D163" s="32"/>
      <c r="E163" s="33"/>
      <c r="F163" s="32"/>
      <c r="G163" s="32"/>
      <c r="H163" s="32"/>
      <c r="I163" s="33"/>
      <c r="J163" s="32"/>
      <c r="K163" s="32"/>
      <c r="L163" s="32"/>
    </row>
    <row r="164" spans="1:12" x14ac:dyDescent="0.45">
      <c r="A164" s="4"/>
      <c r="B164" s="32"/>
      <c r="C164" s="32"/>
      <c r="D164" s="32"/>
      <c r="E164" s="33"/>
      <c r="F164" s="32"/>
      <c r="G164" s="32"/>
      <c r="H164" s="32"/>
      <c r="I164" s="33"/>
      <c r="J164" s="32"/>
      <c r="K164" s="32"/>
      <c r="L164" s="32"/>
    </row>
    <row r="165" spans="1:12" x14ac:dyDescent="0.45">
      <c r="A165" s="4"/>
      <c r="B165" s="32"/>
      <c r="C165" s="32"/>
      <c r="D165" s="32"/>
      <c r="E165" s="33"/>
      <c r="F165" s="32"/>
      <c r="G165" s="32"/>
      <c r="H165" s="32"/>
      <c r="I165" s="33"/>
      <c r="J165" s="32"/>
      <c r="K165" s="32"/>
      <c r="L165" s="32"/>
    </row>
    <row r="166" spans="1:12" x14ac:dyDescent="0.45">
      <c r="A166" s="4"/>
      <c r="B166" s="32"/>
      <c r="C166" s="32"/>
      <c r="D166" s="32"/>
      <c r="E166" s="33"/>
      <c r="F166" s="32"/>
      <c r="G166" s="32"/>
      <c r="H166" s="32"/>
      <c r="I166" s="33"/>
      <c r="J166" s="32"/>
      <c r="K166" s="32"/>
      <c r="L166" s="32"/>
    </row>
    <row r="167" spans="1:12" x14ac:dyDescent="0.45">
      <c r="A167" s="4"/>
      <c r="B167" s="32"/>
      <c r="C167" s="32"/>
      <c r="D167" s="32"/>
      <c r="E167" s="33"/>
      <c r="F167" s="32"/>
      <c r="G167" s="32"/>
      <c r="H167" s="32"/>
      <c r="I167" s="33"/>
      <c r="J167" s="32"/>
      <c r="K167" s="32"/>
      <c r="L167" s="32"/>
    </row>
    <row r="168" spans="1:12" x14ac:dyDescent="0.45">
      <c r="A168" s="4"/>
      <c r="B168" s="32"/>
      <c r="C168" s="32"/>
      <c r="D168" s="32"/>
      <c r="E168" s="33"/>
      <c r="F168" s="32"/>
      <c r="G168" s="32"/>
      <c r="H168" s="32"/>
      <c r="I168" s="33"/>
      <c r="J168" s="32"/>
      <c r="K168" s="32"/>
      <c r="L168" s="32"/>
    </row>
    <row r="169" spans="1:12" x14ac:dyDescent="0.45">
      <c r="A169" s="4"/>
      <c r="B169" s="32"/>
      <c r="C169" s="32"/>
      <c r="D169" s="32"/>
      <c r="E169" s="33"/>
      <c r="F169" s="32"/>
      <c r="G169" s="32"/>
      <c r="H169" s="32"/>
      <c r="I169" s="33"/>
      <c r="J169" s="32"/>
      <c r="K169" s="32"/>
      <c r="L169" s="32"/>
    </row>
    <row r="170" spans="1:12" x14ac:dyDescent="0.45">
      <c r="A170" s="4"/>
      <c r="B170" s="32"/>
      <c r="C170" s="32"/>
      <c r="D170" s="32"/>
      <c r="E170" s="33"/>
      <c r="F170" s="32"/>
      <c r="G170" s="32"/>
      <c r="H170" s="32"/>
      <c r="I170" s="33"/>
      <c r="J170" s="32"/>
      <c r="K170" s="32"/>
      <c r="L170" s="32"/>
    </row>
    <row r="171" spans="1:12" x14ac:dyDescent="0.45">
      <c r="A171" s="4"/>
      <c r="B171" s="32"/>
      <c r="C171" s="32"/>
      <c r="D171" s="32"/>
      <c r="E171" s="33"/>
      <c r="F171" s="32"/>
      <c r="G171" s="32"/>
      <c r="H171" s="32"/>
      <c r="I171" s="33"/>
      <c r="J171" s="32"/>
      <c r="K171" s="32"/>
      <c r="L171" s="32"/>
    </row>
    <row r="172" spans="1:12" x14ac:dyDescent="0.45">
      <c r="A172" s="4"/>
      <c r="B172" s="32"/>
      <c r="C172" s="32"/>
      <c r="D172" s="32"/>
      <c r="E172" s="33"/>
      <c r="F172" s="32"/>
      <c r="G172" s="32"/>
      <c r="H172" s="32"/>
      <c r="I172" s="33"/>
      <c r="J172" s="32"/>
      <c r="K172" s="32"/>
      <c r="L172" s="32"/>
    </row>
    <row r="173" spans="1:12" x14ac:dyDescent="0.45">
      <c r="A173" s="4"/>
      <c r="B173" s="32"/>
      <c r="C173" s="32"/>
      <c r="D173" s="32"/>
      <c r="E173" s="33"/>
      <c r="F173" s="32"/>
      <c r="G173" s="32"/>
      <c r="H173" s="32"/>
      <c r="I173" s="33"/>
      <c r="J173" s="32"/>
      <c r="K173" s="32"/>
      <c r="L173" s="32"/>
    </row>
    <row r="174" spans="1:12" x14ac:dyDescent="0.45">
      <c r="A174" s="4"/>
      <c r="B174" s="32"/>
      <c r="C174" s="32"/>
      <c r="D174" s="32"/>
      <c r="E174" s="33"/>
      <c r="F174" s="32"/>
      <c r="G174" s="32"/>
      <c r="H174" s="32"/>
      <c r="I174" s="33"/>
      <c r="J174" s="32"/>
      <c r="K174" s="32"/>
      <c r="L174" s="32"/>
    </row>
  </sheetData>
  <mergeCells count="73">
    <mergeCell ref="J136:K136"/>
    <mergeCell ref="J137:K137"/>
    <mergeCell ref="F112:I112"/>
    <mergeCell ref="J112:K112"/>
    <mergeCell ref="J113:K113"/>
    <mergeCell ref="J114:K114"/>
    <mergeCell ref="B134:K134"/>
    <mergeCell ref="B135:E135"/>
    <mergeCell ref="F135:I135"/>
    <mergeCell ref="J135:K135"/>
    <mergeCell ref="J86:K86"/>
    <mergeCell ref="J87:K87"/>
    <mergeCell ref="J89:K89"/>
    <mergeCell ref="J60:K60"/>
    <mergeCell ref="J61:K61"/>
    <mergeCell ref="J62:K62"/>
    <mergeCell ref="B72:K72"/>
    <mergeCell ref="B73:E73"/>
    <mergeCell ref="F73:I73"/>
    <mergeCell ref="J73:K73"/>
    <mergeCell ref="J75:K75"/>
    <mergeCell ref="B85:K85"/>
    <mergeCell ref="B86:E86"/>
    <mergeCell ref="F86:I86"/>
    <mergeCell ref="J74:K74"/>
    <mergeCell ref="J35:K35"/>
    <mergeCell ref="J36:K36"/>
    <mergeCell ref="J37:K37"/>
    <mergeCell ref="B46:K46"/>
    <mergeCell ref="B47:E47"/>
    <mergeCell ref="F47:I47"/>
    <mergeCell ref="J47:K47"/>
    <mergeCell ref="J4:K4"/>
    <mergeCell ref="J5:K5"/>
    <mergeCell ref="J6:K6"/>
    <mergeCell ref="J11:K11"/>
    <mergeCell ref="J12:K12"/>
    <mergeCell ref="J7:K7"/>
    <mergeCell ref="J8:K8"/>
    <mergeCell ref="J9:K9"/>
    <mergeCell ref="J10:K10"/>
    <mergeCell ref="B1:K1"/>
    <mergeCell ref="B2:K2"/>
    <mergeCell ref="B3:E3"/>
    <mergeCell ref="F3:I3"/>
    <mergeCell ref="J3:K3"/>
    <mergeCell ref="J100:K100"/>
    <mergeCell ref="J101:K101"/>
    <mergeCell ref="B111:K111"/>
    <mergeCell ref="B112:E112"/>
    <mergeCell ref="B98:K98"/>
    <mergeCell ref="B99:E99"/>
    <mergeCell ref="F99:I99"/>
    <mergeCell ref="J99:K99"/>
    <mergeCell ref="J49:K49"/>
    <mergeCell ref="B59:K59"/>
    <mergeCell ref="B60:E60"/>
    <mergeCell ref="F60:I60"/>
    <mergeCell ref="J48:K48"/>
    <mergeCell ref="B33:E33"/>
    <mergeCell ref="F33:I33"/>
    <mergeCell ref="J33:K33"/>
    <mergeCell ref="J34:K34"/>
    <mergeCell ref="J23:K23"/>
    <mergeCell ref="B32:K32"/>
    <mergeCell ref="J22:K22"/>
    <mergeCell ref="J13:K13"/>
    <mergeCell ref="J14:K14"/>
    <mergeCell ref="J15:K15"/>
    <mergeCell ref="B19:K19"/>
    <mergeCell ref="B20:E20"/>
    <mergeCell ref="F20:I20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X77"/>
  <sheetViews>
    <sheetView topLeftCell="A13" workbookViewId="0">
      <selection activeCell="G25" sqref="G25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" style="13" customWidth="1"/>
    <col min="5" max="5" width="7.86328125" style="14" customWidth="1"/>
    <col min="6" max="6" width="3" customWidth="1"/>
    <col min="7" max="7" width="26.59765625" customWidth="1"/>
    <col min="8" max="8" width="11" style="13" customWidth="1"/>
    <col min="9" max="9" width="7.86328125" style="14" customWidth="1"/>
    <col min="10" max="10" width="8.59765625" customWidth="1"/>
    <col min="11" max="11" width="12.73046875" customWidth="1"/>
    <col min="12" max="12" width="10.59765625" customWidth="1"/>
    <col min="13" max="13" width="4.73046875" hidden="1" customWidth="1"/>
    <col min="14" max="15" width="7" hidden="1" customWidth="1"/>
    <col min="16" max="24" width="9.1328125" style="4"/>
  </cols>
  <sheetData>
    <row r="1" spans="1:15" ht="38.25" customHeight="1" x14ac:dyDescent="0.45">
      <c r="A1" s="4"/>
      <c r="B1" s="53" t="s">
        <v>135</v>
      </c>
      <c r="C1" s="53"/>
      <c r="D1" s="53"/>
      <c r="E1" s="53"/>
      <c r="F1" s="53"/>
      <c r="G1" s="53"/>
      <c r="H1" s="53"/>
      <c r="I1" s="53"/>
      <c r="J1" s="53"/>
      <c r="K1" s="53"/>
      <c r="L1" s="4"/>
    </row>
    <row r="2" spans="1:15" ht="21" customHeight="1" x14ac:dyDescent="0.65">
      <c r="A2" s="4"/>
      <c r="B2" s="42" t="s">
        <v>136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</row>
    <row r="4" spans="1:15" x14ac:dyDescent="0.45">
      <c r="A4" s="4"/>
      <c r="B4" s="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38" t="s">
        <v>137</v>
      </c>
      <c r="K4" s="39"/>
      <c r="L4" s="4"/>
      <c r="N4" t="str">
        <f>MID(B2,1,1)</f>
        <v>A</v>
      </c>
      <c r="O4" t="str">
        <f>IF(ISERROR(VLOOKUP(N4,Leeftijdscatogorie,1,FALSE)=TRUE),"",N4)</f>
        <v/>
      </c>
    </row>
    <row r="5" spans="1:15" x14ac:dyDescent="0.45">
      <c r="A5" s="4"/>
      <c r="B5" s="1">
        <v>1</v>
      </c>
      <c r="C5" s="1" t="s">
        <v>138</v>
      </c>
      <c r="D5" s="2">
        <v>36460</v>
      </c>
      <c r="E5" s="3">
        <v>18</v>
      </c>
      <c r="F5" s="1">
        <v>1</v>
      </c>
      <c r="G5" s="1" t="s">
        <v>139</v>
      </c>
      <c r="H5" s="2">
        <v>36429</v>
      </c>
      <c r="I5" s="3">
        <v>18</v>
      </c>
      <c r="J5" s="38"/>
      <c r="K5" s="39"/>
      <c r="L5" s="4"/>
      <c r="M5" t="str">
        <f>IF(O4="","",VLOOKUP(O4,Leeftijdscatogorie,2,FALSE))</f>
        <v/>
      </c>
      <c r="N5" t="str">
        <f>IF(O4="","",VLOOKUP(O4,Leeftijdscatogorie,3,FALSE))</f>
        <v/>
      </c>
      <c r="O5" t="str">
        <f>IF(O4="","",VLOOKUP(O4,Leeftijdscatogorie,4,FALSE))</f>
        <v/>
      </c>
    </row>
    <row r="6" spans="1:15" x14ac:dyDescent="0.45">
      <c r="A6" s="4"/>
      <c r="B6" s="1">
        <v>2</v>
      </c>
      <c r="C6" s="1" t="s">
        <v>140</v>
      </c>
      <c r="D6" s="2">
        <v>36429</v>
      </c>
      <c r="E6" s="3">
        <v>18</v>
      </c>
      <c r="F6" s="1">
        <v>2</v>
      </c>
      <c r="G6" s="1" t="s">
        <v>141</v>
      </c>
      <c r="H6" s="2">
        <v>36567</v>
      </c>
      <c r="I6" s="3">
        <v>17</v>
      </c>
      <c r="J6" s="54" t="s">
        <v>23</v>
      </c>
      <c r="K6" s="55"/>
      <c r="L6" s="4"/>
      <c r="N6" t="str">
        <f>N5</f>
        <v/>
      </c>
      <c r="O6" t="str">
        <f>O5</f>
        <v/>
      </c>
    </row>
    <row r="7" spans="1:15" x14ac:dyDescent="0.45">
      <c r="A7" s="4"/>
      <c r="B7" s="1">
        <v>3</v>
      </c>
      <c r="C7" s="1" t="s">
        <v>142</v>
      </c>
      <c r="D7" s="2">
        <v>36706</v>
      </c>
      <c r="E7" s="3">
        <v>17</v>
      </c>
      <c r="F7" s="1">
        <v>3</v>
      </c>
      <c r="G7" s="1" t="s">
        <v>143</v>
      </c>
      <c r="H7" s="2">
        <v>36432</v>
      </c>
      <c r="I7" s="3">
        <v>18</v>
      </c>
      <c r="J7" s="38" t="s">
        <v>144</v>
      </c>
      <c r="K7" s="39"/>
      <c r="L7" s="4"/>
      <c r="N7" t="str">
        <f t="shared" ref="N7:O14" si="0">N6</f>
        <v/>
      </c>
      <c r="O7" t="str">
        <f t="shared" si="0"/>
        <v/>
      </c>
    </row>
    <row r="8" spans="1:15" x14ac:dyDescent="0.45">
      <c r="A8" s="4"/>
      <c r="B8" s="1">
        <v>4</v>
      </c>
      <c r="C8" s="1" t="s">
        <v>145</v>
      </c>
      <c r="D8" s="2">
        <v>36432</v>
      </c>
      <c r="E8" s="3">
        <v>18</v>
      </c>
      <c r="F8" s="1">
        <v>4</v>
      </c>
      <c r="G8" s="1" t="s">
        <v>146</v>
      </c>
      <c r="H8" s="2">
        <v>36272</v>
      </c>
      <c r="I8" s="3">
        <v>18</v>
      </c>
      <c r="J8" s="56" t="s">
        <v>147</v>
      </c>
      <c r="K8" s="56"/>
      <c r="L8" s="35"/>
      <c r="N8" t="str">
        <f t="shared" si="0"/>
        <v/>
      </c>
      <c r="O8" t="str">
        <f t="shared" si="0"/>
        <v/>
      </c>
    </row>
    <row r="9" spans="1:15" x14ac:dyDescent="0.45">
      <c r="A9" s="4"/>
      <c r="B9" s="1">
        <v>5</v>
      </c>
      <c r="C9" s="1" t="s">
        <v>148</v>
      </c>
      <c r="D9" s="2">
        <v>37091</v>
      </c>
      <c r="E9" s="3">
        <v>16</v>
      </c>
      <c r="F9" s="1">
        <v>5</v>
      </c>
      <c r="G9" s="1" t="s">
        <v>37</v>
      </c>
      <c r="H9" s="2" t="s">
        <v>37</v>
      </c>
      <c r="I9" s="3" t="s">
        <v>37</v>
      </c>
      <c r="J9" s="57" t="s">
        <v>144</v>
      </c>
      <c r="K9" s="57"/>
      <c r="L9" s="4"/>
      <c r="N9" t="str">
        <f t="shared" si="0"/>
        <v/>
      </c>
      <c r="O9" t="str">
        <f t="shared" si="0"/>
        <v/>
      </c>
    </row>
    <row r="10" spans="1:15" x14ac:dyDescent="0.45">
      <c r="A10" s="4"/>
      <c r="B10" s="1">
        <v>6</v>
      </c>
      <c r="C10" s="1" t="s">
        <v>37</v>
      </c>
      <c r="D10" s="2" t="s">
        <v>37</v>
      </c>
      <c r="E10" s="3" t="s">
        <v>37</v>
      </c>
      <c r="F10" s="1">
        <v>6</v>
      </c>
      <c r="G10" s="1" t="s">
        <v>37</v>
      </c>
      <c r="H10" s="2" t="s">
        <v>37</v>
      </c>
      <c r="I10" s="3" t="s">
        <v>37</v>
      </c>
      <c r="J10" s="4"/>
      <c r="K10" s="4"/>
      <c r="L10" s="4"/>
      <c r="N10" t="str">
        <f t="shared" si="0"/>
        <v/>
      </c>
      <c r="O10" t="str">
        <f t="shared" si="0"/>
        <v/>
      </c>
    </row>
    <row r="11" spans="1:15" x14ac:dyDescent="0.45">
      <c r="A11" s="4"/>
      <c r="B11" s="1">
        <v>7</v>
      </c>
      <c r="C11" s="1" t="s">
        <v>37</v>
      </c>
      <c r="D11" s="2" t="s">
        <v>37</v>
      </c>
      <c r="E11" s="3" t="s">
        <v>37</v>
      </c>
      <c r="F11" s="1">
        <v>7</v>
      </c>
      <c r="G11" s="1" t="s">
        <v>37</v>
      </c>
      <c r="H11" s="2" t="s">
        <v>37</v>
      </c>
      <c r="I11" s="3" t="s">
        <v>37</v>
      </c>
      <c r="J11" s="4"/>
      <c r="K11" s="4"/>
      <c r="L11" s="4"/>
      <c r="N11" t="str">
        <f t="shared" si="0"/>
        <v/>
      </c>
      <c r="O11" t="str">
        <f t="shared" si="0"/>
        <v/>
      </c>
    </row>
    <row r="12" spans="1:15" x14ac:dyDescent="0.45">
      <c r="A12" s="4"/>
      <c r="B12" s="1">
        <v>8</v>
      </c>
      <c r="C12" s="1" t="s">
        <v>37</v>
      </c>
      <c r="D12" s="2" t="s">
        <v>37</v>
      </c>
      <c r="E12" s="3" t="s">
        <v>37</v>
      </c>
      <c r="F12" s="1">
        <v>8</v>
      </c>
      <c r="G12" s="1" t="s">
        <v>37</v>
      </c>
      <c r="H12" s="2" t="s">
        <v>37</v>
      </c>
      <c r="I12" s="3" t="s">
        <v>37</v>
      </c>
      <c r="J12" s="4"/>
      <c r="K12" s="4"/>
      <c r="L12" s="4"/>
      <c r="N12" t="str">
        <f t="shared" si="0"/>
        <v/>
      </c>
      <c r="O12" t="str">
        <f t="shared" si="0"/>
        <v/>
      </c>
    </row>
    <row r="13" spans="1:15" x14ac:dyDescent="0.45">
      <c r="A13" s="4"/>
      <c r="B13" s="1">
        <v>9</v>
      </c>
      <c r="C13" s="1" t="s">
        <v>37</v>
      </c>
      <c r="D13" s="2" t="s">
        <v>37</v>
      </c>
      <c r="E13" s="3" t="s">
        <v>37</v>
      </c>
      <c r="F13" s="1">
        <v>9</v>
      </c>
      <c r="G13" s="1" t="s">
        <v>37</v>
      </c>
      <c r="H13" s="2" t="s">
        <v>37</v>
      </c>
      <c r="I13" s="3" t="s">
        <v>37</v>
      </c>
      <c r="J13" s="36" t="s">
        <v>149</v>
      </c>
      <c r="K13" s="4"/>
      <c r="L13" s="4"/>
      <c r="N13" t="str">
        <f t="shared" si="0"/>
        <v/>
      </c>
      <c r="O13" t="str">
        <f t="shared" si="0"/>
        <v/>
      </c>
    </row>
    <row r="14" spans="1:15" x14ac:dyDescent="0.45">
      <c r="A14" s="4"/>
      <c r="B14" s="8">
        <v>10</v>
      </c>
      <c r="C14" s="8"/>
      <c r="D14" s="9"/>
      <c r="E14" s="3" t="s">
        <v>37</v>
      </c>
      <c r="F14" s="8">
        <v>10</v>
      </c>
      <c r="G14" s="8"/>
      <c r="H14" s="9"/>
      <c r="I14" s="10"/>
      <c r="J14" s="11">
        <f>AVERAGE(E5:E14,I5:I14)</f>
        <v>17.555555555555557</v>
      </c>
      <c r="K14" s="4"/>
      <c r="L14" s="4"/>
      <c r="N14" t="str">
        <f t="shared" si="0"/>
        <v/>
      </c>
      <c r="O14" t="str">
        <f t="shared" si="0"/>
        <v/>
      </c>
    </row>
    <row r="15" spans="1:15" ht="21" x14ac:dyDescent="0.65">
      <c r="A15" s="4"/>
      <c r="B15" s="42" t="s">
        <v>150</v>
      </c>
      <c r="C15" s="43"/>
      <c r="D15" s="43"/>
      <c r="E15" s="43"/>
      <c r="F15" s="43"/>
      <c r="G15" s="43"/>
      <c r="H15" s="43"/>
      <c r="I15" s="43"/>
      <c r="J15" s="43"/>
      <c r="K15" s="44"/>
      <c r="L15" s="4"/>
    </row>
    <row r="16" spans="1:15" x14ac:dyDescent="0.45">
      <c r="A16" s="4"/>
      <c r="B16" s="45" t="s">
        <v>2</v>
      </c>
      <c r="C16" s="46"/>
      <c r="D16" s="46"/>
      <c r="E16" s="46"/>
      <c r="F16" s="46" t="s">
        <v>3</v>
      </c>
      <c r="G16" s="46"/>
      <c r="H16" s="46"/>
      <c r="I16" s="46"/>
      <c r="J16" s="46" t="s">
        <v>43</v>
      </c>
      <c r="K16" s="47"/>
      <c r="L16" s="4"/>
    </row>
    <row r="17" spans="1:15" x14ac:dyDescent="0.45">
      <c r="A17" s="4"/>
      <c r="B17" s="5"/>
      <c r="C17" s="5" t="s">
        <v>5</v>
      </c>
      <c r="D17" s="6" t="s">
        <v>6</v>
      </c>
      <c r="E17" s="7" t="s">
        <v>7</v>
      </c>
      <c r="F17" s="5"/>
      <c r="G17" s="5" t="s">
        <v>5</v>
      </c>
      <c r="H17" s="6" t="s">
        <v>6</v>
      </c>
      <c r="I17" s="7" t="s">
        <v>7</v>
      </c>
      <c r="J17" s="38" t="s">
        <v>151</v>
      </c>
      <c r="K17" s="39"/>
      <c r="L17" s="4"/>
      <c r="N17" t="str">
        <f>MID(B28,1,1)</f>
        <v>A</v>
      </c>
      <c r="O17" t="str">
        <f>IF(ISERROR(VLOOKUP(N17,Leeftijdscatogorie,1,FALSE)=TRUE),"",N17)</f>
        <v/>
      </c>
    </row>
    <row r="18" spans="1:15" x14ac:dyDescent="0.45">
      <c r="A18" s="4"/>
      <c r="B18" s="1">
        <v>1</v>
      </c>
      <c r="C18" s="1" t="s">
        <v>152</v>
      </c>
      <c r="D18" s="2">
        <v>36938</v>
      </c>
      <c r="E18" s="3">
        <v>16</v>
      </c>
      <c r="F18" s="1">
        <v>1</v>
      </c>
      <c r="G18" s="1" t="s">
        <v>153</v>
      </c>
      <c r="H18" s="2">
        <v>36683</v>
      </c>
      <c r="I18" s="3">
        <v>17</v>
      </c>
      <c r="J18" s="58"/>
      <c r="K18" s="59"/>
      <c r="L18" s="4"/>
      <c r="M18" t="str">
        <f>IF(O17="","",VLOOKUP(O17,Leeftijdscatogorie,2,FALSE))</f>
        <v/>
      </c>
      <c r="N18" t="str">
        <f>IF(O17="","",VLOOKUP(O17,Leeftijdscatogorie,3,FALSE))</f>
        <v/>
      </c>
      <c r="O18" t="str">
        <f>IF(O17="","",VLOOKUP(O17,Leeftijdscatogorie,4,FALSE))</f>
        <v/>
      </c>
    </row>
    <row r="19" spans="1:15" x14ac:dyDescent="0.45">
      <c r="A19" s="4"/>
      <c r="B19" s="1">
        <v>2</v>
      </c>
      <c r="C19" s="1" t="s">
        <v>154</v>
      </c>
      <c r="D19" s="2">
        <v>36993</v>
      </c>
      <c r="E19" s="3">
        <v>16</v>
      </c>
      <c r="F19" s="1">
        <v>2</v>
      </c>
      <c r="G19" s="1" t="s">
        <v>155</v>
      </c>
      <c r="H19" s="2">
        <v>37027</v>
      </c>
      <c r="I19" s="3">
        <v>16</v>
      </c>
      <c r="J19" s="51"/>
      <c r="K19" s="51"/>
      <c r="L19" s="4"/>
      <c r="N19" t="str">
        <f>N18</f>
        <v/>
      </c>
      <c r="O19" t="str">
        <f>O18</f>
        <v/>
      </c>
    </row>
    <row r="20" spans="1:15" x14ac:dyDescent="0.45">
      <c r="A20" s="4"/>
      <c r="B20" s="1">
        <v>3</v>
      </c>
      <c r="C20" s="1" t="s">
        <v>156</v>
      </c>
      <c r="D20" s="2">
        <v>36727</v>
      </c>
      <c r="E20" s="3">
        <v>17</v>
      </c>
      <c r="F20" s="1">
        <v>3</v>
      </c>
      <c r="G20" s="1" t="s">
        <v>157</v>
      </c>
      <c r="H20" s="2">
        <v>36588</v>
      </c>
      <c r="I20" s="3">
        <v>17</v>
      </c>
      <c r="J20" s="51"/>
      <c r="K20" s="51"/>
      <c r="L20" s="4"/>
      <c r="N20" t="str">
        <f t="shared" ref="N20:O27" si="1">N19</f>
        <v/>
      </c>
      <c r="O20" t="str">
        <f t="shared" si="1"/>
        <v/>
      </c>
    </row>
    <row r="21" spans="1:15" x14ac:dyDescent="0.45">
      <c r="A21" s="4"/>
      <c r="B21" s="1">
        <v>4</v>
      </c>
      <c r="C21" s="1" t="s">
        <v>158</v>
      </c>
      <c r="D21" s="2">
        <v>36849</v>
      </c>
      <c r="E21" s="3">
        <v>17</v>
      </c>
      <c r="F21" s="1">
        <v>4</v>
      </c>
      <c r="G21" s="1" t="s">
        <v>159</v>
      </c>
      <c r="H21" s="2">
        <v>36833</v>
      </c>
      <c r="I21" s="3">
        <v>17</v>
      </c>
      <c r="J21" s="51"/>
      <c r="K21" s="51"/>
      <c r="L21" s="4"/>
      <c r="N21" t="str">
        <f t="shared" si="1"/>
        <v/>
      </c>
      <c r="O21" t="str">
        <f t="shared" si="1"/>
        <v/>
      </c>
    </row>
    <row r="22" spans="1:15" x14ac:dyDescent="0.45">
      <c r="A22" s="4"/>
      <c r="B22" s="1">
        <v>5</v>
      </c>
      <c r="C22" s="1" t="s">
        <v>160</v>
      </c>
      <c r="D22" s="2">
        <v>36498</v>
      </c>
      <c r="E22" s="3">
        <v>18</v>
      </c>
      <c r="F22" s="1">
        <v>5</v>
      </c>
      <c r="G22" s="1" t="s">
        <v>161</v>
      </c>
      <c r="H22" s="2">
        <v>36724</v>
      </c>
      <c r="I22" s="3">
        <v>17</v>
      </c>
      <c r="J22" s="60"/>
      <c r="K22" s="60"/>
      <c r="L22" s="60"/>
      <c r="N22" t="str">
        <f t="shared" si="1"/>
        <v/>
      </c>
      <c r="O22" t="str">
        <f t="shared" si="1"/>
        <v/>
      </c>
    </row>
    <row r="23" spans="1:15" x14ac:dyDescent="0.45">
      <c r="A23" s="4"/>
      <c r="B23" s="1">
        <v>6</v>
      </c>
      <c r="C23" s="1"/>
      <c r="D23" s="2"/>
      <c r="E23" s="3"/>
      <c r="F23" s="1">
        <v>6</v>
      </c>
      <c r="G23" s="1" t="s">
        <v>37</v>
      </c>
      <c r="H23" s="2" t="s">
        <v>37</v>
      </c>
      <c r="I23" s="3" t="s">
        <v>37</v>
      </c>
      <c r="J23" s="4"/>
      <c r="K23" s="4"/>
      <c r="L23" s="4"/>
      <c r="N23" t="str">
        <f t="shared" si="1"/>
        <v/>
      </c>
      <c r="O23" t="str">
        <f t="shared" si="1"/>
        <v/>
      </c>
    </row>
    <row r="24" spans="1:15" x14ac:dyDescent="0.45">
      <c r="A24" s="4"/>
      <c r="B24" s="1">
        <v>7</v>
      </c>
      <c r="C24" s="1" t="s">
        <v>37</v>
      </c>
      <c r="D24" s="2" t="s">
        <v>37</v>
      </c>
      <c r="E24" s="3" t="s">
        <v>37</v>
      </c>
      <c r="F24" s="1">
        <v>7</v>
      </c>
      <c r="G24" s="1" t="s">
        <v>37</v>
      </c>
      <c r="H24" s="2" t="s">
        <v>37</v>
      </c>
      <c r="I24" s="3" t="s">
        <v>37</v>
      </c>
      <c r="J24" s="4"/>
      <c r="K24" s="4"/>
      <c r="L24" s="4"/>
      <c r="N24" t="str">
        <f t="shared" si="1"/>
        <v/>
      </c>
      <c r="O24" t="str">
        <f t="shared" si="1"/>
        <v/>
      </c>
    </row>
    <row r="25" spans="1:15" x14ac:dyDescent="0.45">
      <c r="A25" s="4"/>
      <c r="B25" s="1">
        <v>8</v>
      </c>
      <c r="C25" s="1" t="s">
        <v>37</v>
      </c>
      <c r="D25" s="2" t="s">
        <v>37</v>
      </c>
      <c r="E25" s="3" t="s">
        <v>37</v>
      </c>
      <c r="F25" s="1">
        <v>8</v>
      </c>
      <c r="G25" s="1" t="s">
        <v>37</v>
      </c>
      <c r="H25" s="2" t="s">
        <v>37</v>
      </c>
      <c r="I25" s="3" t="s">
        <v>37</v>
      </c>
      <c r="J25" s="4"/>
      <c r="K25" s="4"/>
      <c r="L25" s="4"/>
      <c r="N25" t="str">
        <f t="shared" si="1"/>
        <v/>
      </c>
      <c r="O25" t="str">
        <f t="shared" si="1"/>
        <v/>
      </c>
    </row>
    <row r="26" spans="1:15" x14ac:dyDescent="0.45">
      <c r="A26" s="4"/>
      <c r="B26" s="1">
        <v>9</v>
      </c>
      <c r="C26" s="1" t="s">
        <v>37</v>
      </c>
      <c r="D26" s="2" t="s">
        <v>37</v>
      </c>
      <c r="E26" s="3" t="s">
        <v>37</v>
      </c>
      <c r="F26" s="1">
        <v>9</v>
      </c>
      <c r="G26" s="1" t="s">
        <v>37</v>
      </c>
      <c r="H26" s="2" t="s">
        <v>37</v>
      </c>
      <c r="I26" s="3" t="s">
        <v>37</v>
      </c>
      <c r="J26" s="36" t="s">
        <v>149</v>
      </c>
      <c r="K26" s="4"/>
      <c r="L26" s="4"/>
      <c r="N26" t="str">
        <f t="shared" si="1"/>
        <v/>
      </c>
      <c r="O26" t="str">
        <f t="shared" si="1"/>
        <v/>
      </c>
    </row>
    <row r="27" spans="1:15" x14ac:dyDescent="0.45">
      <c r="A27" s="4"/>
      <c r="B27" s="1">
        <v>10</v>
      </c>
      <c r="C27" s="1" t="s">
        <v>37</v>
      </c>
      <c r="D27" s="2" t="s">
        <v>37</v>
      </c>
      <c r="E27" s="3" t="s">
        <v>37</v>
      </c>
      <c r="F27" s="1">
        <v>10</v>
      </c>
      <c r="G27" s="1" t="s">
        <v>37</v>
      </c>
      <c r="H27" s="2" t="s">
        <v>37</v>
      </c>
      <c r="I27" s="3" t="s">
        <v>37</v>
      </c>
      <c r="J27" s="11">
        <f>AVERAGE(E18:E27,I18:I27)</f>
        <v>16.8</v>
      </c>
      <c r="K27" s="4"/>
      <c r="L27" s="4"/>
      <c r="N27" t="str">
        <f t="shared" si="1"/>
        <v/>
      </c>
      <c r="O27" t="str">
        <f t="shared" si="1"/>
        <v/>
      </c>
    </row>
    <row r="28" spans="1:15" ht="21" x14ac:dyDescent="0.65">
      <c r="A28" s="4"/>
      <c r="B28" s="42" t="s">
        <v>162</v>
      </c>
      <c r="C28" s="43"/>
      <c r="D28" s="43"/>
      <c r="E28" s="43"/>
      <c r="F28" s="43"/>
      <c r="G28" s="43"/>
      <c r="H28" s="43"/>
      <c r="I28" s="43"/>
      <c r="J28" s="43"/>
      <c r="K28" s="44"/>
      <c r="L28" s="4"/>
    </row>
    <row r="29" spans="1:15" x14ac:dyDescent="0.45">
      <c r="A29" s="4"/>
      <c r="B29" s="45" t="s">
        <v>2</v>
      </c>
      <c r="C29" s="46"/>
      <c r="D29" s="46"/>
      <c r="E29" s="46"/>
      <c r="F29" s="46" t="s">
        <v>3</v>
      </c>
      <c r="G29" s="46"/>
      <c r="H29" s="46"/>
      <c r="I29" s="46"/>
      <c r="J29" s="46" t="s">
        <v>43</v>
      </c>
      <c r="K29" s="47"/>
      <c r="L29" s="4"/>
    </row>
    <row r="30" spans="1:15" x14ac:dyDescent="0.45">
      <c r="A30" s="4"/>
      <c r="B30" s="5"/>
      <c r="C30" s="5" t="s">
        <v>5</v>
      </c>
      <c r="D30" s="6" t="s">
        <v>6</v>
      </c>
      <c r="E30" s="7" t="s">
        <v>7</v>
      </c>
      <c r="F30" s="5"/>
      <c r="G30" s="5" t="s">
        <v>5</v>
      </c>
      <c r="H30" s="6" t="s">
        <v>6</v>
      </c>
      <c r="I30" s="7" t="s">
        <v>7</v>
      </c>
      <c r="J30" s="58" t="s">
        <v>163</v>
      </c>
      <c r="K30" s="59"/>
      <c r="L30" s="4"/>
      <c r="N30" t="str">
        <f>MID(B41,1,1)</f>
        <v>A</v>
      </c>
      <c r="O30" t="str">
        <f>IF(ISERROR(VLOOKUP(N30,Leeftijdscatogorie,1,FALSE)=TRUE),"",N30)</f>
        <v/>
      </c>
    </row>
    <row r="31" spans="1:15" x14ac:dyDescent="0.45">
      <c r="A31" s="4"/>
      <c r="B31" s="1">
        <v>1</v>
      </c>
      <c r="C31" s="1" t="s">
        <v>164</v>
      </c>
      <c r="D31" s="2">
        <v>36530</v>
      </c>
      <c r="E31" s="3">
        <v>17</v>
      </c>
      <c r="F31" s="1">
        <v>1</v>
      </c>
      <c r="G31" s="1" t="s">
        <v>165</v>
      </c>
      <c r="H31" s="2">
        <v>36666</v>
      </c>
      <c r="I31" s="3">
        <v>17</v>
      </c>
      <c r="J31" s="61"/>
      <c r="K31" s="62"/>
      <c r="L31" s="4"/>
      <c r="M31" t="str">
        <f>IF(O30="","",VLOOKUP(O30,Leeftijdscatogorie,2,FALSE))</f>
        <v/>
      </c>
      <c r="N31" t="str">
        <f>IF(O30="","",VLOOKUP(O30,Leeftijdscatogorie,3,FALSE))</f>
        <v/>
      </c>
      <c r="O31" t="str">
        <f>IF(O30="","",VLOOKUP(O30,Leeftijdscatogorie,4,FALSE))</f>
        <v/>
      </c>
    </row>
    <row r="32" spans="1:15" x14ac:dyDescent="0.45">
      <c r="A32" s="4"/>
      <c r="B32" s="1">
        <v>2</v>
      </c>
      <c r="C32" s="1" t="s">
        <v>166</v>
      </c>
      <c r="D32" s="2">
        <v>36865</v>
      </c>
      <c r="E32" s="3">
        <v>17</v>
      </c>
      <c r="F32" s="1">
        <v>2</v>
      </c>
      <c r="G32" s="1" t="s">
        <v>167</v>
      </c>
      <c r="H32" s="2">
        <v>36865</v>
      </c>
      <c r="I32" s="3">
        <v>17</v>
      </c>
      <c r="J32" s="4"/>
      <c r="K32" s="4"/>
      <c r="L32" s="4"/>
      <c r="N32" t="str">
        <f>N31</f>
        <v/>
      </c>
      <c r="O32" t="str">
        <f>O31</f>
        <v/>
      </c>
    </row>
    <row r="33" spans="1:15" x14ac:dyDescent="0.45">
      <c r="A33" s="4"/>
      <c r="B33" s="1">
        <v>3</v>
      </c>
      <c r="C33" s="1" t="s">
        <v>168</v>
      </c>
      <c r="D33" s="2">
        <v>36385</v>
      </c>
      <c r="E33" s="3">
        <v>18</v>
      </c>
      <c r="F33" s="1">
        <v>3</v>
      </c>
      <c r="G33" s="1" t="s">
        <v>169</v>
      </c>
      <c r="H33" s="2">
        <v>36843</v>
      </c>
      <c r="I33" s="3">
        <v>17</v>
      </c>
      <c r="J33" s="4"/>
      <c r="K33" s="4"/>
      <c r="L33" s="4"/>
      <c r="N33" t="str">
        <f t="shared" ref="N33:O40" si="2">N32</f>
        <v/>
      </c>
      <c r="O33" t="str">
        <f t="shared" si="2"/>
        <v/>
      </c>
    </row>
    <row r="34" spans="1:15" x14ac:dyDescent="0.45">
      <c r="A34" s="4"/>
      <c r="B34" s="1">
        <v>4</v>
      </c>
      <c r="C34" s="1" t="s">
        <v>170</v>
      </c>
      <c r="D34" s="2">
        <v>36013</v>
      </c>
      <c r="E34" s="3">
        <v>19</v>
      </c>
      <c r="F34" s="1">
        <v>4</v>
      </c>
      <c r="G34" s="1" t="s">
        <v>171</v>
      </c>
      <c r="H34" s="2">
        <v>36605</v>
      </c>
      <c r="I34" s="3">
        <v>17</v>
      </c>
      <c r="J34" s="4"/>
      <c r="K34" s="4"/>
      <c r="L34" s="4"/>
      <c r="N34" t="str">
        <f t="shared" si="2"/>
        <v/>
      </c>
      <c r="O34" t="str">
        <f t="shared" si="2"/>
        <v/>
      </c>
    </row>
    <row r="35" spans="1:15" x14ac:dyDescent="0.45">
      <c r="A35" s="4"/>
      <c r="B35" s="1">
        <v>5</v>
      </c>
      <c r="C35" s="1" t="s">
        <v>172</v>
      </c>
      <c r="D35" s="2">
        <v>36323</v>
      </c>
      <c r="E35" s="3">
        <v>18</v>
      </c>
      <c r="F35" s="1">
        <v>5</v>
      </c>
      <c r="G35" s="1" t="s">
        <v>37</v>
      </c>
      <c r="H35" s="2" t="s">
        <v>37</v>
      </c>
      <c r="I35" s="3" t="s">
        <v>37</v>
      </c>
      <c r="J35" s="4"/>
      <c r="K35" s="4"/>
      <c r="L35" s="4"/>
      <c r="N35" t="str">
        <f t="shared" si="2"/>
        <v/>
      </c>
      <c r="O35" t="str">
        <f t="shared" si="2"/>
        <v/>
      </c>
    </row>
    <row r="36" spans="1:15" x14ac:dyDescent="0.45">
      <c r="A36" s="4"/>
      <c r="B36" s="1">
        <v>6</v>
      </c>
      <c r="C36" s="1" t="s">
        <v>173</v>
      </c>
      <c r="D36" s="2">
        <v>36887</v>
      </c>
      <c r="E36" s="3">
        <v>17</v>
      </c>
      <c r="F36" s="1">
        <v>6</v>
      </c>
      <c r="G36" s="1" t="s">
        <v>37</v>
      </c>
      <c r="H36" s="2" t="s">
        <v>37</v>
      </c>
      <c r="I36" s="3" t="s">
        <v>37</v>
      </c>
      <c r="J36" s="4"/>
      <c r="K36" s="4"/>
      <c r="L36" s="4"/>
      <c r="N36" t="str">
        <f t="shared" si="2"/>
        <v/>
      </c>
      <c r="O36" t="str">
        <f t="shared" si="2"/>
        <v/>
      </c>
    </row>
    <row r="37" spans="1:15" x14ac:dyDescent="0.45">
      <c r="A37" s="4"/>
      <c r="B37" s="1">
        <v>7</v>
      </c>
      <c r="C37" s="1" t="s">
        <v>37</v>
      </c>
      <c r="D37" s="2" t="s">
        <v>37</v>
      </c>
      <c r="E37" s="3" t="s">
        <v>37</v>
      </c>
      <c r="F37" s="1">
        <v>7</v>
      </c>
      <c r="G37" s="1" t="s">
        <v>37</v>
      </c>
      <c r="H37" s="2" t="s">
        <v>37</v>
      </c>
      <c r="I37" s="3" t="s">
        <v>37</v>
      </c>
      <c r="J37" s="4"/>
      <c r="K37" s="4"/>
      <c r="L37" s="4"/>
      <c r="N37" t="str">
        <f t="shared" si="2"/>
        <v/>
      </c>
      <c r="O37" t="str">
        <f t="shared" si="2"/>
        <v/>
      </c>
    </row>
    <row r="38" spans="1:15" ht="15" customHeight="1" x14ac:dyDescent="0.45">
      <c r="A38" s="4"/>
      <c r="B38" s="1">
        <v>8</v>
      </c>
      <c r="C38" s="1" t="s">
        <v>37</v>
      </c>
      <c r="D38" s="2" t="s">
        <v>37</v>
      </c>
      <c r="E38" s="3" t="s">
        <v>37</v>
      </c>
      <c r="F38" s="1">
        <v>8</v>
      </c>
      <c r="G38" s="1" t="s">
        <v>37</v>
      </c>
      <c r="H38" s="2" t="s">
        <v>37</v>
      </c>
      <c r="I38" s="3" t="s">
        <v>37</v>
      </c>
      <c r="J38" s="4"/>
      <c r="K38" s="4"/>
      <c r="L38" s="4"/>
      <c r="N38" t="str">
        <f t="shared" si="2"/>
        <v/>
      </c>
      <c r="O38" t="str">
        <f t="shared" si="2"/>
        <v/>
      </c>
    </row>
    <row r="39" spans="1:15" x14ac:dyDescent="0.45">
      <c r="A39" s="4"/>
      <c r="B39" s="1">
        <v>9</v>
      </c>
      <c r="C39" s="1" t="s">
        <v>37</v>
      </c>
      <c r="D39" s="2" t="s">
        <v>37</v>
      </c>
      <c r="E39" s="3" t="s">
        <v>37</v>
      </c>
      <c r="F39" s="1">
        <v>9</v>
      </c>
      <c r="G39" s="1" t="s">
        <v>37</v>
      </c>
      <c r="H39" s="2" t="s">
        <v>37</v>
      </c>
      <c r="I39" s="3" t="s">
        <v>37</v>
      </c>
      <c r="J39" s="36" t="s">
        <v>149</v>
      </c>
      <c r="K39" s="4"/>
      <c r="L39" s="4"/>
      <c r="N39" t="str">
        <f t="shared" si="2"/>
        <v/>
      </c>
      <c r="O39" t="str">
        <f t="shared" si="2"/>
        <v/>
      </c>
    </row>
    <row r="40" spans="1:15" ht="15" customHeight="1" x14ac:dyDescent="0.45">
      <c r="A40" s="4"/>
      <c r="B40" s="8">
        <v>10</v>
      </c>
      <c r="C40" s="1" t="s">
        <v>37</v>
      </c>
      <c r="D40" s="9" t="s">
        <v>37</v>
      </c>
      <c r="E40" s="10" t="s">
        <v>37</v>
      </c>
      <c r="F40" s="8">
        <v>10</v>
      </c>
      <c r="G40" s="1" t="s">
        <v>37</v>
      </c>
      <c r="H40" s="9" t="s">
        <v>37</v>
      </c>
      <c r="I40" s="10" t="s">
        <v>37</v>
      </c>
      <c r="J40" s="11">
        <f>AVERAGE(E31:E40,I31:I40)</f>
        <v>17.399999999999999</v>
      </c>
      <c r="K40" s="4"/>
      <c r="L40" s="4"/>
      <c r="N40" t="str">
        <f t="shared" si="2"/>
        <v/>
      </c>
      <c r="O40" t="str">
        <f t="shared" si="2"/>
        <v/>
      </c>
    </row>
    <row r="41" spans="1:15" ht="21" x14ac:dyDescent="0.65">
      <c r="A41" s="4"/>
      <c r="B41" s="42" t="s">
        <v>174</v>
      </c>
      <c r="C41" s="43"/>
      <c r="D41" s="43"/>
      <c r="E41" s="43"/>
      <c r="F41" s="43"/>
      <c r="G41" s="43"/>
      <c r="H41" s="43"/>
      <c r="I41" s="43"/>
      <c r="J41" s="43"/>
      <c r="K41" s="44"/>
      <c r="L41" s="4"/>
    </row>
    <row r="42" spans="1:15" ht="15" customHeight="1" x14ac:dyDescent="0.45">
      <c r="A42" s="4"/>
      <c r="B42" s="45" t="s">
        <v>2</v>
      </c>
      <c r="C42" s="46"/>
      <c r="D42" s="46"/>
      <c r="E42" s="46"/>
      <c r="F42" s="46" t="s">
        <v>3</v>
      </c>
      <c r="G42" s="46"/>
      <c r="H42" s="46"/>
      <c r="I42" s="46"/>
      <c r="J42" s="46" t="s">
        <v>43</v>
      </c>
      <c r="K42" s="47"/>
      <c r="L42" s="4"/>
    </row>
    <row r="43" spans="1:15" ht="15" customHeight="1" x14ac:dyDescent="0.45">
      <c r="A43" s="4"/>
      <c r="B43" s="5"/>
      <c r="C43" s="5" t="s">
        <v>5</v>
      </c>
      <c r="D43" s="6" t="s">
        <v>6</v>
      </c>
      <c r="E43" s="7" t="s">
        <v>7</v>
      </c>
      <c r="F43" s="5"/>
      <c r="G43" s="5" t="s">
        <v>5</v>
      </c>
      <c r="H43" s="6" t="s">
        <v>6</v>
      </c>
      <c r="I43" s="7" t="s">
        <v>7</v>
      </c>
      <c r="J43" s="48" t="s">
        <v>175</v>
      </c>
      <c r="K43" s="48"/>
      <c r="L43" s="4"/>
      <c r="N43" t="str">
        <f>MID(B54,1,1)</f>
        <v>A</v>
      </c>
      <c r="O43" t="str">
        <f>IF(ISERROR(VLOOKUP(N43,Leeftijdscatogorie,1,FALSE)=TRUE),"",N43)</f>
        <v/>
      </c>
    </row>
    <row r="44" spans="1:15" ht="15" customHeight="1" x14ac:dyDescent="0.45">
      <c r="A44" s="4"/>
      <c r="B44" s="1">
        <v>1</v>
      </c>
      <c r="C44" s="1" t="s">
        <v>176</v>
      </c>
      <c r="D44" s="2">
        <v>36801</v>
      </c>
      <c r="E44" s="3">
        <v>17</v>
      </c>
      <c r="F44" s="1">
        <v>1</v>
      </c>
      <c r="G44" s="1" t="s">
        <v>177</v>
      </c>
      <c r="H44" s="2">
        <v>36929</v>
      </c>
      <c r="I44" s="3">
        <v>16</v>
      </c>
      <c r="J44" s="57" t="s">
        <v>178</v>
      </c>
      <c r="K44" s="57"/>
      <c r="L44" s="4"/>
      <c r="M44" t="str">
        <f>IF(O43="","",VLOOKUP(O43,Leeftijdscatogorie,2,FALSE))</f>
        <v/>
      </c>
      <c r="N44" t="str">
        <f>IF(O43="","",VLOOKUP(O43,Leeftijdscatogorie,3,FALSE))</f>
        <v/>
      </c>
      <c r="O44" t="str">
        <f>IF(O43="","",VLOOKUP(O43,Leeftijdscatogorie,4,FALSE))</f>
        <v/>
      </c>
    </row>
    <row r="45" spans="1:15" ht="15" customHeight="1" x14ac:dyDescent="0.45">
      <c r="A45" s="4"/>
      <c r="B45" s="1">
        <v>2</v>
      </c>
      <c r="C45" s="1" t="s">
        <v>179</v>
      </c>
      <c r="D45" s="2">
        <v>36758</v>
      </c>
      <c r="E45" s="3">
        <v>17</v>
      </c>
      <c r="F45" s="1">
        <v>2</v>
      </c>
      <c r="G45" s="1" t="s">
        <v>180</v>
      </c>
      <c r="H45" s="2">
        <v>36465</v>
      </c>
      <c r="I45" s="3">
        <v>18</v>
      </c>
      <c r="J45" s="4"/>
      <c r="K45" s="4"/>
      <c r="L45" s="4"/>
      <c r="N45" t="str">
        <f>N44</f>
        <v/>
      </c>
      <c r="O45" t="str">
        <f>O44</f>
        <v/>
      </c>
    </row>
    <row r="46" spans="1:15" x14ac:dyDescent="0.45">
      <c r="A46" s="4"/>
      <c r="B46" s="1">
        <v>3</v>
      </c>
      <c r="C46" s="1" t="s">
        <v>181</v>
      </c>
      <c r="D46" s="2">
        <v>36928</v>
      </c>
      <c r="E46" s="3">
        <v>16</v>
      </c>
      <c r="F46" s="1">
        <v>3</v>
      </c>
      <c r="G46" s="1" t="s">
        <v>182</v>
      </c>
      <c r="H46" s="2">
        <v>36308</v>
      </c>
      <c r="I46" s="3">
        <v>18</v>
      </c>
      <c r="J46" s="4"/>
      <c r="K46" s="4"/>
      <c r="L46" s="4"/>
      <c r="N46" t="str">
        <f t="shared" ref="N46:O53" si="3">N45</f>
        <v/>
      </c>
      <c r="O46" t="str">
        <f t="shared" si="3"/>
        <v/>
      </c>
    </row>
    <row r="47" spans="1:15" x14ac:dyDescent="0.45">
      <c r="A47" s="4"/>
      <c r="B47" s="1">
        <v>4</v>
      </c>
      <c r="C47" s="1" t="s">
        <v>183</v>
      </c>
      <c r="D47" s="2">
        <v>36755</v>
      </c>
      <c r="E47" s="3">
        <v>17</v>
      </c>
      <c r="F47" s="1">
        <v>4</v>
      </c>
      <c r="G47" s="1" t="s">
        <v>37</v>
      </c>
      <c r="H47" s="2" t="s">
        <v>37</v>
      </c>
      <c r="I47" s="3" t="s">
        <v>37</v>
      </c>
      <c r="J47" s="4"/>
      <c r="K47" s="4"/>
      <c r="L47" s="4"/>
      <c r="N47" t="str">
        <f t="shared" si="3"/>
        <v/>
      </c>
      <c r="O47" t="str">
        <f t="shared" si="3"/>
        <v/>
      </c>
    </row>
    <row r="48" spans="1:15" x14ac:dyDescent="0.45">
      <c r="A48" s="4"/>
      <c r="B48" s="1">
        <v>5</v>
      </c>
      <c r="C48" s="1" t="s">
        <v>184</v>
      </c>
      <c r="D48" s="2">
        <v>37224</v>
      </c>
      <c r="E48" s="3">
        <v>16</v>
      </c>
      <c r="F48" s="1">
        <v>5</v>
      </c>
      <c r="G48" s="1" t="s">
        <v>37</v>
      </c>
      <c r="H48" s="2" t="s">
        <v>37</v>
      </c>
      <c r="I48" s="3" t="s">
        <v>37</v>
      </c>
      <c r="J48" s="4"/>
      <c r="K48" s="4"/>
      <c r="L48" s="4"/>
      <c r="N48" t="str">
        <f t="shared" si="3"/>
        <v/>
      </c>
      <c r="O48" t="str">
        <f t="shared" si="3"/>
        <v/>
      </c>
    </row>
    <row r="49" spans="1:15" x14ac:dyDescent="0.45">
      <c r="A49" s="4"/>
      <c r="B49" s="1">
        <v>6</v>
      </c>
      <c r="C49" s="1" t="s">
        <v>185</v>
      </c>
      <c r="D49" s="2">
        <v>36969</v>
      </c>
      <c r="E49" s="3">
        <v>16</v>
      </c>
      <c r="F49" s="1">
        <v>6</v>
      </c>
      <c r="G49" s="1" t="s">
        <v>37</v>
      </c>
      <c r="H49" s="2" t="s">
        <v>37</v>
      </c>
      <c r="I49" s="3" t="s">
        <v>37</v>
      </c>
      <c r="J49" s="4"/>
      <c r="K49" s="4"/>
      <c r="L49" s="4"/>
      <c r="N49" t="str">
        <f t="shared" si="3"/>
        <v/>
      </c>
      <c r="O49" t="str">
        <f t="shared" si="3"/>
        <v/>
      </c>
    </row>
    <row r="50" spans="1:15" x14ac:dyDescent="0.45">
      <c r="A50" s="4"/>
      <c r="B50" s="1">
        <v>7</v>
      </c>
      <c r="C50" s="1" t="s">
        <v>186</v>
      </c>
      <c r="D50" s="2">
        <v>36106</v>
      </c>
      <c r="E50" s="3">
        <v>19</v>
      </c>
      <c r="F50" s="1">
        <v>7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t="str">
        <f t="shared" si="3"/>
        <v/>
      </c>
      <c r="O50" t="str">
        <f t="shared" si="3"/>
        <v/>
      </c>
    </row>
    <row r="51" spans="1:15" x14ac:dyDescent="0.45">
      <c r="A51" s="4"/>
      <c r="B51" s="1">
        <v>8</v>
      </c>
      <c r="C51" s="1" t="s">
        <v>187</v>
      </c>
      <c r="D51" s="2">
        <v>37104</v>
      </c>
      <c r="E51" s="3">
        <v>16</v>
      </c>
      <c r="F51" s="1">
        <v>8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t="str">
        <f t="shared" si="3"/>
        <v/>
      </c>
      <c r="O51" t="str">
        <f t="shared" si="3"/>
        <v/>
      </c>
    </row>
    <row r="52" spans="1:15" x14ac:dyDescent="0.45">
      <c r="A52" s="4"/>
      <c r="B52" s="1">
        <v>9</v>
      </c>
      <c r="C52" s="1" t="s">
        <v>188</v>
      </c>
      <c r="D52" s="2">
        <v>37104</v>
      </c>
      <c r="E52" s="3">
        <v>16</v>
      </c>
      <c r="F52" s="1">
        <v>9</v>
      </c>
      <c r="G52" s="1" t="s">
        <v>37</v>
      </c>
      <c r="H52" s="2" t="s">
        <v>37</v>
      </c>
      <c r="I52" s="3" t="s">
        <v>37</v>
      </c>
      <c r="J52" s="36" t="s">
        <v>149</v>
      </c>
      <c r="K52" s="4"/>
      <c r="L52" s="4"/>
      <c r="N52" t="str">
        <f t="shared" si="3"/>
        <v/>
      </c>
      <c r="O52" t="str">
        <f t="shared" si="3"/>
        <v/>
      </c>
    </row>
    <row r="53" spans="1:15" x14ac:dyDescent="0.45">
      <c r="A53" s="4"/>
      <c r="B53" s="1">
        <v>10</v>
      </c>
      <c r="C53" s="1" t="s">
        <v>37</v>
      </c>
      <c r="D53" s="2" t="s">
        <v>37</v>
      </c>
      <c r="E53" s="3" t="s">
        <v>37</v>
      </c>
      <c r="F53" s="1">
        <v>10</v>
      </c>
      <c r="G53" s="1" t="s">
        <v>37</v>
      </c>
      <c r="H53" s="2" t="s">
        <v>37</v>
      </c>
      <c r="I53" s="3" t="s">
        <v>37</v>
      </c>
      <c r="J53" s="11">
        <f>AVERAGE(E44:E53,I44:I53)</f>
        <v>16.833333333333332</v>
      </c>
      <c r="K53" s="4"/>
      <c r="L53" s="4"/>
      <c r="N53" t="str">
        <f t="shared" si="3"/>
        <v/>
      </c>
      <c r="O53" t="str">
        <f t="shared" si="3"/>
        <v/>
      </c>
    </row>
    <row r="54" spans="1:15" ht="21" hidden="1" x14ac:dyDescent="0.65">
      <c r="B54" s="42" t="s">
        <v>189</v>
      </c>
      <c r="C54" s="43"/>
      <c r="D54" s="43"/>
      <c r="E54" s="43"/>
      <c r="F54" s="43"/>
      <c r="G54" s="43"/>
      <c r="H54" s="43"/>
      <c r="I54" s="43"/>
      <c r="J54" s="43"/>
      <c r="K54" s="44"/>
      <c r="L54" s="4"/>
    </row>
    <row r="55" spans="1:15" hidden="1" x14ac:dyDescent="0.45">
      <c r="B55" s="45" t="s">
        <v>2</v>
      </c>
      <c r="C55" s="46"/>
      <c r="D55" s="46"/>
      <c r="E55" s="46"/>
      <c r="F55" s="46" t="s">
        <v>3</v>
      </c>
      <c r="G55" s="46"/>
      <c r="H55" s="46"/>
      <c r="I55" s="46"/>
      <c r="J55" s="46" t="s">
        <v>43</v>
      </c>
      <c r="K55" s="47"/>
      <c r="L55" s="4"/>
    </row>
    <row r="56" spans="1:15" hidden="1" x14ac:dyDescent="0.45">
      <c r="B56" s="5"/>
      <c r="C56" s="5" t="s">
        <v>5</v>
      </c>
      <c r="D56" s="6" t="s">
        <v>6</v>
      </c>
      <c r="E56" s="7" t="s">
        <v>7</v>
      </c>
      <c r="F56" s="5"/>
      <c r="G56" s="5" t="s">
        <v>5</v>
      </c>
      <c r="H56" s="6" t="s">
        <v>6</v>
      </c>
      <c r="I56" s="7" t="s">
        <v>7</v>
      </c>
      <c r="J56" s="48"/>
      <c r="K56" s="48"/>
      <c r="L56" s="4"/>
      <c r="N56" t="s">
        <v>190</v>
      </c>
      <c r="O56" t="str">
        <f>IF(ISERROR(VLOOKUP(N56,Leeftijdscatogorie,1,FALSE)=TRUE),"",N56)</f>
        <v/>
      </c>
    </row>
    <row r="57" spans="1:15" hidden="1" x14ac:dyDescent="0.45">
      <c r="B57" s="1">
        <v>1</v>
      </c>
      <c r="C57" s="1" t="e">
        <v>#NAME?</v>
      </c>
      <c r="D57" s="2" t="e">
        <v>#NAME?</v>
      </c>
      <c r="E57" s="3" t="e">
        <v>#NAME?</v>
      </c>
      <c r="F57" s="1">
        <v>1</v>
      </c>
      <c r="G57" s="1" t="e">
        <v>#NAME?</v>
      </c>
      <c r="H57" s="2" t="e">
        <v>#NAME?</v>
      </c>
      <c r="I57" s="3" t="e">
        <v>#NAME?</v>
      </c>
      <c r="J57" s="57"/>
      <c r="K57" s="57"/>
      <c r="L57" s="4"/>
      <c r="M57" t="str">
        <f>IF(O56="","",VLOOKUP(O56,Leeftijdscatogorie,2,FALSE))</f>
        <v/>
      </c>
      <c r="N57" t="str">
        <f>IF(O56="","",VLOOKUP(O56,Leeftijdscatogorie,3,FALSE))</f>
        <v/>
      </c>
      <c r="O57" t="str">
        <f>IF(O56="","",VLOOKUP(O56,Leeftijdscatogorie,4,FALSE))</f>
        <v/>
      </c>
    </row>
    <row r="58" spans="1:15" hidden="1" x14ac:dyDescent="0.45">
      <c r="B58" s="1">
        <v>2</v>
      </c>
      <c r="C58" s="1" t="e">
        <v>#NAME?</v>
      </c>
      <c r="D58" s="2" t="e">
        <v>#NAME?</v>
      </c>
      <c r="E58" s="3" t="e">
        <v>#NAME?</v>
      </c>
      <c r="F58" s="1">
        <v>2</v>
      </c>
      <c r="G58" s="1" t="e">
        <v>#NAME?</v>
      </c>
      <c r="H58" s="2" t="e">
        <v>#NAME?</v>
      </c>
      <c r="I58" s="3" t="e">
        <v>#NAME?</v>
      </c>
      <c r="J58" s="4"/>
      <c r="K58" s="4"/>
      <c r="L58" s="4"/>
      <c r="N58" t="str">
        <f>N57</f>
        <v/>
      </c>
      <c r="O58" t="str">
        <f>O57</f>
        <v/>
      </c>
    </row>
    <row r="59" spans="1:15" hidden="1" x14ac:dyDescent="0.45">
      <c r="B59" s="1">
        <v>3</v>
      </c>
      <c r="C59" s="1" t="e">
        <v>#NAME?</v>
      </c>
      <c r="D59" s="2" t="e">
        <v>#NAME?</v>
      </c>
      <c r="E59" s="3" t="e">
        <v>#NAME?</v>
      </c>
      <c r="F59" s="1">
        <v>3</v>
      </c>
      <c r="G59" s="1" t="e">
        <v>#NAME?</v>
      </c>
      <c r="H59" s="2" t="e">
        <v>#NAME?</v>
      </c>
      <c r="I59" s="3" t="e">
        <v>#NAME?</v>
      </c>
      <c r="J59" s="4"/>
      <c r="K59" s="4"/>
      <c r="L59" s="4"/>
      <c r="N59" t="str">
        <f t="shared" ref="N59:O66" si="4">N58</f>
        <v/>
      </c>
      <c r="O59" t="str">
        <f t="shared" si="4"/>
        <v/>
      </c>
    </row>
    <row r="60" spans="1:15" hidden="1" x14ac:dyDescent="0.45">
      <c r="B60" s="1">
        <v>4</v>
      </c>
      <c r="C60" s="1" t="e">
        <v>#NAME?</v>
      </c>
      <c r="D60" s="2" t="e">
        <v>#NAME?</v>
      </c>
      <c r="E60" s="3" t="e">
        <v>#NAME?</v>
      </c>
      <c r="F60" s="1">
        <v>4</v>
      </c>
      <c r="G60" s="1" t="e">
        <v>#NAME?</v>
      </c>
      <c r="H60" s="2" t="e">
        <v>#NAME?</v>
      </c>
      <c r="I60" s="3" t="e">
        <v>#NAME?</v>
      </c>
      <c r="J60" s="4"/>
      <c r="K60" s="4"/>
      <c r="L60" s="4"/>
      <c r="N60" t="str">
        <f t="shared" si="4"/>
        <v/>
      </c>
      <c r="O60" t="str">
        <f t="shared" si="4"/>
        <v/>
      </c>
    </row>
    <row r="61" spans="1:15" hidden="1" x14ac:dyDescent="0.45">
      <c r="B61" s="1">
        <v>5</v>
      </c>
      <c r="C61" s="1" t="e">
        <v>#NAME?</v>
      </c>
      <c r="D61" s="2" t="e">
        <v>#NAME?</v>
      </c>
      <c r="E61" s="3" t="e">
        <v>#NAME?</v>
      </c>
      <c r="F61" s="1">
        <v>5</v>
      </c>
      <c r="G61" s="1" t="e">
        <v>#NAME?</v>
      </c>
      <c r="H61" s="2" t="e">
        <v>#NAME?</v>
      </c>
      <c r="I61" s="3" t="e">
        <v>#NAME?</v>
      </c>
      <c r="J61" s="4"/>
      <c r="K61" s="4"/>
      <c r="L61" s="4"/>
      <c r="N61" t="str">
        <f t="shared" si="4"/>
        <v/>
      </c>
      <c r="O61" t="str">
        <f t="shared" si="4"/>
        <v/>
      </c>
    </row>
    <row r="62" spans="1:15" hidden="1" x14ac:dyDescent="0.45">
      <c r="B62" s="1">
        <v>6</v>
      </c>
      <c r="C62" s="1" t="e">
        <v>#NAME?</v>
      </c>
      <c r="D62" s="2" t="e">
        <v>#NAME?</v>
      </c>
      <c r="E62" s="3" t="e">
        <v>#NAME?</v>
      </c>
      <c r="F62" s="1">
        <v>6</v>
      </c>
      <c r="G62" s="1" t="e">
        <v>#NAME?</v>
      </c>
      <c r="H62" s="2" t="e">
        <v>#NAME?</v>
      </c>
      <c r="I62" s="3" t="e">
        <v>#NAME?</v>
      </c>
      <c r="J62" s="4"/>
      <c r="K62" s="4"/>
      <c r="L62" s="4"/>
      <c r="N62" t="str">
        <f t="shared" si="4"/>
        <v/>
      </c>
      <c r="O62" t="str">
        <f t="shared" si="4"/>
        <v/>
      </c>
    </row>
    <row r="63" spans="1:15" hidden="1" x14ac:dyDescent="0.45">
      <c r="B63" s="1">
        <v>7</v>
      </c>
      <c r="C63" s="1" t="e">
        <v>#NAME?</v>
      </c>
      <c r="D63" s="2" t="e">
        <v>#NAME?</v>
      </c>
      <c r="E63" s="3" t="e">
        <v>#NAME?</v>
      </c>
      <c r="F63" s="1">
        <v>7</v>
      </c>
      <c r="G63" s="1" t="e">
        <v>#NAME?</v>
      </c>
      <c r="H63" s="2" t="e">
        <v>#NAME?</v>
      </c>
      <c r="I63" s="3" t="e">
        <v>#NAME?</v>
      </c>
      <c r="J63" s="4"/>
      <c r="K63" s="4"/>
      <c r="L63" s="4"/>
      <c r="N63" t="str">
        <f t="shared" si="4"/>
        <v/>
      </c>
      <c r="O63" t="str">
        <f t="shared" si="4"/>
        <v/>
      </c>
    </row>
    <row r="64" spans="1:15" hidden="1" x14ac:dyDescent="0.45">
      <c r="B64" s="1">
        <v>8</v>
      </c>
      <c r="C64" s="1" t="e">
        <v>#NAME?</v>
      </c>
      <c r="D64" s="2" t="e">
        <v>#NAME?</v>
      </c>
      <c r="E64" s="3" t="e">
        <v>#NAME?</v>
      </c>
      <c r="F64" s="1">
        <v>8</v>
      </c>
      <c r="G64" s="1" t="e">
        <v>#NAME?</v>
      </c>
      <c r="H64" s="2" t="e">
        <v>#NAME?</v>
      </c>
      <c r="I64" s="3" t="e">
        <v>#NAME?</v>
      </c>
      <c r="J64" s="4"/>
      <c r="K64" s="4"/>
      <c r="L64" s="4"/>
      <c r="N64" t="str">
        <f t="shared" si="4"/>
        <v/>
      </c>
      <c r="O64" t="str">
        <f t="shared" si="4"/>
        <v/>
      </c>
    </row>
    <row r="65" spans="1:15" hidden="1" x14ac:dyDescent="0.45">
      <c r="B65" s="1">
        <v>9</v>
      </c>
      <c r="C65" s="1" t="e">
        <v>#NAME?</v>
      </c>
      <c r="D65" s="2" t="e">
        <v>#NAME?</v>
      </c>
      <c r="E65" s="3" t="e">
        <v>#NAME?</v>
      </c>
      <c r="F65" s="1">
        <v>9</v>
      </c>
      <c r="G65" s="1" t="e">
        <v>#NAME?</v>
      </c>
      <c r="H65" s="2" t="e">
        <v>#NAME?</v>
      </c>
      <c r="I65" s="3" t="e">
        <v>#NAME?</v>
      </c>
      <c r="J65" s="30" t="s">
        <v>41</v>
      </c>
      <c r="K65" s="4"/>
      <c r="L65" s="4"/>
      <c r="N65" t="str">
        <f t="shared" si="4"/>
        <v/>
      </c>
      <c r="O65" t="str">
        <f t="shared" si="4"/>
        <v/>
      </c>
    </row>
    <row r="66" spans="1:15" hidden="1" x14ac:dyDescent="0.45">
      <c r="B66" s="1">
        <v>10</v>
      </c>
      <c r="C66" s="1" t="e">
        <v>#NAME?</v>
      </c>
      <c r="D66" s="2" t="e">
        <v>#NAME?</v>
      </c>
      <c r="E66" s="3" t="e">
        <v>#NAME?</v>
      </c>
      <c r="F66" s="1">
        <v>10</v>
      </c>
      <c r="G66" s="1" t="e">
        <v>#NAME?</v>
      </c>
      <c r="H66" s="2" t="e">
        <v>#NAME?</v>
      </c>
      <c r="I66" s="3" t="e">
        <v>#NAME?</v>
      </c>
      <c r="J66" s="30">
        <f>IF(COUNT(E57:E66,I57:I66)=0,0,COUNT(E57:E66,I57:I66))</f>
        <v>0</v>
      </c>
      <c r="K66" s="4"/>
      <c r="L66" s="4"/>
      <c r="N66" t="str">
        <f t="shared" si="4"/>
        <v/>
      </c>
      <c r="O66" t="str">
        <f t="shared" si="4"/>
        <v/>
      </c>
    </row>
    <row r="67" spans="1:15" hidden="1" x14ac:dyDescent="0.45">
      <c r="B67" s="4"/>
      <c r="C67" s="4"/>
      <c r="D67" s="12"/>
      <c r="E67" s="35"/>
      <c r="F67" s="4"/>
      <c r="G67" s="4"/>
      <c r="H67" s="12"/>
      <c r="I67" s="35"/>
      <c r="J67" s="4"/>
      <c r="K67" s="4"/>
      <c r="L67" s="4"/>
    </row>
    <row r="68" spans="1:15" ht="15" customHeight="1" x14ac:dyDescent="0.45">
      <c r="A68" s="4"/>
      <c r="B68" s="4"/>
      <c r="C68" s="4"/>
      <c r="D68" s="12"/>
      <c r="E68" s="35"/>
      <c r="F68" s="4"/>
      <c r="G68" s="4"/>
      <c r="H68" s="12"/>
      <c r="I68" s="35"/>
      <c r="J68" s="4"/>
      <c r="K68" s="4"/>
      <c r="L68" s="4"/>
    </row>
    <row r="69" spans="1:15" ht="15" customHeight="1" x14ac:dyDescent="0.45">
      <c r="A69" s="4"/>
      <c r="B69" s="4"/>
      <c r="C69" s="4"/>
      <c r="D69" s="12"/>
      <c r="E69" s="35"/>
      <c r="F69" s="4"/>
      <c r="G69" s="4"/>
      <c r="H69" s="12"/>
      <c r="I69" s="35"/>
      <c r="J69" s="4"/>
      <c r="K69" s="4"/>
      <c r="L69" s="4"/>
    </row>
    <row r="70" spans="1:15" ht="15" customHeight="1" x14ac:dyDescent="0.45">
      <c r="A70" s="4"/>
      <c r="B70" s="4"/>
      <c r="C70" s="4"/>
      <c r="D70" s="12"/>
      <c r="E70" s="35"/>
      <c r="F70" s="4"/>
      <c r="G70" s="4"/>
      <c r="H70" s="12"/>
      <c r="I70" s="35"/>
      <c r="J70" s="4"/>
      <c r="K70" s="4"/>
      <c r="L70" s="4"/>
    </row>
    <row r="71" spans="1:15" ht="15" customHeight="1" x14ac:dyDescent="0.45">
      <c r="A71" s="4"/>
      <c r="B71" s="4"/>
      <c r="C71" s="4"/>
      <c r="D71" s="12"/>
      <c r="E71" s="35"/>
      <c r="F71" s="4"/>
      <c r="G71" s="4"/>
      <c r="H71" s="12"/>
      <c r="I71" s="35"/>
      <c r="J71" s="4"/>
      <c r="K71" s="4"/>
      <c r="L71" s="4"/>
    </row>
    <row r="72" spans="1:15" ht="15" customHeight="1" x14ac:dyDescent="0.45">
      <c r="A72" s="4"/>
      <c r="B72" s="4"/>
      <c r="C72" s="4"/>
      <c r="D72" s="12"/>
      <c r="E72" s="35"/>
      <c r="F72" s="4"/>
      <c r="G72" s="4"/>
      <c r="H72" s="12"/>
      <c r="I72" s="35"/>
      <c r="J72" s="4"/>
      <c r="K72" s="4"/>
      <c r="L72" s="4"/>
    </row>
    <row r="73" spans="1:15" ht="15" customHeight="1" x14ac:dyDescent="0.45">
      <c r="A73" s="4"/>
      <c r="B73" s="4"/>
      <c r="C73" s="4"/>
      <c r="D73" s="12"/>
      <c r="E73" s="35"/>
      <c r="F73" s="4"/>
      <c r="G73" s="4"/>
      <c r="H73" s="12"/>
      <c r="I73" s="35"/>
      <c r="J73" s="4"/>
      <c r="K73" s="4"/>
      <c r="L73" s="4"/>
    </row>
    <row r="74" spans="1:15" ht="15" customHeight="1" x14ac:dyDescent="0.45">
      <c r="A74" s="4"/>
      <c r="B74" s="4"/>
      <c r="C74" s="4"/>
      <c r="D74" s="12"/>
      <c r="E74" s="35"/>
      <c r="F74" s="4"/>
      <c r="G74" s="4"/>
      <c r="H74" s="12"/>
      <c r="I74" s="35"/>
      <c r="J74" s="4"/>
      <c r="K74" s="4"/>
      <c r="L74" s="4"/>
    </row>
    <row r="75" spans="1:15" ht="15" customHeight="1" x14ac:dyDescent="0.45">
      <c r="A75" s="4"/>
      <c r="B75" s="4"/>
      <c r="C75" s="4"/>
      <c r="D75" s="12"/>
      <c r="E75" s="35"/>
      <c r="F75" s="4"/>
      <c r="G75" s="4"/>
      <c r="H75" s="12"/>
      <c r="I75" s="35"/>
      <c r="J75" s="4"/>
      <c r="K75" s="4"/>
      <c r="L75" s="4"/>
    </row>
    <row r="76" spans="1:15" ht="15" customHeight="1" x14ac:dyDescent="0.45">
      <c r="A76" s="4"/>
      <c r="B76" s="4"/>
      <c r="C76" s="4"/>
      <c r="D76" s="12"/>
      <c r="E76" s="35"/>
      <c r="F76" s="4"/>
      <c r="G76" s="4"/>
      <c r="H76" s="12"/>
      <c r="I76" s="35"/>
      <c r="J76" s="4"/>
      <c r="K76" s="4"/>
      <c r="L76" s="4"/>
    </row>
    <row r="77" spans="1:15" ht="15" customHeight="1" x14ac:dyDescent="0.45">
      <c r="A77" s="4"/>
      <c r="B77" s="4"/>
      <c r="C77" s="4"/>
      <c r="D77" s="12"/>
      <c r="E77" s="35"/>
      <c r="F77" s="4"/>
      <c r="G77" s="4"/>
      <c r="H77" s="12"/>
      <c r="I77" s="35"/>
      <c r="J77" s="4"/>
      <c r="K77" s="4"/>
      <c r="L77" s="4"/>
    </row>
  </sheetData>
  <mergeCells count="39">
    <mergeCell ref="J56:K56"/>
    <mergeCell ref="J57:K57"/>
    <mergeCell ref="J43:K43"/>
    <mergeCell ref="J44:K44"/>
    <mergeCell ref="B54:K54"/>
    <mergeCell ref="B55:E55"/>
    <mergeCell ref="F55:I55"/>
    <mergeCell ref="J55:K55"/>
    <mergeCell ref="J30:K30"/>
    <mergeCell ref="J31:K31"/>
    <mergeCell ref="B41:K41"/>
    <mergeCell ref="B42:E42"/>
    <mergeCell ref="F42:I42"/>
    <mergeCell ref="J42:K42"/>
    <mergeCell ref="J20:K20"/>
    <mergeCell ref="J21:K21"/>
    <mergeCell ref="J22:L22"/>
    <mergeCell ref="B28:K28"/>
    <mergeCell ref="B29:E29"/>
    <mergeCell ref="F29:I29"/>
    <mergeCell ref="J29:K29"/>
    <mergeCell ref="J19:K19"/>
    <mergeCell ref="J5:K5"/>
    <mergeCell ref="J6:K6"/>
    <mergeCell ref="J7:K7"/>
    <mergeCell ref="J8:K8"/>
    <mergeCell ref="J9:K9"/>
    <mergeCell ref="B15:K15"/>
    <mergeCell ref="B16:E16"/>
    <mergeCell ref="F16:I16"/>
    <mergeCell ref="J16:K16"/>
    <mergeCell ref="J17:K17"/>
    <mergeCell ref="J18:K18"/>
    <mergeCell ref="J4:K4"/>
    <mergeCell ref="B1:K1"/>
    <mergeCell ref="B2:K2"/>
    <mergeCell ref="B3:E3"/>
    <mergeCell ref="F3:I3"/>
    <mergeCell ref="J3:K3"/>
  </mergeCells>
  <conditionalFormatting sqref="E5:E14 I5:I14 E18:E27 I18:I27 E31:E40 I31:I40 E44:E53 I44:I53 E57:E66 I57:I66">
    <cfRule type="expression" dxfId="64" priority="2">
      <formula>AND(E5&gt;$O5,E5&lt;&gt;"")</formula>
    </cfRule>
    <cfRule type="expression" dxfId="63" priority="3">
      <formula>AND(E5&gt;$N5,E5&lt;&gt;"")</formula>
    </cfRule>
  </conditionalFormatting>
  <conditionalFormatting sqref="J14 J27 J40 J53">
    <cfRule type="cellIs" dxfId="62" priority="1" operator="greaterThan">
      <formula>18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'J:\Korfbal\Seizoen 2017-2018\[OW seizoen 2017-2018 v1.2.xlsm]Leden'!#REF!</xm:f>
          </x14:formula1>
          <xm:sqref>G57:G66 C57:C66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:P121"/>
  <sheetViews>
    <sheetView topLeftCell="A4" workbookViewId="0">
      <selection activeCell="C24" sqref="C24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.1328125" customWidth="1"/>
    <col min="5" max="5" width="7.86328125" style="14" customWidth="1"/>
    <col min="6" max="6" width="3" customWidth="1"/>
    <col min="7" max="7" width="26.59765625" customWidth="1"/>
    <col min="8" max="8" width="11.1328125" customWidth="1"/>
    <col min="9" max="9" width="7.86328125" style="14" customWidth="1"/>
    <col min="10" max="10" width="8.59765625" customWidth="1"/>
    <col min="11" max="11" width="12.73046875" customWidth="1"/>
    <col min="12" max="12" width="9.1328125"/>
    <col min="13" max="15" width="3" hidden="1" customWidth="1"/>
    <col min="16" max="16" width="9.1328125" style="4"/>
    <col min="17" max="26" width="9.1328125"/>
  </cols>
  <sheetData>
    <row r="1" spans="1:15" ht="38.25" customHeight="1" x14ac:dyDescent="0.45">
      <c r="A1" s="4"/>
      <c r="B1" s="53" t="s">
        <v>191</v>
      </c>
      <c r="C1" s="53"/>
      <c r="D1" s="53"/>
      <c r="E1" s="53"/>
      <c r="F1" s="53"/>
      <c r="G1" s="53"/>
      <c r="H1" s="53"/>
      <c r="I1" s="53"/>
      <c r="J1" s="53"/>
      <c r="K1" s="53"/>
      <c r="L1" s="4"/>
    </row>
    <row r="2" spans="1:15" ht="21" customHeight="1" x14ac:dyDescent="0.65">
      <c r="A2" s="4"/>
      <c r="B2" s="42" t="s">
        <v>192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</row>
    <row r="4" spans="1:15" x14ac:dyDescent="0.45">
      <c r="A4" s="4"/>
      <c r="B4" s="1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63" t="s">
        <v>193</v>
      </c>
      <c r="K4" s="64"/>
      <c r="L4" s="4"/>
      <c r="N4" t="str">
        <f>MID(B2,1,1)</f>
        <v>B</v>
      </c>
      <c r="O4" t="str">
        <f>IF(ISERROR(VLOOKUP(N4,Leeftijdscatogorie,1,FALSE)=TRUE),"",N4)</f>
        <v/>
      </c>
    </row>
    <row r="5" spans="1:15" ht="15" customHeight="1" x14ac:dyDescent="0.45">
      <c r="A5" s="4"/>
      <c r="B5" s="1">
        <v>1</v>
      </c>
      <c r="C5" s="1" t="s">
        <v>194</v>
      </c>
      <c r="D5" s="2">
        <v>37624</v>
      </c>
      <c r="E5" s="3">
        <v>14</v>
      </c>
      <c r="F5" s="1">
        <v>1</v>
      </c>
      <c r="G5" s="1" t="s">
        <v>195</v>
      </c>
      <c r="H5" s="2">
        <v>38150</v>
      </c>
      <c r="I5" s="3">
        <v>13</v>
      </c>
      <c r="J5" s="38"/>
      <c r="K5" s="39"/>
      <c r="L5" s="4"/>
      <c r="M5" t="str">
        <f>IF(O4="","",VLOOKUP(O4,Leeftijdscatogorie,2,FALSE))</f>
        <v/>
      </c>
      <c r="N5" t="str">
        <f>IF(O4="","",VLOOKUP(O4,Leeftijdscatogorie,3,FALSE))</f>
        <v/>
      </c>
      <c r="O5" t="str">
        <f>IF(O4="","",VLOOKUP(O4,Leeftijdscatogorie,4,FALSE))</f>
        <v/>
      </c>
    </row>
    <row r="6" spans="1:15" x14ac:dyDescent="0.45">
      <c r="A6" s="4"/>
      <c r="B6" s="1">
        <v>2</v>
      </c>
      <c r="C6" s="1" t="s">
        <v>196</v>
      </c>
      <c r="D6" s="2">
        <v>37307</v>
      </c>
      <c r="E6" s="3">
        <v>15</v>
      </c>
      <c r="F6" s="1">
        <v>2</v>
      </c>
      <c r="G6" s="1" t="s">
        <v>197</v>
      </c>
      <c r="H6" s="2">
        <v>37292</v>
      </c>
      <c r="I6" s="3">
        <v>15</v>
      </c>
      <c r="J6" s="4"/>
      <c r="K6" s="4"/>
      <c r="L6" s="4"/>
      <c r="N6" t="str">
        <f>N5</f>
        <v/>
      </c>
      <c r="O6" t="str">
        <f>O5</f>
        <v/>
      </c>
    </row>
    <row r="7" spans="1:15" ht="15" customHeight="1" x14ac:dyDescent="0.45">
      <c r="A7" s="4"/>
      <c r="B7" s="1">
        <v>3</v>
      </c>
      <c r="C7" s="1" t="s">
        <v>198</v>
      </c>
      <c r="D7" s="2">
        <v>37193</v>
      </c>
      <c r="E7" s="3">
        <v>16</v>
      </c>
      <c r="F7" s="1">
        <v>3</v>
      </c>
      <c r="G7" s="1" t="s">
        <v>199</v>
      </c>
      <c r="H7" s="2">
        <v>37246</v>
      </c>
      <c r="I7" s="3">
        <v>16</v>
      </c>
      <c r="J7" s="4"/>
      <c r="K7" s="4"/>
      <c r="L7" s="4"/>
      <c r="N7" t="str">
        <f t="shared" ref="N7:O14" si="0">N6</f>
        <v/>
      </c>
      <c r="O7" t="str">
        <f t="shared" si="0"/>
        <v/>
      </c>
    </row>
    <row r="8" spans="1:15" ht="15" customHeight="1" x14ac:dyDescent="0.45">
      <c r="A8" s="4"/>
      <c r="B8" s="1">
        <v>4</v>
      </c>
      <c r="C8" s="1" t="s">
        <v>200</v>
      </c>
      <c r="D8" s="2">
        <v>37246</v>
      </c>
      <c r="E8" s="3">
        <v>16</v>
      </c>
      <c r="F8" s="1">
        <v>4</v>
      </c>
      <c r="G8" s="1" t="s">
        <v>201</v>
      </c>
      <c r="H8" s="2">
        <v>37683</v>
      </c>
      <c r="I8" s="3">
        <v>14</v>
      </c>
      <c r="J8" s="4"/>
      <c r="K8" s="4"/>
      <c r="L8" s="4"/>
      <c r="N8" t="str">
        <f t="shared" si="0"/>
        <v/>
      </c>
      <c r="O8" t="str">
        <f t="shared" si="0"/>
        <v/>
      </c>
    </row>
    <row r="9" spans="1:15" ht="15" customHeight="1" x14ac:dyDescent="0.45">
      <c r="A9" s="4"/>
      <c r="B9" s="1">
        <v>5</v>
      </c>
      <c r="C9" s="1" t="s">
        <v>37</v>
      </c>
      <c r="D9" s="2" t="s">
        <v>37</v>
      </c>
      <c r="E9" s="3" t="s">
        <v>37</v>
      </c>
      <c r="F9" s="1">
        <v>5</v>
      </c>
      <c r="G9" s="1" t="s">
        <v>202</v>
      </c>
      <c r="H9" s="2">
        <v>38128</v>
      </c>
      <c r="I9" s="3">
        <v>13</v>
      </c>
      <c r="J9" s="4"/>
      <c r="K9" s="4"/>
      <c r="L9" s="4"/>
      <c r="N9" t="str">
        <f t="shared" si="0"/>
        <v/>
      </c>
      <c r="O9" t="str">
        <f t="shared" si="0"/>
        <v/>
      </c>
    </row>
    <row r="10" spans="1:15" ht="15" customHeight="1" x14ac:dyDescent="0.45">
      <c r="A10" s="4"/>
      <c r="B10" s="1">
        <v>6</v>
      </c>
      <c r="C10" s="1" t="s">
        <v>37</v>
      </c>
      <c r="D10" s="2" t="s">
        <v>37</v>
      </c>
      <c r="E10" s="3" t="s">
        <v>37</v>
      </c>
      <c r="F10" s="1">
        <v>6</v>
      </c>
      <c r="G10" s="1" t="s">
        <v>37</v>
      </c>
      <c r="H10" s="2" t="s">
        <v>37</v>
      </c>
      <c r="I10" s="3" t="s">
        <v>37</v>
      </c>
      <c r="J10" s="4"/>
      <c r="K10" s="4"/>
      <c r="L10" s="4"/>
      <c r="N10" t="str">
        <f t="shared" si="0"/>
        <v/>
      </c>
      <c r="O10" t="str">
        <f t="shared" si="0"/>
        <v/>
      </c>
    </row>
    <row r="11" spans="1:15" x14ac:dyDescent="0.45">
      <c r="A11" s="4"/>
      <c r="B11" s="1">
        <v>7</v>
      </c>
      <c r="C11" s="1" t="s">
        <v>37</v>
      </c>
      <c r="D11" s="2" t="s">
        <v>37</v>
      </c>
      <c r="E11" s="3" t="s">
        <v>37</v>
      </c>
      <c r="F11" s="1">
        <v>7</v>
      </c>
      <c r="G11" s="1" t="s">
        <v>37</v>
      </c>
      <c r="H11" s="2" t="s">
        <v>37</v>
      </c>
      <c r="I11" s="3" t="s">
        <v>37</v>
      </c>
      <c r="J11" s="4"/>
      <c r="K11" s="4"/>
      <c r="L11" s="4"/>
      <c r="N11" t="str">
        <f t="shared" si="0"/>
        <v/>
      </c>
      <c r="O11" t="str">
        <f t="shared" si="0"/>
        <v/>
      </c>
    </row>
    <row r="12" spans="1:15" x14ac:dyDescent="0.45">
      <c r="A12" s="4"/>
      <c r="B12" s="1">
        <v>8</v>
      </c>
      <c r="C12" s="1" t="s">
        <v>37</v>
      </c>
      <c r="D12" s="2" t="s">
        <v>37</v>
      </c>
      <c r="E12" s="3" t="s">
        <v>37</v>
      </c>
      <c r="F12" s="1">
        <v>8</v>
      </c>
      <c r="G12" s="1" t="s">
        <v>37</v>
      </c>
      <c r="H12" s="2" t="s">
        <v>37</v>
      </c>
      <c r="I12" s="3" t="s">
        <v>37</v>
      </c>
      <c r="J12" s="4"/>
      <c r="K12" s="4"/>
      <c r="L12" s="4"/>
      <c r="N12" t="str">
        <f t="shared" si="0"/>
        <v/>
      </c>
      <c r="O12" t="str">
        <f t="shared" si="0"/>
        <v/>
      </c>
    </row>
    <row r="13" spans="1:15" x14ac:dyDescent="0.45">
      <c r="A13" s="4"/>
      <c r="B13" s="1">
        <v>9</v>
      </c>
      <c r="C13" s="1" t="s">
        <v>37</v>
      </c>
      <c r="D13" s="2" t="s">
        <v>37</v>
      </c>
      <c r="E13" s="3" t="s">
        <v>37</v>
      </c>
      <c r="F13" s="1">
        <v>9</v>
      </c>
      <c r="G13" s="1" t="s">
        <v>37</v>
      </c>
      <c r="H13" s="2" t="s">
        <v>37</v>
      </c>
      <c r="I13" s="3" t="s">
        <v>37</v>
      </c>
      <c r="J13" s="36" t="s">
        <v>149</v>
      </c>
      <c r="K13" s="4"/>
      <c r="L13" s="4"/>
      <c r="N13" t="str">
        <f t="shared" si="0"/>
        <v/>
      </c>
      <c r="O13" t="str">
        <f t="shared" si="0"/>
        <v/>
      </c>
    </row>
    <row r="14" spans="1:15" x14ac:dyDescent="0.45">
      <c r="A14" s="4"/>
      <c r="B14" s="8">
        <v>10</v>
      </c>
      <c r="C14" s="8" t="s">
        <v>37</v>
      </c>
      <c r="D14" s="9" t="s">
        <v>37</v>
      </c>
      <c r="E14" s="10" t="s">
        <v>37</v>
      </c>
      <c r="F14" s="8">
        <v>10</v>
      </c>
      <c r="G14" s="8" t="s">
        <v>37</v>
      </c>
      <c r="H14" s="9" t="s">
        <v>37</v>
      </c>
      <c r="I14" s="10" t="s">
        <v>37</v>
      </c>
      <c r="J14" s="11">
        <f>AVERAGE(E5:E14,I5:I14)</f>
        <v>14.666666666666666</v>
      </c>
      <c r="K14" s="4"/>
      <c r="L14" s="4"/>
      <c r="N14" t="str">
        <f t="shared" si="0"/>
        <v/>
      </c>
      <c r="O14" t="str">
        <f t="shared" si="0"/>
        <v/>
      </c>
    </row>
    <row r="15" spans="1:15" ht="21" x14ac:dyDescent="0.65">
      <c r="A15" s="4"/>
      <c r="B15" s="42" t="s">
        <v>203</v>
      </c>
      <c r="C15" s="43"/>
      <c r="D15" s="43"/>
      <c r="E15" s="43"/>
      <c r="F15" s="43"/>
      <c r="G15" s="43"/>
      <c r="H15" s="43"/>
      <c r="I15" s="43"/>
      <c r="J15" s="43"/>
      <c r="K15" s="44"/>
      <c r="L15" s="4"/>
    </row>
    <row r="16" spans="1:15" x14ac:dyDescent="0.45">
      <c r="A16" s="4"/>
      <c r="B16" s="45" t="s">
        <v>2</v>
      </c>
      <c r="C16" s="46"/>
      <c r="D16" s="46"/>
      <c r="E16" s="46"/>
      <c r="F16" s="46" t="s">
        <v>3</v>
      </c>
      <c r="G16" s="46"/>
      <c r="H16" s="46"/>
      <c r="I16" s="46"/>
      <c r="J16" s="46" t="s">
        <v>43</v>
      </c>
      <c r="K16" s="47"/>
      <c r="L16" s="4"/>
    </row>
    <row r="17" spans="1:15" x14ac:dyDescent="0.45">
      <c r="A17" s="4"/>
      <c r="B17" s="15"/>
      <c r="C17" s="5" t="s">
        <v>5</v>
      </c>
      <c r="D17" s="6" t="s">
        <v>6</v>
      </c>
      <c r="E17" s="7" t="s">
        <v>7</v>
      </c>
      <c r="F17" s="5"/>
      <c r="G17" s="5" t="s">
        <v>5</v>
      </c>
      <c r="H17" s="6" t="s">
        <v>6</v>
      </c>
      <c r="I17" s="7" t="s">
        <v>7</v>
      </c>
      <c r="J17" s="65" t="s">
        <v>204</v>
      </c>
      <c r="K17" s="65"/>
      <c r="L17" s="4"/>
      <c r="N17" t="str">
        <f>MID(B15,1,1)</f>
        <v>B</v>
      </c>
      <c r="O17" t="str">
        <f>IF(ISERROR(VLOOKUP(N17,Leeftijdscatogorie,1,FALSE)=TRUE),"",N17)</f>
        <v/>
      </c>
    </row>
    <row r="18" spans="1:15" x14ac:dyDescent="0.45">
      <c r="A18" s="4"/>
      <c r="B18" s="1">
        <v>1</v>
      </c>
      <c r="C18" s="1" t="s">
        <v>205</v>
      </c>
      <c r="D18" s="2">
        <v>37858</v>
      </c>
      <c r="E18" s="3">
        <v>14</v>
      </c>
      <c r="F18" s="1">
        <v>1</v>
      </c>
      <c r="G18" s="1" t="s">
        <v>206</v>
      </c>
      <c r="H18" s="2">
        <v>37823</v>
      </c>
      <c r="I18" s="3">
        <v>14</v>
      </c>
      <c r="J18" s="57"/>
      <c r="K18" s="57"/>
      <c r="L18" s="4"/>
      <c r="M18" t="str">
        <f>IF(O17="","",VLOOKUP(O17,Leeftijdscatogorie,2,FALSE))</f>
        <v/>
      </c>
      <c r="N18" t="str">
        <f>IF(O17="","",VLOOKUP(O17,Leeftijdscatogorie,3,FALSE))</f>
        <v/>
      </c>
      <c r="O18" t="str">
        <f>IF(O17="","",VLOOKUP(O17,Leeftijdscatogorie,4,FALSE))</f>
        <v/>
      </c>
    </row>
    <row r="19" spans="1:15" x14ac:dyDescent="0.45">
      <c r="A19" s="4"/>
      <c r="B19" s="1">
        <v>2</v>
      </c>
      <c r="C19" s="1" t="s">
        <v>207</v>
      </c>
      <c r="D19" s="2">
        <v>37684</v>
      </c>
      <c r="E19" s="3">
        <v>14</v>
      </c>
      <c r="F19" s="1">
        <v>2</v>
      </c>
      <c r="G19" s="1" t="s">
        <v>208</v>
      </c>
      <c r="H19" s="2">
        <v>37715</v>
      </c>
      <c r="I19" s="3">
        <v>14</v>
      </c>
      <c r="J19" s="4"/>
      <c r="K19" s="4"/>
      <c r="L19" s="4"/>
      <c r="N19" t="str">
        <f>N18</f>
        <v/>
      </c>
      <c r="O19" t="str">
        <f>O18</f>
        <v/>
      </c>
    </row>
    <row r="20" spans="1:15" x14ac:dyDescent="0.45">
      <c r="A20" s="4"/>
      <c r="B20" s="1">
        <v>3</v>
      </c>
      <c r="C20" s="1" t="s">
        <v>209</v>
      </c>
      <c r="D20" s="2">
        <v>37771</v>
      </c>
      <c r="E20" s="3">
        <v>14</v>
      </c>
      <c r="F20" s="1">
        <v>3</v>
      </c>
      <c r="G20" s="1" t="s">
        <v>210</v>
      </c>
      <c r="H20" s="2">
        <v>37755</v>
      </c>
      <c r="I20" s="3">
        <v>14</v>
      </c>
      <c r="J20" s="4"/>
      <c r="K20" s="4"/>
      <c r="L20" s="4"/>
      <c r="N20" t="str">
        <f t="shared" ref="N20:O25" si="1">N19</f>
        <v/>
      </c>
      <c r="O20" t="str">
        <f t="shared" si="1"/>
        <v/>
      </c>
    </row>
    <row r="21" spans="1:15" x14ac:dyDescent="0.45">
      <c r="A21" s="4"/>
      <c r="B21" s="1">
        <v>4</v>
      </c>
      <c r="C21" s="1" t="s">
        <v>211</v>
      </c>
      <c r="D21" s="2">
        <v>37551</v>
      </c>
      <c r="E21" s="3">
        <v>15</v>
      </c>
      <c r="F21" s="1">
        <v>4</v>
      </c>
      <c r="G21" s="1" t="s">
        <v>212</v>
      </c>
      <c r="H21" s="2">
        <v>37832</v>
      </c>
      <c r="I21" s="3">
        <v>14</v>
      </c>
      <c r="J21" s="4"/>
      <c r="K21" s="4"/>
      <c r="L21" s="4"/>
      <c r="N21" t="str">
        <f t="shared" si="1"/>
        <v/>
      </c>
      <c r="O21" t="str">
        <f t="shared" si="1"/>
        <v/>
      </c>
    </row>
    <row r="22" spans="1:15" x14ac:dyDescent="0.45">
      <c r="A22" s="4"/>
      <c r="B22" s="1">
        <v>5</v>
      </c>
      <c r="C22" s="1" t="s">
        <v>213</v>
      </c>
      <c r="D22" s="2">
        <v>37712</v>
      </c>
      <c r="E22" s="3">
        <v>14</v>
      </c>
      <c r="F22" s="1">
        <v>5</v>
      </c>
      <c r="G22" s="1" t="s">
        <v>37</v>
      </c>
      <c r="H22" s="2" t="s">
        <v>37</v>
      </c>
      <c r="I22" s="3" t="s">
        <v>37</v>
      </c>
      <c r="J22" s="4"/>
      <c r="K22" s="4"/>
      <c r="L22" s="4"/>
      <c r="N22" t="str">
        <f t="shared" si="1"/>
        <v/>
      </c>
      <c r="O22" t="str">
        <f t="shared" si="1"/>
        <v/>
      </c>
    </row>
    <row r="23" spans="1:15" x14ac:dyDescent="0.45">
      <c r="A23" s="4"/>
      <c r="B23" s="1">
        <v>6</v>
      </c>
      <c r="C23" s="1" t="s">
        <v>214</v>
      </c>
      <c r="D23" s="2">
        <v>37540</v>
      </c>
      <c r="E23" s="3">
        <v>15</v>
      </c>
      <c r="F23" s="1">
        <v>6</v>
      </c>
      <c r="G23" s="1" t="s">
        <v>37</v>
      </c>
      <c r="H23" s="2" t="s">
        <v>37</v>
      </c>
      <c r="I23" s="3" t="s">
        <v>37</v>
      </c>
      <c r="J23" s="4"/>
      <c r="K23" s="4"/>
      <c r="L23" s="4"/>
      <c r="N23" t="str">
        <f t="shared" si="1"/>
        <v/>
      </c>
      <c r="O23" t="str">
        <f t="shared" si="1"/>
        <v/>
      </c>
    </row>
    <row r="24" spans="1:15" x14ac:dyDescent="0.45">
      <c r="A24" s="4"/>
      <c r="B24" s="1">
        <v>7</v>
      </c>
      <c r="C24" s="1" t="s">
        <v>37</v>
      </c>
      <c r="D24" s="2" t="s">
        <v>37</v>
      </c>
      <c r="E24" s="3" t="s">
        <v>37</v>
      </c>
      <c r="F24" s="1">
        <v>7</v>
      </c>
      <c r="G24" s="1" t="s">
        <v>37</v>
      </c>
      <c r="H24" s="2" t="s">
        <v>37</v>
      </c>
      <c r="I24" s="3" t="s">
        <v>37</v>
      </c>
      <c r="J24" s="4"/>
      <c r="K24" s="4"/>
      <c r="L24" s="4"/>
      <c r="N24" t="str">
        <f t="shared" si="1"/>
        <v/>
      </c>
      <c r="O24" t="str">
        <f t="shared" si="1"/>
        <v/>
      </c>
    </row>
    <row r="25" spans="1:15" x14ac:dyDescent="0.45">
      <c r="A25" s="4"/>
      <c r="B25" s="1">
        <v>8</v>
      </c>
      <c r="C25" s="1" t="s">
        <v>37</v>
      </c>
      <c r="D25" s="2" t="s">
        <v>37</v>
      </c>
      <c r="E25" s="3" t="s">
        <v>37</v>
      </c>
      <c r="F25" s="1">
        <v>8</v>
      </c>
      <c r="G25" s="1" t="s">
        <v>37</v>
      </c>
      <c r="H25" s="2" t="s">
        <v>37</v>
      </c>
      <c r="I25" s="3" t="s">
        <v>37</v>
      </c>
      <c r="J25" s="4"/>
      <c r="K25" s="4"/>
      <c r="L25" s="4"/>
      <c r="N25" t="str">
        <f t="shared" si="1"/>
        <v/>
      </c>
      <c r="O25" t="str">
        <f t="shared" si="1"/>
        <v/>
      </c>
    </row>
    <row r="26" spans="1:15" x14ac:dyDescent="0.45">
      <c r="A26" s="4"/>
      <c r="B26" s="1">
        <v>9</v>
      </c>
      <c r="C26" s="1" t="s">
        <v>37</v>
      </c>
      <c r="D26" s="2" t="s">
        <v>37</v>
      </c>
      <c r="E26" s="3" t="s">
        <v>37</v>
      </c>
      <c r="F26" s="1">
        <v>9</v>
      </c>
      <c r="G26" s="1" t="s">
        <v>37</v>
      </c>
      <c r="H26" s="2" t="s">
        <v>37</v>
      </c>
      <c r="I26" s="3" t="s">
        <v>37</v>
      </c>
      <c r="J26" s="36" t="s">
        <v>149</v>
      </c>
      <c r="K26" s="4"/>
      <c r="L26" s="4"/>
    </row>
    <row r="27" spans="1:15" x14ac:dyDescent="0.45">
      <c r="A27" s="4"/>
      <c r="B27" s="1">
        <v>10</v>
      </c>
      <c r="C27" s="1" t="s">
        <v>37</v>
      </c>
      <c r="D27" s="2" t="s">
        <v>37</v>
      </c>
      <c r="E27" s="3" t="s">
        <v>37</v>
      </c>
      <c r="F27" s="1">
        <v>10</v>
      </c>
      <c r="G27" s="1" t="s">
        <v>37</v>
      </c>
      <c r="H27" s="2" t="s">
        <v>37</v>
      </c>
      <c r="I27" s="3" t="s">
        <v>37</v>
      </c>
      <c r="J27" s="11">
        <f>AVERAGE(E18:E27,I18:I27)</f>
        <v>14.2</v>
      </c>
      <c r="K27" s="4"/>
      <c r="L27" s="4"/>
      <c r="N27" t="str">
        <f>N25</f>
        <v/>
      </c>
      <c r="O27" t="str">
        <f>O25</f>
        <v/>
      </c>
    </row>
    <row r="28" spans="1:15" ht="21" x14ac:dyDescent="0.65">
      <c r="A28" s="4"/>
      <c r="B28" s="42" t="s">
        <v>215</v>
      </c>
      <c r="C28" s="43"/>
      <c r="D28" s="43"/>
      <c r="E28" s="43"/>
      <c r="F28" s="43"/>
      <c r="G28" s="43"/>
      <c r="H28" s="43"/>
      <c r="I28" s="43"/>
      <c r="J28" s="43"/>
      <c r="K28" s="44"/>
      <c r="L28" s="4"/>
    </row>
    <row r="29" spans="1:15" x14ac:dyDescent="0.45">
      <c r="A29" s="4"/>
      <c r="B29" s="45" t="s">
        <v>2</v>
      </c>
      <c r="C29" s="46"/>
      <c r="D29" s="46"/>
      <c r="E29" s="46"/>
      <c r="F29" s="46" t="s">
        <v>3</v>
      </c>
      <c r="G29" s="46"/>
      <c r="H29" s="46"/>
      <c r="I29" s="46"/>
      <c r="J29" s="46" t="s">
        <v>43</v>
      </c>
      <c r="K29" s="47"/>
      <c r="L29" s="4"/>
    </row>
    <row r="30" spans="1:15" x14ac:dyDescent="0.45">
      <c r="A30" s="4"/>
      <c r="B30" s="5"/>
      <c r="C30" s="5" t="s">
        <v>5</v>
      </c>
      <c r="D30" s="6" t="s">
        <v>6</v>
      </c>
      <c r="E30" s="7" t="s">
        <v>7</v>
      </c>
      <c r="F30" s="5"/>
      <c r="G30" s="5" t="s">
        <v>5</v>
      </c>
      <c r="H30" s="6" t="s">
        <v>6</v>
      </c>
      <c r="I30" s="7" t="s">
        <v>7</v>
      </c>
      <c r="J30" s="65" t="s">
        <v>216</v>
      </c>
      <c r="K30" s="65"/>
      <c r="L30" s="4"/>
      <c r="N30" t="str">
        <f>MID(B28,1,1)</f>
        <v>B</v>
      </c>
      <c r="O30" t="str">
        <f>IF(ISERROR(VLOOKUP(N30,Leeftijdscatogorie,1,FALSE)=TRUE),"",N30)</f>
        <v/>
      </c>
    </row>
    <row r="31" spans="1:15" x14ac:dyDescent="0.45">
      <c r="A31" s="4"/>
      <c r="B31" s="1">
        <v>1</v>
      </c>
      <c r="C31" s="1" t="s">
        <v>217</v>
      </c>
      <c r="D31" s="2">
        <v>37481</v>
      </c>
      <c r="E31" s="3">
        <v>15</v>
      </c>
      <c r="F31" s="1">
        <v>1</v>
      </c>
      <c r="G31" s="1" t="s">
        <v>218</v>
      </c>
      <c r="H31" s="2">
        <v>37432</v>
      </c>
      <c r="I31" s="3">
        <v>15</v>
      </c>
      <c r="J31" s="57" t="s">
        <v>219</v>
      </c>
      <c r="K31" s="57"/>
      <c r="L31" s="4"/>
      <c r="M31" t="str">
        <f>IF(O30="","",VLOOKUP(O30,Leeftijdscatogorie,2,FALSE))</f>
        <v/>
      </c>
      <c r="N31" t="str">
        <f>IF(O30="","",VLOOKUP(O30,Leeftijdscatogorie,3,FALSE))</f>
        <v/>
      </c>
      <c r="O31" t="str">
        <f>IF(O30="","",VLOOKUP(O30,Leeftijdscatogorie,4,FALSE))</f>
        <v/>
      </c>
    </row>
    <row r="32" spans="1:15" x14ac:dyDescent="0.45">
      <c r="A32" s="4"/>
      <c r="B32" s="1">
        <v>2</v>
      </c>
      <c r="C32" s="1" t="s">
        <v>220</v>
      </c>
      <c r="D32" s="2">
        <v>37590</v>
      </c>
      <c r="E32" s="3">
        <v>15</v>
      </c>
      <c r="F32" s="1">
        <v>2</v>
      </c>
      <c r="G32" s="1" t="s">
        <v>221</v>
      </c>
      <c r="H32" s="2">
        <v>37810</v>
      </c>
      <c r="I32" s="3">
        <v>14</v>
      </c>
      <c r="J32" s="66"/>
      <c r="K32" s="66"/>
      <c r="L32" s="4"/>
      <c r="N32" t="str">
        <f>N31</f>
        <v/>
      </c>
      <c r="O32" t="str">
        <f>O31</f>
        <v/>
      </c>
    </row>
    <row r="33" spans="1:15" x14ac:dyDescent="0.45">
      <c r="A33" s="4"/>
      <c r="B33" s="1">
        <v>3</v>
      </c>
      <c r="C33" s="1" t="s">
        <v>222</v>
      </c>
      <c r="D33" s="2">
        <v>37801</v>
      </c>
      <c r="E33" s="3">
        <v>14</v>
      </c>
      <c r="F33" s="1">
        <v>3</v>
      </c>
      <c r="G33" s="1" t="s">
        <v>37</v>
      </c>
      <c r="H33" s="2" t="s">
        <v>37</v>
      </c>
      <c r="I33" s="3" t="s">
        <v>37</v>
      </c>
      <c r="J33" s="57"/>
      <c r="K33" s="57"/>
      <c r="L33" s="4"/>
      <c r="N33" t="str">
        <f t="shared" ref="N33:O40" si="2">N32</f>
        <v/>
      </c>
      <c r="O33" t="str">
        <f t="shared" si="2"/>
        <v/>
      </c>
    </row>
    <row r="34" spans="1:15" x14ac:dyDescent="0.45">
      <c r="A34" s="4"/>
      <c r="B34" s="1">
        <v>4</v>
      </c>
      <c r="C34" s="1" t="s">
        <v>223</v>
      </c>
      <c r="D34" s="2">
        <v>37269</v>
      </c>
      <c r="E34" s="3">
        <v>15</v>
      </c>
      <c r="F34" s="1">
        <v>4</v>
      </c>
      <c r="G34" s="1" t="s">
        <v>37</v>
      </c>
      <c r="H34" s="2" t="s">
        <v>37</v>
      </c>
      <c r="I34" s="3" t="s">
        <v>37</v>
      </c>
      <c r="J34" s="4"/>
      <c r="K34" s="4"/>
      <c r="L34" s="4"/>
      <c r="N34" t="str">
        <f t="shared" si="2"/>
        <v/>
      </c>
      <c r="O34" t="str">
        <f t="shared" si="2"/>
        <v/>
      </c>
    </row>
    <row r="35" spans="1:15" x14ac:dyDescent="0.45">
      <c r="A35" s="4"/>
      <c r="B35" s="1">
        <v>5</v>
      </c>
      <c r="C35" s="1" t="s">
        <v>224</v>
      </c>
      <c r="D35" s="2">
        <v>37323</v>
      </c>
      <c r="E35" s="3">
        <v>15</v>
      </c>
      <c r="F35" s="1">
        <v>5</v>
      </c>
      <c r="G35" s="1" t="s">
        <v>37</v>
      </c>
      <c r="H35" s="2" t="s">
        <v>37</v>
      </c>
      <c r="I35" s="3" t="s">
        <v>37</v>
      </c>
      <c r="J35" s="4"/>
      <c r="K35" s="4"/>
      <c r="L35" s="4"/>
      <c r="N35" t="str">
        <f t="shared" si="2"/>
        <v/>
      </c>
      <c r="O35" t="str">
        <f t="shared" si="2"/>
        <v/>
      </c>
    </row>
    <row r="36" spans="1:15" x14ac:dyDescent="0.45">
      <c r="A36" s="4"/>
      <c r="B36" s="1">
        <v>6</v>
      </c>
      <c r="C36" s="1" t="s">
        <v>225</v>
      </c>
      <c r="D36" s="2">
        <v>37868</v>
      </c>
      <c r="E36" s="3">
        <v>14</v>
      </c>
      <c r="F36" s="1">
        <v>6</v>
      </c>
      <c r="G36" s="1" t="s">
        <v>37</v>
      </c>
      <c r="H36" s="2" t="s">
        <v>37</v>
      </c>
      <c r="I36" s="3" t="s">
        <v>37</v>
      </c>
      <c r="J36" s="4"/>
      <c r="K36" s="4"/>
      <c r="L36" s="4"/>
      <c r="N36" t="str">
        <f t="shared" si="2"/>
        <v/>
      </c>
      <c r="O36" t="str">
        <f t="shared" si="2"/>
        <v/>
      </c>
    </row>
    <row r="37" spans="1:15" x14ac:dyDescent="0.45">
      <c r="A37" s="4"/>
      <c r="B37" s="1">
        <v>7</v>
      </c>
      <c r="C37" s="1" t="s">
        <v>226</v>
      </c>
      <c r="D37" s="2">
        <v>37702</v>
      </c>
      <c r="E37" s="3">
        <v>14</v>
      </c>
      <c r="F37" s="1">
        <v>7</v>
      </c>
      <c r="G37" s="1" t="s">
        <v>37</v>
      </c>
      <c r="H37" s="2" t="s">
        <v>37</v>
      </c>
      <c r="I37" s="3" t="s">
        <v>37</v>
      </c>
      <c r="J37" s="4"/>
      <c r="K37" s="4"/>
      <c r="L37" s="4"/>
      <c r="N37" t="str">
        <f t="shared" si="2"/>
        <v/>
      </c>
      <c r="O37" t="str">
        <f t="shared" si="2"/>
        <v/>
      </c>
    </row>
    <row r="38" spans="1:15" x14ac:dyDescent="0.45">
      <c r="A38" s="4"/>
      <c r="B38" s="1">
        <v>8</v>
      </c>
      <c r="C38" s="1" t="s">
        <v>37</v>
      </c>
      <c r="D38" s="2" t="s">
        <v>37</v>
      </c>
      <c r="E38" s="3" t="s">
        <v>37</v>
      </c>
      <c r="F38" s="1">
        <v>8</v>
      </c>
      <c r="G38" s="1" t="s">
        <v>37</v>
      </c>
      <c r="H38" s="2" t="s">
        <v>37</v>
      </c>
      <c r="I38" s="3" t="s">
        <v>37</v>
      </c>
      <c r="J38" s="4"/>
      <c r="K38" s="4"/>
      <c r="L38" s="4"/>
      <c r="N38" t="str">
        <f t="shared" si="2"/>
        <v/>
      </c>
      <c r="O38" t="str">
        <f t="shared" si="2"/>
        <v/>
      </c>
    </row>
    <row r="39" spans="1:15" x14ac:dyDescent="0.45">
      <c r="A39" s="4"/>
      <c r="B39" s="1">
        <v>9</v>
      </c>
      <c r="C39" s="1" t="s">
        <v>37</v>
      </c>
      <c r="D39" s="2" t="s">
        <v>37</v>
      </c>
      <c r="E39" s="3" t="s">
        <v>37</v>
      </c>
      <c r="F39" s="1">
        <v>9</v>
      </c>
      <c r="G39" s="1" t="s">
        <v>37</v>
      </c>
      <c r="H39" s="2" t="s">
        <v>37</v>
      </c>
      <c r="I39" s="3" t="s">
        <v>37</v>
      </c>
      <c r="J39" s="36" t="s">
        <v>149</v>
      </c>
      <c r="K39" s="4"/>
      <c r="L39" s="4"/>
      <c r="N39" t="str">
        <f t="shared" si="2"/>
        <v/>
      </c>
      <c r="O39" t="str">
        <f t="shared" si="2"/>
        <v/>
      </c>
    </row>
    <row r="40" spans="1:15" x14ac:dyDescent="0.45">
      <c r="A40" s="4"/>
      <c r="B40" s="8">
        <v>10</v>
      </c>
      <c r="C40" s="8" t="s">
        <v>37</v>
      </c>
      <c r="D40" s="9" t="s">
        <v>37</v>
      </c>
      <c r="E40" s="10" t="s">
        <v>37</v>
      </c>
      <c r="F40" s="8">
        <v>10</v>
      </c>
      <c r="G40" s="8" t="s">
        <v>37</v>
      </c>
      <c r="H40" s="9" t="s">
        <v>37</v>
      </c>
      <c r="I40" s="10" t="s">
        <v>37</v>
      </c>
      <c r="J40" s="11">
        <f>AVERAGE(E31:E40,I31:I40)</f>
        <v>14.555555555555555</v>
      </c>
      <c r="K40" s="4"/>
      <c r="L40" s="4"/>
      <c r="N40" t="str">
        <f t="shared" si="2"/>
        <v/>
      </c>
      <c r="O40" t="str">
        <f t="shared" si="2"/>
        <v/>
      </c>
    </row>
    <row r="41" spans="1:15" ht="21" x14ac:dyDescent="0.65">
      <c r="A41" s="4"/>
      <c r="B41" s="42" t="s">
        <v>227</v>
      </c>
      <c r="C41" s="43"/>
      <c r="D41" s="43"/>
      <c r="E41" s="43"/>
      <c r="F41" s="43"/>
      <c r="G41" s="43"/>
      <c r="H41" s="43"/>
      <c r="I41" s="43"/>
      <c r="J41" s="43"/>
      <c r="K41" s="44"/>
      <c r="L41" s="4"/>
    </row>
    <row r="42" spans="1:15" x14ac:dyDescent="0.45">
      <c r="A42" s="4"/>
      <c r="B42" s="45" t="s">
        <v>2</v>
      </c>
      <c r="C42" s="46"/>
      <c r="D42" s="46"/>
      <c r="E42" s="46"/>
      <c r="F42" s="46" t="s">
        <v>3</v>
      </c>
      <c r="G42" s="46"/>
      <c r="H42" s="46"/>
      <c r="I42" s="46"/>
      <c r="J42" s="46" t="s">
        <v>43</v>
      </c>
      <c r="K42" s="47"/>
      <c r="L42" s="4"/>
    </row>
    <row r="43" spans="1:15" x14ac:dyDescent="0.45">
      <c r="A43" s="4"/>
      <c r="B43" s="5"/>
      <c r="C43" s="5" t="s">
        <v>5</v>
      </c>
      <c r="D43" s="6" t="s">
        <v>6</v>
      </c>
      <c r="E43" s="7" t="s">
        <v>7</v>
      </c>
      <c r="F43" s="5"/>
      <c r="G43" s="5" t="s">
        <v>5</v>
      </c>
      <c r="H43" s="6" t="s">
        <v>6</v>
      </c>
      <c r="I43" s="7" t="s">
        <v>7</v>
      </c>
      <c r="J43" s="38" t="s">
        <v>228</v>
      </c>
      <c r="K43" s="39"/>
      <c r="L43" s="4"/>
      <c r="N43" t="str">
        <f>MID(B41,1,1)</f>
        <v>B</v>
      </c>
      <c r="O43" t="str">
        <f>IF(ISERROR(VLOOKUP(N43,Leeftijdscatogorie,1,FALSE)=TRUE),"",N43)</f>
        <v/>
      </c>
    </row>
    <row r="44" spans="1:15" x14ac:dyDescent="0.45">
      <c r="A44" s="4"/>
      <c r="B44" s="1">
        <v>1</v>
      </c>
      <c r="C44" s="1" t="s">
        <v>229</v>
      </c>
      <c r="D44" s="2">
        <v>37669</v>
      </c>
      <c r="E44" s="3">
        <v>14</v>
      </c>
      <c r="F44" s="1">
        <v>1</v>
      </c>
      <c r="G44" s="1" t="s">
        <v>230</v>
      </c>
      <c r="H44" s="2">
        <v>37960</v>
      </c>
      <c r="I44" s="3">
        <v>14</v>
      </c>
      <c r="J44" s="38" t="s">
        <v>231</v>
      </c>
      <c r="K44" s="39"/>
      <c r="L44" s="4"/>
      <c r="M44" t="str">
        <f>IF(O43="","",VLOOKUP(O43,Leeftijdscatogorie,2,FALSE))</f>
        <v/>
      </c>
      <c r="N44" t="str">
        <f>IF(O43="","",VLOOKUP(O43,Leeftijdscatogorie,3,FALSE))</f>
        <v/>
      </c>
      <c r="O44" t="str">
        <f>IF(O43="","",VLOOKUP(O43,Leeftijdscatogorie,4,FALSE))</f>
        <v/>
      </c>
    </row>
    <row r="45" spans="1:15" x14ac:dyDescent="0.45">
      <c r="A45" s="4"/>
      <c r="B45" s="1">
        <v>2</v>
      </c>
      <c r="C45" s="1" t="s">
        <v>232</v>
      </c>
      <c r="D45" s="2">
        <v>37720</v>
      </c>
      <c r="E45" s="3">
        <v>14</v>
      </c>
      <c r="F45" s="1">
        <v>2</v>
      </c>
      <c r="G45" s="1" t="s">
        <v>233</v>
      </c>
      <c r="H45" s="2">
        <v>37974</v>
      </c>
      <c r="I45" s="3">
        <v>14</v>
      </c>
      <c r="J45" s="4"/>
      <c r="K45" s="4"/>
      <c r="L45" s="4"/>
      <c r="N45" t="str">
        <f>N44</f>
        <v/>
      </c>
      <c r="O45" t="str">
        <f>O44</f>
        <v/>
      </c>
    </row>
    <row r="46" spans="1:15" x14ac:dyDescent="0.45">
      <c r="A46" s="4"/>
      <c r="B46" s="1">
        <v>3</v>
      </c>
      <c r="C46" s="1" t="s">
        <v>234</v>
      </c>
      <c r="D46" s="2">
        <v>37387</v>
      </c>
      <c r="E46" s="3">
        <v>15</v>
      </c>
      <c r="F46" s="1">
        <v>3</v>
      </c>
      <c r="G46" s="1" t="s">
        <v>37</v>
      </c>
      <c r="H46" s="2" t="s">
        <v>37</v>
      </c>
      <c r="I46" s="3" t="s">
        <v>37</v>
      </c>
      <c r="J46" s="4"/>
      <c r="K46" s="4"/>
      <c r="L46" s="4"/>
      <c r="N46" t="str">
        <f t="shared" ref="N46:O53" si="3">N45</f>
        <v/>
      </c>
      <c r="O46" t="str">
        <f t="shared" si="3"/>
        <v/>
      </c>
    </row>
    <row r="47" spans="1:15" x14ac:dyDescent="0.45">
      <c r="A47" s="4"/>
      <c r="B47" s="1">
        <v>4</v>
      </c>
      <c r="C47" s="16" t="s">
        <v>235</v>
      </c>
      <c r="D47" s="2">
        <v>37516</v>
      </c>
      <c r="E47" s="3">
        <v>15</v>
      </c>
      <c r="F47" s="1">
        <v>4</v>
      </c>
      <c r="G47" s="1" t="s">
        <v>37</v>
      </c>
      <c r="H47" s="2" t="s">
        <v>37</v>
      </c>
      <c r="I47" s="3" t="s">
        <v>37</v>
      </c>
      <c r="J47" s="4"/>
      <c r="K47" s="4"/>
      <c r="L47" s="4"/>
      <c r="N47" t="str">
        <f t="shared" si="3"/>
        <v/>
      </c>
      <c r="O47" t="str">
        <f t="shared" si="3"/>
        <v/>
      </c>
    </row>
    <row r="48" spans="1:15" x14ac:dyDescent="0.45">
      <c r="A48" s="4"/>
      <c r="B48" s="1">
        <v>5</v>
      </c>
      <c r="C48" s="1" t="s">
        <v>236</v>
      </c>
      <c r="D48" s="2">
        <v>37494</v>
      </c>
      <c r="E48" s="3">
        <v>15</v>
      </c>
      <c r="F48" s="1">
        <v>5</v>
      </c>
      <c r="G48" s="1" t="s">
        <v>37</v>
      </c>
      <c r="H48" s="2" t="s">
        <v>37</v>
      </c>
      <c r="I48" s="3" t="s">
        <v>37</v>
      </c>
      <c r="J48" s="4"/>
      <c r="K48" s="4"/>
      <c r="L48" s="4"/>
      <c r="N48" t="str">
        <f t="shared" si="3"/>
        <v/>
      </c>
      <c r="O48" t="str">
        <f t="shared" si="3"/>
        <v/>
      </c>
    </row>
    <row r="49" spans="1:15" x14ac:dyDescent="0.45">
      <c r="A49" s="4"/>
      <c r="B49" s="1">
        <v>6</v>
      </c>
      <c r="C49" s="1" t="s">
        <v>237</v>
      </c>
      <c r="D49" s="2">
        <v>37324</v>
      </c>
      <c r="E49" s="3">
        <v>15</v>
      </c>
      <c r="F49" s="1">
        <v>6</v>
      </c>
      <c r="G49" s="1" t="s">
        <v>37</v>
      </c>
      <c r="H49" s="2" t="s">
        <v>37</v>
      </c>
      <c r="I49" s="3" t="s">
        <v>37</v>
      </c>
      <c r="J49" s="4"/>
      <c r="K49" s="4"/>
      <c r="L49" s="4"/>
      <c r="N49" t="str">
        <f t="shared" si="3"/>
        <v/>
      </c>
      <c r="O49" t="str">
        <f t="shared" si="3"/>
        <v/>
      </c>
    </row>
    <row r="50" spans="1:15" x14ac:dyDescent="0.45">
      <c r="A50" s="4"/>
      <c r="B50" s="1">
        <v>7</v>
      </c>
      <c r="C50" s="1" t="s">
        <v>238</v>
      </c>
      <c r="D50" s="2">
        <v>37466</v>
      </c>
      <c r="E50" s="3">
        <v>15</v>
      </c>
      <c r="F50" s="1">
        <v>7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t="str">
        <f t="shared" si="3"/>
        <v/>
      </c>
      <c r="O50" t="str">
        <f t="shared" si="3"/>
        <v/>
      </c>
    </row>
    <row r="51" spans="1:15" x14ac:dyDescent="0.45">
      <c r="A51" s="4"/>
      <c r="B51" s="1">
        <v>8</v>
      </c>
      <c r="C51" s="1" t="s">
        <v>239</v>
      </c>
      <c r="D51" s="2">
        <v>37177</v>
      </c>
      <c r="E51" s="3">
        <v>16</v>
      </c>
      <c r="F51" s="1">
        <v>8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t="str">
        <f t="shared" si="3"/>
        <v/>
      </c>
      <c r="O51" t="str">
        <f t="shared" si="3"/>
        <v/>
      </c>
    </row>
    <row r="52" spans="1:15" x14ac:dyDescent="0.45">
      <c r="A52" s="4"/>
      <c r="B52" s="1">
        <v>9</v>
      </c>
      <c r="C52" s="1" t="s">
        <v>37</v>
      </c>
      <c r="D52" s="2" t="s">
        <v>37</v>
      </c>
      <c r="E52" s="3" t="s">
        <v>37</v>
      </c>
      <c r="F52" s="1">
        <v>9</v>
      </c>
      <c r="G52" s="1" t="s">
        <v>37</v>
      </c>
      <c r="H52" s="2" t="s">
        <v>37</v>
      </c>
      <c r="I52" s="3" t="s">
        <v>37</v>
      </c>
      <c r="J52" s="36" t="s">
        <v>149</v>
      </c>
      <c r="K52" s="4"/>
      <c r="L52" s="4"/>
      <c r="N52" t="str">
        <f t="shared" si="3"/>
        <v/>
      </c>
      <c r="O52" t="str">
        <f t="shared" si="3"/>
        <v/>
      </c>
    </row>
    <row r="53" spans="1:15" x14ac:dyDescent="0.45">
      <c r="A53" s="4"/>
      <c r="B53" s="8">
        <v>10</v>
      </c>
      <c r="C53" s="8" t="s">
        <v>37</v>
      </c>
      <c r="D53" s="9" t="s">
        <v>37</v>
      </c>
      <c r="E53" s="10" t="s">
        <v>37</v>
      </c>
      <c r="F53" s="8">
        <v>10</v>
      </c>
      <c r="G53" s="8" t="s">
        <v>37</v>
      </c>
      <c r="H53" s="9" t="s">
        <v>37</v>
      </c>
      <c r="I53" s="10" t="s">
        <v>37</v>
      </c>
      <c r="J53" s="11">
        <f>AVERAGE(E44:E53,I44:I53)</f>
        <v>14.7</v>
      </c>
      <c r="K53" s="4"/>
      <c r="L53" s="4"/>
      <c r="N53" t="str">
        <f t="shared" si="3"/>
        <v/>
      </c>
      <c r="O53" t="str">
        <f t="shared" si="3"/>
        <v/>
      </c>
    </row>
    <row r="54" spans="1:15" ht="21" x14ac:dyDescent="0.65">
      <c r="A54" s="4"/>
      <c r="B54" s="42" t="s">
        <v>240</v>
      </c>
      <c r="C54" s="43"/>
      <c r="D54" s="43"/>
      <c r="E54" s="43"/>
      <c r="F54" s="43"/>
      <c r="G54" s="43"/>
      <c r="H54" s="43"/>
      <c r="I54" s="43"/>
      <c r="J54" s="43"/>
      <c r="K54" s="44"/>
      <c r="L54" s="4"/>
    </row>
    <row r="55" spans="1:15" x14ac:dyDescent="0.45">
      <c r="A55" s="4"/>
      <c r="B55" s="45" t="s">
        <v>2</v>
      </c>
      <c r="C55" s="46"/>
      <c r="D55" s="46"/>
      <c r="E55" s="46"/>
      <c r="F55" s="46" t="s">
        <v>3</v>
      </c>
      <c r="G55" s="46"/>
      <c r="H55" s="46"/>
      <c r="I55" s="46"/>
      <c r="J55" s="46" t="s">
        <v>43</v>
      </c>
      <c r="K55" s="47"/>
      <c r="L55" s="4"/>
    </row>
    <row r="56" spans="1:15" x14ac:dyDescent="0.45">
      <c r="A56" s="4"/>
      <c r="B56" s="5"/>
      <c r="C56" s="5" t="s">
        <v>5</v>
      </c>
      <c r="D56" s="6" t="s">
        <v>6</v>
      </c>
      <c r="E56" s="7" t="s">
        <v>7</v>
      </c>
      <c r="F56" s="5"/>
      <c r="G56" s="5" t="s">
        <v>5</v>
      </c>
      <c r="H56" s="6" t="s">
        <v>6</v>
      </c>
      <c r="I56" s="7" t="s">
        <v>7</v>
      </c>
      <c r="J56" s="48" t="s">
        <v>241</v>
      </c>
      <c r="K56" s="48"/>
      <c r="L56" s="4"/>
      <c r="N56" t="str">
        <f>MID(B54,1,1)</f>
        <v>B</v>
      </c>
      <c r="O56" t="str">
        <f>IF(ISERROR(VLOOKUP(N56,Leeftijdscatogorie,1,FALSE)=TRUE),"",N56)</f>
        <v/>
      </c>
    </row>
    <row r="57" spans="1:15" x14ac:dyDescent="0.45">
      <c r="A57" s="4"/>
      <c r="B57" s="1">
        <v>1</v>
      </c>
      <c r="C57" s="1" t="s">
        <v>242</v>
      </c>
      <c r="D57" s="2">
        <v>37333</v>
      </c>
      <c r="E57" s="3">
        <v>15</v>
      </c>
      <c r="F57" s="1">
        <v>1</v>
      </c>
      <c r="G57" s="1" t="s">
        <v>243</v>
      </c>
      <c r="H57" s="2">
        <v>37170</v>
      </c>
      <c r="I57" s="3">
        <v>16</v>
      </c>
      <c r="J57" s="56" t="s">
        <v>244</v>
      </c>
      <c r="K57" s="56"/>
      <c r="L57" s="4"/>
      <c r="M57" t="str">
        <f>IF(O56="","",VLOOKUP(O56,Leeftijdscatogorie,2,FALSE))</f>
        <v/>
      </c>
      <c r="N57" t="str">
        <f>IF(O56="","",VLOOKUP(O56,Leeftijdscatogorie,3,FALSE))</f>
        <v/>
      </c>
      <c r="O57" t="str">
        <f>IF(O56="","",VLOOKUP(O56,Leeftijdscatogorie,4,FALSE))</f>
        <v/>
      </c>
    </row>
    <row r="58" spans="1:15" x14ac:dyDescent="0.45">
      <c r="A58" s="4"/>
      <c r="B58" s="1">
        <v>2</v>
      </c>
      <c r="C58" s="16" t="s">
        <v>245</v>
      </c>
      <c r="D58" s="2">
        <v>37295</v>
      </c>
      <c r="E58" s="3">
        <v>15</v>
      </c>
      <c r="F58" s="1">
        <v>2</v>
      </c>
      <c r="G58" s="1" t="s">
        <v>246</v>
      </c>
      <c r="H58" s="2">
        <v>37909</v>
      </c>
      <c r="I58" s="3">
        <v>14</v>
      </c>
      <c r="J58" s="57" t="s">
        <v>247</v>
      </c>
      <c r="K58" s="57"/>
      <c r="L58" s="4"/>
      <c r="N58" t="str">
        <f>N57</f>
        <v/>
      </c>
      <c r="O58" t="str">
        <f>O57</f>
        <v/>
      </c>
    </row>
    <row r="59" spans="1:15" x14ac:dyDescent="0.45">
      <c r="A59" s="4"/>
      <c r="B59" s="1">
        <v>3</v>
      </c>
      <c r="C59" s="1" t="s">
        <v>248</v>
      </c>
      <c r="D59" s="2">
        <v>37541</v>
      </c>
      <c r="E59" s="3">
        <v>15</v>
      </c>
      <c r="F59" s="1">
        <v>3</v>
      </c>
      <c r="G59" s="1" t="s">
        <v>37</v>
      </c>
      <c r="H59" s="2" t="s">
        <v>37</v>
      </c>
      <c r="I59" s="3" t="s">
        <v>37</v>
      </c>
      <c r="J59" s="57" t="s">
        <v>249</v>
      </c>
      <c r="K59" s="57"/>
      <c r="L59" s="4"/>
      <c r="N59" t="str">
        <f t="shared" ref="N59:O66" si="4">N58</f>
        <v/>
      </c>
      <c r="O59" t="str">
        <f t="shared" si="4"/>
        <v/>
      </c>
    </row>
    <row r="60" spans="1:15" x14ac:dyDescent="0.45">
      <c r="A60" s="4"/>
      <c r="B60" s="1">
        <v>4</v>
      </c>
      <c r="C60" s="1" t="s">
        <v>250</v>
      </c>
      <c r="D60" s="2">
        <v>37956</v>
      </c>
      <c r="E60" s="3">
        <v>14</v>
      </c>
      <c r="F60" s="1">
        <v>4</v>
      </c>
      <c r="G60" s="1" t="s">
        <v>37</v>
      </c>
      <c r="H60" s="2" t="s">
        <v>37</v>
      </c>
      <c r="I60" s="3" t="s">
        <v>37</v>
      </c>
      <c r="J60" s="60"/>
      <c r="K60" s="60"/>
      <c r="L60" s="4"/>
      <c r="N60" t="str">
        <f t="shared" si="4"/>
        <v/>
      </c>
      <c r="O60" t="str">
        <f t="shared" si="4"/>
        <v/>
      </c>
    </row>
    <row r="61" spans="1:15" x14ac:dyDescent="0.45">
      <c r="A61" s="4"/>
      <c r="B61" s="1">
        <v>5</v>
      </c>
      <c r="C61" s="1" t="s">
        <v>251</v>
      </c>
      <c r="D61" s="2">
        <v>37673</v>
      </c>
      <c r="E61" s="3">
        <v>14</v>
      </c>
      <c r="F61" s="1">
        <v>5</v>
      </c>
      <c r="G61" s="1" t="s">
        <v>37</v>
      </c>
      <c r="H61" s="2" t="s">
        <v>37</v>
      </c>
      <c r="I61" s="3" t="s">
        <v>37</v>
      </c>
      <c r="J61" s="60"/>
      <c r="K61" s="60"/>
      <c r="L61" s="4"/>
      <c r="N61" t="str">
        <f t="shared" si="4"/>
        <v/>
      </c>
      <c r="O61" t="str">
        <f t="shared" si="4"/>
        <v/>
      </c>
    </row>
    <row r="62" spans="1:15" x14ac:dyDescent="0.45">
      <c r="A62" s="4"/>
      <c r="B62" s="1">
        <v>6</v>
      </c>
      <c r="C62" s="1" t="s">
        <v>252</v>
      </c>
      <c r="D62" s="2">
        <v>37931</v>
      </c>
      <c r="E62" s="3">
        <v>14</v>
      </c>
      <c r="F62" s="1">
        <v>6</v>
      </c>
      <c r="G62" s="1" t="s">
        <v>37</v>
      </c>
      <c r="H62" s="2" t="s">
        <v>37</v>
      </c>
      <c r="I62" s="3" t="s">
        <v>37</v>
      </c>
      <c r="J62" s="4"/>
      <c r="K62" s="4"/>
      <c r="L62" s="4"/>
      <c r="N62" t="str">
        <f t="shared" si="4"/>
        <v/>
      </c>
      <c r="O62" t="str">
        <f t="shared" si="4"/>
        <v/>
      </c>
    </row>
    <row r="63" spans="1:15" x14ac:dyDescent="0.45">
      <c r="A63" s="4"/>
      <c r="B63" s="1">
        <v>7</v>
      </c>
      <c r="C63" s="1" t="s">
        <v>253</v>
      </c>
      <c r="D63" s="2">
        <v>37292</v>
      </c>
      <c r="E63" s="3">
        <v>15</v>
      </c>
      <c r="F63" s="1">
        <v>7</v>
      </c>
      <c r="G63" s="1" t="s">
        <v>37</v>
      </c>
      <c r="H63" s="2" t="s">
        <v>37</v>
      </c>
      <c r="I63" s="3" t="s">
        <v>37</v>
      </c>
      <c r="J63" s="4"/>
      <c r="K63" s="4"/>
      <c r="L63" s="4"/>
      <c r="N63" t="str">
        <f t="shared" si="4"/>
        <v/>
      </c>
      <c r="O63" t="str">
        <f t="shared" si="4"/>
        <v/>
      </c>
    </row>
    <row r="64" spans="1:15" x14ac:dyDescent="0.45">
      <c r="A64" s="4"/>
      <c r="B64" s="1">
        <v>8</v>
      </c>
      <c r="C64" s="1" t="s">
        <v>254</v>
      </c>
      <c r="D64" s="2">
        <v>38240</v>
      </c>
      <c r="E64" s="3">
        <v>13</v>
      </c>
      <c r="F64" s="1">
        <v>8</v>
      </c>
      <c r="G64" s="1" t="s">
        <v>37</v>
      </c>
      <c r="H64" s="2" t="s">
        <v>37</v>
      </c>
      <c r="I64" s="3" t="s">
        <v>37</v>
      </c>
      <c r="J64" s="4"/>
      <c r="K64" s="4"/>
      <c r="L64" s="4"/>
      <c r="N64" t="str">
        <f t="shared" si="4"/>
        <v/>
      </c>
      <c r="O64" t="str">
        <f t="shared" si="4"/>
        <v/>
      </c>
    </row>
    <row r="65" spans="1:15" x14ac:dyDescent="0.45">
      <c r="A65" s="4"/>
      <c r="B65" s="1">
        <v>9</v>
      </c>
      <c r="C65" s="1" t="s">
        <v>37</v>
      </c>
      <c r="D65" s="2" t="s">
        <v>37</v>
      </c>
      <c r="E65" s="3" t="s">
        <v>37</v>
      </c>
      <c r="F65" s="1">
        <v>9</v>
      </c>
      <c r="G65" s="1" t="s">
        <v>37</v>
      </c>
      <c r="H65" s="2" t="s">
        <v>37</v>
      </c>
      <c r="I65" s="3" t="s">
        <v>37</v>
      </c>
      <c r="J65" s="36" t="s">
        <v>149</v>
      </c>
      <c r="K65" s="4"/>
      <c r="L65" s="4"/>
      <c r="N65" t="str">
        <f t="shared" si="4"/>
        <v/>
      </c>
      <c r="O65" t="str">
        <f t="shared" si="4"/>
        <v/>
      </c>
    </row>
    <row r="66" spans="1:15" x14ac:dyDescent="0.45">
      <c r="A66" s="4"/>
      <c r="B66" s="1">
        <v>10</v>
      </c>
      <c r="C66" s="1" t="s">
        <v>37</v>
      </c>
      <c r="D66" s="2" t="s">
        <v>37</v>
      </c>
      <c r="E66" s="3" t="s">
        <v>37</v>
      </c>
      <c r="F66" s="1">
        <v>10</v>
      </c>
      <c r="G66" s="1" t="s">
        <v>37</v>
      </c>
      <c r="H66" s="2" t="s">
        <v>37</v>
      </c>
      <c r="I66" s="3" t="s">
        <v>37</v>
      </c>
      <c r="J66" s="11">
        <f>AVERAGE(E57:E66,I57:I66)</f>
        <v>14.5</v>
      </c>
      <c r="K66" s="4"/>
      <c r="L66" s="4"/>
      <c r="N66" t="str">
        <f t="shared" si="4"/>
        <v/>
      </c>
      <c r="O66" t="str">
        <f t="shared" si="4"/>
        <v/>
      </c>
    </row>
    <row r="67" spans="1:15" x14ac:dyDescent="0.45">
      <c r="A67" s="4"/>
      <c r="B67" s="4"/>
      <c r="C67" s="4"/>
      <c r="D67" s="12"/>
      <c r="E67" s="35"/>
      <c r="F67" s="4"/>
      <c r="G67" s="4"/>
      <c r="H67" s="12"/>
      <c r="I67" s="35"/>
      <c r="J67" s="4"/>
      <c r="K67" s="4"/>
      <c r="L67" s="4"/>
    </row>
    <row r="68" spans="1:15" x14ac:dyDescent="0.45">
      <c r="A68" s="4"/>
      <c r="B68" s="4"/>
      <c r="C68" s="4"/>
      <c r="D68" s="12"/>
      <c r="E68" s="35"/>
      <c r="F68" s="4"/>
      <c r="G68" s="4"/>
      <c r="H68" s="12"/>
      <c r="I68" s="35"/>
      <c r="J68" s="4"/>
      <c r="K68" s="4"/>
      <c r="L68" s="4"/>
    </row>
    <row r="69" spans="1:15" x14ac:dyDescent="0.45">
      <c r="A69" s="4"/>
      <c r="B69" s="4"/>
      <c r="C69" s="4"/>
      <c r="D69" s="12"/>
      <c r="E69" s="35"/>
      <c r="F69" s="4"/>
      <c r="G69" s="4"/>
      <c r="H69" s="12"/>
      <c r="I69" s="35"/>
      <c r="J69" s="4"/>
      <c r="K69" s="4"/>
      <c r="L69" s="4"/>
    </row>
    <row r="70" spans="1:15" x14ac:dyDescent="0.45">
      <c r="A70" s="4"/>
      <c r="B70" s="4"/>
      <c r="C70" s="4"/>
      <c r="D70" s="12"/>
      <c r="E70" s="35"/>
      <c r="F70" s="4"/>
      <c r="G70" s="4"/>
      <c r="H70" s="12"/>
      <c r="I70" s="35"/>
      <c r="J70" s="4"/>
      <c r="K70" s="4"/>
      <c r="L70" s="4"/>
    </row>
    <row r="71" spans="1:15" x14ac:dyDescent="0.45">
      <c r="A71" s="4"/>
      <c r="B71" s="4"/>
      <c r="C71" s="4"/>
      <c r="D71" s="12"/>
      <c r="E71" s="35"/>
      <c r="F71" s="4"/>
      <c r="G71" s="4"/>
      <c r="H71" s="12"/>
      <c r="I71" s="35"/>
      <c r="J71" s="4"/>
      <c r="K71" s="4"/>
      <c r="L71" s="4"/>
    </row>
    <row r="72" spans="1:15" x14ac:dyDescent="0.45">
      <c r="A72" s="4"/>
      <c r="B72" s="4"/>
      <c r="C72" s="4"/>
      <c r="D72" s="4"/>
      <c r="E72" s="35"/>
      <c r="F72" s="4"/>
      <c r="G72" s="4"/>
      <c r="H72" s="4"/>
      <c r="I72" s="35"/>
      <c r="J72" s="4"/>
      <c r="K72" s="4"/>
      <c r="L72" s="4"/>
    </row>
    <row r="73" spans="1:15" x14ac:dyDescent="0.45">
      <c r="A73" s="4"/>
      <c r="B73" s="4"/>
      <c r="C73" s="4"/>
      <c r="D73" s="4"/>
      <c r="E73" s="35"/>
      <c r="F73" s="4"/>
      <c r="G73" s="4"/>
      <c r="H73" s="4"/>
      <c r="I73" s="35"/>
      <c r="J73" s="4"/>
      <c r="K73" s="4"/>
      <c r="L73" s="4"/>
    </row>
    <row r="74" spans="1:15" x14ac:dyDescent="0.45">
      <c r="A74" s="4"/>
      <c r="B74" s="4"/>
      <c r="C74" s="4"/>
      <c r="D74" s="4"/>
      <c r="E74" s="35"/>
      <c r="F74" s="4"/>
      <c r="G74" s="4"/>
      <c r="H74" s="4"/>
      <c r="I74" s="35"/>
      <c r="J74" s="4"/>
      <c r="K74" s="4"/>
      <c r="L74" s="4"/>
    </row>
    <row r="75" spans="1:15" x14ac:dyDescent="0.45">
      <c r="A75" s="4"/>
      <c r="B75" s="4"/>
      <c r="C75" s="4"/>
      <c r="D75" s="4"/>
      <c r="E75" s="35"/>
      <c r="F75" s="4"/>
      <c r="G75" s="4"/>
      <c r="H75" s="4"/>
      <c r="I75" s="35"/>
      <c r="J75" s="4"/>
      <c r="K75" s="4"/>
      <c r="L75" s="4"/>
    </row>
    <row r="76" spans="1:15" x14ac:dyDescent="0.45">
      <c r="A76" s="4"/>
      <c r="B76" s="4"/>
      <c r="C76" s="4"/>
      <c r="D76" s="4"/>
      <c r="E76" s="35"/>
      <c r="F76" s="4"/>
      <c r="G76" s="4"/>
      <c r="H76" s="4"/>
      <c r="I76" s="35"/>
      <c r="J76" s="4"/>
      <c r="K76" s="4"/>
      <c r="L76" s="4"/>
    </row>
    <row r="77" spans="1:15" x14ac:dyDescent="0.45">
      <c r="A77" s="4"/>
      <c r="B77" s="4"/>
      <c r="C77" s="4"/>
      <c r="D77" s="4"/>
      <c r="E77" s="35"/>
      <c r="F77" s="4"/>
      <c r="G77" s="4"/>
      <c r="H77" s="4"/>
      <c r="I77" s="35"/>
      <c r="J77" s="4"/>
      <c r="K77" s="4"/>
      <c r="L77" s="4"/>
    </row>
    <row r="78" spans="1:15" x14ac:dyDescent="0.45">
      <c r="A78" s="4"/>
      <c r="B78" s="4"/>
      <c r="C78" s="4"/>
      <c r="D78" s="4"/>
      <c r="E78" s="35"/>
      <c r="F78" s="4"/>
      <c r="G78" s="4"/>
      <c r="H78" s="4"/>
      <c r="I78" s="35"/>
      <c r="J78" s="4"/>
      <c r="K78" s="4"/>
      <c r="L78" s="4"/>
    </row>
    <row r="79" spans="1:15" x14ac:dyDescent="0.45">
      <c r="A79" s="4"/>
      <c r="B79" s="4"/>
      <c r="C79" s="4"/>
      <c r="D79" s="4"/>
      <c r="E79" s="35"/>
      <c r="F79" s="4"/>
      <c r="G79" s="4"/>
      <c r="H79" s="4"/>
      <c r="I79" s="35"/>
      <c r="J79" s="4"/>
      <c r="K79" s="4"/>
      <c r="L79" s="4"/>
    </row>
    <row r="80" spans="1:15" x14ac:dyDescent="0.45">
      <c r="A80" s="4"/>
      <c r="B80" s="4"/>
      <c r="C80" s="4"/>
      <c r="D80" s="4"/>
      <c r="E80" s="35"/>
      <c r="F80" s="4"/>
      <c r="G80" s="4"/>
      <c r="H80" s="4"/>
      <c r="I80" s="35"/>
      <c r="J80" s="4"/>
      <c r="K80" s="4"/>
      <c r="L80" s="4"/>
    </row>
    <row r="81" spans="1:12" x14ac:dyDescent="0.45">
      <c r="A81" s="4"/>
      <c r="B81" s="4"/>
      <c r="C81" s="4"/>
      <c r="D81" s="4"/>
      <c r="E81" s="35"/>
      <c r="F81" s="4"/>
      <c r="G81" s="4"/>
      <c r="H81" s="4"/>
      <c r="I81" s="35"/>
      <c r="J81" s="4"/>
      <c r="K81" s="4"/>
      <c r="L81" s="4"/>
    </row>
    <row r="82" spans="1:12" x14ac:dyDescent="0.45">
      <c r="A82" s="4"/>
      <c r="B82" s="4"/>
      <c r="C82" s="4"/>
      <c r="D82" s="4"/>
      <c r="E82" s="35"/>
      <c r="F82" s="4"/>
      <c r="G82" s="4"/>
      <c r="H82" s="4"/>
      <c r="I82" s="35"/>
      <c r="J82" s="4"/>
      <c r="K82" s="4"/>
      <c r="L82" s="4"/>
    </row>
    <row r="83" spans="1:12" x14ac:dyDescent="0.45">
      <c r="A83" s="4"/>
      <c r="B83" s="4"/>
      <c r="C83" s="4"/>
      <c r="D83" s="4"/>
      <c r="E83" s="35"/>
      <c r="F83" s="4"/>
      <c r="G83" s="4"/>
      <c r="H83" s="4"/>
      <c r="I83" s="35"/>
      <c r="J83" s="4"/>
      <c r="K83" s="4"/>
      <c r="L83" s="4"/>
    </row>
    <row r="84" spans="1:12" x14ac:dyDescent="0.45">
      <c r="A84" s="4"/>
      <c r="B84" s="4"/>
      <c r="C84" s="4"/>
      <c r="D84" s="4"/>
      <c r="E84" s="35"/>
      <c r="F84" s="4"/>
      <c r="G84" s="4"/>
      <c r="H84" s="4"/>
      <c r="I84" s="35"/>
      <c r="J84" s="4"/>
      <c r="K84" s="4"/>
      <c r="L84" s="4"/>
    </row>
    <row r="85" spans="1:12" x14ac:dyDescent="0.45">
      <c r="A85" s="4"/>
      <c r="B85" s="4"/>
      <c r="C85" s="4"/>
      <c r="D85" s="4"/>
      <c r="E85" s="35"/>
      <c r="F85" s="4"/>
      <c r="G85" s="4"/>
      <c r="H85" s="4"/>
      <c r="I85" s="35"/>
      <c r="J85" s="4"/>
      <c r="K85" s="4"/>
      <c r="L85" s="4"/>
    </row>
    <row r="86" spans="1:12" x14ac:dyDescent="0.45">
      <c r="A86" s="4"/>
      <c r="B86" s="4"/>
      <c r="C86" s="4"/>
      <c r="D86" s="4"/>
      <c r="E86" s="35"/>
      <c r="F86" s="4"/>
      <c r="G86" s="4"/>
      <c r="H86" s="4"/>
      <c r="I86" s="35"/>
      <c r="J86" s="4"/>
      <c r="K86" s="4"/>
      <c r="L86" s="4"/>
    </row>
    <row r="87" spans="1:12" x14ac:dyDescent="0.45">
      <c r="A87" s="4"/>
      <c r="B87" s="4"/>
      <c r="C87" s="4"/>
      <c r="D87" s="4"/>
      <c r="E87" s="35"/>
      <c r="F87" s="4"/>
      <c r="G87" s="4"/>
      <c r="H87" s="4"/>
      <c r="I87" s="35"/>
      <c r="J87" s="4"/>
      <c r="K87" s="4"/>
      <c r="L87" s="4"/>
    </row>
    <row r="88" spans="1:12" x14ac:dyDescent="0.45">
      <c r="A88" s="4"/>
      <c r="B88" s="4"/>
      <c r="C88" s="4"/>
      <c r="D88" s="4"/>
      <c r="E88" s="35"/>
      <c r="F88" s="4"/>
      <c r="G88" s="4"/>
      <c r="H88" s="4"/>
      <c r="I88" s="35"/>
      <c r="J88" s="4"/>
      <c r="K88" s="4"/>
      <c r="L88" s="4"/>
    </row>
    <row r="89" spans="1:12" x14ac:dyDescent="0.45">
      <c r="A89" s="4"/>
      <c r="B89" s="4"/>
      <c r="C89" s="4"/>
      <c r="D89" s="4"/>
      <c r="E89" s="35"/>
      <c r="F89" s="4"/>
      <c r="G89" s="4"/>
      <c r="H89" s="4"/>
      <c r="I89" s="35"/>
      <c r="J89" s="4"/>
      <c r="K89" s="4"/>
      <c r="L89" s="4"/>
    </row>
    <row r="90" spans="1:12" x14ac:dyDescent="0.45">
      <c r="A90" s="4"/>
      <c r="B90" s="4"/>
      <c r="C90" s="4"/>
      <c r="D90" s="4"/>
      <c r="E90" s="35"/>
      <c r="F90" s="4"/>
      <c r="G90" s="4"/>
      <c r="H90" s="4"/>
      <c r="I90" s="35"/>
      <c r="J90" s="4"/>
      <c r="K90" s="4"/>
      <c r="L90" s="4"/>
    </row>
    <row r="91" spans="1:12" x14ac:dyDescent="0.45">
      <c r="A91" s="4"/>
      <c r="B91" s="4"/>
      <c r="C91" s="4"/>
      <c r="D91" s="4"/>
      <c r="E91" s="35"/>
      <c r="F91" s="4"/>
      <c r="G91" s="4"/>
      <c r="H91" s="4"/>
      <c r="I91" s="35"/>
      <c r="J91" s="4"/>
      <c r="K91" s="4"/>
      <c r="L91" s="4"/>
    </row>
    <row r="92" spans="1:12" x14ac:dyDescent="0.45">
      <c r="A92" s="4"/>
      <c r="B92" s="4"/>
      <c r="C92" s="4"/>
      <c r="D92" s="4"/>
      <c r="E92" s="35"/>
      <c r="F92" s="4"/>
      <c r="G92" s="4"/>
      <c r="H92" s="4"/>
      <c r="I92" s="35"/>
      <c r="J92" s="4"/>
      <c r="K92" s="4"/>
      <c r="L92" s="4"/>
    </row>
    <row r="93" spans="1:12" x14ac:dyDescent="0.45">
      <c r="A93" s="4"/>
      <c r="B93" s="4"/>
      <c r="C93" s="4"/>
      <c r="D93" s="4"/>
      <c r="E93" s="35"/>
      <c r="F93" s="4"/>
      <c r="G93" s="4"/>
      <c r="H93" s="4"/>
      <c r="I93" s="35"/>
      <c r="J93" s="4"/>
      <c r="K93" s="4"/>
      <c r="L93" s="4"/>
    </row>
    <row r="94" spans="1:12" x14ac:dyDescent="0.45">
      <c r="A94" s="4"/>
      <c r="B94" s="4"/>
      <c r="C94" s="4"/>
      <c r="D94" s="4"/>
      <c r="E94" s="35"/>
      <c r="F94" s="4"/>
      <c r="G94" s="4"/>
      <c r="H94" s="4"/>
      <c r="I94" s="35"/>
      <c r="J94" s="4"/>
      <c r="K94" s="4"/>
      <c r="L94" s="4"/>
    </row>
    <row r="95" spans="1:12" x14ac:dyDescent="0.45">
      <c r="A95" s="4"/>
      <c r="B95" s="4"/>
      <c r="C95" s="4"/>
      <c r="D95" s="4"/>
      <c r="E95" s="35"/>
      <c r="F95" s="4"/>
      <c r="G95" s="4"/>
      <c r="H95" s="4"/>
      <c r="I95" s="35"/>
      <c r="J95" s="4"/>
      <c r="K95" s="4"/>
      <c r="L95" s="4"/>
    </row>
    <row r="96" spans="1:12" x14ac:dyDescent="0.45">
      <c r="A96" s="4"/>
      <c r="B96" s="4"/>
      <c r="C96" s="4"/>
      <c r="D96" s="4"/>
      <c r="E96" s="35"/>
      <c r="F96" s="4"/>
      <c r="G96" s="4"/>
      <c r="H96" s="4"/>
      <c r="I96" s="35"/>
      <c r="J96" s="4"/>
      <c r="K96" s="4"/>
      <c r="L96" s="4"/>
    </row>
    <row r="97" spans="1:12" x14ac:dyDescent="0.45">
      <c r="A97" s="4"/>
      <c r="B97" s="4"/>
      <c r="C97" s="4"/>
      <c r="D97" s="4"/>
      <c r="E97" s="35"/>
      <c r="F97" s="4"/>
      <c r="G97" s="4"/>
      <c r="H97" s="4"/>
      <c r="I97" s="35"/>
      <c r="J97" s="4"/>
      <c r="K97" s="4"/>
      <c r="L97" s="4"/>
    </row>
    <row r="98" spans="1:12" x14ac:dyDescent="0.45">
      <c r="A98" s="4"/>
      <c r="B98" s="4"/>
      <c r="C98" s="4"/>
      <c r="D98" s="4"/>
      <c r="E98" s="35"/>
      <c r="F98" s="4"/>
      <c r="G98" s="4"/>
      <c r="H98" s="4"/>
      <c r="I98" s="35"/>
      <c r="J98" s="4"/>
      <c r="K98" s="4"/>
      <c r="L98" s="4"/>
    </row>
    <row r="99" spans="1:12" x14ac:dyDescent="0.45">
      <c r="A99" s="4"/>
      <c r="B99" s="4"/>
      <c r="C99" s="4"/>
      <c r="D99" s="4"/>
      <c r="E99" s="35"/>
      <c r="F99" s="4"/>
      <c r="G99" s="4"/>
      <c r="H99" s="4"/>
      <c r="I99" s="35"/>
      <c r="J99" s="4"/>
      <c r="K99" s="4"/>
      <c r="L99" s="4"/>
    </row>
    <row r="100" spans="1:12" x14ac:dyDescent="0.45">
      <c r="A100" s="4"/>
      <c r="B100" s="4"/>
      <c r="C100" s="4"/>
      <c r="D100" s="4"/>
      <c r="E100" s="35"/>
      <c r="F100" s="4"/>
      <c r="G100" s="4"/>
      <c r="H100" s="4"/>
      <c r="I100" s="35"/>
      <c r="J100" s="4"/>
      <c r="K100" s="4"/>
      <c r="L100" s="4"/>
    </row>
    <row r="101" spans="1:12" x14ac:dyDescent="0.45">
      <c r="A101" s="4"/>
      <c r="B101" s="4"/>
      <c r="C101" s="4"/>
      <c r="D101" s="4"/>
      <c r="E101" s="35"/>
      <c r="F101" s="4"/>
      <c r="G101" s="4"/>
      <c r="H101" s="4"/>
      <c r="I101" s="35"/>
      <c r="J101" s="4"/>
      <c r="K101" s="4"/>
      <c r="L101" s="4"/>
    </row>
    <row r="102" spans="1:12" x14ac:dyDescent="0.45">
      <c r="A102" s="4"/>
      <c r="B102" s="4"/>
      <c r="C102" s="4"/>
      <c r="D102" s="4"/>
      <c r="E102" s="35"/>
      <c r="F102" s="4"/>
      <c r="G102" s="4"/>
      <c r="H102" s="4"/>
      <c r="I102" s="35"/>
      <c r="J102" s="4"/>
      <c r="K102" s="4"/>
      <c r="L102" s="4"/>
    </row>
    <row r="103" spans="1:12" x14ac:dyDescent="0.45">
      <c r="A103" s="4"/>
      <c r="B103" s="4"/>
      <c r="C103" s="4"/>
      <c r="D103" s="4"/>
      <c r="E103" s="35"/>
      <c r="F103" s="4"/>
      <c r="G103" s="4"/>
      <c r="H103" s="4"/>
      <c r="I103" s="35"/>
      <c r="J103" s="4"/>
      <c r="K103" s="4"/>
      <c r="L103" s="4"/>
    </row>
    <row r="104" spans="1:12" x14ac:dyDescent="0.45">
      <c r="A104" s="4"/>
      <c r="B104" s="4"/>
      <c r="C104" s="4"/>
      <c r="D104" s="4"/>
      <c r="E104" s="35"/>
      <c r="F104" s="4"/>
      <c r="G104" s="4"/>
      <c r="H104" s="4"/>
      <c r="I104" s="35"/>
      <c r="J104" s="4"/>
      <c r="K104" s="4"/>
      <c r="L104" s="4"/>
    </row>
    <row r="105" spans="1:12" x14ac:dyDescent="0.45">
      <c r="A105" s="4"/>
      <c r="B105" s="4"/>
      <c r="C105" s="4"/>
      <c r="D105" s="4"/>
      <c r="E105" s="35"/>
      <c r="F105" s="4"/>
      <c r="G105" s="4"/>
      <c r="H105" s="4"/>
      <c r="I105" s="35"/>
      <c r="J105" s="4"/>
      <c r="K105" s="4"/>
      <c r="L105" s="4"/>
    </row>
    <row r="106" spans="1:12" x14ac:dyDescent="0.45">
      <c r="A106" s="4"/>
      <c r="B106" s="4"/>
      <c r="C106" s="4"/>
      <c r="D106" s="4"/>
      <c r="E106" s="35"/>
      <c r="F106" s="4"/>
      <c r="G106" s="4"/>
      <c r="H106" s="4"/>
      <c r="I106" s="35"/>
      <c r="J106" s="4"/>
      <c r="K106" s="4"/>
      <c r="L106" s="4"/>
    </row>
    <row r="107" spans="1:12" x14ac:dyDescent="0.45">
      <c r="A107" s="4"/>
      <c r="B107" s="4"/>
      <c r="C107" s="4"/>
      <c r="D107" s="4"/>
      <c r="E107" s="35"/>
      <c r="F107" s="4"/>
      <c r="G107" s="4"/>
      <c r="H107" s="4"/>
      <c r="I107" s="35"/>
      <c r="J107" s="4"/>
      <c r="K107" s="4"/>
      <c r="L107" s="4"/>
    </row>
    <row r="108" spans="1:12" x14ac:dyDescent="0.45">
      <c r="A108" s="4"/>
      <c r="B108" s="4"/>
      <c r="C108" s="4"/>
      <c r="D108" s="4"/>
      <c r="E108" s="35"/>
      <c r="F108" s="4"/>
      <c r="G108" s="4"/>
      <c r="H108" s="4"/>
      <c r="I108" s="35"/>
      <c r="J108" s="4"/>
      <c r="K108" s="4"/>
      <c r="L108" s="4"/>
    </row>
    <row r="109" spans="1:12" x14ac:dyDescent="0.45">
      <c r="A109" s="4"/>
      <c r="B109" s="4"/>
      <c r="C109" s="4"/>
      <c r="D109" s="4"/>
      <c r="E109" s="35"/>
      <c r="F109" s="4"/>
      <c r="G109" s="4"/>
      <c r="H109" s="4"/>
      <c r="I109" s="35"/>
      <c r="J109" s="4"/>
      <c r="K109" s="4"/>
      <c r="L109" s="4"/>
    </row>
    <row r="110" spans="1:12" x14ac:dyDescent="0.45">
      <c r="A110" s="4"/>
      <c r="B110" s="4"/>
      <c r="C110" s="4"/>
      <c r="D110" s="4"/>
      <c r="E110" s="35"/>
      <c r="F110" s="4"/>
      <c r="G110" s="4"/>
      <c r="H110" s="4"/>
      <c r="I110" s="35"/>
      <c r="J110" s="4"/>
      <c r="K110" s="4"/>
      <c r="L110" s="4"/>
    </row>
    <row r="111" spans="1:12" x14ac:dyDescent="0.45">
      <c r="A111" s="4"/>
      <c r="B111" s="4"/>
      <c r="C111" s="4"/>
      <c r="D111" s="4"/>
      <c r="E111" s="35"/>
      <c r="F111" s="4"/>
      <c r="G111" s="4"/>
      <c r="H111" s="4"/>
      <c r="I111" s="35"/>
      <c r="J111" s="4"/>
      <c r="K111" s="4"/>
      <c r="L111" s="4"/>
    </row>
    <row r="112" spans="1:12" x14ac:dyDescent="0.45">
      <c r="A112" s="4"/>
      <c r="B112" s="4"/>
      <c r="C112" s="4"/>
      <c r="D112" s="4"/>
      <c r="E112" s="35"/>
      <c r="F112" s="4"/>
      <c r="G112" s="4"/>
      <c r="H112" s="4"/>
      <c r="I112" s="35"/>
      <c r="J112" s="4"/>
      <c r="K112" s="4"/>
      <c r="L112" s="4"/>
    </row>
    <row r="113" spans="1:12" x14ac:dyDescent="0.45">
      <c r="A113" s="4"/>
      <c r="B113" s="4"/>
      <c r="C113" s="4"/>
      <c r="D113" s="4"/>
      <c r="E113" s="35"/>
      <c r="F113" s="4"/>
      <c r="G113" s="4"/>
      <c r="H113" s="4"/>
      <c r="I113" s="35"/>
      <c r="J113" s="4"/>
      <c r="K113" s="4"/>
      <c r="L113" s="4"/>
    </row>
    <row r="114" spans="1:12" x14ac:dyDescent="0.45">
      <c r="A114" s="4"/>
      <c r="B114" s="4"/>
      <c r="C114" s="4"/>
      <c r="D114" s="4"/>
      <c r="E114" s="35"/>
      <c r="F114" s="4"/>
      <c r="G114" s="4"/>
      <c r="H114" s="4"/>
      <c r="I114" s="35"/>
      <c r="J114" s="4"/>
      <c r="K114" s="4"/>
      <c r="L114" s="4"/>
    </row>
    <row r="115" spans="1:12" x14ac:dyDescent="0.45">
      <c r="A115" s="4"/>
      <c r="B115" s="4"/>
      <c r="C115" s="4"/>
      <c r="D115" s="4"/>
      <c r="E115" s="35"/>
      <c r="F115" s="4"/>
      <c r="G115" s="4"/>
      <c r="H115" s="4"/>
      <c r="I115" s="35"/>
      <c r="J115" s="4"/>
      <c r="K115" s="4"/>
      <c r="L115" s="4"/>
    </row>
    <row r="116" spans="1:12" x14ac:dyDescent="0.45">
      <c r="A116" s="4"/>
      <c r="B116" s="4"/>
      <c r="C116" s="4"/>
      <c r="D116" s="4"/>
      <c r="E116" s="35"/>
      <c r="F116" s="4"/>
      <c r="G116" s="4"/>
      <c r="H116" s="4"/>
      <c r="I116" s="35"/>
      <c r="J116" s="4"/>
      <c r="K116" s="4"/>
      <c r="L116" s="4"/>
    </row>
    <row r="117" spans="1:12" x14ac:dyDescent="0.45">
      <c r="A117" s="4"/>
      <c r="B117" s="4"/>
      <c r="C117" s="4"/>
      <c r="D117" s="4"/>
      <c r="E117" s="35"/>
      <c r="F117" s="4"/>
      <c r="G117" s="4"/>
      <c r="H117" s="4"/>
      <c r="I117" s="35"/>
      <c r="J117" s="4"/>
      <c r="K117" s="4"/>
      <c r="L117" s="4"/>
    </row>
    <row r="118" spans="1:12" x14ac:dyDescent="0.45">
      <c r="A118" s="4"/>
      <c r="B118" s="4"/>
      <c r="C118" s="4"/>
      <c r="D118" s="4"/>
      <c r="E118" s="35"/>
      <c r="F118" s="4"/>
      <c r="G118" s="4"/>
      <c r="H118" s="4"/>
      <c r="I118" s="35"/>
      <c r="J118" s="4"/>
      <c r="K118" s="4"/>
      <c r="L118" s="4"/>
    </row>
    <row r="119" spans="1:12" x14ac:dyDescent="0.45">
      <c r="A119" s="4"/>
      <c r="B119" s="4"/>
      <c r="C119" s="4"/>
      <c r="D119" s="4"/>
      <c r="E119" s="35"/>
      <c r="F119" s="4"/>
      <c r="G119" s="4"/>
      <c r="H119" s="4"/>
      <c r="I119" s="35"/>
      <c r="J119" s="4"/>
      <c r="K119" s="4"/>
      <c r="L119" s="4"/>
    </row>
    <row r="120" spans="1:12" x14ac:dyDescent="0.45">
      <c r="A120" s="4"/>
      <c r="B120" s="4"/>
      <c r="C120" s="4"/>
      <c r="D120" s="4"/>
      <c r="E120" s="35"/>
      <c r="F120" s="4"/>
      <c r="G120" s="4"/>
      <c r="H120" s="4"/>
      <c r="I120" s="35"/>
      <c r="J120" s="4"/>
      <c r="K120" s="4"/>
      <c r="L120" s="4"/>
    </row>
    <row r="121" spans="1:12" x14ac:dyDescent="0.45">
      <c r="A121" s="4"/>
      <c r="B121" s="4"/>
      <c r="C121" s="4"/>
      <c r="D121" s="4"/>
      <c r="E121" s="35"/>
      <c r="F121" s="4"/>
      <c r="G121" s="4"/>
      <c r="H121" s="4"/>
      <c r="I121" s="35"/>
      <c r="J121" s="4"/>
      <c r="K121" s="4"/>
      <c r="L121" s="4"/>
    </row>
  </sheetData>
  <mergeCells count="37">
    <mergeCell ref="J61:K61"/>
    <mergeCell ref="J43:K43"/>
    <mergeCell ref="J44:K44"/>
    <mergeCell ref="B54:K54"/>
    <mergeCell ref="B55:E55"/>
    <mergeCell ref="F55:I55"/>
    <mergeCell ref="J55:K55"/>
    <mergeCell ref="J56:K56"/>
    <mergeCell ref="J57:K57"/>
    <mergeCell ref="J58:K58"/>
    <mergeCell ref="J59:K59"/>
    <mergeCell ref="J60:K60"/>
    <mergeCell ref="J31:K31"/>
    <mergeCell ref="J32:K32"/>
    <mergeCell ref="J33:K33"/>
    <mergeCell ref="B41:K41"/>
    <mergeCell ref="B42:E42"/>
    <mergeCell ref="F42:I42"/>
    <mergeCell ref="J42:K42"/>
    <mergeCell ref="J30:K30"/>
    <mergeCell ref="J5:K5"/>
    <mergeCell ref="B15:K15"/>
    <mergeCell ref="B16:E16"/>
    <mergeCell ref="F16:I16"/>
    <mergeCell ref="J16:K16"/>
    <mergeCell ref="J17:K17"/>
    <mergeCell ref="J18:K18"/>
    <mergeCell ref="B28:K28"/>
    <mergeCell ref="B29:E29"/>
    <mergeCell ref="F29:I29"/>
    <mergeCell ref="J29:K29"/>
    <mergeCell ref="J4:K4"/>
    <mergeCell ref="B1:K1"/>
    <mergeCell ref="B2:K2"/>
    <mergeCell ref="B3:E3"/>
    <mergeCell ref="F3:I3"/>
    <mergeCell ref="J3:K3"/>
  </mergeCells>
  <conditionalFormatting sqref="E5:E14">
    <cfRule type="expression" dxfId="61" priority="12">
      <formula>AND(E5&gt;$O5,E5&lt;&gt;"")</formula>
    </cfRule>
    <cfRule type="expression" dxfId="60" priority="12">
      <formula>AND(E5&gt;$N5,E5&lt;&gt;"")</formula>
    </cfRule>
  </conditionalFormatting>
  <conditionalFormatting sqref="E18:E27 I18:I27">
    <cfRule type="expression" dxfId="59" priority="2">
      <formula>AND(E18&gt;$O18,E18&lt;&gt;"")</formula>
    </cfRule>
    <cfRule type="expression" dxfId="58" priority="3">
      <formula>AND(E18&gt;$N18,E18&lt;&gt;"")</formula>
    </cfRule>
  </conditionalFormatting>
  <conditionalFormatting sqref="E31:E40 E44:E53 E57:E66 I5:I14 I31:I40 I44:I53 I57:I66">
    <cfRule type="expression" dxfId="57" priority="9">
      <formula>AND(E5&gt;$O5,E5&lt;&gt;"")</formula>
    </cfRule>
  </conditionalFormatting>
  <conditionalFormatting sqref="E31:E40">
    <cfRule type="expression" dxfId="56" priority="7">
      <formula>AND(E31&gt;$O31,E31&lt;&gt;"")</formula>
    </cfRule>
    <cfRule type="expression" dxfId="55" priority="8">
      <formula>AND(E31&gt;$N31,E31&lt;&gt;"")</formula>
    </cfRule>
  </conditionalFormatting>
  <conditionalFormatting sqref="E44:E53">
    <cfRule type="expression" dxfId="54" priority="5">
      <formula>AND(E44&gt;$O44,E44&lt;&gt;"")</formula>
    </cfRule>
    <cfRule type="expression" dxfId="53" priority="6">
      <formula>AND(E44&gt;$N44,E44&lt;&gt;"")</formula>
    </cfRule>
  </conditionalFormatting>
  <conditionalFormatting sqref="E57:E66">
    <cfRule type="expression" dxfId="52" priority="4">
      <formula>AND(E57&gt;$N57,E57&lt;&gt;"")</formula>
    </cfRule>
    <cfRule type="expression" dxfId="51" priority="11">
      <formula>AND(E57&gt;$O57,E57&lt;&gt;"")</formula>
    </cfRule>
  </conditionalFormatting>
  <conditionalFormatting sqref="I5:I14 E31:E40 I31:I40 E44:E53 I44:I53 E57:E66 I57:I66">
    <cfRule type="expression" dxfId="50" priority="10">
      <formula>AND(E5&gt;$N5,E5&lt;&gt;"")</formula>
    </cfRule>
  </conditionalFormatting>
  <conditionalFormatting sqref="J14 J40 J53 J66">
    <cfRule type="cellIs" dxfId="49" priority="13" operator="greaterThan">
      <formula>15</formula>
    </cfRule>
  </conditionalFormatting>
  <conditionalFormatting sqref="J27">
    <cfRule type="cellIs" dxfId="48" priority="1" operator="greaterThan">
      <formula>15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'J:\Korfbal\Seizoen 2017-2018\[OW seizoen 2017-2018 v1.2.xlsm]Leden'!#REF!</xm:f>
          </x14:formula1>
          <xm:sqref>C31:C40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/>
  <dimension ref="A1:AA109"/>
  <sheetViews>
    <sheetView topLeftCell="A58" workbookViewId="0">
      <selection activeCell="D102" sqref="D102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.1328125" customWidth="1"/>
    <col min="5" max="5" width="7.86328125" style="14" customWidth="1"/>
    <col min="6" max="6" width="3" customWidth="1"/>
    <col min="7" max="7" width="26.59765625" customWidth="1"/>
    <col min="8" max="8" width="11.1328125" customWidth="1"/>
    <col min="9" max="9" width="7.86328125" style="14" customWidth="1"/>
    <col min="10" max="10" width="8.59765625" customWidth="1"/>
    <col min="11" max="11" width="12.73046875" customWidth="1"/>
    <col min="12" max="12" width="9.1328125"/>
    <col min="13" max="15" width="3.3984375" hidden="1" customWidth="1"/>
    <col min="16" max="27" width="9.1328125" style="4"/>
  </cols>
  <sheetData>
    <row r="1" spans="1:15" ht="38.25" customHeight="1" x14ac:dyDescent="0.45">
      <c r="A1" s="4"/>
      <c r="B1" s="53" t="s">
        <v>255</v>
      </c>
      <c r="C1" s="53"/>
      <c r="D1" s="53"/>
      <c r="E1" s="53"/>
      <c r="F1" s="53"/>
      <c r="G1" s="53"/>
      <c r="H1" s="53"/>
      <c r="I1" s="53"/>
      <c r="J1" s="53"/>
      <c r="K1" s="53"/>
      <c r="L1" s="4"/>
    </row>
    <row r="2" spans="1:15" ht="21" hidden="1" customHeight="1" x14ac:dyDescent="0.65">
      <c r="A2" s="4"/>
      <c r="B2" s="42" t="s">
        <v>256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hidden="1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  <c r="M3" t="str">
        <f>IF(O3="","",VLOOKUP(O3,Leeftijdcategorie,2,FALSE))</f>
        <v/>
      </c>
    </row>
    <row r="4" spans="1:15" hidden="1" x14ac:dyDescent="0.45">
      <c r="A4" s="4"/>
      <c r="B4" s="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38" t="s">
        <v>257</v>
      </c>
      <c r="K4" s="39"/>
      <c r="L4" s="4"/>
      <c r="N4" s="21" t="str">
        <f>MID(B2,1,1)</f>
        <v>C</v>
      </c>
      <c r="O4" s="21" t="str">
        <f>IF(ISERROR(VLOOKUP(N4,Leeftijdscatogorie,1,FALSE)=TRUE),"",N4)</f>
        <v/>
      </c>
    </row>
    <row r="5" spans="1:15" ht="15" hidden="1" customHeight="1" x14ac:dyDescent="0.45">
      <c r="A5" s="4"/>
      <c r="B5" s="1">
        <v>1</v>
      </c>
      <c r="C5" s="1" t="e">
        <v>#NAME?</v>
      </c>
      <c r="D5" s="2" t="e">
        <v>#NAME?</v>
      </c>
      <c r="E5" s="3" t="e">
        <v>#NAME?</v>
      </c>
      <c r="F5" s="1">
        <v>1</v>
      </c>
      <c r="G5" s="1" t="e">
        <v>#NAME?</v>
      </c>
      <c r="H5" s="2" t="e">
        <v>#NAME?</v>
      </c>
      <c r="I5" s="3" t="e">
        <v>#NAME?</v>
      </c>
      <c r="J5" s="38" t="s">
        <v>193</v>
      </c>
      <c r="K5" s="39"/>
      <c r="L5" s="4"/>
      <c r="M5" s="21" t="str">
        <f>IF(O4="","",VLOOKUP(O4,Leeftijdscatogorie,2,FALSE))</f>
        <v/>
      </c>
      <c r="N5" s="21" t="str">
        <f>IF(O4="","",VLOOKUP(O4,Leeftijdscatogorie,3,FALSE))</f>
        <v/>
      </c>
      <c r="O5" s="21" t="str">
        <f>IF(O4="","",VLOOKUP(O4,Leeftijdscatogorie,4,FALSE))</f>
        <v/>
      </c>
    </row>
    <row r="6" spans="1:15" hidden="1" x14ac:dyDescent="0.45">
      <c r="A6" s="4"/>
      <c r="B6" s="1">
        <v>2</v>
      </c>
      <c r="C6" s="1" t="e">
        <v>#NAME?</v>
      </c>
      <c r="D6" s="2" t="e">
        <v>#NAME?</v>
      </c>
      <c r="E6" s="3" t="e">
        <v>#NAME?</v>
      </c>
      <c r="F6" s="1">
        <v>2</v>
      </c>
      <c r="G6" s="1" t="e">
        <v>#NAME?</v>
      </c>
      <c r="H6" s="2" t="e">
        <v>#NAME?</v>
      </c>
      <c r="I6" s="3" t="e">
        <v>#NAME?</v>
      </c>
      <c r="J6" s="4"/>
      <c r="K6" s="4"/>
      <c r="L6" s="4"/>
      <c r="N6" s="21" t="str">
        <f>N5</f>
        <v/>
      </c>
      <c r="O6" s="21" t="str">
        <f>O5</f>
        <v/>
      </c>
    </row>
    <row r="7" spans="1:15" ht="15" hidden="1" customHeight="1" x14ac:dyDescent="0.45">
      <c r="A7" s="4"/>
      <c r="B7" s="1">
        <v>3</v>
      </c>
      <c r="C7" s="1" t="e">
        <v>#NAME?</v>
      </c>
      <c r="D7" s="2" t="e">
        <v>#NAME?</v>
      </c>
      <c r="E7" s="3" t="e">
        <v>#NAME?</v>
      </c>
      <c r="F7" s="1">
        <v>3</v>
      </c>
      <c r="G7" s="1" t="e">
        <v>#NAME?</v>
      </c>
      <c r="H7" s="2" t="e">
        <v>#NAME?</v>
      </c>
      <c r="I7" s="3" t="e">
        <v>#NAME?</v>
      </c>
      <c r="J7" s="17"/>
      <c r="K7" s="4"/>
      <c r="L7" s="4"/>
      <c r="N7" s="21" t="str">
        <f t="shared" ref="N7:O18" si="0">N6</f>
        <v/>
      </c>
      <c r="O7" s="21" t="str">
        <f t="shared" si="0"/>
        <v/>
      </c>
    </row>
    <row r="8" spans="1:15" ht="15" hidden="1" customHeight="1" x14ac:dyDescent="0.45">
      <c r="A8" s="4"/>
      <c r="B8" s="1">
        <v>4</v>
      </c>
      <c r="C8" s="1" t="e">
        <v>#NAME?</v>
      </c>
      <c r="D8" s="2" t="e">
        <v>#NAME?</v>
      </c>
      <c r="E8" s="3" t="e">
        <v>#NAME?</v>
      </c>
      <c r="F8" s="1">
        <v>4</v>
      </c>
      <c r="G8" s="1" t="e">
        <v>#NAME?</v>
      </c>
      <c r="H8" s="2" t="e">
        <v>#NAME?</v>
      </c>
      <c r="I8" s="3" t="e">
        <v>#NAME?</v>
      </c>
      <c r="J8" s="17"/>
      <c r="K8" s="4"/>
      <c r="L8" s="4"/>
      <c r="N8" s="21" t="str">
        <f t="shared" si="0"/>
        <v/>
      </c>
      <c r="O8" s="21" t="str">
        <f t="shared" si="0"/>
        <v/>
      </c>
    </row>
    <row r="9" spans="1:15" ht="15" hidden="1" customHeight="1" x14ac:dyDescent="0.45">
      <c r="A9" s="4"/>
      <c r="B9" s="1">
        <v>5</v>
      </c>
      <c r="C9" s="1" t="e">
        <v>#NAME?</v>
      </c>
      <c r="D9" s="2" t="e">
        <v>#NAME?</v>
      </c>
      <c r="E9" s="3" t="e">
        <v>#NAME?</v>
      </c>
      <c r="F9" s="1">
        <v>5</v>
      </c>
      <c r="G9" s="1" t="e">
        <v>#NAME?</v>
      </c>
      <c r="H9" s="2" t="e">
        <v>#NAME?</v>
      </c>
      <c r="I9" s="3" t="e">
        <v>#NAME?</v>
      </c>
      <c r="J9" s="17"/>
      <c r="K9" s="4"/>
      <c r="L9" s="4"/>
      <c r="N9" s="21" t="str">
        <f t="shared" si="0"/>
        <v/>
      </c>
      <c r="O9" s="21" t="str">
        <f t="shared" si="0"/>
        <v/>
      </c>
    </row>
    <row r="10" spans="1:15" ht="15" hidden="1" customHeight="1" x14ac:dyDescent="0.45">
      <c r="A10" s="4"/>
      <c r="B10" s="1">
        <v>6</v>
      </c>
      <c r="C10" s="1" t="e">
        <v>#NAME?</v>
      </c>
      <c r="D10" s="2" t="e">
        <v>#NAME?</v>
      </c>
      <c r="E10" s="3" t="e">
        <v>#NAME?</v>
      </c>
      <c r="F10" s="1">
        <v>6</v>
      </c>
      <c r="G10" s="1" t="e">
        <v>#NAME?</v>
      </c>
      <c r="H10" s="2" t="e">
        <v>#NAME?</v>
      </c>
      <c r="I10" s="3" t="e">
        <v>#NAME?</v>
      </c>
      <c r="J10" s="17"/>
      <c r="K10" s="4"/>
      <c r="L10" s="4"/>
      <c r="N10" s="21" t="str">
        <f t="shared" si="0"/>
        <v/>
      </c>
      <c r="O10" s="21" t="str">
        <f t="shared" si="0"/>
        <v/>
      </c>
    </row>
    <row r="11" spans="1:15" hidden="1" x14ac:dyDescent="0.45">
      <c r="A11" s="4"/>
      <c r="B11" s="1">
        <v>7</v>
      </c>
      <c r="C11" s="1" t="e">
        <v>#NAME?</v>
      </c>
      <c r="D11" s="2" t="e">
        <v>#NAME?</v>
      </c>
      <c r="E11" s="3" t="e">
        <v>#NAME?</v>
      </c>
      <c r="F11" s="1">
        <v>7</v>
      </c>
      <c r="G11" s="1" t="e">
        <v>#NAME?</v>
      </c>
      <c r="H11" s="2" t="e">
        <v>#NAME?</v>
      </c>
      <c r="I11" s="3" t="e">
        <v>#NAME?</v>
      </c>
      <c r="J11" s="4"/>
      <c r="K11" s="4"/>
      <c r="L11" s="4"/>
      <c r="N11" s="21" t="str">
        <f t="shared" si="0"/>
        <v/>
      </c>
      <c r="O11" s="21" t="str">
        <f t="shared" si="0"/>
        <v/>
      </c>
    </row>
    <row r="12" spans="1:15" hidden="1" x14ac:dyDescent="0.45">
      <c r="A12" s="4"/>
      <c r="B12" s="1">
        <v>8</v>
      </c>
      <c r="C12" s="1" t="e">
        <v>#NAME?</v>
      </c>
      <c r="D12" s="2" t="e">
        <v>#NAME?</v>
      </c>
      <c r="E12" s="3" t="e">
        <v>#NAME?</v>
      </c>
      <c r="F12" s="1">
        <v>8</v>
      </c>
      <c r="G12" s="1" t="e">
        <v>#NAME?</v>
      </c>
      <c r="H12" s="2" t="e">
        <v>#NAME?</v>
      </c>
      <c r="I12" s="3" t="e">
        <v>#NAME?</v>
      </c>
      <c r="J12" s="4"/>
      <c r="K12" s="4"/>
      <c r="L12" s="4"/>
      <c r="N12" s="21" t="str">
        <f t="shared" si="0"/>
        <v/>
      </c>
      <c r="O12" s="21" t="str">
        <f t="shared" si="0"/>
        <v/>
      </c>
    </row>
    <row r="13" spans="1:15" hidden="1" x14ac:dyDescent="0.45">
      <c r="A13" s="4"/>
      <c r="B13" s="1">
        <v>9</v>
      </c>
      <c r="C13" s="1" t="e">
        <v>#NAME?</v>
      </c>
      <c r="D13" s="2" t="e">
        <v>#NAME?</v>
      </c>
      <c r="E13" s="3" t="e">
        <v>#NAME?</v>
      </c>
      <c r="F13" s="1">
        <v>9</v>
      </c>
      <c r="G13" s="1" t="e">
        <v>#NAME?</v>
      </c>
      <c r="H13" s="2" t="e">
        <v>#NAME?</v>
      </c>
      <c r="I13" s="3" t="e">
        <v>#NAME?</v>
      </c>
      <c r="J13" s="4"/>
      <c r="K13" s="4"/>
      <c r="L13" s="4"/>
      <c r="N13" s="21" t="str">
        <f t="shared" si="0"/>
        <v/>
      </c>
      <c r="O13" s="21" t="str">
        <f t="shared" si="0"/>
        <v/>
      </c>
    </row>
    <row r="14" spans="1:15" hidden="1" x14ac:dyDescent="0.45">
      <c r="A14" s="4"/>
      <c r="B14" s="1">
        <v>10</v>
      </c>
      <c r="C14" s="1" t="e">
        <v>#NAME?</v>
      </c>
      <c r="D14" s="2" t="e">
        <v>#NAME?</v>
      </c>
      <c r="E14" s="3" t="e">
        <v>#NAME?</v>
      </c>
      <c r="F14" s="1">
        <v>10</v>
      </c>
      <c r="G14" s="1" t="e">
        <v>#NAME?</v>
      </c>
      <c r="H14" s="2" t="e">
        <v>#NAME?</v>
      </c>
      <c r="I14" s="3" t="e">
        <v>#NAME?</v>
      </c>
      <c r="J14" s="4"/>
      <c r="K14" s="4"/>
      <c r="L14" s="4"/>
      <c r="N14" s="21" t="str">
        <f t="shared" si="0"/>
        <v/>
      </c>
      <c r="O14" s="21" t="str">
        <f t="shared" si="0"/>
        <v/>
      </c>
    </row>
    <row r="15" spans="1:15" hidden="1" x14ac:dyDescent="0.45">
      <c r="A15" s="4"/>
      <c r="B15" s="1">
        <v>11</v>
      </c>
      <c r="C15" s="1" t="e">
        <v>#NAME?</v>
      </c>
      <c r="D15" s="2" t="e">
        <v>#NAME?</v>
      </c>
      <c r="E15" s="3" t="e">
        <v>#NAME?</v>
      </c>
      <c r="F15" s="1">
        <v>11</v>
      </c>
      <c r="G15" s="1" t="e">
        <v>#NAME?</v>
      </c>
      <c r="H15" s="2" t="e">
        <v>#NAME?</v>
      </c>
      <c r="I15" s="3" t="e">
        <v>#NAME?</v>
      </c>
      <c r="J15" s="4"/>
      <c r="K15" s="4"/>
      <c r="L15" s="4"/>
      <c r="N15" s="21" t="str">
        <f>N14</f>
        <v/>
      </c>
      <c r="O15" s="21" t="str">
        <f>O14</f>
        <v/>
      </c>
    </row>
    <row r="16" spans="1:15" hidden="1" x14ac:dyDescent="0.45">
      <c r="A16" s="4"/>
      <c r="B16" s="1">
        <v>12</v>
      </c>
      <c r="C16" s="1" t="e">
        <v>#NAME?</v>
      </c>
      <c r="D16" s="2" t="e">
        <v>#NAME?</v>
      </c>
      <c r="E16" s="3" t="e">
        <v>#NAME?</v>
      </c>
      <c r="F16" s="1">
        <v>12</v>
      </c>
      <c r="G16" s="1" t="e">
        <v>#NAME?</v>
      </c>
      <c r="H16" s="2" t="e">
        <v>#NAME?</v>
      </c>
      <c r="I16" s="3" t="e">
        <v>#NAME?</v>
      </c>
      <c r="J16" s="4"/>
      <c r="K16" s="4"/>
      <c r="L16" s="4"/>
      <c r="N16" s="21" t="str">
        <f t="shared" si="0"/>
        <v/>
      </c>
      <c r="O16" s="21" t="str">
        <f t="shared" si="0"/>
        <v/>
      </c>
    </row>
    <row r="17" spans="1:15" hidden="1" x14ac:dyDescent="0.45">
      <c r="A17" s="4"/>
      <c r="B17" s="1">
        <v>13</v>
      </c>
      <c r="C17" s="1" t="e">
        <v>#NAME?</v>
      </c>
      <c r="D17" s="2" t="e">
        <v>#NAME?</v>
      </c>
      <c r="E17" s="3" t="e">
        <v>#NAME?</v>
      </c>
      <c r="F17" s="1">
        <v>13</v>
      </c>
      <c r="G17" s="1" t="e">
        <v>#NAME?</v>
      </c>
      <c r="H17" s="2" t="e">
        <v>#NAME?</v>
      </c>
      <c r="I17" s="3" t="e">
        <v>#NAME?</v>
      </c>
      <c r="J17" s="30" t="s">
        <v>41</v>
      </c>
      <c r="K17" s="4"/>
      <c r="L17" s="4"/>
      <c r="N17" s="21" t="str">
        <f t="shared" si="0"/>
        <v/>
      </c>
      <c r="O17" s="21" t="str">
        <f t="shared" si="0"/>
        <v/>
      </c>
    </row>
    <row r="18" spans="1:15" hidden="1" x14ac:dyDescent="0.45">
      <c r="A18" s="4"/>
      <c r="B18" s="1">
        <v>14</v>
      </c>
      <c r="C18" s="1" t="e">
        <v>#NAME?</v>
      </c>
      <c r="D18" s="2" t="e">
        <v>#NAME?</v>
      </c>
      <c r="E18" s="3" t="e">
        <v>#NAME?</v>
      </c>
      <c r="F18" s="1">
        <v>14</v>
      </c>
      <c r="G18" s="1" t="e">
        <v>#NAME?</v>
      </c>
      <c r="H18" s="2" t="e">
        <v>#NAME?</v>
      </c>
      <c r="I18" s="3" t="e">
        <v>#NAME?</v>
      </c>
      <c r="J18" s="3">
        <f>IF(COUNT(E5:E18,I5:I18)=0,0,COUNT(E5:E18,I5:I18))</f>
        <v>0</v>
      </c>
      <c r="K18" s="4"/>
      <c r="L18" s="4"/>
      <c r="N18" s="21" t="str">
        <f t="shared" si="0"/>
        <v/>
      </c>
      <c r="O18" s="21" t="str">
        <f t="shared" si="0"/>
        <v/>
      </c>
    </row>
    <row r="19" spans="1:15" ht="21" x14ac:dyDescent="0.65">
      <c r="A19" s="4"/>
      <c r="B19" s="42" t="s">
        <v>258</v>
      </c>
      <c r="C19" s="43"/>
      <c r="D19" s="43"/>
      <c r="E19" s="43"/>
      <c r="F19" s="43"/>
      <c r="G19" s="43"/>
      <c r="H19" s="43"/>
      <c r="I19" s="43"/>
      <c r="J19" s="43"/>
      <c r="K19" s="44"/>
      <c r="L19" s="4"/>
    </row>
    <row r="20" spans="1:15" x14ac:dyDescent="0.45">
      <c r="A20" s="4"/>
      <c r="B20" s="45" t="s">
        <v>2</v>
      </c>
      <c r="C20" s="46"/>
      <c r="D20" s="46"/>
      <c r="E20" s="46"/>
      <c r="F20" s="46" t="s">
        <v>3</v>
      </c>
      <c r="G20" s="46"/>
      <c r="H20" s="46"/>
      <c r="I20" s="46"/>
      <c r="J20" s="46" t="s">
        <v>43</v>
      </c>
      <c r="K20" s="47"/>
      <c r="L20" s="4"/>
    </row>
    <row r="21" spans="1:15" x14ac:dyDescent="0.45">
      <c r="A21" s="4"/>
      <c r="B21" s="18"/>
      <c r="C21" s="18" t="s">
        <v>5</v>
      </c>
      <c r="D21" s="19" t="s">
        <v>6</v>
      </c>
      <c r="E21" s="20" t="s">
        <v>7</v>
      </c>
      <c r="F21" s="18"/>
      <c r="G21" s="18" t="s">
        <v>5</v>
      </c>
      <c r="H21" s="19" t="s">
        <v>6</v>
      </c>
      <c r="I21" s="20" t="s">
        <v>7</v>
      </c>
      <c r="J21" s="48" t="s">
        <v>259</v>
      </c>
      <c r="K21" s="48"/>
      <c r="L21" s="4"/>
      <c r="N21" s="21" t="str">
        <f>MID(B19,1,1)</f>
        <v>C</v>
      </c>
      <c r="O21" s="21" t="str">
        <f>IF(ISERROR(VLOOKUP(N21,Leeftijdscatogorie,1,FALSE)=TRUE),"",N21)</f>
        <v/>
      </c>
    </row>
    <row r="22" spans="1:15" x14ac:dyDescent="0.45">
      <c r="A22" s="4"/>
      <c r="B22" s="1">
        <v>1</v>
      </c>
      <c r="C22" s="1" t="s">
        <v>260</v>
      </c>
      <c r="D22" s="2">
        <v>38011</v>
      </c>
      <c r="E22" s="3">
        <v>13</v>
      </c>
      <c r="F22" s="1">
        <v>1</v>
      </c>
      <c r="G22" s="1" t="s">
        <v>261</v>
      </c>
      <c r="H22" s="2">
        <v>37897</v>
      </c>
      <c r="I22" s="3">
        <v>14</v>
      </c>
      <c r="J22" s="39" t="s">
        <v>262</v>
      </c>
      <c r="K22" s="57"/>
      <c r="L22" s="4"/>
      <c r="M22" s="21" t="str">
        <f>IF(O21="","",VLOOKUP(O21,Leeftijdscatogorie,2,FALSE))</f>
        <v/>
      </c>
      <c r="N22" s="21" t="str">
        <f>IF(O21="","",VLOOKUP(O21,Leeftijdscatogorie,3,FALSE))</f>
        <v/>
      </c>
      <c r="O22" s="21" t="str">
        <f>IF(O21="","",VLOOKUP(O21,Leeftijdscatogorie,4,FALSE))</f>
        <v/>
      </c>
    </row>
    <row r="23" spans="1:15" x14ac:dyDescent="0.45">
      <c r="A23" s="4"/>
      <c r="B23" s="1">
        <v>2</v>
      </c>
      <c r="C23" s="1" t="s">
        <v>263</v>
      </c>
      <c r="D23" s="2">
        <v>38079</v>
      </c>
      <c r="E23" s="3">
        <v>13</v>
      </c>
      <c r="F23" s="1">
        <v>2</v>
      </c>
      <c r="G23" s="1" t="s">
        <v>264</v>
      </c>
      <c r="H23" s="2">
        <v>38578</v>
      </c>
      <c r="I23" s="3">
        <v>12</v>
      </c>
      <c r="J23" s="4"/>
      <c r="K23" s="4"/>
      <c r="L23" s="4"/>
      <c r="N23" s="21" t="str">
        <f>N22</f>
        <v/>
      </c>
      <c r="O23" s="21" t="str">
        <f>O22</f>
        <v/>
      </c>
    </row>
    <row r="24" spans="1:15" x14ac:dyDescent="0.45">
      <c r="A24" s="4"/>
      <c r="B24" s="1">
        <v>3</v>
      </c>
      <c r="C24" s="1" t="s">
        <v>265</v>
      </c>
      <c r="D24" s="2">
        <v>38012</v>
      </c>
      <c r="E24" s="3">
        <v>13</v>
      </c>
      <c r="F24" s="1">
        <v>3</v>
      </c>
      <c r="G24" s="1" t="s">
        <v>266</v>
      </c>
      <c r="H24" s="2">
        <v>38317</v>
      </c>
      <c r="I24" s="3">
        <v>13</v>
      </c>
      <c r="J24" s="4"/>
      <c r="K24" s="4"/>
      <c r="L24" s="4"/>
      <c r="N24" s="21" t="str">
        <f t="shared" ref="N24:O31" si="1">N23</f>
        <v/>
      </c>
      <c r="O24" s="21" t="str">
        <f t="shared" si="1"/>
        <v/>
      </c>
    </row>
    <row r="25" spans="1:15" x14ac:dyDescent="0.45">
      <c r="A25" s="4"/>
      <c r="B25" s="1">
        <v>4</v>
      </c>
      <c r="C25" s="1" t="s">
        <v>267</v>
      </c>
      <c r="D25" s="2">
        <v>38401</v>
      </c>
      <c r="E25" s="3">
        <v>12</v>
      </c>
      <c r="F25" s="1">
        <v>4</v>
      </c>
      <c r="G25" s="1" t="s">
        <v>268</v>
      </c>
      <c r="H25" s="2">
        <v>37932</v>
      </c>
      <c r="I25" s="3">
        <v>14</v>
      </c>
      <c r="J25" s="4"/>
      <c r="K25" s="4"/>
      <c r="L25" s="4"/>
      <c r="N25" s="21" t="str">
        <f t="shared" si="1"/>
        <v/>
      </c>
      <c r="O25" s="21" t="str">
        <f t="shared" si="1"/>
        <v/>
      </c>
    </row>
    <row r="26" spans="1:15" x14ac:dyDescent="0.45">
      <c r="A26" s="4"/>
      <c r="B26" s="1">
        <v>5</v>
      </c>
      <c r="C26" s="1" t="s">
        <v>37</v>
      </c>
      <c r="D26" s="2" t="s">
        <v>37</v>
      </c>
      <c r="E26" s="3" t="s">
        <v>37</v>
      </c>
      <c r="F26" s="1">
        <v>5</v>
      </c>
      <c r="G26" s="1" t="s">
        <v>37</v>
      </c>
      <c r="H26" s="2" t="s">
        <v>37</v>
      </c>
      <c r="I26" s="3" t="s">
        <v>37</v>
      </c>
      <c r="J26" s="4"/>
      <c r="K26" s="4"/>
      <c r="L26" s="4"/>
      <c r="N26" s="21" t="str">
        <f t="shared" si="1"/>
        <v/>
      </c>
      <c r="O26" s="21" t="str">
        <f t="shared" si="1"/>
        <v/>
      </c>
    </row>
    <row r="27" spans="1:15" x14ac:dyDescent="0.45">
      <c r="A27" s="4"/>
      <c r="B27" s="1">
        <v>6</v>
      </c>
      <c r="C27" s="1" t="s">
        <v>37</v>
      </c>
      <c r="D27" s="2" t="s">
        <v>37</v>
      </c>
      <c r="E27" s="3" t="s">
        <v>37</v>
      </c>
      <c r="F27" s="1">
        <v>6</v>
      </c>
      <c r="G27" s="1" t="s">
        <v>37</v>
      </c>
      <c r="H27" s="2" t="s">
        <v>37</v>
      </c>
      <c r="I27" s="3" t="s">
        <v>37</v>
      </c>
      <c r="J27" s="4"/>
      <c r="K27" s="4"/>
      <c r="L27" s="4"/>
      <c r="N27" s="21" t="str">
        <f t="shared" si="1"/>
        <v/>
      </c>
      <c r="O27" s="21" t="str">
        <f t="shared" si="1"/>
        <v/>
      </c>
    </row>
    <row r="28" spans="1:15" x14ac:dyDescent="0.45">
      <c r="A28" s="4"/>
      <c r="B28" s="1">
        <v>7</v>
      </c>
      <c r="C28" s="1" t="s">
        <v>37</v>
      </c>
      <c r="D28" s="2" t="s">
        <v>37</v>
      </c>
      <c r="E28" s="3" t="s">
        <v>37</v>
      </c>
      <c r="F28" s="1">
        <v>7</v>
      </c>
      <c r="G28" s="1" t="s">
        <v>37</v>
      </c>
      <c r="H28" s="2" t="s">
        <v>37</v>
      </c>
      <c r="I28" s="3" t="s">
        <v>37</v>
      </c>
      <c r="J28" s="4"/>
      <c r="K28" s="4"/>
      <c r="L28" s="4"/>
      <c r="N28" s="21" t="str">
        <f t="shared" si="1"/>
        <v/>
      </c>
      <c r="O28" s="21" t="str">
        <f t="shared" si="1"/>
        <v/>
      </c>
    </row>
    <row r="29" spans="1:15" x14ac:dyDescent="0.45">
      <c r="A29" s="4"/>
      <c r="B29" s="1">
        <v>8</v>
      </c>
      <c r="C29" s="1" t="s">
        <v>37</v>
      </c>
      <c r="D29" s="2" t="s">
        <v>37</v>
      </c>
      <c r="E29" s="3" t="s">
        <v>37</v>
      </c>
      <c r="F29" s="1">
        <v>8</v>
      </c>
      <c r="G29" s="1" t="s">
        <v>37</v>
      </c>
      <c r="H29" s="2" t="s">
        <v>37</v>
      </c>
      <c r="I29" s="3" t="s">
        <v>37</v>
      </c>
      <c r="J29" s="4"/>
      <c r="K29" s="4"/>
      <c r="L29" s="4"/>
      <c r="N29" s="21" t="str">
        <f t="shared" si="1"/>
        <v/>
      </c>
      <c r="O29" s="21" t="str">
        <f t="shared" si="1"/>
        <v/>
      </c>
    </row>
    <row r="30" spans="1:15" x14ac:dyDescent="0.45">
      <c r="A30" s="4"/>
      <c r="B30" s="1">
        <v>9</v>
      </c>
      <c r="C30" s="1" t="s">
        <v>37</v>
      </c>
      <c r="D30" s="2" t="s">
        <v>37</v>
      </c>
      <c r="E30" s="3" t="s">
        <v>37</v>
      </c>
      <c r="F30" s="1">
        <v>9</v>
      </c>
      <c r="G30" s="1" t="s">
        <v>37</v>
      </c>
      <c r="H30" s="2" t="s">
        <v>37</v>
      </c>
      <c r="I30" s="3" t="s">
        <v>37</v>
      </c>
      <c r="J30" s="36" t="s">
        <v>149</v>
      </c>
      <c r="K30" s="4"/>
      <c r="L30" s="4"/>
      <c r="N30" s="21" t="str">
        <f t="shared" si="1"/>
        <v/>
      </c>
      <c r="O30" s="21" t="str">
        <f t="shared" si="1"/>
        <v/>
      </c>
    </row>
    <row r="31" spans="1:15" x14ac:dyDescent="0.45">
      <c r="A31" s="4"/>
      <c r="B31" s="1">
        <v>10</v>
      </c>
      <c r="C31" s="1" t="s">
        <v>37</v>
      </c>
      <c r="D31" s="2" t="s">
        <v>37</v>
      </c>
      <c r="E31" s="3" t="s">
        <v>37</v>
      </c>
      <c r="F31" s="1">
        <v>10</v>
      </c>
      <c r="G31" s="1" t="s">
        <v>37</v>
      </c>
      <c r="H31" s="2" t="s">
        <v>37</v>
      </c>
      <c r="I31" s="3" t="s">
        <v>37</v>
      </c>
      <c r="J31" s="11">
        <f>AVERAGE(E22:E31,I22:I31)</f>
        <v>13</v>
      </c>
      <c r="K31" s="4"/>
      <c r="L31" s="4"/>
      <c r="N31" s="21" t="str">
        <f t="shared" si="1"/>
        <v/>
      </c>
      <c r="O31" s="21" t="str">
        <f t="shared" si="1"/>
        <v/>
      </c>
    </row>
    <row r="32" spans="1:15" ht="21" x14ac:dyDescent="0.65">
      <c r="A32" s="4"/>
      <c r="B32" s="42" t="s">
        <v>269</v>
      </c>
      <c r="C32" s="43"/>
      <c r="D32" s="43"/>
      <c r="E32" s="43"/>
      <c r="F32" s="43"/>
      <c r="G32" s="43"/>
      <c r="H32" s="43"/>
      <c r="I32" s="43"/>
      <c r="J32" s="43"/>
      <c r="K32" s="44"/>
      <c r="L32" s="4"/>
    </row>
    <row r="33" spans="1:15" x14ac:dyDescent="0.45">
      <c r="A33" s="4"/>
      <c r="B33" s="45" t="s">
        <v>2</v>
      </c>
      <c r="C33" s="46"/>
      <c r="D33" s="46"/>
      <c r="E33" s="46"/>
      <c r="F33" s="46" t="s">
        <v>3</v>
      </c>
      <c r="G33" s="46"/>
      <c r="H33" s="46"/>
      <c r="I33" s="46"/>
      <c r="J33" s="46" t="s">
        <v>43</v>
      </c>
      <c r="K33" s="47"/>
      <c r="L33" s="4"/>
    </row>
    <row r="34" spans="1:15" x14ac:dyDescent="0.45">
      <c r="A34" s="4"/>
      <c r="B34" s="18"/>
      <c r="C34" s="18" t="s">
        <v>5</v>
      </c>
      <c r="D34" s="19" t="s">
        <v>6</v>
      </c>
      <c r="E34" s="20" t="s">
        <v>7</v>
      </c>
      <c r="F34" s="18"/>
      <c r="G34" s="18" t="s">
        <v>5</v>
      </c>
      <c r="H34" s="19" t="s">
        <v>6</v>
      </c>
      <c r="I34" s="20" t="s">
        <v>7</v>
      </c>
      <c r="J34" s="57" t="s">
        <v>270</v>
      </c>
      <c r="K34" s="57"/>
      <c r="L34" s="4"/>
      <c r="N34" s="21" t="str">
        <f>MID(B32,1,1)</f>
        <v>C</v>
      </c>
      <c r="O34" s="21" t="str">
        <f>IF(ISERROR(VLOOKUP(N34,Leeftijdscatogorie,1,FALSE)=TRUE),"",N34)</f>
        <v/>
      </c>
    </row>
    <row r="35" spans="1:15" x14ac:dyDescent="0.45">
      <c r="A35" s="4"/>
      <c r="B35" s="1">
        <v>1</v>
      </c>
      <c r="C35" s="1" t="s">
        <v>271</v>
      </c>
      <c r="D35" s="2">
        <v>38635</v>
      </c>
      <c r="E35" s="3">
        <v>12</v>
      </c>
      <c r="F35" s="1">
        <v>1</v>
      </c>
      <c r="G35" s="1" t="s">
        <v>272</v>
      </c>
      <c r="H35" s="2">
        <v>38034</v>
      </c>
      <c r="I35" s="3">
        <v>13</v>
      </c>
      <c r="J35" s="57" t="s">
        <v>273</v>
      </c>
      <c r="K35" s="57"/>
      <c r="L35" s="4"/>
      <c r="M35" s="21" t="str">
        <f>IF(O34="","",VLOOKUP(O34,Leeftijdscatogorie,2,FALSE))</f>
        <v/>
      </c>
      <c r="N35" s="21" t="str">
        <f>IF(O34="","",VLOOKUP(O34,Leeftijdscatogorie,3,FALSE))</f>
        <v/>
      </c>
      <c r="O35" s="21" t="str">
        <f>IF(O34="","",VLOOKUP(O34,Leeftijdscatogorie,4,FALSE))</f>
        <v/>
      </c>
    </row>
    <row r="36" spans="1:15" x14ac:dyDescent="0.45">
      <c r="A36" s="4"/>
      <c r="B36" s="1">
        <v>2</v>
      </c>
      <c r="C36" s="1" t="s">
        <v>274</v>
      </c>
      <c r="D36" s="2">
        <v>38267</v>
      </c>
      <c r="E36" s="3">
        <v>13</v>
      </c>
      <c r="F36" s="1">
        <v>2</v>
      </c>
      <c r="G36" s="1" t="s">
        <v>275</v>
      </c>
      <c r="H36" s="2">
        <v>38487</v>
      </c>
      <c r="I36" s="3">
        <v>12</v>
      </c>
      <c r="J36" s="4"/>
      <c r="K36" s="4"/>
      <c r="L36" s="4"/>
      <c r="N36" s="21" t="str">
        <f>N35</f>
        <v/>
      </c>
      <c r="O36" s="21" t="str">
        <f>O35</f>
        <v/>
      </c>
    </row>
    <row r="37" spans="1:15" x14ac:dyDescent="0.45">
      <c r="A37" s="4"/>
      <c r="B37" s="1">
        <v>3</v>
      </c>
      <c r="C37" s="1" t="s">
        <v>276</v>
      </c>
      <c r="D37" s="2">
        <v>37673</v>
      </c>
      <c r="E37" s="3">
        <v>14</v>
      </c>
      <c r="F37" s="1">
        <v>3</v>
      </c>
      <c r="G37" s="1" t="s">
        <v>277</v>
      </c>
      <c r="H37" s="2">
        <v>38517</v>
      </c>
      <c r="I37" s="3">
        <v>12</v>
      </c>
      <c r="J37" s="4"/>
      <c r="K37" s="4"/>
      <c r="L37" s="4"/>
      <c r="N37" s="21" t="str">
        <f t="shared" ref="N37:O44" si="2">N36</f>
        <v/>
      </c>
      <c r="O37" s="21" t="str">
        <f t="shared" si="2"/>
        <v/>
      </c>
    </row>
    <row r="38" spans="1:15" x14ac:dyDescent="0.45">
      <c r="A38" s="4"/>
      <c r="B38" s="1">
        <v>4</v>
      </c>
      <c r="C38" s="1" t="s">
        <v>278</v>
      </c>
      <c r="D38" s="2">
        <v>38650</v>
      </c>
      <c r="E38" s="3">
        <v>12</v>
      </c>
      <c r="F38" s="1">
        <v>4</v>
      </c>
      <c r="G38" s="1" t="s">
        <v>279</v>
      </c>
      <c r="H38" s="2">
        <v>37971</v>
      </c>
      <c r="I38" s="3">
        <v>14</v>
      </c>
      <c r="J38" s="4"/>
      <c r="K38" s="4"/>
      <c r="L38" s="4"/>
      <c r="N38" s="21" t="str">
        <f t="shared" si="2"/>
        <v/>
      </c>
      <c r="O38" s="21" t="str">
        <f t="shared" si="2"/>
        <v/>
      </c>
    </row>
    <row r="39" spans="1:15" x14ac:dyDescent="0.45">
      <c r="A39" s="4"/>
      <c r="B39" s="1">
        <v>5</v>
      </c>
      <c r="C39" s="1" t="s">
        <v>280</v>
      </c>
      <c r="D39" s="2">
        <v>38451</v>
      </c>
      <c r="E39" s="3">
        <v>12</v>
      </c>
      <c r="F39" s="1">
        <v>5</v>
      </c>
      <c r="G39" s="1" t="s">
        <v>37</v>
      </c>
      <c r="H39" s="2" t="s">
        <v>37</v>
      </c>
      <c r="I39" s="3" t="s">
        <v>37</v>
      </c>
      <c r="J39" s="4"/>
      <c r="K39" s="4"/>
      <c r="L39" s="4"/>
      <c r="N39" s="21" t="str">
        <f t="shared" si="2"/>
        <v/>
      </c>
      <c r="O39" s="21" t="str">
        <f t="shared" si="2"/>
        <v/>
      </c>
    </row>
    <row r="40" spans="1:15" x14ac:dyDescent="0.45">
      <c r="A40" s="4"/>
      <c r="B40" s="1">
        <v>6</v>
      </c>
      <c r="C40" s="1" t="s">
        <v>37</v>
      </c>
      <c r="D40" s="2" t="s">
        <v>37</v>
      </c>
      <c r="E40" s="3" t="s">
        <v>37</v>
      </c>
      <c r="F40" s="1">
        <v>6</v>
      </c>
      <c r="G40" s="1" t="s">
        <v>37</v>
      </c>
      <c r="H40" s="2" t="s">
        <v>37</v>
      </c>
      <c r="I40" s="3" t="s">
        <v>37</v>
      </c>
      <c r="J40" s="4"/>
      <c r="K40" s="4"/>
      <c r="L40" s="4"/>
      <c r="N40" s="21" t="str">
        <f t="shared" si="2"/>
        <v/>
      </c>
      <c r="O40" s="21" t="str">
        <f t="shared" si="2"/>
        <v/>
      </c>
    </row>
    <row r="41" spans="1:15" x14ac:dyDescent="0.45">
      <c r="A41" s="4"/>
      <c r="B41" s="1">
        <v>7</v>
      </c>
      <c r="C41" s="1" t="s">
        <v>37</v>
      </c>
      <c r="D41" s="2" t="s">
        <v>37</v>
      </c>
      <c r="E41" s="3" t="s">
        <v>37</v>
      </c>
      <c r="F41" s="1">
        <v>7</v>
      </c>
      <c r="G41" s="1" t="s">
        <v>37</v>
      </c>
      <c r="H41" s="2" t="s">
        <v>37</v>
      </c>
      <c r="I41" s="3" t="s">
        <v>37</v>
      </c>
      <c r="J41" s="4"/>
      <c r="K41" s="4"/>
      <c r="L41" s="4"/>
      <c r="N41" s="21" t="str">
        <f t="shared" si="2"/>
        <v/>
      </c>
      <c r="O41" s="21" t="str">
        <f t="shared" si="2"/>
        <v/>
      </c>
    </row>
    <row r="42" spans="1:15" x14ac:dyDescent="0.45">
      <c r="A42" s="4"/>
      <c r="B42" s="1">
        <v>8</v>
      </c>
      <c r="C42" s="1" t="s">
        <v>37</v>
      </c>
      <c r="D42" s="2" t="s">
        <v>37</v>
      </c>
      <c r="E42" s="3" t="s">
        <v>37</v>
      </c>
      <c r="F42" s="1">
        <v>8</v>
      </c>
      <c r="G42" s="1" t="s">
        <v>37</v>
      </c>
      <c r="H42" s="2" t="s">
        <v>37</v>
      </c>
      <c r="I42" s="3" t="s">
        <v>37</v>
      </c>
      <c r="J42" s="4"/>
      <c r="K42" s="4"/>
      <c r="L42" s="4"/>
      <c r="N42" s="21" t="str">
        <f t="shared" si="2"/>
        <v/>
      </c>
      <c r="O42" s="21" t="str">
        <f t="shared" si="2"/>
        <v/>
      </c>
    </row>
    <row r="43" spans="1:15" x14ac:dyDescent="0.45">
      <c r="A43" s="4"/>
      <c r="B43" s="1">
        <v>9</v>
      </c>
      <c r="C43" s="1" t="s">
        <v>37</v>
      </c>
      <c r="D43" s="2" t="s">
        <v>37</v>
      </c>
      <c r="E43" s="3" t="s">
        <v>37</v>
      </c>
      <c r="F43" s="1">
        <v>9</v>
      </c>
      <c r="G43" s="1" t="s">
        <v>37</v>
      </c>
      <c r="H43" s="2" t="s">
        <v>37</v>
      </c>
      <c r="I43" s="3" t="s">
        <v>37</v>
      </c>
      <c r="J43" s="36" t="s">
        <v>149</v>
      </c>
      <c r="K43" s="4"/>
      <c r="L43" s="4"/>
      <c r="N43" s="21" t="str">
        <f t="shared" si="2"/>
        <v/>
      </c>
      <c r="O43" s="21" t="str">
        <f t="shared" si="2"/>
        <v/>
      </c>
    </row>
    <row r="44" spans="1:15" x14ac:dyDescent="0.45">
      <c r="A44" s="4"/>
      <c r="B44" s="1">
        <v>10</v>
      </c>
      <c r="C44" s="1" t="s">
        <v>37</v>
      </c>
      <c r="D44" s="2" t="s">
        <v>37</v>
      </c>
      <c r="E44" s="3" t="s">
        <v>37</v>
      </c>
      <c r="F44" s="1">
        <v>10</v>
      </c>
      <c r="G44" s="1" t="s">
        <v>37</v>
      </c>
      <c r="H44" s="2" t="s">
        <v>37</v>
      </c>
      <c r="I44" s="3" t="s">
        <v>37</v>
      </c>
      <c r="J44" s="11">
        <f>AVERAGE(E35:E44,I35:I44)</f>
        <v>12.666666666666666</v>
      </c>
      <c r="K44" s="4"/>
      <c r="L44" s="4"/>
      <c r="N44" s="21" t="str">
        <f t="shared" si="2"/>
        <v/>
      </c>
      <c r="O44" s="21" t="str">
        <f t="shared" si="2"/>
        <v/>
      </c>
    </row>
    <row r="45" spans="1:15" ht="21" x14ac:dyDescent="0.65">
      <c r="A45" s="4"/>
      <c r="B45" s="42" t="s">
        <v>281</v>
      </c>
      <c r="C45" s="43"/>
      <c r="D45" s="43"/>
      <c r="E45" s="43"/>
      <c r="F45" s="43"/>
      <c r="G45" s="43"/>
      <c r="H45" s="43"/>
      <c r="I45" s="43"/>
      <c r="J45" s="43"/>
      <c r="K45" s="44"/>
      <c r="L45" s="4"/>
    </row>
    <row r="46" spans="1:15" x14ac:dyDescent="0.45">
      <c r="A46" s="4"/>
      <c r="B46" s="45" t="s">
        <v>2</v>
      </c>
      <c r="C46" s="46"/>
      <c r="D46" s="46"/>
      <c r="E46" s="46"/>
      <c r="F46" s="46" t="s">
        <v>3</v>
      </c>
      <c r="G46" s="46"/>
      <c r="H46" s="46"/>
      <c r="I46" s="46"/>
      <c r="J46" s="46" t="s">
        <v>43</v>
      </c>
      <c r="K46" s="47"/>
      <c r="L46" s="4"/>
    </row>
    <row r="47" spans="1:15" x14ac:dyDescent="0.45">
      <c r="A47" s="4"/>
      <c r="B47" s="18"/>
      <c r="C47" s="18" t="s">
        <v>5</v>
      </c>
      <c r="D47" s="19" t="s">
        <v>6</v>
      </c>
      <c r="E47" s="20" t="s">
        <v>7</v>
      </c>
      <c r="F47" s="18"/>
      <c r="G47" s="18" t="s">
        <v>5</v>
      </c>
      <c r="H47" s="19" t="s">
        <v>6</v>
      </c>
      <c r="I47" s="20" t="s">
        <v>7</v>
      </c>
      <c r="J47" s="57" t="s">
        <v>282</v>
      </c>
      <c r="K47" s="57"/>
      <c r="L47" s="4"/>
      <c r="N47" s="21" t="str">
        <f>MID(B45,1,1)</f>
        <v>C</v>
      </c>
      <c r="O47" s="21" t="str">
        <f>IF(ISERROR(VLOOKUP(N47,Leeftijdscatogorie,1,FALSE)=TRUE),"",N47)</f>
        <v/>
      </c>
    </row>
    <row r="48" spans="1:15" x14ac:dyDescent="0.45">
      <c r="A48" s="4"/>
      <c r="B48" s="1">
        <v>1</v>
      </c>
      <c r="C48" s="1" t="s">
        <v>283</v>
      </c>
      <c r="D48" s="2">
        <v>38342</v>
      </c>
      <c r="E48" s="3">
        <v>13</v>
      </c>
      <c r="F48" s="1">
        <v>1</v>
      </c>
      <c r="G48" s="1" t="s">
        <v>284</v>
      </c>
      <c r="H48" s="2">
        <v>38617</v>
      </c>
      <c r="I48" s="3">
        <v>12</v>
      </c>
      <c r="J48" s="57"/>
      <c r="K48" s="57"/>
      <c r="L48" s="4"/>
      <c r="M48" s="21" t="str">
        <f>IF(O47="","",VLOOKUP(O47,Leeftijdscatogorie,2,FALSE))</f>
        <v/>
      </c>
      <c r="N48" s="21" t="str">
        <f>IF(O47="","",VLOOKUP(O47,Leeftijdscatogorie,3,FALSE))</f>
        <v/>
      </c>
      <c r="O48" s="21" t="str">
        <f>IF(O47="","",VLOOKUP(O47,Leeftijdscatogorie,4,FALSE))</f>
        <v/>
      </c>
    </row>
    <row r="49" spans="1:15" x14ac:dyDescent="0.45">
      <c r="A49" s="4"/>
      <c r="B49" s="1">
        <v>2</v>
      </c>
      <c r="C49" s="1" t="s">
        <v>285</v>
      </c>
      <c r="D49" s="2">
        <v>38113</v>
      </c>
      <c r="E49" s="3">
        <v>13</v>
      </c>
      <c r="F49" s="1">
        <v>2</v>
      </c>
      <c r="G49" s="1" t="s">
        <v>286</v>
      </c>
      <c r="H49" s="2">
        <v>38716</v>
      </c>
      <c r="I49" s="3">
        <v>12</v>
      </c>
      <c r="J49" s="4"/>
      <c r="K49" s="4"/>
      <c r="L49" s="4"/>
      <c r="N49" s="21" t="str">
        <f>N48</f>
        <v/>
      </c>
      <c r="O49" s="21" t="str">
        <f>O48</f>
        <v/>
      </c>
    </row>
    <row r="50" spans="1:15" x14ac:dyDescent="0.45">
      <c r="A50" s="4"/>
      <c r="B50" s="1">
        <v>3</v>
      </c>
      <c r="C50" s="1" t="s">
        <v>287</v>
      </c>
      <c r="D50" s="2">
        <v>38432</v>
      </c>
      <c r="E50" s="3">
        <v>12</v>
      </c>
      <c r="F50" s="1">
        <v>3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s="21" t="str">
        <f t="shared" ref="N50:O57" si="3">N49</f>
        <v/>
      </c>
      <c r="O50" s="21" t="str">
        <f t="shared" si="3"/>
        <v/>
      </c>
    </row>
    <row r="51" spans="1:15" x14ac:dyDescent="0.45">
      <c r="A51" s="4"/>
      <c r="B51" s="1">
        <v>4</v>
      </c>
      <c r="C51" s="1" t="s">
        <v>288</v>
      </c>
      <c r="D51" s="2">
        <v>38630</v>
      </c>
      <c r="E51" s="3">
        <v>12</v>
      </c>
      <c r="F51" s="1">
        <v>4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s="21" t="str">
        <f t="shared" si="3"/>
        <v/>
      </c>
      <c r="O51" s="21" t="str">
        <f t="shared" si="3"/>
        <v/>
      </c>
    </row>
    <row r="52" spans="1:15" x14ac:dyDescent="0.45">
      <c r="A52" s="4"/>
      <c r="B52" s="1">
        <v>5</v>
      </c>
      <c r="C52" s="1" t="s">
        <v>289</v>
      </c>
      <c r="D52" s="2">
        <v>38597</v>
      </c>
      <c r="E52" s="3">
        <v>12</v>
      </c>
      <c r="F52" s="1">
        <v>5</v>
      </c>
      <c r="G52" s="1" t="s">
        <v>37</v>
      </c>
      <c r="H52" s="2" t="s">
        <v>37</v>
      </c>
      <c r="I52" s="3" t="s">
        <v>37</v>
      </c>
      <c r="J52" s="4"/>
      <c r="K52" s="4"/>
      <c r="L52" s="4"/>
      <c r="N52" s="21" t="str">
        <f t="shared" si="3"/>
        <v/>
      </c>
      <c r="O52" s="21" t="str">
        <f t="shared" si="3"/>
        <v/>
      </c>
    </row>
    <row r="53" spans="1:15" x14ac:dyDescent="0.45">
      <c r="A53" s="4"/>
      <c r="B53" s="1">
        <v>6</v>
      </c>
      <c r="C53" s="1" t="s">
        <v>290</v>
      </c>
      <c r="D53" s="2">
        <v>38303</v>
      </c>
      <c r="E53" s="3">
        <v>13</v>
      </c>
      <c r="F53" s="1">
        <v>6</v>
      </c>
      <c r="G53" s="1" t="s">
        <v>37</v>
      </c>
      <c r="H53" s="2" t="s">
        <v>37</v>
      </c>
      <c r="I53" s="3" t="s">
        <v>37</v>
      </c>
      <c r="J53" s="4"/>
      <c r="K53" s="4"/>
      <c r="L53" s="4"/>
      <c r="N53" s="21" t="str">
        <f t="shared" si="3"/>
        <v/>
      </c>
      <c r="O53" s="21" t="str">
        <f t="shared" si="3"/>
        <v/>
      </c>
    </row>
    <row r="54" spans="1:15" x14ac:dyDescent="0.45">
      <c r="A54" s="4"/>
      <c r="B54" s="1">
        <v>7</v>
      </c>
      <c r="C54" s="1" t="s">
        <v>291</v>
      </c>
      <c r="D54" s="2">
        <v>38159</v>
      </c>
      <c r="E54" s="3">
        <v>13</v>
      </c>
      <c r="F54" s="1">
        <v>7</v>
      </c>
      <c r="G54" s="1" t="s">
        <v>37</v>
      </c>
      <c r="H54" s="2" t="s">
        <v>37</v>
      </c>
      <c r="I54" s="3" t="s">
        <v>37</v>
      </c>
      <c r="J54" s="4"/>
      <c r="K54" s="4"/>
      <c r="L54" s="4"/>
      <c r="N54" s="21" t="str">
        <f t="shared" si="3"/>
        <v/>
      </c>
      <c r="O54" s="21" t="str">
        <f t="shared" si="3"/>
        <v/>
      </c>
    </row>
    <row r="55" spans="1:15" x14ac:dyDescent="0.45">
      <c r="A55" s="4"/>
      <c r="B55" s="1">
        <v>8</v>
      </c>
      <c r="C55" s="1" t="s">
        <v>292</v>
      </c>
      <c r="D55" s="2">
        <v>38275</v>
      </c>
      <c r="E55" s="3">
        <v>13</v>
      </c>
      <c r="F55" s="1">
        <v>8</v>
      </c>
      <c r="G55" s="1" t="s">
        <v>37</v>
      </c>
      <c r="H55" s="2" t="s">
        <v>37</v>
      </c>
      <c r="I55" s="3" t="s">
        <v>37</v>
      </c>
      <c r="J55" s="4"/>
      <c r="K55" s="4"/>
      <c r="L55" s="4"/>
      <c r="N55" s="21" t="str">
        <f t="shared" si="3"/>
        <v/>
      </c>
      <c r="O55" s="21" t="str">
        <f t="shared" si="3"/>
        <v/>
      </c>
    </row>
    <row r="56" spans="1:15" x14ac:dyDescent="0.45">
      <c r="A56" s="4"/>
      <c r="B56" s="1">
        <v>9</v>
      </c>
      <c r="C56" s="1" t="s">
        <v>293</v>
      </c>
      <c r="D56" s="2">
        <v>38417</v>
      </c>
      <c r="E56" s="3">
        <v>12</v>
      </c>
      <c r="F56" s="1">
        <v>9</v>
      </c>
      <c r="G56" s="1" t="s">
        <v>37</v>
      </c>
      <c r="H56" s="2" t="s">
        <v>37</v>
      </c>
      <c r="I56" s="3" t="s">
        <v>37</v>
      </c>
      <c r="J56" s="36" t="s">
        <v>149</v>
      </c>
      <c r="K56" s="4"/>
      <c r="L56" s="4"/>
      <c r="N56" s="21" t="str">
        <f t="shared" si="3"/>
        <v/>
      </c>
      <c r="O56" s="21" t="str">
        <f t="shared" si="3"/>
        <v/>
      </c>
    </row>
    <row r="57" spans="1:15" x14ac:dyDescent="0.45">
      <c r="A57" s="4"/>
      <c r="B57" s="1">
        <v>10</v>
      </c>
      <c r="C57" s="1" t="s">
        <v>37</v>
      </c>
      <c r="D57" s="2" t="s">
        <v>37</v>
      </c>
      <c r="E57" s="3" t="s">
        <v>37</v>
      </c>
      <c r="F57" s="1">
        <v>10</v>
      </c>
      <c r="G57" s="1" t="s">
        <v>37</v>
      </c>
      <c r="H57" s="2" t="s">
        <v>37</v>
      </c>
      <c r="I57" s="3" t="s">
        <v>37</v>
      </c>
      <c r="J57" s="11">
        <f>AVERAGE(E48:E57,I48:I57)</f>
        <v>12.454545454545455</v>
      </c>
      <c r="K57" s="4"/>
      <c r="L57" s="4"/>
      <c r="N57" s="21" t="str">
        <f t="shared" si="3"/>
        <v/>
      </c>
      <c r="O57" s="21" t="str">
        <f t="shared" si="3"/>
        <v/>
      </c>
    </row>
    <row r="58" spans="1:15" ht="21" x14ac:dyDescent="0.65">
      <c r="A58" s="4"/>
      <c r="B58" s="42" t="s">
        <v>294</v>
      </c>
      <c r="C58" s="43"/>
      <c r="D58" s="43"/>
      <c r="E58" s="43"/>
      <c r="F58" s="43"/>
      <c r="G58" s="43"/>
      <c r="H58" s="43"/>
      <c r="I58" s="43"/>
      <c r="J58" s="43"/>
      <c r="K58" s="44"/>
      <c r="L58" s="4"/>
    </row>
    <row r="59" spans="1:15" x14ac:dyDescent="0.45">
      <c r="A59" s="4"/>
      <c r="B59" s="45" t="s">
        <v>2</v>
      </c>
      <c r="C59" s="46"/>
      <c r="D59" s="46"/>
      <c r="E59" s="46"/>
      <c r="F59" s="46" t="s">
        <v>3</v>
      </c>
      <c r="G59" s="46"/>
      <c r="H59" s="46"/>
      <c r="I59" s="46"/>
      <c r="J59" s="46" t="s">
        <v>43</v>
      </c>
      <c r="K59" s="47"/>
      <c r="L59" s="4"/>
    </row>
    <row r="60" spans="1:15" x14ac:dyDescent="0.45">
      <c r="A60" s="4"/>
      <c r="B60" s="18"/>
      <c r="C60" s="18" t="s">
        <v>5</v>
      </c>
      <c r="D60" s="19" t="s">
        <v>6</v>
      </c>
      <c r="E60" s="20" t="s">
        <v>7</v>
      </c>
      <c r="F60" s="18"/>
      <c r="G60" s="18" t="s">
        <v>5</v>
      </c>
      <c r="H60" s="19" t="s">
        <v>6</v>
      </c>
      <c r="I60" s="20" t="s">
        <v>7</v>
      </c>
      <c r="J60" s="57" t="s">
        <v>295</v>
      </c>
      <c r="K60" s="57"/>
      <c r="L60" s="4"/>
      <c r="N60" s="21" t="str">
        <f>MID(B58,1,1)</f>
        <v>C</v>
      </c>
      <c r="O60" s="21" t="str">
        <f>IF(ISERROR(VLOOKUP(N60,Leeftijdscatogorie,1,FALSE)=TRUE),"",N60)</f>
        <v/>
      </c>
    </row>
    <row r="61" spans="1:15" x14ac:dyDescent="0.45">
      <c r="A61" s="4"/>
      <c r="B61" s="1">
        <v>1</v>
      </c>
      <c r="C61" s="1" t="s">
        <v>296</v>
      </c>
      <c r="D61" s="2">
        <v>38480</v>
      </c>
      <c r="E61" s="3">
        <v>12</v>
      </c>
      <c r="F61" s="1">
        <v>1</v>
      </c>
      <c r="G61" s="1" t="s">
        <v>297</v>
      </c>
      <c r="H61" s="2">
        <v>38519</v>
      </c>
      <c r="I61" s="3">
        <v>12</v>
      </c>
      <c r="J61" s="57" t="s">
        <v>298</v>
      </c>
      <c r="K61" s="57"/>
      <c r="L61" s="4"/>
      <c r="M61" s="21" t="str">
        <f>IF(O60="","",VLOOKUP(O60,Leeftijdscatogorie,2,FALSE))</f>
        <v/>
      </c>
      <c r="N61" s="21" t="str">
        <f>IF(O60="","",VLOOKUP(O60,Leeftijdscatogorie,3,FALSE))</f>
        <v/>
      </c>
      <c r="O61" s="21" t="str">
        <f>IF(O60="","",VLOOKUP(O60,Leeftijdscatogorie,4,FALSE))</f>
        <v/>
      </c>
    </row>
    <row r="62" spans="1:15" x14ac:dyDescent="0.45">
      <c r="A62" s="4"/>
      <c r="B62" s="1">
        <v>2</v>
      </c>
      <c r="C62" s="1" t="s">
        <v>299</v>
      </c>
      <c r="D62" s="2">
        <v>38035</v>
      </c>
      <c r="E62" s="3">
        <v>13</v>
      </c>
      <c r="F62" s="1">
        <v>2</v>
      </c>
      <c r="G62" s="1" t="s">
        <v>300</v>
      </c>
      <c r="H62" s="2">
        <v>38010</v>
      </c>
      <c r="I62" s="3">
        <v>13</v>
      </c>
      <c r="J62" s="4"/>
      <c r="K62" s="4"/>
      <c r="L62" s="4"/>
      <c r="N62" s="21" t="str">
        <f>N61</f>
        <v/>
      </c>
      <c r="O62" s="21" t="str">
        <f>O61</f>
        <v/>
      </c>
    </row>
    <row r="63" spans="1:15" x14ac:dyDescent="0.45">
      <c r="A63" s="4"/>
      <c r="B63" s="1">
        <v>3</v>
      </c>
      <c r="C63" s="1" t="s">
        <v>301</v>
      </c>
      <c r="D63" s="2">
        <v>38555</v>
      </c>
      <c r="E63" s="3">
        <v>12</v>
      </c>
      <c r="F63" s="1">
        <v>3</v>
      </c>
      <c r="G63" s="1" t="s">
        <v>302</v>
      </c>
      <c r="H63" s="2">
        <v>38502</v>
      </c>
      <c r="I63" s="3">
        <v>12</v>
      </c>
      <c r="J63" s="4"/>
      <c r="K63" s="4"/>
      <c r="L63" s="4"/>
      <c r="N63" s="21" t="str">
        <f t="shared" ref="N63:O70" si="4">N62</f>
        <v/>
      </c>
      <c r="O63" s="21" t="str">
        <f t="shared" si="4"/>
        <v/>
      </c>
    </row>
    <row r="64" spans="1:15" x14ac:dyDescent="0.45">
      <c r="A64" s="4"/>
      <c r="B64" s="1">
        <v>4</v>
      </c>
      <c r="C64" s="1" t="s">
        <v>303</v>
      </c>
      <c r="D64" s="2">
        <v>38634</v>
      </c>
      <c r="E64" s="3">
        <v>12</v>
      </c>
      <c r="F64" s="1">
        <v>4</v>
      </c>
      <c r="G64" s="1" t="s">
        <v>37</v>
      </c>
      <c r="H64" s="2" t="s">
        <v>37</v>
      </c>
      <c r="I64" s="3" t="s">
        <v>37</v>
      </c>
      <c r="J64" s="4"/>
      <c r="K64" s="4"/>
      <c r="L64" s="4"/>
      <c r="N64" s="21" t="str">
        <f t="shared" si="4"/>
        <v/>
      </c>
      <c r="O64" s="21" t="str">
        <f t="shared" si="4"/>
        <v/>
      </c>
    </row>
    <row r="65" spans="1:15" x14ac:dyDescent="0.45">
      <c r="A65" s="4"/>
      <c r="B65" s="1">
        <v>5</v>
      </c>
      <c r="C65" s="1" t="s">
        <v>304</v>
      </c>
      <c r="D65" s="2">
        <v>38509</v>
      </c>
      <c r="E65" s="3">
        <v>12</v>
      </c>
      <c r="F65" s="1">
        <v>5</v>
      </c>
      <c r="G65" s="1" t="s">
        <v>37</v>
      </c>
      <c r="H65" s="2" t="s">
        <v>37</v>
      </c>
      <c r="I65" s="3" t="s">
        <v>37</v>
      </c>
      <c r="J65" s="4"/>
      <c r="K65" s="4"/>
      <c r="L65" s="4"/>
      <c r="N65" s="21" t="str">
        <f t="shared" si="4"/>
        <v/>
      </c>
      <c r="O65" s="21" t="str">
        <f t="shared" si="4"/>
        <v/>
      </c>
    </row>
    <row r="66" spans="1:15" x14ac:dyDescent="0.45">
      <c r="A66" s="4"/>
      <c r="B66" s="1">
        <v>6</v>
      </c>
      <c r="C66" s="1" t="s">
        <v>305</v>
      </c>
      <c r="D66" s="2">
        <v>38648</v>
      </c>
      <c r="E66" s="3">
        <v>12</v>
      </c>
      <c r="F66" s="1">
        <v>6</v>
      </c>
      <c r="G66" s="1" t="s">
        <v>37</v>
      </c>
      <c r="H66" s="2" t="s">
        <v>37</v>
      </c>
      <c r="I66" s="3" t="s">
        <v>37</v>
      </c>
      <c r="J66" s="4"/>
      <c r="K66" s="4"/>
      <c r="L66" s="4"/>
      <c r="N66" s="21" t="str">
        <f t="shared" si="4"/>
        <v/>
      </c>
      <c r="O66" s="21" t="str">
        <f t="shared" si="4"/>
        <v/>
      </c>
    </row>
    <row r="67" spans="1:15" x14ac:dyDescent="0.45">
      <c r="A67" s="4"/>
      <c r="B67" s="1">
        <v>7</v>
      </c>
      <c r="C67" s="1" t="s">
        <v>306</v>
      </c>
      <c r="D67" s="2">
        <v>38000</v>
      </c>
      <c r="E67" s="3">
        <v>13</v>
      </c>
      <c r="F67" s="1">
        <v>7</v>
      </c>
      <c r="G67" s="1" t="s">
        <v>37</v>
      </c>
      <c r="H67" s="2" t="s">
        <v>37</v>
      </c>
      <c r="I67" s="3" t="s">
        <v>37</v>
      </c>
      <c r="J67" s="4"/>
      <c r="K67" s="4"/>
      <c r="L67" s="4"/>
      <c r="N67" s="21" t="str">
        <f t="shared" si="4"/>
        <v/>
      </c>
      <c r="O67" s="21" t="str">
        <f t="shared" si="4"/>
        <v/>
      </c>
    </row>
    <row r="68" spans="1:15" x14ac:dyDescent="0.45">
      <c r="A68" s="4"/>
      <c r="B68" s="1">
        <v>8</v>
      </c>
      <c r="C68" s="1" t="s">
        <v>307</v>
      </c>
      <c r="D68" s="2">
        <v>38391</v>
      </c>
      <c r="E68" s="3">
        <v>12</v>
      </c>
      <c r="F68" s="1">
        <v>8</v>
      </c>
      <c r="G68" s="1" t="s">
        <v>37</v>
      </c>
      <c r="H68" s="2" t="s">
        <v>37</v>
      </c>
      <c r="I68" s="3" t="s">
        <v>37</v>
      </c>
      <c r="J68" s="4"/>
      <c r="K68" s="4"/>
      <c r="L68" s="4"/>
      <c r="N68" s="21" t="str">
        <f t="shared" si="4"/>
        <v/>
      </c>
      <c r="O68" s="21" t="str">
        <f t="shared" si="4"/>
        <v/>
      </c>
    </row>
    <row r="69" spans="1:15" x14ac:dyDescent="0.45">
      <c r="A69" s="4"/>
      <c r="B69" s="1">
        <v>9</v>
      </c>
      <c r="C69" s="1" t="s">
        <v>37</v>
      </c>
      <c r="D69" s="2" t="s">
        <v>37</v>
      </c>
      <c r="E69" s="3" t="s">
        <v>37</v>
      </c>
      <c r="F69" s="1">
        <v>9</v>
      </c>
      <c r="G69" s="1" t="s">
        <v>37</v>
      </c>
      <c r="H69" s="2" t="s">
        <v>37</v>
      </c>
      <c r="I69" s="3" t="s">
        <v>37</v>
      </c>
      <c r="J69" s="36" t="s">
        <v>149</v>
      </c>
      <c r="K69" s="4"/>
      <c r="L69" s="4"/>
      <c r="N69" s="21" t="str">
        <f t="shared" si="4"/>
        <v/>
      </c>
      <c r="O69" s="21" t="str">
        <f t="shared" si="4"/>
        <v/>
      </c>
    </row>
    <row r="70" spans="1:15" x14ac:dyDescent="0.45">
      <c r="A70" s="4"/>
      <c r="B70" s="1">
        <v>10</v>
      </c>
      <c r="C70" s="1" t="s">
        <v>37</v>
      </c>
      <c r="D70" s="2" t="s">
        <v>37</v>
      </c>
      <c r="E70" s="3" t="s">
        <v>37</v>
      </c>
      <c r="F70" s="1">
        <v>10</v>
      </c>
      <c r="G70" s="1" t="s">
        <v>37</v>
      </c>
      <c r="H70" s="2" t="s">
        <v>37</v>
      </c>
      <c r="I70" s="3" t="s">
        <v>37</v>
      </c>
      <c r="J70" s="11">
        <f>AVERAGE(E61:E70,I61:I70)</f>
        <v>12.272727272727273</v>
      </c>
      <c r="K70" s="4"/>
      <c r="L70" s="4"/>
      <c r="N70" s="21" t="str">
        <f t="shared" si="4"/>
        <v/>
      </c>
      <c r="O70" s="21" t="str">
        <f t="shared" si="4"/>
        <v/>
      </c>
    </row>
    <row r="71" spans="1:15" ht="21" x14ac:dyDescent="0.65">
      <c r="A71" s="4"/>
      <c r="B71" s="42" t="s">
        <v>308</v>
      </c>
      <c r="C71" s="43"/>
      <c r="D71" s="43"/>
      <c r="E71" s="43"/>
      <c r="F71" s="43"/>
      <c r="G71" s="43"/>
      <c r="H71" s="43"/>
      <c r="I71" s="43"/>
      <c r="J71" s="43"/>
      <c r="K71" s="44"/>
      <c r="L71" s="4"/>
    </row>
    <row r="72" spans="1:15" x14ac:dyDescent="0.45">
      <c r="A72" s="4"/>
      <c r="B72" s="45" t="s">
        <v>2</v>
      </c>
      <c r="C72" s="46"/>
      <c r="D72" s="46"/>
      <c r="E72" s="46"/>
      <c r="F72" s="46" t="s">
        <v>3</v>
      </c>
      <c r="G72" s="46"/>
      <c r="H72" s="46"/>
      <c r="I72" s="46"/>
      <c r="J72" s="46" t="s">
        <v>43</v>
      </c>
      <c r="K72" s="47"/>
      <c r="L72" s="4"/>
    </row>
    <row r="73" spans="1:15" x14ac:dyDescent="0.45">
      <c r="A73" s="4"/>
      <c r="B73" s="18"/>
      <c r="C73" s="18" t="s">
        <v>5</v>
      </c>
      <c r="D73" s="19" t="s">
        <v>6</v>
      </c>
      <c r="E73" s="20" t="s">
        <v>7</v>
      </c>
      <c r="F73" s="18"/>
      <c r="G73" s="18" t="s">
        <v>5</v>
      </c>
      <c r="H73" s="19" t="s">
        <v>6</v>
      </c>
      <c r="I73" s="20" t="s">
        <v>7</v>
      </c>
      <c r="J73" s="57" t="s">
        <v>247</v>
      </c>
      <c r="K73" s="57"/>
      <c r="L73" s="4"/>
      <c r="N73" s="21" t="str">
        <f>MID(B71,1,1)</f>
        <v>C</v>
      </c>
      <c r="O73" s="21" t="str">
        <f>IF(ISERROR(VLOOKUP(N73,Leeftijdscatogorie,1,FALSE)=TRUE),"",N73)</f>
        <v/>
      </c>
    </row>
    <row r="74" spans="1:15" x14ac:dyDescent="0.45">
      <c r="A74" s="4"/>
      <c r="B74" s="1">
        <v>1</v>
      </c>
      <c r="C74" s="16" t="s">
        <v>309</v>
      </c>
      <c r="D74" s="2">
        <v>38693</v>
      </c>
      <c r="E74" s="3">
        <v>12</v>
      </c>
      <c r="F74" s="1">
        <v>1</v>
      </c>
      <c r="G74" s="1" t="s">
        <v>310</v>
      </c>
      <c r="H74" s="2">
        <v>38257</v>
      </c>
      <c r="I74" s="3">
        <v>13</v>
      </c>
      <c r="J74" s="57"/>
      <c r="K74" s="57"/>
      <c r="L74" s="4"/>
      <c r="M74" s="21" t="str">
        <f>IF(O73="","",VLOOKUP(O73,Leeftijdscatogorie,2,FALSE))</f>
        <v/>
      </c>
      <c r="N74" s="21" t="str">
        <f>IF(O73="","",VLOOKUP(O73,Leeftijdscatogorie,3,FALSE))</f>
        <v/>
      </c>
      <c r="O74" s="21" t="str">
        <f>IF(O73="","",VLOOKUP(O73,Leeftijdscatogorie,4,FALSE))</f>
        <v/>
      </c>
    </row>
    <row r="75" spans="1:15" x14ac:dyDescent="0.45">
      <c r="A75" s="4"/>
      <c r="B75" s="1">
        <v>2</v>
      </c>
      <c r="C75" s="1" t="s">
        <v>311</v>
      </c>
      <c r="D75" s="2">
        <v>38702</v>
      </c>
      <c r="E75" s="3">
        <v>12</v>
      </c>
      <c r="F75" s="1">
        <v>2</v>
      </c>
      <c r="G75" s="1" t="s">
        <v>312</v>
      </c>
      <c r="H75" s="2">
        <v>37992</v>
      </c>
      <c r="I75" s="3">
        <v>13</v>
      </c>
      <c r="J75" s="60"/>
      <c r="K75" s="60"/>
      <c r="L75" s="4"/>
      <c r="N75" s="21" t="str">
        <f>N74</f>
        <v/>
      </c>
      <c r="O75" s="21" t="str">
        <f>O74</f>
        <v/>
      </c>
    </row>
    <row r="76" spans="1:15" x14ac:dyDescent="0.45">
      <c r="A76" s="4"/>
      <c r="B76" s="1">
        <v>3</v>
      </c>
      <c r="C76" s="1" t="s">
        <v>313</v>
      </c>
      <c r="D76" s="2">
        <v>38506</v>
      </c>
      <c r="E76" s="3">
        <v>12</v>
      </c>
      <c r="F76" s="1">
        <v>3</v>
      </c>
      <c r="G76" s="1" t="s">
        <v>314</v>
      </c>
      <c r="H76" s="2">
        <v>38346</v>
      </c>
      <c r="I76" s="3">
        <v>13</v>
      </c>
      <c r="J76" s="60"/>
      <c r="K76" s="60"/>
      <c r="L76" s="4"/>
      <c r="N76" s="21" t="str">
        <f t="shared" ref="N76:O83" si="5">N75</f>
        <v/>
      </c>
      <c r="O76" s="21" t="str">
        <f t="shared" si="5"/>
        <v/>
      </c>
    </row>
    <row r="77" spans="1:15" x14ac:dyDescent="0.45">
      <c r="A77" s="4"/>
      <c r="B77" s="1">
        <v>4</v>
      </c>
      <c r="C77" s="1" t="s">
        <v>315</v>
      </c>
      <c r="D77" s="2">
        <v>38618</v>
      </c>
      <c r="E77" s="3">
        <v>12</v>
      </c>
      <c r="F77" s="1">
        <v>4</v>
      </c>
      <c r="G77" s="1" t="s">
        <v>316</v>
      </c>
      <c r="H77" s="2">
        <v>38169</v>
      </c>
      <c r="I77" s="3">
        <v>13</v>
      </c>
      <c r="J77" s="4"/>
      <c r="K77" s="4"/>
      <c r="L77" s="4"/>
      <c r="N77" s="21" t="str">
        <f t="shared" si="5"/>
        <v/>
      </c>
      <c r="O77" s="21" t="str">
        <f t="shared" si="5"/>
        <v/>
      </c>
    </row>
    <row r="78" spans="1:15" x14ac:dyDescent="0.45">
      <c r="A78" s="4"/>
      <c r="B78" s="1">
        <v>5</v>
      </c>
      <c r="C78" s="1" t="s">
        <v>37</v>
      </c>
      <c r="D78" s="2" t="s">
        <v>37</v>
      </c>
      <c r="E78" s="3" t="s">
        <v>37</v>
      </c>
      <c r="F78" s="1">
        <v>5</v>
      </c>
      <c r="G78" s="1" t="s">
        <v>317</v>
      </c>
      <c r="H78" s="2">
        <v>37453</v>
      </c>
      <c r="I78" s="3">
        <v>15</v>
      </c>
      <c r="J78" s="4"/>
      <c r="K78" s="4"/>
      <c r="L78" s="4"/>
      <c r="N78" s="21" t="str">
        <f t="shared" si="5"/>
        <v/>
      </c>
      <c r="O78" s="21" t="str">
        <f t="shared" si="5"/>
        <v/>
      </c>
    </row>
    <row r="79" spans="1:15" x14ac:dyDescent="0.45">
      <c r="A79" s="4"/>
      <c r="B79" s="1">
        <v>6</v>
      </c>
      <c r="C79" s="1" t="s">
        <v>37</v>
      </c>
      <c r="D79" s="2" t="s">
        <v>37</v>
      </c>
      <c r="E79" s="3" t="s">
        <v>37</v>
      </c>
      <c r="F79" s="1">
        <v>6</v>
      </c>
      <c r="G79" s="1" t="s">
        <v>318</v>
      </c>
      <c r="H79" s="2">
        <v>38090</v>
      </c>
      <c r="I79" s="3">
        <v>13</v>
      </c>
      <c r="J79" s="4"/>
      <c r="K79" s="4"/>
      <c r="L79" s="4"/>
      <c r="N79" s="21" t="str">
        <f t="shared" si="5"/>
        <v/>
      </c>
      <c r="O79" s="21" t="str">
        <f t="shared" si="5"/>
        <v/>
      </c>
    </row>
    <row r="80" spans="1:15" x14ac:dyDescent="0.45">
      <c r="A80" s="4"/>
      <c r="B80" s="1">
        <v>7</v>
      </c>
      <c r="C80" s="1" t="s">
        <v>37</v>
      </c>
      <c r="D80" s="2" t="s">
        <v>37</v>
      </c>
      <c r="E80" s="3" t="s">
        <v>37</v>
      </c>
      <c r="F80" s="1">
        <v>7</v>
      </c>
      <c r="G80" s="1" t="s">
        <v>319</v>
      </c>
      <c r="H80" s="2">
        <v>38135</v>
      </c>
      <c r="I80" s="3">
        <v>13</v>
      </c>
      <c r="J80" s="4"/>
      <c r="K80" s="4"/>
      <c r="L80" s="4"/>
      <c r="N80" s="21" t="str">
        <f t="shared" si="5"/>
        <v/>
      </c>
      <c r="O80" s="21" t="str">
        <f t="shared" si="5"/>
        <v/>
      </c>
    </row>
    <row r="81" spans="1:15" x14ac:dyDescent="0.45">
      <c r="A81" s="4"/>
      <c r="B81" s="1">
        <v>8</v>
      </c>
      <c r="C81" s="1" t="s">
        <v>37</v>
      </c>
      <c r="D81" s="2" t="s">
        <v>37</v>
      </c>
      <c r="E81" s="3" t="s">
        <v>37</v>
      </c>
      <c r="F81" s="1">
        <v>8</v>
      </c>
      <c r="G81" s="1" t="s">
        <v>37</v>
      </c>
      <c r="H81" s="2" t="s">
        <v>37</v>
      </c>
      <c r="I81" s="3" t="s">
        <v>37</v>
      </c>
      <c r="J81" s="4"/>
      <c r="K81" s="4"/>
      <c r="L81" s="4"/>
      <c r="N81" s="21" t="str">
        <f t="shared" si="5"/>
        <v/>
      </c>
      <c r="O81" s="21" t="str">
        <f t="shared" si="5"/>
        <v/>
      </c>
    </row>
    <row r="82" spans="1:15" x14ac:dyDescent="0.45">
      <c r="A82" s="4"/>
      <c r="B82" s="1">
        <v>9</v>
      </c>
      <c r="C82" s="1" t="s">
        <v>37</v>
      </c>
      <c r="D82" s="2" t="s">
        <v>37</v>
      </c>
      <c r="E82" s="3" t="s">
        <v>37</v>
      </c>
      <c r="F82" s="1">
        <v>9</v>
      </c>
      <c r="G82" s="1" t="s">
        <v>37</v>
      </c>
      <c r="H82" s="2" t="s">
        <v>37</v>
      </c>
      <c r="I82" s="3" t="s">
        <v>37</v>
      </c>
      <c r="J82" s="36" t="s">
        <v>149</v>
      </c>
      <c r="K82" s="4"/>
      <c r="L82" s="4"/>
      <c r="N82" s="21" t="str">
        <f t="shared" si="5"/>
        <v/>
      </c>
      <c r="O82" s="21" t="str">
        <f t="shared" si="5"/>
        <v/>
      </c>
    </row>
    <row r="83" spans="1:15" x14ac:dyDescent="0.45">
      <c r="A83" s="4"/>
      <c r="B83" s="1">
        <v>10</v>
      </c>
      <c r="C83" s="1" t="s">
        <v>37</v>
      </c>
      <c r="D83" s="2" t="s">
        <v>37</v>
      </c>
      <c r="E83" s="3" t="s">
        <v>37</v>
      </c>
      <c r="F83" s="1">
        <v>10</v>
      </c>
      <c r="G83" s="1" t="s">
        <v>37</v>
      </c>
      <c r="H83" s="2" t="s">
        <v>37</v>
      </c>
      <c r="I83" s="3" t="s">
        <v>37</v>
      </c>
      <c r="J83" s="11">
        <f>AVERAGE(E74:E83,I74:I83)</f>
        <v>12.818181818181818</v>
      </c>
      <c r="K83" s="4"/>
      <c r="L83" s="4"/>
      <c r="N83" s="21" t="str">
        <f t="shared" si="5"/>
        <v/>
      </c>
      <c r="O83" s="21" t="str">
        <f t="shared" si="5"/>
        <v/>
      </c>
    </row>
    <row r="84" spans="1:15" ht="21" hidden="1" x14ac:dyDescent="0.65">
      <c r="A84" s="4"/>
      <c r="B84" s="42" t="s">
        <v>320</v>
      </c>
      <c r="C84" s="43"/>
      <c r="D84" s="43"/>
      <c r="E84" s="43"/>
      <c r="F84" s="43"/>
      <c r="G84" s="43"/>
      <c r="H84" s="43"/>
      <c r="I84" s="43"/>
      <c r="J84" s="43"/>
      <c r="K84" s="44"/>
      <c r="L84" s="4"/>
    </row>
    <row r="85" spans="1:15" hidden="1" x14ac:dyDescent="0.45">
      <c r="A85" s="4"/>
      <c r="B85" s="45" t="s">
        <v>2</v>
      </c>
      <c r="C85" s="46"/>
      <c r="D85" s="46"/>
      <c r="E85" s="46"/>
      <c r="F85" s="46" t="s">
        <v>3</v>
      </c>
      <c r="G85" s="46"/>
      <c r="H85" s="46"/>
      <c r="I85" s="46"/>
      <c r="J85" s="46" t="s">
        <v>43</v>
      </c>
      <c r="K85" s="47"/>
      <c r="L85" s="4"/>
    </row>
    <row r="86" spans="1:15" hidden="1" x14ac:dyDescent="0.45">
      <c r="A86" s="4"/>
      <c r="B86" s="18"/>
      <c r="C86" s="18" t="s">
        <v>5</v>
      </c>
      <c r="D86" s="19" t="s">
        <v>6</v>
      </c>
      <c r="E86" s="20" t="s">
        <v>7</v>
      </c>
      <c r="F86" s="18"/>
      <c r="G86" s="18" t="s">
        <v>5</v>
      </c>
      <c r="H86" s="19" t="s">
        <v>6</v>
      </c>
      <c r="I86" s="20" t="s">
        <v>7</v>
      </c>
      <c r="J86" s="57"/>
      <c r="K86" s="57"/>
      <c r="L86" s="4"/>
      <c r="N86" s="21" t="str">
        <f>MID(B84,1,1)</f>
        <v>C</v>
      </c>
      <c r="O86" s="21" t="str">
        <f>IF(ISERROR(VLOOKUP(N86,Leeftijdscatogorie,1,FALSE)=TRUE),"",N86)</f>
        <v/>
      </c>
    </row>
    <row r="87" spans="1:15" hidden="1" x14ac:dyDescent="0.45">
      <c r="A87" s="4"/>
      <c r="B87" s="1">
        <v>1</v>
      </c>
      <c r="C87" s="16" t="e">
        <v>#NAME?</v>
      </c>
      <c r="D87" s="2" t="e">
        <v>#NAME?</v>
      </c>
      <c r="E87" s="3" t="e">
        <v>#NAME?</v>
      </c>
      <c r="F87" s="1">
        <v>1</v>
      </c>
      <c r="G87" s="1" t="e">
        <v>#NAME?</v>
      </c>
      <c r="H87" s="2" t="e">
        <v>#NAME?</v>
      </c>
      <c r="I87" s="3" t="e">
        <v>#NAME?</v>
      </c>
      <c r="J87" s="57"/>
      <c r="K87" s="57"/>
      <c r="L87" s="4"/>
      <c r="M87" s="21" t="str">
        <f>IF(O86="","",VLOOKUP(O86,Leeftijdscatogorie,2,FALSE))</f>
        <v/>
      </c>
      <c r="N87" s="21" t="str">
        <f>IF(O86="","",VLOOKUP(O86,Leeftijdscatogorie,3,FALSE))</f>
        <v/>
      </c>
      <c r="O87" s="21" t="str">
        <f>IF(O86="","",VLOOKUP(O86,Leeftijdscatogorie,4,FALSE))</f>
        <v/>
      </c>
    </row>
    <row r="88" spans="1:15" hidden="1" x14ac:dyDescent="0.45">
      <c r="A88" s="4"/>
      <c r="B88" s="1">
        <v>2</v>
      </c>
      <c r="C88" s="16" t="e">
        <v>#NAME?</v>
      </c>
      <c r="D88" s="2" t="e">
        <v>#NAME?</v>
      </c>
      <c r="E88" s="3" t="e">
        <v>#NAME?</v>
      </c>
      <c r="F88" s="1">
        <v>2</v>
      </c>
      <c r="G88" s="1" t="e">
        <v>#NAME?</v>
      </c>
      <c r="H88" s="2" t="e">
        <v>#NAME?</v>
      </c>
      <c r="I88" s="3" t="e">
        <v>#NAME?</v>
      </c>
      <c r="J88" s="60"/>
      <c r="K88" s="60"/>
      <c r="L88" s="4"/>
      <c r="N88" s="21" t="str">
        <f>N87</f>
        <v/>
      </c>
      <c r="O88" s="21" t="str">
        <f>O87</f>
        <v/>
      </c>
    </row>
    <row r="89" spans="1:15" hidden="1" x14ac:dyDescent="0.45">
      <c r="A89" s="4"/>
      <c r="B89" s="1">
        <v>3</v>
      </c>
      <c r="C89" s="16" t="e">
        <v>#NAME?</v>
      </c>
      <c r="D89" s="2" t="e">
        <v>#NAME?</v>
      </c>
      <c r="E89" s="3" t="e">
        <v>#NAME?</v>
      </c>
      <c r="F89" s="1">
        <v>3</v>
      </c>
      <c r="G89" s="1" t="e">
        <v>#NAME?</v>
      </c>
      <c r="H89" s="2" t="e">
        <v>#NAME?</v>
      </c>
      <c r="I89" s="3" t="e">
        <v>#NAME?</v>
      </c>
      <c r="J89" s="60"/>
      <c r="K89" s="60"/>
      <c r="L89" s="4"/>
      <c r="N89" s="21" t="str">
        <f t="shared" ref="N89:O96" si="6">N88</f>
        <v/>
      </c>
      <c r="O89" s="21" t="str">
        <f t="shared" si="6"/>
        <v/>
      </c>
    </row>
    <row r="90" spans="1:15" hidden="1" x14ac:dyDescent="0.45">
      <c r="A90" s="4"/>
      <c r="B90" s="1">
        <v>4</v>
      </c>
      <c r="C90" s="16" t="e">
        <v>#NAME?</v>
      </c>
      <c r="D90" s="2" t="e">
        <v>#NAME?</v>
      </c>
      <c r="E90" s="3" t="e">
        <v>#NAME?</v>
      </c>
      <c r="F90" s="1">
        <v>4</v>
      </c>
      <c r="G90" s="1" t="e">
        <v>#NAME?</v>
      </c>
      <c r="H90" s="2" t="e">
        <v>#NAME?</v>
      </c>
      <c r="I90" s="3" t="e">
        <v>#NAME?</v>
      </c>
      <c r="J90" s="4"/>
      <c r="K90" s="4"/>
      <c r="L90" s="4"/>
      <c r="N90" s="21" t="str">
        <f t="shared" si="6"/>
        <v/>
      </c>
      <c r="O90" s="21" t="str">
        <f t="shared" si="6"/>
        <v/>
      </c>
    </row>
    <row r="91" spans="1:15" hidden="1" x14ac:dyDescent="0.45">
      <c r="A91" s="4"/>
      <c r="B91" s="1">
        <v>5</v>
      </c>
      <c r="C91" s="16" t="e">
        <v>#NAME?</v>
      </c>
      <c r="D91" s="2" t="e">
        <v>#NAME?</v>
      </c>
      <c r="E91" s="3" t="e">
        <v>#NAME?</v>
      </c>
      <c r="F91" s="1">
        <v>5</v>
      </c>
      <c r="G91" s="1" t="e">
        <v>#NAME?</v>
      </c>
      <c r="H91" s="2" t="e">
        <v>#NAME?</v>
      </c>
      <c r="I91" s="3" t="e">
        <v>#NAME?</v>
      </c>
      <c r="J91" s="4"/>
      <c r="K91" s="4"/>
      <c r="L91" s="4"/>
      <c r="N91" s="21" t="str">
        <f t="shared" si="6"/>
        <v/>
      </c>
      <c r="O91" s="21" t="str">
        <f t="shared" si="6"/>
        <v/>
      </c>
    </row>
    <row r="92" spans="1:15" hidden="1" x14ac:dyDescent="0.45">
      <c r="A92" s="4"/>
      <c r="B92" s="1">
        <v>6</v>
      </c>
      <c r="C92" s="16" t="e">
        <v>#NAME?</v>
      </c>
      <c r="D92" s="2" t="e">
        <v>#NAME?</v>
      </c>
      <c r="E92" s="3" t="e">
        <v>#NAME?</v>
      </c>
      <c r="F92" s="1">
        <v>6</v>
      </c>
      <c r="G92" s="1" t="e">
        <v>#NAME?</v>
      </c>
      <c r="H92" s="2" t="e">
        <v>#NAME?</v>
      </c>
      <c r="I92" s="3" t="e">
        <v>#NAME?</v>
      </c>
      <c r="J92" s="4"/>
      <c r="K92" s="4"/>
      <c r="L92" s="4"/>
      <c r="N92" s="21" t="str">
        <f t="shared" si="6"/>
        <v/>
      </c>
      <c r="O92" s="21" t="str">
        <f t="shared" si="6"/>
        <v/>
      </c>
    </row>
    <row r="93" spans="1:15" hidden="1" x14ac:dyDescent="0.45">
      <c r="A93" s="4"/>
      <c r="B93" s="1">
        <v>7</v>
      </c>
      <c r="C93" s="16" t="e">
        <v>#NAME?</v>
      </c>
      <c r="D93" s="2" t="e">
        <v>#NAME?</v>
      </c>
      <c r="E93" s="3" t="e">
        <v>#NAME?</v>
      </c>
      <c r="F93" s="1">
        <v>7</v>
      </c>
      <c r="G93" s="1" t="e">
        <v>#NAME?</v>
      </c>
      <c r="H93" s="2" t="e">
        <v>#NAME?</v>
      </c>
      <c r="I93" s="3" t="e">
        <v>#NAME?</v>
      </c>
      <c r="J93" s="4"/>
      <c r="K93" s="4"/>
      <c r="L93" s="4"/>
      <c r="N93" s="21" t="str">
        <f t="shared" si="6"/>
        <v/>
      </c>
      <c r="O93" s="21" t="str">
        <f t="shared" si="6"/>
        <v/>
      </c>
    </row>
    <row r="94" spans="1:15" hidden="1" x14ac:dyDescent="0.45">
      <c r="A94" s="4"/>
      <c r="B94" s="1">
        <v>8</v>
      </c>
      <c r="C94" s="16" t="e">
        <v>#NAME?</v>
      </c>
      <c r="D94" s="2" t="e">
        <v>#NAME?</v>
      </c>
      <c r="E94" s="3" t="e">
        <v>#NAME?</v>
      </c>
      <c r="F94" s="1">
        <v>8</v>
      </c>
      <c r="G94" s="1" t="e">
        <v>#NAME?</v>
      </c>
      <c r="H94" s="2" t="e">
        <v>#NAME?</v>
      </c>
      <c r="I94" s="3" t="e">
        <v>#NAME?</v>
      </c>
      <c r="J94" s="4"/>
      <c r="K94" s="4"/>
      <c r="L94" s="4"/>
      <c r="N94" s="21" t="str">
        <f t="shared" si="6"/>
        <v/>
      </c>
      <c r="O94" s="21" t="str">
        <f t="shared" si="6"/>
        <v/>
      </c>
    </row>
    <row r="95" spans="1:15" hidden="1" x14ac:dyDescent="0.45">
      <c r="A95" s="4"/>
      <c r="B95" s="1">
        <v>9</v>
      </c>
      <c r="C95" s="16" t="e">
        <v>#NAME?</v>
      </c>
      <c r="D95" s="2" t="e">
        <v>#NAME?</v>
      </c>
      <c r="E95" s="3" t="e">
        <v>#NAME?</v>
      </c>
      <c r="F95" s="1">
        <v>9</v>
      </c>
      <c r="G95" s="1" t="e">
        <v>#NAME?</v>
      </c>
      <c r="H95" s="2" t="e">
        <v>#NAME?</v>
      </c>
      <c r="I95" s="3" t="e">
        <v>#NAME?</v>
      </c>
      <c r="J95" s="30" t="s">
        <v>41</v>
      </c>
      <c r="K95" s="4"/>
      <c r="L95" s="4"/>
      <c r="N95" s="21" t="str">
        <f t="shared" si="6"/>
        <v/>
      </c>
      <c r="O95" s="21" t="str">
        <f t="shared" si="6"/>
        <v/>
      </c>
    </row>
    <row r="96" spans="1:15" hidden="1" x14ac:dyDescent="0.45">
      <c r="A96" s="4"/>
      <c r="B96" s="1">
        <v>10</v>
      </c>
      <c r="C96" s="16" t="e">
        <v>#NAME?</v>
      </c>
      <c r="D96" s="2" t="e">
        <v>#NAME?</v>
      </c>
      <c r="E96" s="3" t="e">
        <v>#NAME?</v>
      </c>
      <c r="F96" s="1">
        <v>10</v>
      </c>
      <c r="G96" s="1" t="e">
        <v>#NAME?</v>
      </c>
      <c r="H96" s="2" t="e">
        <v>#NAME?</v>
      </c>
      <c r="I96" s="3" t="e">
        <v>#NAME?</v>
      </c>
      <c r="J96" s="30">
        <f>IF(COUNT(E87:E96,I87:I96)=0,0,COUNT(E87:E96,I87:I96))</f>
        <v>0</v>
      </c>
      <c r="K96" s="4"/>
      <c r="L96" s="4"/>
      <c r="N96" s="21" t="str">
        <f t="shared" si="6"/>
        <v/>
      </c>
      <c r="O96" s="21" t="str">
        <f t="shared" si="6"/>
        <v/>
      </c>
    </row>
    <row r="97" spans="1:12" hidden="1" x14ac:dyDescent="0.45">
      <c r="A97" s="4"/>
      <c r="B97" s="4"/>
      <c r="C97" s="4"/>
      <c r="D97" s="4"/>
      <c r="E97" s="35"/>
      <c r="F97" s="4"/>
      <c r="G97" s="4"/>
      <c r="H97" s="4"/>
      <c r="I97" s="35"/>
      <c r="J97" s="4"/>
      <c r="K97" s="4"/>
      <c r="L97" s="4"/>
    </row>
    <row r="98" spans="1:12" x14ac:dyDescent="0.45">
      <c r="A98" s="4"/>
      <c r="B98" s="4"/>
      <c r="C98" s="4"/>
      <c r="D98" s="4"/>
      <c r="E98" s="35"/>
      <c r="F98" s="4"/>
      <c r="G98" s="4"/>
      <c r="H98" s="4"/>
      <c r="I98" s="35"/>
      <c r="J98" s="4"/>
      <c r="K98" s="4"/>
      <c r="L98" s="4"/>
    </row>
    <row r="99" spans="1:12" x14ac:dyDescent="0.45">
      <c r="A99" s="4"/>
      <c r="B99" s="4"/>
      <c r="C99" s="4"/>
      <c r="D99" s="4"/>
      <c r="E99" s="35"/>
      <c r="F99" s="4"/>
      <c r="G99" s="4"/>
      <c r="H99" s="4"/>
      <c r="I99" s="35"/>
      <c r="J99" s="4"/>
      <c r="K99" s="4"/>
      <c r="L99" s="4"/>
    </row>
    <row r="100" spans="1:12" x14ac:dyDescent="0.45">
      <c r="A100" s="4"/>
      <c r="B100" s="4"/>
      <c r="C100" s="4"/>
      <c r="D100" s="4"/>
      <c r="E100" s="35"/>
      <c r="F100" s="4"/>
      <c r="G100" s="4"/>
      <c r="H100" s="4"/>
      <c r="I100" s="35"/>
      <c r="J100" s="4"/>
      <c r="K100" s="4"/>
      <c r="L100" s="4"/>
    </row>
    <row r="101" spans="1:12" x14ac:dyDescent="0.45">
      <c r="A101" s="4"/>
      <c r="B101" s="4"/>
      <c r="C101" s="4"/>
      <c r="D101" s="4"/>
      <c r="E101" s="35"/>
      <c r="F101" s="4"/>
      <c r="G101" s="4"/>
      <c r="H101" s="4"/>
      <c r="I101" s="35"/>
      <c r="J101" s="4"/>
      <c r="K101" s="4"/>
      <c r="L101" s="4"/>
    </row>
    <row r="102" spans="1:12" x14ac:dyDescent="0.45">
      <c r="A102" s="4"/>
      <c r="B102" s="4"/>
      <c r="C102" s="4"/>
      <c r="D102" s="4"/>
      <c r="E102" s="35"/>
      <c r="F102" s="4"/>
      <c r="G102" s="4"/>
      <c r="H102" s="4"/>
      <c r="I102" s="35"/>
      <c r="J102" s="4"/>
      <c r="K102" s="4"/>
      <c r="L102" s="4"/>
    </row>
    <row r="103" spans="1:12" x14ac:dyDescent="0.45">
      <c r="A103" s="4"/>
      <c r="B103" s="4"/>
      <c r="C103" s="4"/>
      <c r="D103" s="4"/>
      <c r="E103" s="35"/>
      <c r="F103" s="4"/>
      <c r="G103" s="4"/>
      <c r="H103" s="4"/>
      <c r="I103" s="35"/>
      <c r="J103" s="4"/>
      <c r="K103" s="4"/>
      <c r="L103" s="4"/>
    </row>
    <row r="104" spans="1:12" x14ac:dyDescent="0.45">
      <c r="A104" s="4"/>
      <c r="B104" s="4"/>
      <c r="C104" s="4"/>
      <c r="D104" s="4"/>
      <c r="E104" s="35"/>
      <c r="F104" s="4"/>
      <c r="G104" s="4"/>
      <c r="H104" s="4"/>
      <c r="I104" s="35"/>
      <c r="J104" s="4"/>
      <c r="K104" s="4"/>
      <c r="L104" s="4"/>
    </row>
    <row r="105" spans="1:12" x14ac:dyDescent="0.45">
      <c r="A105" s="4"/>
      <c r="B105" s="4"/>
      <c r="C105" s="4"/>
      <c r="D105" s="4"/>
      <c r="E105" s="35"/>
      <c r="F105" s="4"/>
      <c r="G105" s="4"/>
      <c r="H105" s="4"/>
      <c r="I105" s="35"/>
      <c r="J105" s="4"/>
      <c r="K105" s="4"/>
      <c r="L105" s="4"/>
    </row>
    <row r="106" spans="1:12" x14ac:dyDescent="0.45">
      <c r="A106" s="4"/>
      <c r="B106" s="4"/>
      <c r="C106" s="4"/>
      <c r="D106" s="4"/>
      <c r="E106" s="35"/>
      <c r="F106" s="4"/>
      <c r="G106" s="4"/>
      <c r="H106" s="4"/>
      <c r="I106" s="35"/>
      <c r="J106" s="4"/>
      <c r="K106" s="4"/>
      <c r="L106" s="4"/>
    </row>
    <row r="107" spans="1:12" x14ac:dyDescent="0.45">
      <c r="A107" s="4"/>
      <c r="B107" s="4"/>
      <c r="C107" s="4"/>
      <c r="D107" s="4"/>
      <c r="E107" s="35"/>
      <c r="F107" s="4"/>
      <c r="G107" s="4"/>
      <c r="H107" s="4"/>
      <c r="I107" s="35"/>
      <c r="J107" s="4"/>
      <c r="K107" s="4"/>
      <c r="L107" s="4"/>
    </row>
    <row r="108" spans="1:12" x14ac:dyDescent="0.45">
      <c r="A108" s="4"/>
      <c r="B108" s="4"/>
      <c r="C108" s="4"/>
      <c r="D108" s="4"/>
      <c r="E108" s="35"/>
      <c r="F108" s="4"/>
      <c r="G108" s="4"/>
      <c r="H108" s="4"/>
      <c r="I108" s="35"/>
      <c r="J108" s="4"/>
      <c r="K108" s="4"/>
      <c r="L108" s="4"/>
    </row>
    <row r="109" spans="1:12" x14ac:dyDescent="0.45">
      <c r="J109" s="4"/>
      <c r="K109" s="4"/>
      <c r="L109" s="4"/>
    </row>
  </sheetData>
  <mergeCells count="47">
    <mergeCell ref="B33:E33"/>
    <mergeCell ref="J86:K86"/>
    <mergeCell ref="J87:K87"/>
    <mergeCell ref="J88:K88"/>
    <mergeCell ref="J89:K89"/>
    <mergeCell ref="J72:K72"/>
    <mergeCell ref="J73:K73"/>
    <mergeCell ref="J74:K74"/>
    <mergeCell ref="J75:K75"/>
    <mergeCell ref="J76:K76"/>
    <mergeCell ref="B84:K84"/>
    <mergeCell ref="B85:E85"/>
    <mergeCell ref="F85:I85"/>
    <mergeCell ref="J85:K85"/>
    <mergeCell ref="J34:K34"/>
    <mergeCell ref="J35:K35"/>
    <mergeCell ref="B45:K45"/>
    <mergeCell ref="B46:E46"/>
    <mergeCell ref="F46:I46"/>
    <mergeCell ref="J46:K46"/>
    <mergeCell ref="J47:K47"/>
    <mergeCell ref="J48:K48"/>
    <mergeCell ref="B58:K58"/>
    <mergeCell ref="B59:E59"/>
    <mergeCell ref="F59:I59"/>
    <mergeCell ref="J59:K59"/>
    <mergeCell ref="J61:K61"/>
    <mergeCell ref="B71:K71"/>
    <mergeCell ref="B72:E72"/>
    <mergeCell ref="F72:I72"/>
    <mergeCell ref="J60:K60"/>
    <mergeCell ref="B2:K2"/>
    <mergeCell ref="B1:K1"/>
    <mergeCell ref="F33:I33"/>
    <mergeCell ref="J33:K33"/>
    <mergeCell ref="B32:K32"/>
    <mergeCell ref="B3:E3"/>
    <mergeCell ref="F3:I3"/>
    <mergeCell ref="J3:K3"/>
    <mergeCell ref="J4:K4"/>
    <mergeCell ref="J5:K5"/>
    <mergeCell ref="B19:K19"/>
    <mergeCell ref="B20:E20"/>
    <mergeCell ref="F20:I20"/>
    <mergeCell ref="J20:K20"/>
    <mergeCell ref="J21:K21"/>
    <mergeCell ref="J22:K22"/>
  </mergeCells>
  <conditionalFormatting sqref="E5:E18 I5:I18 I35:I44 I48:I57 I61:I70 I74:I83">
    <cfRule type="expression" dxfId="47" priority="22">
      <formula>AND(E5&gt;$N5,E5&lt;&gt;"")</formula>
    </cfRule>
  </conditionalFormatting>
  <conditionalFormatting sqref="E22:E31">
    <cfRule type="expression" dxfId="46" priority="9">
      <formula>AND(E22&gt;$O22,E22&lt;&gt;"")</formula>
    </cfRule>
    <cfRule type="expression" dxfId="45" priority="10">
      <formula>AND(E22&gt;$N22,E22&lt;&gt;"")</formula>
    </cfRule>
  </conditionalFormatting>
  <conditionalFormatting sqref="E35:E44 E48:E57 E61:E70 E74:E83 E22:E31 E5:E18 I5:I18 I35:I44 I48:I57 I61:I70 I74:I83">
    <cfRule type="expression" dxfId="44" priority="21">
      <formula>AND(E5&gt;$O5,E5&lt;&gt;"")</formula>
    </cfRule>
  </conditionalFormatting>
  <conditionalFormatting sqref="E35:E44">
    <cfRule type="expression" dxfId="43" priority="19">
      <formula>AND(E35&gt;$O35,E35&lt;&gt;"")</formula>
    </cfRule>
    <cfRule type="expression" dxfId="42" priority="20">
      <formula>AND(E35&gt;$N35,E35&lt;&gt;"")</formula>
    </cfRule>
  </conditionalFormatting>
  <conditionalFormatting sqref="E48:E57">
    <cfRule type="expression" dxfId="41" priority="17">
      <formula>AND(E48&gt;$O48,E48&lt;&gt;"")</formula>
    </cfRule>
    <cfRule type="expression" dxfId="40" priority="18">
      <formula>AND(E48&gt;$N48,E48&lt;&gt;"")</formula>
    </cfRule>
  </conditionalFormatting>
  <conditionalFormatting sqref="E61:E70">
    <cfRule type="expression" dxfId="39" priority="15">
      <formula>AND(E61&gt;$O61,E61&lt;&gt;"")</formula>
    </cfRule>
    <cfRule type="expression" dxfId="38" priority="16">
      <formula>AND(E61&gt;$N61,E61&lt;&gt;"")</formula>
    </cfRule>
  </conditionalFormatting>
  <conditionalFormatting sqref="E74:E83">
    <cfRule type="expression" dxfId="37" priority="13">
      <formula>AND(E74&gt;$O74,E74&lt;&gt;"")</formula>
    </cfRule>
    <cfRule type="expression" dxfId="36" priority="14">
      <formula>AND(E74&gt;$N74,E74&lt;&gt;"")</formula>
    </cfRule>
  </conditionalFormatting>
  <conditionalFormatting sqref="E87:E96 I87:I96">
    <cfRule type="expression" dxfId="35" priority="7">
      <formula>AND(E87&gt;$O87,E87&lt;&gt;"")</formula>
    </cfRule>
  </conditionalFormatting>
  <conditionalFormatting sqref="E87:E96">
    <cfRule type="expression" dxfId="34" priority="2">
      <formula>AND(E87&gt;$O87,E87&lt;&gt;"")</formula>
    </cfRule>
    <cfRule type="expression" dxfId="33" priority="3">
      <formula>AND(E87&gt;$N87,E87&lt;&gt;"")</formula>
    </cfRule>
    <cfRule type="expression" dxfId="32" priority="4">
      <formula>AND(E87&gt;$O87,E87&lt;&gt;"")</formula>
    </cfRule>
    <cfRule type="expression" dxfId="31" priority="6">
      <formula>AND(E87&gt;$N87,E87&lt;&gt;"")</formula>
    </cfRule>
  </conditionalFormatting>
  <conditionalFormatting sqref="I22:I31">
    <cfRule type="expression" dxfId="30" priority="11">
      <formula>AND(I22&gt;$O22,I22&lt;&gt;"")</formula>
    </cfRule>
    <cfRule type="expression" dxfId="29" priority="12">
      <formula>AND(I22&gt;$N22,I22&lt;&gt;"")</formula>
    </cfRule>
  </conditionalFormatting>
  <conditionalFormatting sqref="I87:I96">
    <cfRule type="expression" dxfId="28" priority="8">
      <formula>AND(I87&gt;$N87,I87&lt;&gt;"")</formula>
    </cfRule>
  </conditionalFormatting>
  <conditionalFormatting sqref="J31 J44 J57 J70 J83">
    <cfRule type="cellIs" dxfId="27" priority="1" operator="greaterThan">
      <formula>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5"/>
  <dimension ref="A1:Y92"/>
  <sheetViews>
    <sheetView topLeftCell="A37" workbookViewId="0">
      <selection activeCell="G63" sqref="G63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.1328125" customWidth="1"/>
    <col min="5" max="5" width="7.86328125" style="14" customWidth="1"/>
    <col min="6" max="6" width="3" customWidth="1"/>
    <col min="7" max="7" width="26.59765625" customWidth="1"/>
    <col min="8" max="8" width="11.1328125" customWidth="1"/>
    <col min="9" max="9" width="7.86328125" style="14" customWidth="1"/>
    <col min="10" max="10" width="8.59765625" customWidth="1"/>
    <col min="11" max="11" width="12.73046875" customWidth="1"/>
    <col min="12" max="12" width="9.1328125"/>
    <col min="13" max="15" width="3.3984375" hidden="1" customWidth="1"/>
    <col min="16" max="25" width="9.1328125" style="4"/>
  </cols>
  <sheetData>
    <row r="1" spans="1:15" ht="30.75" customHeight="1" x14ac:dyDescent="0.45">
      <c r="A1" s="4"/>
      <c r="B1" s="53" t="s">
        <v>321</v>
      </c>
      <c r="C1" s="53"/>
      <c r="D1" s="53"/>
      <c r="E1" s="53"/>
      <c r="F1" s="53"/>
      <c r="G1" s="53"/>
      <c r="H1" s="53"/>
      <c r="I1" s="53"/>
      <c r="J1" s="53"/>
      <c r="K1" s="53"/>
      <c r="L1" s="4"/>
    </row>
    <row r="2" spans="1:15" ht="21" customHeight="1" x14ac:dyDescent="0.65">
      <c r="A2" s="4"/>
      <c r="B2" s="42" t="s">
        <v>322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  <c r="M3" t="str">
        <f>IF(O3="","",VLOOKUP(O3,Leeftijdcategorie,2,FALSE))</f>
        <v/>
      </c>
    </row>
    <row r="4" spans="1:15" x14ac:dyDescent="0.45">
      <c r="A4" s="4"/>
      <c r="B4" s="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48" t="s">
        <v>323</v>
      </c>
      <c r="K4" s="48"/>
      <c r="L4" s="4"/>
      <c r="N4" s="21" t="str">
        <f>MID(B2,1,1)</f>
        <v>D</v>
      </c>
      <c r="O4" s="21" t="str">
        <f>IF(ISERROR(VLOOKUP(N4,Leeftijdscatogorie,1,FALSE)=TRUE),"",N4)</f>
        <v/>
      </c>
    </row>
    <row r="5" spans="1:15" ht="15" customHeight="1" x14ac:dyDescent="0.45">
      <c r="A5" s="4"/>
      <c r="B5" s="1">
        <v>1</v>
      </c>
      <c r="C5" s="1" t="s">
        <v>324</v>
      </c>
      <c r="D5" s="2">
        <v>39205</v>
      </c>
      <c r="E5" s="3">
        <v>10</v>
      </c>
      <c r="F5" s="1">
        <v>1</v>
      </c>
      <c r="G5" s="1" t="s">
        <v>325</v>
      </c>
      <c r="H5" s="2">
        <v>39239</v>
      </c>
      <c r="I5" s="3">
        <v>10</v>
      </c>
      <c r="J5" s="39" t="s">
        <v>326</v>
      </c>
      <c r="K5" s="57"/>
      <c r="L5" s="4"/>
      <c r="M5" s="21" t="str">
        <f>IF(O4="","",VLOOKUP(O4,Leeftijdscatogorie,2,FALSE))</f>
        <v/>
      </c>
      <c r="N5" s="21" t="str">
        <f>IF(O4="","",VLOOKUP(O4,Leeftijdscatogorie,3,FALSE))</f>
        <v/>
      </c>
      <c r="O5" s="21" t="str">
        <f>IF(O4="","",VLOOKUP(O4,Leeftijdscatogorie,4,FALSE))</f>
        <v/>
      </c>
    </row>
    <row r="6" spans="1:15" x14ac:dyDescent="0.45">
      <c r="A6" s="4"/>
      <c r="B6" s="1">
        <v>2</v>
      </c>
      <c r="C6" s="1" t="s">
        <v>327</v>
      </c>
      <c r="D6" s="2">
        <v>38656</v>
      </c>
      <c r="E6" s="3">
        <v>12</v>
      </c>
      <c r="F6" s="1">
        <v>2</v>
      </c>
      <c r="G6" s="1" t="s">
        <v>328</v>
      </c>
      <c r="H6" s="2">
        <v>38657</v>
      </c>
      <c r="I6" s="3">
        <v>12</v>
      </c>
      <c r="J6" s="4"/>
      <c r="K6" s="4"/>
      <c r="L6" s="4"/>
      <c r="N6" s="21" t="str">
        <f>N5</f>
        <v/>
      </c>
      <c r="O6" s="21" t="str">
        <f>O5</f>
        <v/>
      </c>
    </row>
    <row r="7" spans="1:15" ht="15" customHeight="1" x14ac:dyDescent="0.45">
      <c r="A7" s="4"/>
      <c r="B7" s="1">
        <v>3</v>
      </c>
      <c r="C7" s="1" t="s">
        <v>329</v>
      </c>
      <c r="D7" s="2">
        <v>39324</v>
      </c>
      <c r="E7" s="3">
        <v>10</v>
      </c>
      <c r="F7" s="1">
        <v>3</v>
      </c>
      <c r="G7" s="1" t="s">
        <v>330</v>
      </c>
      <c r="H7" s="2">
        <v>39281</v>
      </c>
      <c r="I7" s="3">
        <v>10</v>
      </c>
      <c r="J7" s="4"/>
      <c r="K7" s="4"/>
      <c r="L7" s="4"/>
      <c r="N7" s="21" t="str">
        <f t="shared" ref="N7:O14" si="0">N6</f>
        <v/>
      </c>
      <c r="O7" s="21" t="str">
        <f t="shared" si="0"/>
        <v/>
      </c>
    </row>
    <row r="8" spans="1:15" ht="15" customHeight="1" x14ac:dyDescent="0.45">
      <c r="A8" s="4"/>
      <c r="B8" s="1">
        <v>4</v>
      </c>
      <c r="C8" s="1" t="s">
        <v>331</v>
      </c>
      <c r="D8" s="2">
        <v>38807</v>
      </c>
      <c r="E8" s="3">
        <v>11</v>
      </c>
      <c r="F8" s="1">
        <v>4</v>
      </c>
      <c r="G8" s="1" t="s">
        <v>332</v>
      </c>
      <c r="H8" s="2">
        <v>39069</v>
      </c>
      <c r="I8" s="3">
        <v>11</v>
      </c>
      <c r="J8" s="4"/>
      <c r="K8" s="4"/>
      <c r="L8" s="4"/>
      <c r="N8" s="21" t="str">
        <f t="shared" si="0"/>
        <v/>
      </c>
      <c r="O8" s="21" t="str">
        <f t="shared" si="0"/>
        <v/>
      </c>
    </row>
    <row r="9" spans="1:15" ht="15" customHeight="1" x14ac:dyDescent="0.45">
      <c r="A9" s="4"/>
      <c r="B9" s="1">
        <v>5</v>
      </c>
      <c r="C9" s="1" t="s">
        <v>333</v>
      </c>
      <c r="D9" s="2">
        <v>39328</v>
      </c>
      <c r="E9" s="3">
        <v>10</v>
      </c>
      <c r="F9" s="1">
        <v>5</v>
      </c>
      <c r="G9" s="1" t="s">
        <v>37</v>
      </c>
      <c r="H9" s="2" t="s">
        <v>37</v>
      </c>
      <c r="I9" s="3" t="s">
        <v>37</v>
      </c>
      <c r="J9" s="4"/>
      <c r="K9" s="4"/>
      <c r="L9" s="4"/>
      <c r="N9" s="21" t="str">
        <f t="shared" si="0"/>
        <v/>
      </c>
      <c r="O9" s="21" t="str">
        <f t="shared" si="0"/>
        <v/>
      </c>
    </row>
    <row r="10" spans="1:15" ht="15" customHeight="1" x14ac:dyDescent="0.45">
      <c r="A10" s="4"/>
      <c r="B10" s="1">
        <v>6</v>
      </c>
      <c r="C10" s="1" t="s">
        <v>37</v>
      </c>
      <c r="D10" s="2" t="s">
        <v>37</v>
      </c>
      <c r="E10" s="3" t="s">
        <v>37</v>
      </c>
      <c r="F10" s="1">
        <v>6</v>
      </c>
      <c r="G10" s="1" t="s">
        <v>37</v>
      </c>
      <c r="H10" s="2" t="s">
        <v>37</v>
      </c>
      <c r="I10" s="3" t="s">
        <v>37</v>
      </c>
      <c r="J10" s="4"/>
      <c r="K10" s="4"/>
      <c r="L10" s="4"/>
      <c r="N10" s="21" t="str">
        <f t="shared" si="0"/>
        <v/>
      </c>
      <c r="O10" s="21" t="str">
        <f t="shared" si="0"/>
        <v/>
      </c>
    </row>
    <row r="11" spans="1:15" x14ac:dyDescent="0.45">
      <c r="A11" s="4"/>
      <c r="B11" s="1">
        <v>7</v>
      </c>
      <c r="C11" s="1" t="s">
        <v>37</v>
      </c>
      <c r="D11" s="2" t="s">
        <v>37</v>
      </c>
      <c r="E11" s="3" t="s">
        <v>37</v>
      </c>
      <c r="F11" s="1">
        <v>7</v>
      </c>
      <c r="G11" s="1" t="s">
        <v>37</v>
      </c>
      <c r="H11" s="2" t="s">
        <v>37</v>
      </c>
      <c r="I11" s="3" t="s">
        <v>37</v>
      </c>
      <c r="J11" s="4"/>
      <c r="K11" s="4"/>
      <c r="L11" s="4"/>
      <c r="N11" s="21" t="e">
        <f>#REF!</f>
        <v>#REF!</v>
      </c>
      <c r="O11" s="21" t="e">
        <f>#REF!</f>
        <v>#REF!</v>
      </c>
    </row>
    <row r="12" spans="1:15" x14ac:dyDescent="0.45">
      <c r="A12" s="4"/>
      <c r="B12" s="1">
        <v>8</v>
      </c>
      <c r="C12" s="1" t="s">
        <v>37</v>
      </c>
      <c r="D12" s="2" t="s">
        <v>37</v>
      </c>
      <c r="E12" s="3" t="s">
        <v>37</v>
      </c>
      <c r="F12" s="1">
        <v>8</v>
      </c>
      <c r="G12" s="1" t="s">
        <v>37</v>
      </c>
      <c r="H12" s="2" t="s">
        <v>37</v>
      </c>
      <c r="I12" s="3" t="s">
        <v>37</v>
      </c>
      <c r="J12" s="4"/>
      <c r="K12" s="4"/>
      <c r="L12" s="4"/>
      <c r="N12" s="21" t="e">
        <f t="shared" si="0"/>
        <v>#REF!</v>
      </c>
      <c r="O12" s="21" t="e">
        <f t="shared" si="0"/>
        <v>#REF!</v>
      </c>
    </row>
    <row r="13" spans="1:15" x14ac:dyDescent="0.45">
      <c r="A13" s="4"/>
      <c r="B13" s="1">
        <v>9</v>
      </c>
      <c r="C13" s="1" t="s">
        <v>37</v>
      </c>
      <c r="D13" s="2" t="s">
        <v>37</v>
      </c>
      <c r="E13" s="3" t="s">
        <v>37</v>
      </c>
      <c r="F13" s="1">
        <v>9</v>
      </c>
      <c r="G13" s="1" t="s">
        <v>37</v>
      </c>
      <c r="H13" s="2" t="s">
        <v>37</v>
      </c>
      <c r="I13" s="3" t="s">
        <v>37</v>
      </c>
      <c r="J13" s="36" t="s">
        <v>149</v>
      </c>
      <c r="K13" s="4"/>
      <c r="L13" s="4"/>
      <c r="N13" s="21" t="e">
        <f t="shared" si="0"/>
        <v>#REF!</v>
      </c>
      <c r="O13" s="21" t="e">
        <f t="shared" si="0"/>
        <v>#REF!</v>
      </c>
    </row>
    <row r="14" spans="1:15" x14ac:dyDescent="0.45">
      <c r="A14" s="4"/>
      <c r="B14" s="1">
        <v>10</v>
      </c>
      <c r="C14" s="1" t="s">
        <v>37</v>
      </c>
      <c r="D14" s="2" t="s">
        <v>37</v>
      </c>
      <c r="E14" s="3" t="s">
        <v>37</v>
      </c>
      <c r="F14" s="1">
        <v>10</v>
      </c>
      <c r="G14" s="1" t="s">
        <v>37</v>
      </c>
      <c r="H14" s="2" t="s">
        <v>37</v>
      </c>
      <c r="I14" s="3" t="s">
        <v>37</v>
      </c>
      <c r="J14" s="11">
        <f>AVERAGE(E9:E14,I9:I14)</f>
        <v>10</v>
      </c>
      <c r="K14" s="4"/>
      <c r="L14" s="4"/>
      <c r="N14" s="21" t="e">
        <f t="shared" si="0"/>
        <v>#REF!</v>
      </c>
      <c r="O14" s="21" t="e">
        <f t="shared" si="0"/>
        <v>#REF!</v>
      </c>
    </row>
    <row r="15" spans="1:15" ht="21" x14ac:dyDescent="0.65">
      <c r="A15" s="4"/>
      <c r="B15" s="42" t="s">
        <v>334</v>
      </c>
      <c r="C15" s="43"/>
      <c r="D15" s="43"/>
      <c r="E15" s="43"/>
      <c r="F15" s="43"/>
      <c r="G15" s="43"/>
      <c r="H15" s="43"/>
      <c r="I15" s="43"/>
      <c r="J15" s="43"/>
      <c r="K15" s="44"/>
      <c r="L15" s="4"/>
    </row>
    <row r="16" spans="1:15" x14ac:dyDescent="0.45">
      <c r="A16" s="4"/>
      <c r="B16" s="45" t="s">
        <v>2</v>
      </c>
      <c r="C16" s="46"/>
      <c r="D16" s="46"/>
      <c r="E16" s="46"/>
      <c r="F16" s="46" t="s">
        <v>3</v>
      </c>
      <c r="G16" s="46"/>
      <c r="H16" s="46"/>
      <c r="I16" s="46"/>
      <c r="J16" s="46" t="s">
        <v>43</v>
      </c>
      <c r="K16" s="47"/>
      <c r="L16" s="4"/>
    </row>
    <row r="17" spans="1:15" x14ac:dyDescent="0.45">
      <c r="A17" s="4"/>
      <c r="B17" s="18"/>
      <c r="C17" s="18" t="s">
        <v>5</v>
      </c>
      <c r="D17" s="19" t="s">
        <v>6</v>
      </c>
      <c r="E17" s="20" t="s">
        <v>7</v>
      </c>
      <c r="F17" s="18"/>
      <c r="G17" s="18" t="s">
        <v>5</v>
      </c>
      <c r="H17" s="19" t="s">
        <v>6</v>
      </c>
      <c r="I17" s="20" t="s">
        <v>7</v>
      </c>
      <c r="J17" s="57" t="s">
        <v>335</v>
      </c>
      <c r="K17" s="57"/>
      <c r="L17" s="4"/>
      <c r="N17" s="21" t="str">
        <f>MID(B15,1,1)</f>
        <v>D</v>
      </c>
      <c r="O17" s="21" t="str">
        <f>IF(ISERROR(VLOOKUP(N17,Leeftijdscatogorie,1,FALSE)=TRUE),"",N17)</f>
        <v/>
      </c>
    </row>
    <row r="18" spans="1:15" x14ac:dyDescent="0.45">
      <c r="A18" s="4"/>
      <c r="B18" s="1">
        <v>1</v>
      </c>
      <c r="C18" s="1" t="s">
        <v>336</v>
      </c>
      <c r="D18" s="2">
        <v>39026</v>
      </c>
      <c r="E18" s="3">
        <v>11</v>
      </c>
      <c r="F18" s="1">
        <v>1</v>
      </c>
      <c r="G18" s="1" t="s">
        <v>337</v>
      </c>
      <c r="H18" s="2">
        <v>39425</v>
      </c>
      <c r="I18" s="3">
        <v>10</v>
      </c>
      <c r="J18" s="39" t="s">
        <v>338</v>
      </c>
      <c r="K18" s="57"/>
      <c r="L18" s="4"/>
      <c r="M18" s="21" t="str">
        <f>IF(O17="","",VLOOKUP(O17,Leeftijdscatogorie,2,FALSE))</f>
        <v/>
      </c>
      <c r="N18" s="21" t="str">
        <f>IF(O17="","",VLOOKUP(O17,Leeftijdscatogorie,3,FALSE))</f>
        <v/>
      </c>
      <c r="O18" s="21" t="str">
        <f>IF(O17="","",VLOOKUP(O17,Leeftijdscatogorie,4,FALSE))</f>
        <v/>
      </c>
    </row>
    <row r="19" spans="1:15" x14ac:dyDescent="0.45">
      <c r="A19" s="4"/>
      <c r="B19" s="1">
        <v>2</v>
      </c>
      <c r="C19" s="1" t="s">
        <v>339</v>
      </c>
      <c r="D19" s="2">
        <v>39220</v>
      </c>
      <c r="E19" s="3">
        <v>10</v>
      </c>
      <c r="F19" s="1">
        <v>2</v>
      </c>
      <c r="G19" s="1" t="s">
        <v>340</v>
      </c>
      <c r="H19" s="2">
        <v>39018</v>
      </c>
      <c r="I19" s="3">
        <v>11</v>
      </c>
      <c r="J19" s="38" t="s">
        <v>341</v>
      </c>
      <c r="K19" s="39"/>
      <c r="L19" s="4"/>
      <c r="N19" s="21" t="str">
        <f>N18</f>
        <v/>
      </c>
      <c r="O19" s="21" t="str">
        <f>O18</f>
        <v/>
      </c>
    </row>
    <row r="20" spans="1:15" x14ac:dyDescent="0.45">
      <c r="A20" s="4"/>
      <c r="B20" s="1">
        <v>3</v>
      </c>
      <c r="C20" s="1" t="s">
        <v>342</v>
      </c>
      <c r="D20" s="2">
        <v>39411</v>
      </c>
      <c r="E20" s="3">
        <v>10</v>
      </c>
      <c r="F20" s="1">
        <v>3</v>
      </c>
      <c r="G20" s="1" t="s">
        <v>343</v>
      </c>
      <c r="H20" s="2">
        <v>38984</v>
      </c>
      <c r="I20" s="3">
        <v>11</v>
      </c>
      <c r="J20" s="4"/>
      <c r="K20" s="4"/>
      <c r="L20" s="4"/>
      <c r="N20" s="21" t="str">
        <f t="shared" ref="N20:O27" si="1">N19</f>
        <v/>
      </c>
      <c r="O20" s="21" t="str">
        <f t="shared" si="1"/>
        <v/>
      </c>
    </row>
    <row r="21" spans="1:15" x14ac:dyDescent="0.45">
      <c r="A21" s="4"/>
      <c r="B21" s="1">
        <v>4</v>
      </c>
      <c r="C21" s="1" t="s">
        <v>344</v>
      </c>
      <c r="D21" s="2">
        <v>38928</v>
      </c>
      <c r="E21" s="3">
        <v>11</v>
      </c>
      <c r="F21" s="1">
        <v>4</v>
      </c>
      <c r="G21" s="1" t="s">
        <v>345</v>
      </c>
      <c r="H21" s="2">
        <v>39367</v>
      </c>
      <c r="I21" s="3">
        <v>10</v>
      </c>
      <c r="J21" s="4"/>
      <c r="K21" s="4"/>
      <c r="L21" s="4"/>
      <c r="N21" s="21" t="str">
        <f t="shared" si="1"/>
        <v/>
      </c>
      <c r="O21" s="21" t="str">
        <f t="shared" si="1"/>
        <v/>
      </c>
    </row>
    <row r="22" spans="1:15" x14ac:dyDescent="0.45">
      <c r="A22" s="4"/>
      <c r="B22" s="1">
        <v>5</v>
      </c>
      <c r="C22" s="1" t="s">
        <v>346</v>
      </c>
      <c r="D22" s="2">
        <v>39433</v>
      </c>
      <c r="E22" s="3">
        <v>10</v>
      </c>
      <c r="F22" s="1">
        <v>5</v>
      </c>
      <c r="G22" s="1" t="s">
        <v>347</v>
      </c>
      <c r="H22" s="2">
        <v>39356</v>
      </c>
      <c r="I22" s="3">
        <v>10</v>
      </c>
      <c r="J22" s="4"/>
      <c r="K22" s="4"/>
      <c r="L22" s="4"/>
      <c r="N22" s="21" t="str">
        <f t="shared" si="1"/>
        <v/>
      </c>
      <c r="O22" s="21" t="str">
        <f t="shared" si="1"/>
        <v/>
      </c>
    </row>
    <row r="23" spans="1:15" x14ac:dyDescent="0.45">
      <c r="A23" s="4"/>
      <c r="B23" s="1">
        <v>6</v>
      </c>
      <c r="C23" s="1" t="s">
        <v>37</v>
      </c>
      <c r="D23" s="2" t="s">
        <v>37</v>
      </c>
      <c r="E23" s="3" t="s">
        <v>37</v>
      </c>
      <c r="F23" s="1">
        <v>6</v>
      </c>
      <c r="G23" s="1" t="s">
        <v>37</v>
      </c>
      <c r="H23" s="2" t="s">
        <v>37</v>
      </c>
      <c r="I23" s="3" t="s">
        <v>37</v>
      </c>
      <c r="J23" s="4"/>
      <c r="K23" s="4"/>
      <c r="L23" s="4"/>
      <c r="N23" s="21" t="str">
        <f t="shared" si="1"/>
        <v/>
      </c>
      <c r="O23" s="21" t="str">
        <f t="shared" si="1"/>
        <v/>
      </c>
    </row>
    <row r="24" spans="1:15" x14ac:dyDescent="0.45">
      <c r="A24" s="4"/>
      <c r="B24" s="1">
        <v>7</v>
      </c>
      <c r="C24" s="1" t="s">
        <v>37</v>
      </c>
      <c r="D24" s="2" t="s">
        <v>37</v>
      </c>
      <c r="E24" s="3" t="s">
        <v>37</v>
      </c>
      <c r="F24" s="1">
        <v>7</v>
      </c>
      <c r="G24" s="1" t="s">
        <v>37</v>
      </c>
      <c r="H24" s="2" t="s">
        <v>37</v>
      </c>
      <c r="I24" s="3" t="s">
        <v>37</v>
      </c>
      <c r="J24" s="4"/>
      <c r="K24" s="4"/>
      <c r="L24" s="4"/>
      <c r="N24" s="21" t="str">
        <f t="shared" si="1"/>
        <v/>
      </c>
      <c r="O24" s="21" t="str">
        <f t="shared" si="1"/>
        <v/>
      </c>
    </row>
    <row r="25" spans="1:15" x14ac:dyDescent="0.45">
      <c r="A25" s="4"/>
      <c r="B25" s="1">
        <v>8</v>
      </c>
      <c r="C25" s="1" t="s">
        <v>37</v>
      </c>
      <c r="D25" s="2" t="s">
        <v>37</v>
      </c>
      <c r="E25" s="3" t="s">
        <v>37</v>
      </c>
      <c r="F25" s="1">
        <v>8</v>
      </c>
      <c r="G25" s="1" t="s">
        <v>37</v>
      </c>
      <c r="H25" s="2" t="s">
        <v>37</v>
      </c>
      <c r="I25" s="3" t="s">
        <v>37</v>
      </c>
      <c r="J25" s="4"/>
      <c r="K25" s="4"/>
      <c r="L25" s="4"/>
      <c r="N25" s="21" t="str">
        <f t="shared" si="1"/>
        <v/>
      </c>
      <c r="O25" s="21" t="str">
        <f t="shared" si="1"/>
        <v/>
      </c>
    </row>
    <row r="26" spans="1:15" x14ac:dyDescent="0.45">
      <c r="A26" s="4"/>
      <c r="B26" s="1">
        <v>9</v>
      </c>
      <c r="C26" s="1" t="s">
        <v>37</v>
      </c>
      <c r="D26" s="2" t="s">
        <v>37</v>
      </c>
      <c r="E26" s="3" t="s">
        <v>37</v>
      </c>
      <c r="F26" s="1">
        <v>9</v>
      </c>
      <c r="G26" s="1" t="s">
        <v>37</v>
      </c>
      <c r="H26" s="2" t="s">
        <v>37</v>
      </c>
      <c r="I26" s="3" t="s">
        <v>37</v>
      </c>
      <c r="J26" s="36" t="s">
        <v>149</v>
      </c>
      <c r="K26" s="4"/>
      <c r="L26" s="4"/>
      <c r="N26" s="21" t="str">
        <f t="shared" si="1"/>
        <v/>
      </c>
      <c r="O26" s="21" t="str">
        <f t="shared" si="1"/>
        <v/>
      </c>
    </row>
    <row r="27" spans="1:15" x14ac:dyDescent="0.45">
      <c r="A27" s="4"/>
      <c r="B27" s="1">
        <v>10</v>
      </c>
      <c r="C27" s="1" t="s">
        <v>37</v>
      </c>
      <c r="D27" s="2" t="s">
        <v>37</v>
      </c>
      <c r="E27" s="3" t="s">
        <v>37</v>
      </c>
      <c r="F27" s="1">
        <v>10</v>
      </c>
      <c r="G27" s="1" t="s">
        <v>37</v>
      </c>
      <c r="H27" s="2" t="s">
        <v>37</v>
      </c>
      <c r="I27" s="3" t="s">
        <v>37</v>
      </c>
      <c r="J27" s="11">
        <f>AVERAGE(E18:E27,I18:I27)</f>
        <v>10.4</v>
      </c>
      <c r="K27" s="4"/>
      <c r="L27" s="4"/>
      <c r="N27" s="21" t="str">
        <f t="shared" si="1"/>
        <v/>
      </c>
      <c r="O27" s="21" t="str">
        <f t="shared" si="1"/>
        <v/>
      </c>
    </row>
    <row r="28" spans="1:15" ht="21" x14ac:dyDescent="0.65">
      <c r="A28" s="4"/>
      <c r="B28" s="42" t="s">
        <v>348</v>
      </c>
      <c r="C28" s="43"/>
      <c r="D28" s="43"/>
      <c r="E28" s="43"/>
      <c r="F28" s="43"/>
      <c r="G28" s="43"/>
      <c r="H28" s="43"/>
      <c r="I28" s="43"/>
      <c r="J28" s="43"/>
      <c r="K28" s="44"/>
      <c r="L28" s="4"/>
    </row>
    <row r="29" spans="1:15" x14ac:dyDescent="0.45">
      <c r="A29" s="4"/>
      <c r="B29" s="45" t="s">
        <v>2</v>
      </c>
      <c r="C29" s="46"/>
      <c r="D29" s="46"/>
      <c r="E29" s="46"/>
      <c r="F29" s="46" t="s">
        <v>3</v>
      </c>
      <c r="G29" s="46"/>
      <c r="H29" s="46"/>
      <c r="I29" s="46"/>
      <c r="J29" s="46" t="s">
        <v>43</v>
      </c>
      <c r="K29" s="47"/>
      <c r="L29" s="4"/>
    </row>
    <row r="30" spans="1:15" x14ac:dyDescent="0.45">
      <c r="A30" s="4"/>
      <c r="B30" s="18"/>
      <c r="C30" s="18" t="s">
        <v>5</v>
      </c>
      <c r="D30" s="19" t="s">
        <v>6</v>
      </c>
      <c r="E30" s="20" t="s">
        <v>7</v>
      </c>
      <c r="F30" s="18"/>
      <c r="G30" s="18" t="s">
        <v>5</v>
      </c>
      <c r="H30" s="19" t="s">
        <v>6</v>
      </c>
      <c r="I30" s="20" t="s">
        <v>7</v>
      </c>
      <c r="J30" s="57" t="s">
        <v>349</v>
      </c>
      <c r="K30" s="57"/>
      <c r="L30" s="4"/>
      <c r="N30" s="21" t="str">
        <f>MID(B28,1,1)</f>
        <v>D</v>
      </c>
      <c r="O30" s="21" t="str">
        <f>IF(ISERROR(VLOOKUP(N30,Leeftijdscatogorie,1,FALSE)=TRUE),"",N30)</f>
        <v/>
      </c>
    </row>
    <row r="31" spans="1:15" x14ac:dyDescent="0.45">
      <c r="A31" s="4"/>
      <c r="B31" s="1">
        <v>1</v>
      </c>
      <c r="C31" s="1" t="s">
        <v>350</v>
      </c>
      <c r="D31" s="2">
        <v>38900</v>
      </c>
      <c r="E31" s="3">
        <v>11</v>
      </c>
      <c r="F31" s="1">
        <v>1</v>
      </c>
      <c r="G31" s="1" t="s">
        <v>351</v>
      </c>
      <c r="H31" s="2">
        <v>39196</v>
      </c>
      <c r="I31" s="3">
        <v>10</v>
      </c>
      <c r="J31" s="39" t="s">
        <v>352</v>
      </c>
      <c r="K31" s="57"/>
      <c r="L31" s="4"/>
      <c r="M31" s="21" t="str">
        <f>IF(O30="","",VLOOKUP(O30,Leeftijdscatogorie,2,FALSE))</f>
        <v/>
      </c>
      <c r="N31" s="21" t="str">
        <f>IF(O30="","",VLOOKUP(O30,Leeftijdscatogorie,3,FALSE))</f>
        <v/>
      </c>
      <c r="O31" s="21" t="str">
        <f>IF(O30="","",VLOOKUP(O30,Leeftijdscatogorie,4,FALSE))</f>
        <v/>
      </c>
    </row>
    <row r="32" spans="1:15" x14ac:dyDescent="0.45">
      <c r="A32" s="4"/>
      <c r="B32" s="1">
        <v>2</v>
      </c>
      <c r="C32" s="1" t="s">
        <v>353</v>
      </c>
      <c r="D32" s="2">
        <v>38848</v>
      </c>
      <c r="E32" s="3">
        <v>11</v>
      </c>
      <c r="F32" s="1">
        <v>2</v>
      </c>
      <c r="G32" s="1" t="s">
        <v>354</v>
      </c>
      <c r="H32" s="2">
        <v>39335</v>
      </c>
      <c r="I32" s="3">
        <v>10</v>
      </c>
      <c r="J32" s="4"/>
      <c r="K32" s="4"/>
      <c r="L32" s="4"/>
      <c r="N32" s="21" t="str">
        <f>N31</f>
        <v/>
      </c>
      <c r="O32" s="21" t="str">
        <f>O31</f>
        <v/>
      </c>
    </row>
    <row r="33" spans="1:15" x14ac:dyDescent="0.45">
      <c r="A33" s="4"/>
      <c r="B33" s="1">
        <v>3</v>
      </c>
      <c r="C33" s="1" t="s">
        <v>355</v>
      </c>
      <c r="D33" s="2">
        <v>38847</v>
      </c>
      <c r="E33" s="3">
        <v>11</v>
      </c>
      <c r="F33" s="1">
        <v>3</v>
      </c>
      <c r="G33" s="1" t="s">
        <v>356</v>
      </c>
      <c r="H33" s="2">
        <v>39346</v>
      </c>
      <c r="I33" s="3">
        <v>10</v>
      </c>
      <c r="J33" s="4"/>
      <c r="K33" s="4"/>
      <c r="L33" s="4"/>
      <c r="N33" s="21" t="str">
        <f t="shared" ref="N33:O40" si="2">N32</f>
        <v/>
      </c>
      <c r="O33" s="21" t="str">
        <f t="shared" si="2"/>
        <v/>
      </c>
    </row>
    <row r="34" spans="1:15" x14ac:dyDescent="0.45">
      <c r="A34" s="4"/>
      <c r="B34" s="1">
        <v>4</v>
      </c>
      <c r="C34" s="1" t="s">
        <v>357</v>
      </c>
      <c r="D34" s="2">
        <v>38811</v>
      </c>
      <c r="E34" s="3">
        <v>11</v>
      </c>
      <c r="F34" s="1">
        <v>4</v>
      </c>
      <c r="G34" s="1" t="s">
        <v>37</v>
      </c>
      <c r="H34" s="2" t="s">
        <v>37</v>
      </c>
      <c r="I34" s="3" t="s">
        <v>37</v>
      </c>
      <c r="J34" s="4"/>
      <c r="K34" s="4"/>
      <c r="L34" s="4"/>
      <c r="N34" s="21" t="str">
        <f t="shared" si="2"/>
        <v/>
      </c>
      <c r="O34" s="21" t="str">
        <f t="shared" si="2"/>
        <v/>
      </c>
    </row>
    <row r="35" spans="1:15" x14ac:dyDescent="0.45">
      <c r="A35" s="4"/>
      <c r="B35" s="1">
        <v>5</v>
      </c>
      <c r="C35" s="1" t="s">
        <v>358</v>
      </c>
      <c r="D35" s="2">
        <v>39289</v>
      </c>
      <c r="E35" s="3">
        <v>10</v>
      </c>
      <c r="F35" s="1">
        <v>5</v>
      </c>
      <c r="G35" s="1" t="s">
        <v>37</v>
      </c>
      <c r="H35" s="2" t="s">
        <v>37</v>
      </c>
      <c r="I35" s="3" t="s">
        <v>37</v>
      </c>
      <c r="J35" s="4"/>
      <c r="K35" s="4"/>
      <c r="L35" s="4"/>
      <c r="N35" s="21" t="str">
        <f t="shared" si="2"/>
        <v/>
      </c>
      <c r="O35" s="21" t="str">
        <f t="shared" si="2"/>
        <v/>
      </c>
    </row>
    <row r="36" spans="1:15" x14ac:dyDescent="0.45">
      <c r="A36" s="4"/>
      <c r="B36" s="1">
        <v>6</v>
      </c>
      <c r="C36" s="1" t="s">
        <v>37</v>
      </c>
      <c r="D36" s="2" t="s">
        <v>37</v>
      </c>
      <c r="E36" s="3" t="s">
        <v>37</v>
      </c>
      <c r="F36" s="1">
        <v>6</v>
      </c>
      <c r="G36" s="1" t="s">
        <v>37</v>
      </c>
      <c r="H36" s="2" t="s">
        <v>37</v>
      </c>
      <c r="I36" s="3" t="s">
        <v>37</v>
      </c>
      <c r="J36" s="4"/>
      <c r="K36" s="4"/>
      <c r="L36" s="4"/>
      <c r="N36" s="21" t="str">
        <f t="shared" si="2"/>
        <v/>
      </c>
      <c r="O36" s="21" t="str">
        <f t="shared" si="2"/>
        <v/>
      </c>
    </row>
    <row r="37" spans="1:15" x14ac:dyDescent="0.45">
      <c r="A37" s="4"/>
      <c r="B37" s="1">
        <v>7</v>
      </c>
      <c r="C37" s="1" t="s">
        <v>37</v>
      </c>
      <c r="D37" s="2" t="s">
        <v>37</v>
      </c>
      <c r="E37" s="3" t="s">
        <v>37</v>
      </c>
      <c r="F37" s="1">
        <v>7</v>
      </c>
      <c r="G37" s="1" t="s">
        <v>37</v>
      </c>
      <c r="H37" s="2" t="s">
        <v>37</v>
      </c>
      <c r="I37" s="3" t="s">
        <v>37</v>
      </c>
      <c r="J37" s="4"/>
      <c r="K37" s="4"/>
      <c r="L37" s="4"/>
      <c r="N37" s="21" t="str">
        <f t="shared" si="2"/>
        <v/>
      </c>
      <c r="O37" s="21" t="str">
        <f t="shared" si="2"/>
        <v/>
      </c>
    </row>
    <row r="38" spans="1:15" x14ac:dyDescent="0.45">
      <c r="A38" s="4"/>
      <c r="B38" s="1">
        <v>8</v>
      </c>
      <c r="C38" s="1" t="s">
        <v>37</v>
      </c>
      <c r="D38" s="2" t="s">
        <v>37</v>
      </c>
      <c r="E38" s="3" t="s">
        <v>37</v>
      </c>
      <c r="F38" s="1">
        <v>8</v>
      </c>
      <c r="G38" s="1" t="s">
        <v>37</v>
      </c>
      <c r="H38" s="2" t="s">
        <v>37</v>
      </c>
      <c r="I38" s="3" t="s">
        <v>37</v>
      </c>
      <c r="J38" s="4"/>
      <c r="K38" s="4"/>
      <c r="L38" s="4"/>
      <c r="N38" s="21" t="str">
        <f t="shared" si="2"/>
        <v/>
      </c>
      <c r="O38" s="21" t="str">
        <f t="shared" si="2"/>
        <v/>
      </c>
    </row>
    <row r="39" spans="1:15" x14ac:dyDescent="0.45">
      <c r="A39" s="4"/>
      <c r="B39" s="1">
        <v>9</v>
      </c>
      <c r="C39" s="1" t="s">
        <v>37</v>
      </c>
      <c r="D39" s="2" t="s">
        <v>37</v>
      </c>
      <c r="E39" s="3" t="s">
        <v>37</v>
      </c>
      <c r="F39" s="1">
        <v>9</v>
      </c>
      <c r="G39" s="1" t="s">
        <v>37</v>
      </c>
      <c r="H39" s="2" t="s">
        <v>37</v>
      </c>
      <c r="I39" s="3" t="s">
        <v>37</v>
      </c>
      <c r="J39" s="36" t="s">
        <v>149</v>
      </c>
      <c r="K39" s="4"/>
      <c r="L39" s="4"/>
      <c r="N39" s="21" t="str">
        <f t="shared" si="2"/>
        <v/>
      </c>
      <c r="O39" s="21" t="str">
        <f t="shared" si="2"/>
        <v/>
      </c>
    </row>
    <row r="40" spans="1:15" x14ac:dyDescent="0.45">
      <c r="A40" s="4"/>
      <c r="B40" s="1">
        <v>10</v>
      </c>
      <c r="C40" s="1" t="s">
        <v>37</v>
      </c>
      <c r="D40" s="2" t="s">
        <v>37</v>
      </c>
      <c r="E40" s="3" t="s">
        <v>37</v>
      </c>
      <c r="F40" s="1">
        <v>10</v>
      </c>
      <c r="G40" s="1" t="s">
        <v>37</v>
      </c>
      <c r="H40" s="2" t="s">
        <v>37</v>
      </c>
      <c r="I40" s="3" t="s">
        <v>37</v>
      </c>
      <c r="J40" s="11">
        <f>AVERAGE(E31:E40,I31:I40)</f>
        <v>10.5</v>
      </c>
      <c r="K40" s="4"/>
      <c r="L40" s="4"/>
      <c r="N40" s="21" t="str">
        <f t="shared" si="2"/>
        <v/>
      </c>
      <c r="O40" s="21" t="str">
        <f t="shared" si="2"/>
        <v/>
      </c>
    </row>
    <row r="41" spans="1:15" ht="21" x14ac:dyDescent="0.65">
      <c r="A41" s="4"/>
      <c r="B41" s="42" t="s">
        <v>359</v>
      </c>
      <c r="C41" s="43"/>
      <c r="D41" s="43"/>
      <c r="E41" s="43"/>
      <c r="F41" s="43"/>
      <c r="G41" s="43"/>
      <c r="H41" s="43"/>
      <c r="I41" s="43"/>
      <c r="J41" s="43"/>
      <c r="K41" s="44"/>
      <c r="L41" s="4"/>
    </row>
    <row r="42" spans="1:15" x14ac:dyDescent="0.45">
      <c r="A42" s="4"/>
      <c r="B42" s="45" t="s">
        <v>2</v>
      </c>
      <c r="C42" s="46"/>
      <c r="D42" s="46"/>
      <c r="E42" s="46"/>
      <c r="F42" s="46" t="s">
        <v>3</v>
      </c>
      <c r="G42" s="46"/>
      <c r="H42" s="46"/>
      <c r="I42" s="46"/>
      <c r="J42" s="46" t="s">
        <v>43</v>
      </c>
      <c r="K42" s="47"/>
      <c r="L42" s="4"/>
    </row>
    <row r="43" spans="1:15" x14ac:dyDescent="0.45">
      <c r="A43" s="4"/>
      <c r="B43" s="18"/>
      <c r="C43" s="18" t="s">
        <v>5</v>
      </c>
      <c r="D43" s="19" t="s">
        <v>6</v>
      </c>
      <c r="E43" s="20" t="s">
        <v>7</v>
      </c>
      <c r="F43" s="18"/>
      <c r="G43" s="18" t="s">
        <v>5</v>
      </c>
      <c r="H43" s="19" t="s">
        <v>6</v>
      </c>
      <c r="I43" s="20" t="s">
        <v>7</v>
      </c>
      <c r="J43" s="57" t="s">
        <v>360</v>
      </c>
      <c r="K43" s="57"/>
      <c r="L43" s="4"/>
      <c r="N43" s="21" t="str">
        <f>MID(B41,1,1)</f>
        <v>D</v>
      </c>
      <c r="O43" s="21" t="str">
        <f>IF(ISERROR(VLOOKUP(N43,Leeftijdscatogorie,1,FALSE)=TRUE),"",N43)</f>
        <v/>
      </c>
    </row>
    <row r="44" spans="1:15" x14ac:dyDescent="0.45">
      <c r="A44" s="4"/>
      <c r="B44" s="1">
        <v>1</v>
      </c>
      <c r="C44" s="1" t="s">
        <v>361</v>
      </c>
      <c r="D44" s="2">
        <v>38778</v>
      </c>
      <c r="E44" s="3">
        <v>11</v>
      </c>
      <c r="F44" s="1">
        <v>1</v>
      </c>
      <c r="G44" s="1" t="s">
        <v>362</v>
      </c>
      <c r="H44" s="2">
        <v>39100</v>
      </c>
      <c r="I44" s="3">
        <v>10</v>
      </c>
      <c r="J44" s="67" t="s">
        <v>363</v>
      </c>
      <c r="K44" s="68"/>
      <c r="L44" s="4"/>
      <c r="M44" s="21" t="str">
        <f>IF(O43="","",VLOOKUP(O43,Leeftijdscatogorie,2,FALSE))</f>
        <v/>
      </c>
      <c r="N44" s="21" t="str">
        <f>IF(O43="","",VLOOKUP(O43,Leeftijdscatogorie,3,FALSE))</f>
        <v/>
      </c>
      <c r="O44" s="21" t="str">
        <f>IF(O43="","",VLOOKUP(O43,Leeftijdscatogorie,4,FALSE))</f>
        <v/>
      </c>
    </row>
    <row r="45" spans="1:15" x14ac:dyDescent="0.45">
      <c r="A45" s="4"/>
      <c r="B45" s="1">
        <v>2</v>
      </c>
      <c r="C45" s="1" t="s">
        <v>364</v>
      </c>
      <c r="D45" s="2">
        <v>39199</v>
      </c>
      <c r="E45" s="3">
        <v>10</v>
      </c>
      <c r="F45" s="1">
        <v>2</v>
      </c>
      <c r="G45" s="1" t="s">
        <v>365</v>
      </c>
      <c r="H45" s="2">
        <v>38667</v>
      </c>
      <c r="I45" s="3">
        <v>12</v>
      </c>
      <c r="J45" s="67" t="s">
        <v>366</v>
      </c>
      <c r="K45" s="68"/>
      <c r="L45" s="4"/>
      <c r="N45" s="21" t="str">
        <f>N44</f>
        <v/>
      </c>
      <c r="O45" s="21" t="str">
        <f>O44</f>
        <v/>
      </c>
    </row>
    <row r="46" spans="1:15" x14ac:dyDescent="0.45">
      <c r="A46" s="4"/>
      <c r="B46" s="1">
        <v>3</v>
      </c>
      <c r="C46" s="1" t="s">
        <v>367</v>
      </c>
      <c r="D46" s="2">
        <v>38733</v>
      </c>
      <c r="E46" s="3">
        <v>11</v>
      </c>
      <c r="F46" s="1">
        <v>3</v>
      </c>
      <c r="G46" s="1" t="s">
        <v>368</v>
      </c>
      <c r="H46" s="2">
        <v>39087</v>
      </c>
      <c r="I46" s="3">
        <v>10</v>
      </c>
      <c r="J46" s="4"/>
      <c r="K46" s="4"/>
      <c r="L46" s="4"/>
      <c r="N46" s="21" t="str">
        <f t="shared" ref="N46:O53" si="3">N45</f>
        <v/>
      </c>
      <c r="O46" s="21" t="str">
        <f t="shared" si="3"/>
        <v/>
      </c>
    </row>
    <row r="47" spans="1:15" x14ac:dyDescent="0.45">
      <c r="A47" s="4"/>
      <c r="B47" s="1">
        <v>4</v>
      </c>
      <c r="C47" s="1" t="s">
        <v>369</v>
      </c>
      <c r="D47" s="2">
        <v>38820</v>
      </c>
      <c r="E47" s="3">
        <v>11</v>
      </c>
      <c r="F47" s="1">
        <v>4</v>
      </c>
      <c r="G47" s="1" t="s">
        <v>37</v>
      </c>
      <c r="H47" s="2" t="s">
        <v>37</v>
      </c>
      <c r="I47" s="3" t="s">
        <v>37</v>
      </c>
      <c r="J47" s="4"/>
      <c r="K47" s="4"/>
      <c r="L47" s="4"/>
      <c r="N47" s="21" t="str">
        <f t="shared" si="3"/>
        <v/>
      </c>
      <c r="O47" s="21" t="str">
        <f t="shared" si="3"/>
        <v/>
      </c>
    </row>
    <row r="48" spans="1:15" x14ac:dyDescent="0.45">
      <c r="A48" s="4"/>
      <c r="B48" s="1">
        <v>5</v>
      </c>
      <c r="C48" s="1" t="s">
        <v>370</v>
      </c>
      <c r="D48" s="2">
        <v>38929</v>
      </c>
      <c r="E48" s="3">
        <v>11</v>
      </c>
      <c r="F48" s="1">
        <v>5</v>
      </c>
      <c r="G48" s="1" t="s">
        <v>37</v>
      </c>
      <c r="H48" s="2" t="s">
        <v>37</v>
      </c>
      <c r="I48" s="3" t="s">
        <v>37</v>
      </c>
      <c r="J48" s="4"/>
      <c r="K48" s="4"/>
      <c r="L48" s="4"/>
      <c r="N48" s="21" t="str">
        <f t="shared" si="3"/>
        <v/>
      </c>
      <c r="O48" s="21" t="str">
        <f t="shared" si="3"/>
        <v/>
      </c>
    </row>
    <row r="49" spans="1:15" x14ac:dyDescent="0.45">
      <c r="A49" s="4"/>
      <c r="B49" s="1">
        <v>6</v>
      </c>
      <c r="C49" s="1" t="s">
        <v>371</v>
      </c>
      <c r="D49" s="2">
        <v>39044</v>
      </c>
      <c r="E49" s="3">
        <v>11</v>
      </c>
      <c r="F49" s="1">
        <v>6</v>
      </c>
      <c r="G49" s="1" t="s">
        <v>37</v>
      </c>
      <c r="H49" s="2" t="s">
        <v>37</v>
      </c>
      <c r="I49" s="3" t="s">
        <v>37</v>
      </c>
      <c r="J49" s="4"/>
      <c r="K49" s="4"/>
      <c r="L49" s="4"/>
      <c r="N49" s="21" t="str">
        <f t="shared" si="3"/>
        <v/>
      </c>
      <c r="O49" s="21" t="str">
        <f t="shared" si="3"/>
        <v/>
      </c>
    </row>
    <row r="50" spans="1:15" x14ac:dyDescent="0.45">
      <c r="A50" s="4"/>
      <c r="B50" s="1">
        <v>7</v>
      </c>
      <c r="C50" s="1" t="s">
        <v>37</v>
      </c>
      <c r="D50" s="2" t="s">
        <v>37</v>
      </c>
      <c r="E50" s="3" t="s">
        <v>37</v>
      </c>
      <c r="F50" s="1">
        <v>7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s="21" t="str">
        <f t="shared" si="3"/>
        <v/>
      </c>
      <c r="O50" s="21" t="str">
        <f t="shared" si="3"/>
        <v/>
      </c>
    </row>
    <row r="51" spans="1:15" x14ac:dyDescent="0.45">
      <c r="A51" s="4"/>
      <c r="B51" s="1">
        <v>8</v>
      </c>
      <c r="C51" s="1" t="s">
        <v>37</v>
      </c>
      <c r="D51" s="2" t="s">
        <v>37</v>
      </c>
      <c r="E51" s="3" t="s">
        <v>37</v>
      </c>
      <c r="F51" s="1">
        <v>8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s="21" t="str">
        <f t="shared" si="3"/>
        <v/>
      </c>
      <c r="O51" s="21" t="str">
        <f t="shared" si="3"/>
        <v/>
      </c>
    </row>
    <row r="52" spans="1:15" x14ac:dyDescent="0.45">
      <c r="A52" s="4"/>
      <c r="B52" s="1">
        <v>9</v>
      </c>
      <c r="C52" s="1" t="s">
        <v>37</v>
      </c>
      <c r="D52" s="2" t="s">
        <v>37</v>
      </c>
      <c r="E52" s="3" t="s">
        <v>37</v>
      </c>
      <c r="F52" s="1">
        <v>9</v>
      </c>
      <c r="G52" s="1" t="s">
        <v>37</v>
      </c>
      <c r="H52" s="2" t="s">
        <v>37</v>
      </c>
      <c r="I52" s="3" t="s">
        <v>37</v>
      </c>
      <c r="J52" s="36" t="s">
        <v>149</v>
      </c>
      <c r="K52" s="4"/>
      <c r="L52" s="4"/>
      <c r="N52" s="21" t="str">
        <f t="shared" si="3"/>
        <v/>
      </c>
      <c r="O52" s="21" t="str">
        <f t="shared" si="3"/>
        <v/>
      </c>
    </row>
    <row r="53" spans="1:15" x14ac:dyDescent="0.45">
      <c r="A53" s="4"/>
      <c r="B53" s="1">
        <v>10</v>
      </c>
      <c r="C53" s="1" t="s">
        <v>37</v>
      </c>
      <c r="D53" s="2" t="s">
        <v>37</v>
      </c>
      <c r="E53" s="3" t="s">
        <v>37</v>
      </c>
      <c r="F53" s="1">
        <v>10</v>
      </c>
      <c r="G53" s="1" t="s">
        <v>37</v>
      </c>
      <c r="H53" s="2" t="s">
        <v>37</v>
      </c>
      <c r="I53" s="3" t="s">
        <v>37</v>
      </c>
      <c r="J53" s="11">
        <f>AVERAGE(E44:E53,I44:I53)</f>
        <v>10.777777777777779</v>
      </c>
      <c r="K53" s="4"/>
      <c r="L53" s="4"/>
      <c r="N53" s="21" t="str">
        <f t="shared" si="3"/>
        <v/>
      </c>
      <c r="O53" s="21" t="str">
        <f t="shared" si="3"/>
        <v/>
      </c>
    </row>
    <row r="54" spans="1:15" ht="21" x14ac:dyDescent="0.65">
      <c r="A54" s="4"/>
      <c r="B54" s="42" t="s">
        <v>372</v>
      </c>
      <c r="C54" s="43"/>
      <c r="D54" s="43"/>
      <c r="E54" s="43"/>
      <c r="F54" s="43"/>
      <c r="G54" s="43"/>
      <c r="H54" s="43"/>
      <c r="I54" s="43"/>
      <c r="J54" s="43"/>
      <c r="K54" s="44"/>
      <c r="L54" s="4"/>
    </row>
    <row r="55" spans="1:15" x14ac:dyDescent="0.45">
      <c r="A55" s="4"/>
      <c r="B55" s="45" t="s">
        <v>2</v>
      </c>
      <c r="C55" s="46"/>
      <c r="D55" s="46"/>
      <c r="E55" s="46"/>
      <c r="F55" s="46" t="s">
        <v>3</v>
      </c>
      <c r="G55" s="46"/>
      <c r="H55" s="46"/>
      <c r="I55" s="46"/>
      <c r="J55" s="46" t="s">
        <v>43</v>
      </c>
      <c r="K55" s="47"/>
      <c r="L55" s="4"/>
    </row>
    <row r="56" spans="1:15" x14ac:dyDescent="0.45">
      <c r="A56" s="4"/>
      <c r="B56" s="18"/>
      <c r="C56" s="18" t="s">
        <v>5</v>
      </c>
      <c r="D56" s="19" t="s">
        <v>6</v>
      </c>
      <c r="E56" s="20" t="s">
        <v>7</v>
      </c>
      <c r="F56" s="18"/>
      <c r="G56" s="18" t="s">
        <v>5</v>
      </c>
      <c r="H56" s="19" t="s">
        <v>6</v>
      </c>
      <c r="I56" s="20" t="s">
        <v>7</v>
      </c>
      <c r="J56" s="57" t="s">
        <v>373</v>
      </c>
      <c r="K56" s="57"/>
      <c r="L56" s="4"/>
      <c r="N56" s="21" t="str">
        <f>MID(B54,1,1)</f>
        <v>D</v>
      </c>
      <c r="O56" s="21" t="str">
        <f>IF(ISERROR(VLOOKUP(N56,Leeftijdscatogorie,1,FALSE)=TRUE),"",N56)</f>
        <v/>
      </c>
    </row>
    <row r="57" spans="1:15" x14ac:dyDescent="0.45">
      <c r="A57" s="4"/>
      <c r="B57" s="1">
        <v>1</v>
      </c>
      <c r="C57" s="1" t="s">
        <v>374</v>
      </c>
      <c r="D57" s="2">
        <v>39274</v>
      </c>
      <c r="E57" s="3">
        <v>10</v>
      </c>
      <c r="F57" s="1">
        <v>1</v>
      </c>
      <c r="G57" s="1" t="s">
        <v>375</v>
      </c>
      <c r="H57" s="2">
        <v>39402</v>
      </c>
      <c r="I57" s="3">
        <v>10</v>
      </c>
      <c r="J57" s="39" t="s">
        <v>376</v>
      </c>
      <c r="K57" s="57"/>
      <c r="L57" s="4"/>
      <c r="M57" s="21" t="str">
        <f>IF(O56="","",VLOOKUP(O56,Leeftijdscatogorie,2,FALSE))</f>
        <v/>
      </c>
      <c r="N57" s="21" t="str">
        <f>IF(O56="","",VLOOKUP(O56,Leeftijdscatogorie,3,FALSE))</f>
        <v/>
      </c>
      <c r="O57" s="21" t="str">
        <f>IF(O56="","",VLOOKUP(O56,Leeftijdscatogorie,4,FALSE))</f>
        <v/>
      </c>
    </row>
    <row r="58" spans="1:15" x14ac:dyDescent="0.45">
      <c r="A58" s="4"/>
      <c r="B58" s="1">
        <v>2</v>
      </c>
      <c r="C58" s="1" t="s">
        <v>377</v>
      </c>
      <c r="D58" s="2">
        <v>39361</v>
      </c>
      <c r="E58" s="3">
        <v>10</v>
      </c>
      <c r="F58" s="1">
        <v>2</v>
      </c>
      <c r="G58" s="1" t="s">
        <v>378</v>
      </c>
      <c r="H58" s="2">
        <v>39742</v>
      </c>
      <c r="I58" s="3">
        <v>9</v>
      </c>
      <c r="J58" s="60"/>
      <c r="K58" s="60"/>
      <c r="L58" s="4"/>
      <c r="N58" s="21" t="str">
        <f>N57</f>
        <v/>
      </c>
      <c r="O58" s="21" t="str">
        <f>O57</f>
        <v/>
      </c>
    </row>
    <row r="59" spans="1:15" x14ac:dyDescent="0.45">
      <c r="A59" s="4"/>
      <c r="B59" s="1">
        <v>3</v>
      </c>
      <c r="C59" s="1" t="s">
        <v>379</v>
      </c>
      <c r="D59" s="2">
        <v>39444</v>
      </c>
      <c r="E59" s="3">
        <v>10</v>
      </c>
      <c r="F59" s="1">
        <v>3</v>
      </c>
      <c r="G59" s="1" t="s">
        <v>380</v>
      </c>
      <c r="H59" s="2">
        <v>39123</v>
      </c>
      <c r="I59" s="3">
        <v>10</v>
      </c>
      <c r="J59" s="60"/>
      <c r="K59" s="60"/>
      <c r="L59" s="4"/>
      <c r="N59" s="21" t="str">
        <f t="shared" ref="N59:O66" si="4">N58</f>
        <v/>
      </c>
      <c r="O59" s="21" t="str">
        <f t="shared" si="4"/>
        <v/>
      </c>
    </row>
    <row r="60" spans="1:15" x14ac:dyDescent="0.45">
      <c r="A60" s="4"/>
      <c r="B60" s="1">
        <v>4</v>
      </c>
      <c r="C60" s="1" t="s">
        <v>381</v>
      </c>
      <c r="D60" s="2">
        <v>39167</v>
      </c>
      <c r="E60" s="3">
        <v>10</v>
      </c>
      <c r="F60" s="1">
        <v>4</v>
      </c>
      <c r="G60" s="1" t="s">
        <v>382</v>
      </c>
      <c r="H60" s="2">
        <v>38835</v>
      </c>
      <c r="I60" s="3">
        <v>11</v>
      </c>
      <c r="J60" s="4"/>
      <c r="K60" s="4"/>
      <c r="L60" s="4"/>
      <c r="N60" s="21" t="str">
        <f t="shared" si="4"/>
        <v/>
      </c>
      <c r="O60" s="21" t="str">
        <f t="shared" si="4"/>
        <v/>
      </c>
    </row>
    <row r="61" spans="1:15" x14ac:dyDescent="0.45">
      <c r="A61" s="4"/>
      <c r="B61" s="1">
        <v>5</v>
      </c>
      <c r="C61" s="1" t="s">
        <v>383</v>
      </c>
      <c r="D61" s="2">
        <v>39236</v>
      </c>
      <c r="E61" s="3">
        <v>10</v>
      </c>
      <c r="F61" s="1">
        <v>5</v>
      </c>
      <c r="G61" s="1" t="s">
        <v>384</v>
      </c>
      <c r="H61" s="2">
        <v>39187</v>
      </c>
      <c r="I61" s="3">
        <v>10</v>
      </c>
      <c r="J61" s="4"/>
      <c r="K61" s="4"/>
      <c r="L61" s="4"/>
      <c r="N61" s="21" t="str">
        <f t="shared" si="4"/>
        <v/>
      </c>
      <c r="O61" s="21" t="str">
        <f t="shared" si="4"/>
        <v/>
      </c>
    </row>
    <row r="62" spans="1:15" x14ac:dyDescent="0.45">
      <c r="A62" s="4"/>
      <c r="B62" s="1">
        <v>6</v>
      </c>
      <c r="C62" s="1" t="s">
        <v>37</v>
      </c>
      <c r="D62" s="2" t="s">
        <v>37</v>
      </c>
      <c r="E62" s="3" t="s">
        <v>37</v>
      </c>
      <c r="F62" s="1">
        <v>6</v>
      </c>
      <c r="G62" s="1" t="s">
        <v>37</v>
      </c>
      <c r="H62" s="2" t="s">
        <v>37</v>
      </c>
      <c r="I62" s="3" t="s">
        <v>37</v>
      </c>
      <c r="J62" s="4"/>
      <c r="K62" s="4"/>
      <c r="L62" s="4"/>
      <c r="N62" s="21" t="str">
        <f t="shared" si="4"/>
        <v/>
      </c>
      <c r="O62" s="21" t="str">
        <f t="shared" si="4"/>
        <v/>
      </c>
    </row>
    <row r="63" spans="1:15" x14ac:dyDescent="0.45">
      <c r="A63" s="4"/>
      <c r="B63" s="1">
        <v>7</v>
      </c>
      <c r="C63" s="1" t="s">
        <v>37</v>
      </c>
      <c r="D63" s="2" t="s">
        <v>37</v>
      </c>
      <c r="E63" s="3" t="s">
        <v>37</v>
      </c>
      <c r="F63" s="1">
        <v>7</v>
      </c>
      <c r="G63" s="1" t="s">
        <v>37</v>
      </c>
      <c r="H63" s="2" t="s">
        <v>37</v>
      </c>
      <c r="I63" s="3" t="s">
        <v>37</v>
      </c>
      <c r="J63" s="4"/>
      <c r="K63" s="4"/>
      <c r="L63" s="4"/>
      <c r="N63" s="21" t="str">
        <f t="shared" si="4"/>
        <v/>
      </c>
      <c r="O63" s="21" t="str">
        <f t="shared" si="4"/>
        <v/>
      </c>
    </row>
    <row r="64" spans="1:15" x14ac:dyDescent="0.45">
      <c r="A64" s="4"/>
      <c r="B64" s="1">
        <v>8</v>
      </c>
      <c r="C64" s="1" t="s">
        <v>37</v>
      </c>
      <c r="D64" s="2" t="s">
        <v>37</v>
      </c>
      <c r="E64" s="3" t="s">
        <v>37</v>
      </c>
      <c r="F64" s="1">
        <v>8</v>
      </c>
      <c r="G64" s="1" t="s">
        <v>37</v>
      </c>
      <c r="H64" s="2" t="s">
        <v>37</v>
      </c>
      <c r="I64" s="3" t="s">
        <v>37</v>
      </c>
      <c r="J64" s="4"/>
      <c r="K64" s="4"/>
      <c r="L64" s="4"/>
      <c r="N64" s="21" t="str">
        <f t="shared" si="4"/>
        <v/>
      </c>
      <c r="O64" s="21" t="str">
        <f t="shared" si="4"/>
        <v/>
      </c>
    </row>
    <row r="65" spans="1:15" x14ac:dyDescent="0.45">
      <c r="A65" s="4"/>
      <c r="B65" s="1">
        <v>9</v>
      </c>
      <c r="C65" s="1" t="s">
        <v>37</v>
      </c>
      <c r="D65" s="2" t="s">
        <v>37</v>
      </c>
      <c r="E65" s="3" t="s">
        <v>37</v>
      </c>
      <c r="F65" s="1">
        <v>9</v>
      </c>
      <c r="G65" s="1" t="s">
        <v>37</v>
      </c>
      <c r="H65" s="2" t="s">
        <v>37</v>
      </c>
      <c r="I65" s="3" t="s">
        <v>37</v>
      </c>
      <c r="J65" s="36" t="s">
        <v>149</v>
      </c>
      <c r="K65" s="4"/>
      <c r="L65" s="4"/>
      <c r="N65" s="21" t="str">
        <f t="shared" si="4"/>
        <v/>
      </c>
      <c r="O65" s="21" t="str">
        <f t="shared" si="4"/>
        <v/>
      </c>
    </row>
    <row r="66" spans="1:15" x14ac:dyDescent="0.45">
      <c r="A66" s="4"/>
      <c r="B66" s="1">
        <v>10</v>
      </c>
      <c r="C66" s="1" t="s">
        <v>37</v>
      </c>
      <c r="D66" s="2" t="s">
        <v>37</v>
      </c>
      <c r="E66" s="3" t="s">
        <v>37</v>
      </c>
      <c r="F66" s="1">
        <v>10</v>
      </c>
      <c r="G66" s="1" t="s">
        <v>37</v>
      </c>
      <c r="H66" s="2" t="s">
        <v>37</v>
      </c>
      <c r="I66" s="3" t="s">
        <v>37</v>
      </c>
      <c r="J66" s="11">
        <f>AVERAGE(E57:E66,I57:I66)</f>
        <v>10</v>
      </c>
      <c r="K66" s="4"/>
      <c r="L66" s="4"/>
      <c r="N66" s="21" t="str">
        <f t="shared" si="4"/>
        <v/>
      </c>
      <c r="O66" s="21" t="str">
        <f t="shared" si="4"/>
        <v/>
      </c>
    </row>
    <row r="67" spans="1:15" x14ac:dyDescent="0.45">
      <c r="A67" s="4"/>
      <c r="B67" s="4"/>
      <c r="C67" s="4"/>
      <c r="D67" s="12"/>
      <c r="E67" s="35"/>
      <c r="F67" s="4"/>
      <c r="G67" s="4"/>
      <c r="H67" s="12"/>
      <c r="I67" s="35"/>
      <c r="J67" s="4"/>
      <c r="K67" s="4"/>
      <c r="L67" s="4"/>
    </row>
    <row r="68" spans="1:15" x14ac:dyDescent="0.45">
      <c r="A68" s="4"/>
      <c r="B68" s="4"/>
      <c r="C68" s="4"/>
      <c r="D68" s="12"/>
      <c r="E68" s="35"/>
      <c r="F68" s="4"/>
      <c r="G68" s="4"/>
      <c r="H68" s="12"/>
      <c r="I68" s="35"/>
      <c r="J68" s="4"/>
      <c r="K68" s="4"/>
      <c r="L68" s="4"/>
    </row>
    <row r="69" spans="1:15" x14ac:dyDescent="0.45">
      <c r="A69" s="4"/>
      <c r="B69" s="4"/>
      <c r="C69" s="4"/>
      <c r="D69" s="12"/>
      <c r="E69" s="35"/>
      <c r="F69" s="4"/>
      <c r="G69" s="4"/>
      <c r="H69" s="12"/>
      <c r="I69" s="35"/>
      <c r="J69" s="4"/>
      <c r="K69" s="4"/>
      <c r="L69" s="4"/>
    </row>
    <row r="70" spans="1:15" x14ac:dyDescent="0.45">
      <c r="A70" s="4"/>
      <c r="B70" s="4"/>
      <c r="C70" s="4"/>
      <c r="D70" s="12"/>
      <c r="E70" s="35"/>
      <c r="F70" s="4"/>
      <c r="G70" s="4"/>
      <c r="H70" s="12"/>
      <c r="I70" s="35"/>
      <c r="J70" s="4"/>
      <c r="K70" s="4"/>
      <c r="L70" s="4"/>
    </row>
    <row r="71" spans="1:15" x14ac:dyDescent="0.45">
      <c r="A71" s="4"/>
      <c r="B71" s="4"/>
      <c r="C71" s="4"/>
      <c r="D71" s="12"/>
      <c r="E71" s="35"/>
      <c r="F71" s="4"/>
      <c r="G71" s="4"/>
      <c r="H71" s="12"/>
      <c r="I71" s="35"/>
      <c r="J71" s="4"/>
      <c r="K71" s="4"/>
      <c r="L71" s="4"/>
    </row>
    <row r="72" spans="1:15" x14ac:dyDescent="0.45">
      <c r="A72" s="4"/>
      <c r="B72" s="4"/>
      <c r="C72" s="4"/>
      <c r="D72" s="4"/>
      <c r="E72" s="35"/>
      <c r="F72" s="4"/>
      <c r="G72" s="4"/>
      <c r="H72" s="4"/>
      <c r="I72" s="35"/>
      <c r="J72" s="4"/>
      <c r="K72" s="4"/>
      <c r="L72" s="4"/>
    </row>
    <row r="73" spans="1:15" x14ac:dyDescent="0.45">
      <c r="A73" s="4"/>
      <c r="B73" s="4"/>
      <c r="C73" s="4"/>
      <c r="D73" s="4"/>
      <c r="E73" s="35"/>
      <c r="F73" s="4"/>
      <c r="G73" s="4"/>
      <c r="H73" s="4"/>
      <c r="I73" s="35"/>
      <c r="J73" s="4"/>
      <c r="K73" s="4"/>
      <c r="L73" s="4"/>
    </row>
    <row r="74" spans="1:15" x14ac:dyDescent="0.45">
      <c r="A74" s="4"/>
      <c r="B74" s="4"/>
      <c r="C74" s="4"/>
      <c r="D74" s="4"/>
      <c r="E74" s="35"/>
      <c r="F74" s="4"/>
      <c r="G74" s="4"/>
      <c r="H74" s="4"/>
      <c r="I74" s="35"/>
      <c r="J74" s="4"/>
      <c r="K74" s="4"/>
      <c r="L74" s="4"/>
    </row>
    <row r="75" spans="1:15" x14ac:dyDescent="0.45">
      <c r="A75" s="4"/>
      <c r="B75" s="4"/>
      <c r="C75" s="4"/>
      <c r="D75" s="4"/>
      <c r="E75" s="35"/>
      <c r="F75" s="4"/>
      <c r="G75" s="4"/>
      <c r="H75" s="4"/>
      <c r="I75" s="35"/>
      <c r="J75" s="4"/>
      <c r="K75" s="4"/>
      <c r="L75" s="4"/>
    </row>
    <row r="76" spans="1:15" x14ac:dyDescent="0.45">
      <c r="A76" s="4"/>
      <c r="B76" s="4"/>
      <c r="C76" s="4"/>
      <c r="D76" s="4"/>
      <c r="E76" s="35"/>
      <c r="F76" s="4"/>
      <c r="G76" s="4"/>
      <c r="H76" s="4"/>
      <c r="I76" s="35"/>
      <c r="J76" s="4"/>
      <c r="K76" s="4"/>
      <c r="L76" s="4"/>
    </row>
    <row r="77" spans="1:15" x14ac:dyDescent="0.45">
      <c r="A77" s="4"/>
      <c r="B77" s="4"/>
      <c r="C77" s="4"/>
      <c r="D77" s="4"/>
      <c r="E77" s="35"/>
      <c r="F77" s="4"/>
      <c r="G77" s="4"/>
      <c r="H77" s="4"/>
      <c r="I77" s="35"/>
      <c r="J77" s="4"/>
      <c r="K77" s="4"/>
      <c r="L77" s="4"/>
    </row>
    <row r="78" spans="1:15" x14ac:dyDescent="0.45">
      <c r="A78" s="4"/>
      <c r="B78" s="4"/>
      <c r="C78" s="4"/>
      <c r="D78" s="4"/>
      <c r="E78" s="35"/>
      <c r="F78" s="4"/>
      <c r="G78" s="4"/>
      <c r="H78" s="4"/>
      <c r="I78" s="35"/>
      <c r="J78" s="4"/>
      <c r="K78" s="4"/>
      <c r="L78" s="4"/>
    </row>
    <row r="79" spans="1:15" x14ac:dyDescent="0.45">
      <c r="A79" s="4"/>
      <c r="B79" s="4"/>
      <c r="C79" s="4"/>
      <c r="D79" s="4"/>
      <c r="E79" s="35"/>
      <c r="F79" s="4"/>
      <c r="G79" s="4"/>
      <c r="H79" s="4"/>
      <c r="I79" s="35"/>
      <c r="J79" s="4"/>
      <c r="K79" s="4"/>
      <c r="L79" s="4"/>
    </row>
    <row r="80" spans="1:15" x14ac:dyDescent="0.45">
      <c r="A80" s="4"/>
      <c r="B80" s="4"/>
      <c r="C80" s="4"/>
      <c r="D80" s="4"/>
      <c r="E80" s="35"/>
      <c r="F80" s="4"/>
      <c r="G80" s="4"/>
      <c r="H80" s="4"/>
      <c r="I80" s="35"/>
      <c r="J80" s="4"/>
      <c r="K80" s="4"/>
      <c r="L80" s="4"/>
    </row>
    <row r="81" spans="1:12" x14ac:dyDescent="0.45">
      <c r="A81" s="4"/>
      <c r="B81" s="4"/>
      <c r="C81" s="4"/>
      <c r="D81" s="4"/>
      <c r="E81" s="35"/>
      <c r="F81" s="4"/>
      <c r="G81" s="4"/>
      <c r="H81" s="4"/>
      <c r="I81" s="35"/>
      <c r="J81" s="4"/>
      <c r="K81" s="4"/>
      <c r="L81" s="4"/>
    </row>
    <row r="82" spans="1:12" x14ac:dyDescent="0.45">
      <c r="A82" s="4"/>
      <c r="B82" s="4"/>
      <c r="C82" s="4"/>
      <c r="D82" s="4"/>
      <c r="E82" s="35"/>
      <c r="F82" s="4"/>
      <c r="G82" s="4"/>
      <c r="H82" s="4"/>
      <c r="I82" s="35"/>
      <c r="J82" s="4"/>
      <c r="K82" s="4"/>
      <c r="L82" s="4"/>
    </row>
    <row r="83" spans="1:12" x14ac:dyDescent="0.45">
      <c r="A83" s="4"/>
      <c r="B83" s="4"/>
      <c r="C83" s="4"/>
      <c r="D83" s="4"/>
      <c r="E83" s="35"/>
      <c r="F83" s="4"/>
      <c r="G83" s="4"/>
      <c r="H83" s="4"/>
      <c r="I83" s="35"/>
      <c r="J83" s="4"/>
      <c r="K83" s="4"/>
      <c r="L83" s="4"/>
    </row>
    <row r="84" spans="1:12" x14ac:dyDescent="0.45">
      <c r="A84" s="4"/>
      <c r="B84" s="4"/>
      <c r="C84" s="4"/>
      <c r="D84" s="4"/>
      <c r="E84" s="35"/>
      <c r="F84" s="4"/>
      <c r="G84" s="4"/>
      <c r="H84" s="4"/>
      <c r="I84" s="35"/>
      <c r="J84" s="4"/>
      <c r="K84" s="4"/>
      <c r="L84" s="4"/>
    </row>
    <row r="85" spans="1:12" x14ac:dyDescent="0.45">
      <c r="A85" s="4"/>
      <c r="B85" s="4"/>
      <c r="C85" s="4"/>
      <c r="D85" s="4"/>
      <c r="E85" s="35"/>
      <c r="F85" s="4"/>
      <c r="G85" s="4"/>
      <c r="H85" s="4"/>
      <c r="I85" s="35"/>
      <c r="J85" s="4"/>
      <c r="K85" s="4"/>
      <c r="L85" s="4"/>
    </row>
    <row r="86" spans="1:12" x14ac:dyDescent="0.45">
      <c r="A86" s="4"/>
      <c r="B86" s="4"/>
      <c r="C86" s="4"/>
      <c r="D86" s="4"/>
      <c r="E86" s="35"/>
      <c r="F86" s="4"/>
      <c r="G86" s="4"/>
      <c r="H86" s="4"/>
      <c r="I86" s="35"/>
      <c r="J86" s="4"/>
      <c r="K86" s="4"/>
      <c r="L86" s="4"/>
    </row>
    <row r="87" spans="1:12" x14ac:dyDescent="0.45">
      <c r="A87" s="4"/>
      <c r="B87" s="4"/>
      <c r="C87" s="4"/>
      <c r="D87" s="4"/>
      <c r="E87" s="35"/>
      <c r="F87" s="4"/>
      <c r="G87" s="4"/>
      <c r="H87" s="4"/>
      <c r="I87" s="35"/>
      <c r="J87" s="4"/>
      <c r="K87" s="4"/>
      <c r="L87" s="4"/>
    </row>
    <row r="88" spans="1:12" x14ac:dyDescent="0.45">
      <c r="A88" s="4"/>
      <c r="B88" s="4"/>
      <c r="C88" s="4"/>
      <c r="D88" s="4"/>
      <c r="E88" s="35"/>
      <c r="F88" s="4"/>
      <c r="G88" s="4"/>
      <c r="H88" s="4"/>
      <c r="I88" s="35"/>
      <c r="J88" s="4"/>
      <c r="K88" s="4"/>
      <c r="L88" s="4"/>
    </row>
    <row r="89" spans="1:12" x14ac:dyDescent="0.45">
      <c r="A89" s="4"/>
      <c r="B89" s="4"/>
      <c r="C89" s="4"/>
      <c r="D89" s="4"/>
      <c r="E89" s="35"/>
      <c r="F89" s="4"/>
      <c r="G89" s="4"/>
      <c r="H89" s="4"/>
      <c r="I89" s="35"/>
      <c r="J89" s="4"/>
      <c r="K89" s="4"/>
      <c r="L89" s="4"/>
    </row>
    <row r="90" spans="1:12" x14ac:dyDescent="0.45">
      <c r="A90" s="4"/>
      <c r="B90" s="4"/>
      <c r="C90" s="4"/>
      <c r="D90" s="4"/>
      <c r="E90" s="35"/>
      <c r="F90" s="4"/>
      <c r="G90" s="4"/>
      <c r="H90" s="4"/>
      <c r="I90" s="35"/>
      <c r="J90" s="4"/>
      <c r="K90" s="4"/>
      <c r="L90" s="4"/>
    </row>
    <row r="91" spans="1:12" x14ac:dyDescent="0.45">
      <c r="A91" s="4"/>
      <c r="B91" s="4"/>
      <c r="C91" s="4"/>
      <c r="D91" s="4"/>
      <c r="E91" s="35"/>
      <c r="F91" s="4"/>
      <c r="G91" s="4"/>
      <c r="H91" s="4"/>
      <c r="I91" s="35"/>
      <c r="J91" s="4"/>
      <c r="K91" s="4"/>
      <c r="L91" s="4"/>
    </row>
    <row r="92" spans="1:12" x14ac:dyDescent="0.45">
      <c r="J92" s="4"/>
      <c r="K92" s="4"/>
      <c r="L92" s="4"/>
    </row>
  </sheetData>
  <mergeCells count="35">
    <mergeCell ref="J56:K56"/>
    <mergeCell ref="J57:K57"/>
    <mergeCell ref="J58:K58"/>
    <mergeCell ref="J59:K59"/>
    <mergeCell ref="J43:K43"/>
    <mergeCell ref="J44:K44"/>
    <mergeCell ref="J45:K45"/>
    <mergeCell ref="B54:K54"/>
    <mergeCell ref="B55:E55"/>
    <mergeCell ref="F55:I55"/>
    <mergeCell ref="J55:K55"/>
    <mergeCell ref="J30:K30"/>
    <mergeCell ref="J31:K31"/>
    <mergeCell ref="B41:K41"/>
    <mergeCell ref="B42:E42"/>
    <mergeCell ref="F42:I42"/>
    <mergeCell ref="J42:K42"/>
    <mergeCell ref="J18:K18"/>
    <mergeCell ref="J19:K19"/>
    <mergeCell ref="B28:K28"/>
    <mergeCell ref="B29:E29"/>
    <mergeCell ref="F29:I29"/>
    <mergeCell ref="J29:K29"/>
    <mergeCell ref="J17:K17"/>
    <mergeCell ref="B1:K1"/>
    <mergeCell ref="B2:K2"/>
    <mergeCell ref="B3:E3"/>
    <mergeCell ref="F3:I3"/>
    <mergeCell ref="J3:K3"/>
    <mergeCell ref="J4:K4"/>
    <mergeCell ref="J5:K5"/>
    <mergeCell ref="B15:K15"/>
    <mergeCell ref="B16:E16"/>
    <mergeCell ref="F16:I16"/>
    <mergeCell ref="J16:K16"/>
  </mergeCells>
  <conditionalFormatting sqref="E5:E14 I5:I14 E18:E27 I18:I27 E31:E40 I31:I40 E44:E53 I44:I53 E57:E66 I57:I66">
    <cfRule type="expression" dxfId="26" priority="9">
      <formula>AND(E5&gt;$N5,E5&lt;&gt;"")</formula>
    </cfRule>
  </conditionalFormatting>
  <conditionalFormatting sqref="E31:E40 E44:E53 E57:E66 E5:E14 I5:I14 E18:E27 I18:I27 I31:I40 I44:I53 I57:I66">
    <cfRule type="expression" dxfId="25" priority="8">
      <formula>AND(E5&gt;$O5,E5&lt;&gt;"")</formula>
    </cfRule>
  </conditionalFormatting>
  <conditionalFormatting sqref="E31:E40">
    <cfRule type="expression" dxfId="24" priority="6">
      <formula>AND(E31&gt;$O31,E31&lt;&gt;"")</formula>
    </cfRule>
    <cfRule type="expression" dxfId="23" priority="7">
      <formula>AND(E31&gt;$N31,E31&lt;&gt;"")</formula>
    </cfRule>
  </conditionalFormatting>
  <conditionalFormatting sqref="E44:E53">
    <cfRule type="expression" dxfId="22" priority="4">
      <formula>AND(E44&gt;$O44,E44&lt;&gt;"")</formula>
    </cfRule>
    <cfRule type="expression" dxfId="21" priority="5">
      <formula>AND(E44&gt;$N44,E44&lt;&gt;"")</formula>
    </cfRule>
  </conditionalFormatting>
  <conditionalFormatting sqref="E57:E66">
    <cfRule type="expression" dxfId="20" priority="2">
      <formula>AND(E57&gt;$O57,E57&lt;&gt;"")</formula>
    </cfRule>
    <cfRule type="expression" dxfId="19" priority="3">
      <formula>AND(E57&gt;$N57,E57&lt;&gt;"")</formula>
    </cfRule>
  </conditionalFormatting>
  <conditionalFormatting sqref="J14 J27 J40 J53 J66">
    <cfRule type="cellIs" dxfId="18" priority="1" operator="greaterThan">
      <formula>11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/>
  <dimension ref="A1:V120"/>
  <sheetViews>
    <sheetView topLeftCell="A46" workbookViewId="0">
      <selection activeCell="G20" sqref="G20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.1328125" customWidth="1"/>
    <col min="5" max="5" width="7.86328125" style="14" customWidth="1"/>
    <col min="6" max="6" width="3" customWidth="1"/>
    <col min="7" max="7" width="26.59765625" customWidth="1"/>
    <col min="8" max="8" width="11.1328125" customWidth="1"/>
    <col min="9" max="9" width="7.86328125" style="14" customWidth="1"/>
    <col min="10" max="10" width="8.59765625" customWidth="1"/>
    <col min="11" max="11" width="12.73046875" customWidth="1"/>
    <col min="12" max="12" width="9.265625" customWidth="1"/>
    <col min="13" max="14" width="2" hidden="1" customWidth="1"/>
    <col min="15" max="15" width="3" hidden="1" customWidth="1"/>
    <col min="16" max="22" width="9.1328125" style="4"/>
  </cols>
  <sheetData>
    <row r="1" spans="1:15" ht="30.75" customHeight="1" x14ac:dyDescent="0.45">
      <c r="A1" s="4"/>
      <c r="B1" s="49" t="s">
        <v>385</v>
      </c>
      <c r="C1" s="49"/>
      <c r="D1" s="49"/>
      <c r="E1" s="49"/>
      <c r="F1" s="49"/>
      <c r="G1" s="49"/>
      <c r="H1" s="49"/>
      <c r="I1" s="49"/>
      <c r="J1" s="49"/>
      <c r="K1" s="49"/>
      <c r="L1" s="4"/>
    </row>
    <row r="2" spans="1:15" ht="21" customHeight="1" x14ac:dyDescent="0.65">
      <c r="A2" s="4"/>
      <c r="B2" s="42" t="s">
        <v>386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</row>
    <row r="4" spans="1:15" x14ac:dyDescent="0.45">
      <c r="A4" s="4"/>
      <c r="B4" s="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69" t="s">
        <v>387</v>
      </c>
      <c r="K4" s="64"/>
      <c r="L4" s="4"/>
      <c r="N4" t="str">
        <f>MID(B2,1,1)</f>
        <v>E</v>
      </c>
      <c r="O4" t="str">
        <f>IF(ISERROR(VLOOKUP(N4,Leeftijdscatogorie,1,FALSE)=TRUE),"",N4)</f>
        <v/>
      </c>
    </row>
    <row r="5" spans="1:15" x14ac:dyDescent="0.45">
      <c r="A5" s="4"/>
      <c r="B5" s="1">
        <v>1</v>
      </c>
      <c r="C5" s="1" t="s">
        <v>388</v>
      </c>
      <c r="D5" s="2">
        <v>39804</v>
      </c>
      <c r="E5" s="3">
        <v>9</v>
      </c>
      <c r="F5" s="1">
        <v>1</v>
      </c>
      <c r="G5" s="1" t="s">
        <v>389</v>
      </c>
      <c r="H5" s="2">
        <v>39744</v>
      </c>
      <c r="I5" s="3">
        <v>9</v>
      </c>
      <c r="J5" s="70" t="s">
        <v>390</v>
      </c>
      <c r="K5" s="39"/>
      <c r="L5" s="4"/>
      <c r="M5" t="str">
        <f>IF(O4="","",VLOOKUP(O4,Leeftijdscatogorie,2,FALSE))</f>
        <v/>
      </c>
      <c r="N5" t="str">
        <f>IF(O4="","",VLOOKUP(O4,Leeftijdscatogorie,3,FALSE))</f>
        <v/>
      </c>
      <c r="O5" t="str">
        <f>IF(O4="","",VLOOKUP(O4,Leeftijdscatogorie,4,FALSE))</f>
        <v/>
      </c>
    </row>
    <row r="6" spans="1:15" x14ac:dyDescent="0.45">
      <c r="A6" s="4"/>
      <c r="B6" s="1">
        <v>2</v>
      </c>
      <c r="C6" s="1" t="s">
        <v>391</v>
      </c>
      <c r="D6" s="2">
        <v>39760</v>
      </c>
      <c r="E6" s="3">
        <v>9</v>
      </c>
      <c r="F6" s="1">
        <v>2</v>
      </c>
      <c r="G6" s="1" t="s">
        <v>392</v>
      </c>
      <c r="H6" s="2">
        <v>39753</v>
      </c>
      <c r="I6" s="3">
        <v>9</v>
      </c>
      <c r="J6" s="38" t="s">
        <v>393</v>
      </c>
      <c r="K6" s="39"/>
      <c r="L6" s="4"/>
      <c r="N6" t="str">
        <f>N5</f>
        <v/>
      </c>
      <c r="O6" t="str">
        <f>O5</f>
        <v/>
      </c>
    </row>
    <row r="7" spans="1:15" x14ac:dyDescent="0.45">
      <c r="A7" s="4"/>
      <c r="B7" s="1">
        <v>3</v>
      </c>
      <c r="C7" s="1" t="s">
        <v>394</v>
      </c>
      <c r="D7" s="2">
        <v>39562</v>
      </c>
      <c r="E7" s="3">
        <v>9</v>
      </c>
      <c r="F7" s="1">
        <v>3</v>
      </c>
      <c r="G7" s="1" t="s">
        <v>395</v>
      </c>
      <c r="H7" s="2">
        <v>39686</v>
      </c>
      <c r="I7" s="3">
        <v>9</v>
      </c>
      <c r="J7" s="4"/>
      <c r="K7" s="4"/>
      <c r="L7" s="4"/>
      <c r="N7" t="str">
        <f t="shared" ref="N7:O14" si="0">N6</f>
        <v/>
      </c>
      <c r="O7" t="str">
        <f t="shared" si="0"/>
        <v/>
      </c>
    </row>
    <row r="8" spans="1:15" x14ac:dyDescent="0.45">
      <c r="A8" s="4"/>
      <c r="B8" s="1">
        <v>4</v>
      </c>
      <c r="C8" s="1" t="s">
        <v>37</v>
      </c>
      <c r="D8" s="2" t="s">
        <v>37</v>
      </c>
      <c r="E8" s="3" t="s">
        <v>37</v>
      </c>
      <c r="F8" s="1">
        <v>4</v>
      </c>
      <c r="G8" s="1" t="s">
        <v>37</v>
      </c>
      <c r="H8" s="2" t="s">
        <v>37</v>
      </c>
      <c r="I8" s="3" t="s">
        <v>37</v>
      </c>
      <c r="J8" s="4"/>
      <c r="K8" s="4"/>
      <c r="L8" s="4"/>
      <c r="N8" t="str">
        <f t="shared" si="0"/>
        <v/>
      </c>
      <c r="O8" t="str">
        <f t="shared" si="0"/>
        <v/>
      </c>
    </row>
    <row r="9" spans="1:15" x14ac:dyDescent="0.45">
      <c r="A9" s="4"/>
      <c r="B9" s="1">
        <v>5</v>
      </c>
      <c r="C9" s="1" t="s">
        <v>37</v>
      </c>
      <c r="D9" s="2" t="s">
        <v>37</v>
      </c>
      <c r="E9" s="3" t="s">
        <v>37</v>
      </c>
      <c r="F9" s="1">
        <v>5</v>
      </c>
      <c r="G9" s="1" t="s">
        <v>37</v>
      </c>
      <c r="H9" s="2" t="s">
        <v>37</v>
      </c>
      <c r="I9" s="3" t="s">
        <v>37</v>
      </c>
      <c r="J9" s="4"/>
      <c r="K9" s="4"/>
      <c r="L9" s="4"/>
      <c r="N9" t="str">
        <f t="shared" si="0"/>
        <v/>
      </c>
      <c r="O9" t="str">
        <f t="shared" si="0"/>
        <v/>
      </c>
    </row>
    <row r="10" spans="1:15" x14ac:dyDescent="0.45">
      <c r="A10" s="4"/>
      <c r="B10" s="1">
        <v>6</v>
      </c>
      <c r="C10" s="1" t="s">
        <v>37</v>
      </c>
      <c r="D10" s="2" t="s">
        <v>37</v>
      </c>
      <c r="E10" s="3" t="s">
        <v>37</v>
      </c>
      <c r="F10" s="1">
        <v>6</v>
      </c>
      <c r="G10" s="1" t="s">
        <v>37</v>
      </c>
      <c r="H10" s="2" t="s">
        <v>37</v>
      </c>
      <c r="I10" s="3" t="s">
        <v>37</v>
      </c>
      <c r="J10" s="4"/>
      <c r="K10" s="4"/>
      <c r="L10" s="4"/>
      <c r="N10" t="str">
        <f t="shared" si="0"/>
        <v/>
      </c>
      <c r="O10" t="str">
        <f t="shared" si="0"/>
        <v/>
      </c>
    </row>
    <row r="11" spans="1:15" x14ac:dyDescent="0.45">
      <c r="A11" s="4"/>
      <c r="B11" s="1">
        <v>7</v>
      </c>
      <c r="C11" s="1" t="s">
        <v>37</v>
      </c>
      <c r="D11" s="2" t="s">
        <v>37</v>
      </c>
      <c r="E11" s="3" t="s">
        <v>37</v>
      </c>
      <c r="F11" s="1">
        <v>7</v>
      </c>
      <c r="G11" s="1" t="s">
        <v>37</v>
      </c>
      <c r="H11" s="2" t="s">
        <v>37</v>
      </c>
      <c r="I11" s="3" t="s">
        <v>37</v>
      </c>
      <c r="J11" s="4"/>
      <c r="K11" s="4"/>
      <c r="L11" s="4"/>
      <c r="N11" t="str">
        <f t="shared" si="0"/>
        <v/>
      </c>
      <c r="O11" t="str">
        <f t="shared" si="0"/>
        <v/>
      </c>
    </row>
    <row r="12" spans="1:15" x14ac:dyDescent="0.45">
      <c r="A12" s="4"/>
      <c r="B12" s="1">
        <v>8</v>
      </c>
      <c r="C12" s="1" t="s">
        <v>37</v>
      </c>
      <c r="D12" s="2" t="s">
        <v>37</v>
      </c>
      <c r="E12" s="3" t="s">
        <v>37</v>
      </c>
      <c r="F12" s="1">
        <v>8</v>
      </c>
      <c r="G12" s="1" t="s">
        <v>37</v>
      </c>
      <c r="H12" s="2" t="s">
        <v>37</v>
      </c>
      <c r="I12" s="3" t="s">
        <v>37</v>
      </c>
      <c r="J12" s="4"/>
      <c r="K12" s="4"/>
      <c r="L12" s="4"/>
      <c r="N12" t="str">
        <f t="shared" si="0"/>
        <v/>
      </c>
      <c r="O12" t="str">
        <f t="shared" si="0"/>
        <v/>
      </c>
    </row>
    <row r="13" spans="1:15" x14ac:dyDescent="0.45">
      <c r="A13" s="4"/>
      <c r="B13" s="1">
        <v>9</v>
      </c>
      <c r="C13" s="1" t="s">
        <v>37</v>
      </c>
      <c r="D13" s="2" t="s">
        <v>37</v>
      </c>
      <c r="E13" s="3" t="s">
        <v>37</v>
      </c>
      <c r="F13" s="1">
        <v>9</v>
      </c>
      <c r="G13" s="1" t="s">
        <v>37</v>
      </c>
      <c r="H13" s="2" t="s">
        <v>37</v>
      </c>
      <c r="I13" s="3" t="s">
        <v>37</v>
      </c>
      <c r="J13" s="36" t="s">
        <v>149</v>
      </c>
      <c r="K13" s="4"/>
      <c r="L13" s="4"/>
      <c r="N13" t="str">
        <f t="shared" si="0"/>
        <v/>
      </c>
      <c r="O13" t="str">
        <f t="shared" si="0"/>
        <v/>
      </c>
    </row>
    <row r="14" spans="1:15" x14ac:dyDescent="0.45">
      <c r="A14" s="4"/>
      <c r="B14" s="1">
        <v>10</v>
      </c>
      <c r="C14" s="1" t="s">
        <v>37</v>
      </c>
      <c r="D14" s="2" t="s">
        <v>37</v>
      </c>
      <c r="E14" s="3" t="s">
        <v>37</v>
      </c>
      <c r="F14" s="1">
        <v>10</v>
      </c>
      <c r="G14" s="1" t="s">
        <v>37</v>
      </c>
      <c r="H14" s="2" t="s">
        <v>37</v>
      </c>
      <c r="I14" s="3" t="s">
        <v>37</v>
      </c>
      <c r="J14" s="11">
        <f>AVERAGE(E5:E14,I5:I14)</f>
        <v>9</v>
      </c>
      <c r="K14" s="4"/>
      <c r="L14" s="4"/>
      <c r="N14" t="str">
        <f t="shared" si="0"/>
        <v/>
      </c>
      <c r="O14" t="str">
        <f t="shared" si="0"/>
        <v/>
      </c>
    </row>
    <row r="15" spans="1:15" ht="21" x14ac:dyDescent="0.65">
      <c r="A15" s="4"/>
      <c r="B15" s="42" t="s">
        <v>396</v>
      </c>
      <c r="C15" s="43"/>
      <c r="D15" s="43"/>
      <c r="E15" s="43"/>
      <c r="F15" s="43"/>
      <c r="G15" s="43"/>
      <c r="H15" s="43"/>
      <c r="I15" s="43"/>
      <c r="J15" s="43"/>
      <c r="K15" s="44"/>
      <c r="L15" s="4"/>
    </row>
    <row r="16" spans="1:15" x14ac:dyDescent="0.45">
      <c r="A16" s="4"/>
      <c r="B16" s="45" t="s">
        <v>2</v>
      </c>
      <c r="C16" s="46"/>
      <c r="D16" s="46"/>
      <c r="E16" s="46"/>
      <c r="F16" s="46" t="s">
        <v>3</v>
      </c>
      <c r="G16" s="46"/>
      <c r="H16" s="46"/>
      <c r="I16" s="46"/>
      <c r="J16" s="46" t="s">
        <v>43</v>
      </c>
      <c r="K16" s="47"/>
      <c r="L16" s="4"/>
    </row>
    <row r="17" spans="1:15" x14ac:dyDescent="0.45">
      <c r="A17" s="4"/>
      <c r="B17" s="18"/>
      <c r="C17" s="18" t="s">
        <v>5</v>
      </c>
      <c r="D17" s="19" t="s">
        <v>6</v>
      </c>
      <c r="E17" s="20" t="s">
        <v>7</v>
      </c>
      <c r="F17" s="18"/>
      <c r="G17" s="18" t="s">
        <v>5</v>
      </c>
      <c r="H17" s="19" t="s">
        <v>6</v>
      </c>
      <c r="I17" s="20" t="s">
        <v>7</v>
      </c>
      <c r="J17" s="57" t="s">
        <v>397</v>
      </c>
      <c r="K17" s="57"/>
      <c r="L17" s="4"/>
      <c r="N17" t="str">
        <f>MID(B15,1,1)</f>
        <v>E</v>
      </c>
      <c r="O17" t="str">
        <f>IF(ISERROR(VLOOKUP(N17,Leeftijdscatogorie,1,FALSE)=TRUE),"",N17)</f>
        <v/>
      </c>
    </row>
    <row r="18" spans="1:15" x14ac:dyDescent="0.45">
      <c r="A18" s="4"/>
      <c r="B18" s="1">
        <v>1</v>
      </c>
      <c r="C18" s="1" t="s">
        <v>398</v>
      </c>
      <c r="D18" s="2">
        <v>39589</v>
      </c>
      <c r="E18" s="3">
        <v>9</v>
      </c>
      <c r="F18" s="1">
        <v>1</v>
      </c>
      <c r="G18" s="1" t="s">
        <v>399</v>
      </c>
      <c r="H18" s="2">
        <v>39623</v>
      </c>
      <c r="I18" s="3">
        <v>9</v>
      </c>
      <c r="J18" s="57" t="s">
        <v>400</v>
      </c>
      <c r="K18" s="57"/>
      <c r="L18" s="4"/>
      <c r="M18" t="str">
        <f>IF(O17="","",VLOOKUP(O17,Leeftijdscatogorie,2,FALSE))</f>
        <v/>
      </c>
      <c r="N18" t="str">
        <f>IF(O17="","",VLOOKUP(O17,Leeftijdscatogorie,3,FALSE))</f>
        <v/>
      </c>
      <c r="O18" t="str">
        <f>IF(O17="","",VLOOKUP(O17,Leeftijdscatogorie,4,FALSE))</f>
        <v/>
      </c>
    </row>
    <row r="19" spans="1:15" x14ac:dyDescent="0.45">
      <c r="A19" s="4"/>
      <c r="B19" s="1">
        <v>2</v>
      </c>
      <c r="C19" s="1" t="s">
        <v>401</v>
      </c>
      <c r="D19" s="2">
        <v>39538</v>
      </c>
      <c r="E19" s="3">
        <v>9</v>
      </c>
      <c r="F19" s="1">
        <v>2</v>
      </c>
      <c r="G19" s="1" t="s">
        <v>402</v>
      </c>
      <c r="H19" s="2">
        <v>39655</v>
      </c>
      <c r="I19" s="3">
        <v>9</v>
      </c>
      <c r="J19" s="51"/>
      <c r="K19" s="51"/>
      <c r="L19" s="4"/>
      <c r="N19" t="str">
        <f>N18</f>
        <v/>
      </c>
      <c r="O19" t="str">
        <f>O18</f>
        <v/>
      </c>
    </row>
    <row r="20" spans="1:15" x14ac:dyDescent="0.45">
      <c r="A20" s="4"/>
      <c r="B20" s="1">
        <v>3</v>
      </c>
      <c r="C20" s="1" t="s">
        <v>403</v>
      </c>
      <c r="D20" s="2">
        <v>39629</v>
      </c>
      <c r="E20" s="3">
        <v>9</v>
      </c>
      <c r="F20" s="1">
        <v>3</v>
      </c>
      <c r="G20" s="1" t="s">
        <v>404</v>
      </c>
      <c r="H20" s="2">
        <v>39646</v>
      </c>
      <c r="I20" s="3">
        <v>9</v>
      </c>
      <c r="J20" s="51"/>
      <c r="K20" s="51"/>
      <c r="L20" s="4"/>
      <c r="N20" t="str">
        <f t="shared" ref="N20:O27" si="1">N19</f>
        <v/>
      </c>
      <c r="O20" t="str">
        <f t="shared" si="1"/>
        <v/>
      </c>
    </row>
    <row r="21" spans="1:15" x14ac:dyDescent="0.45">
      <c r="A21" s="4"/>
      <c r="B21" s="1">
        <v>4</v>
      </c>
      <c r="C21" s="1" t="s">
        <v>37</v>
      </c>
      <c r="D21" s="2" t="s">
        <v>37</v>
      </c>
      <c r="E21" s="3" t="s">
        <v>37</v>
      </c>
      <c r="F21" s="1">
        <v>4</v>
      </c>
      <c r="G21" s="1" t="s">
        <v>37</v>
      </c>
      <c r="H21" s="2" t="s">
        <v>37</v>
      </c>
      <c r="I21" s="3" t="s">
        <v>37</v>
      </c>
      <c r="J21" s="51"/>
      <c r="K21" s="51"/>
      <c r="L21" s="4"/>
      <c r="N21" t="str">
        <f t="shared" si="1"/>
        <v/>
      </c>
      <c r="O21" t="str">
        <f t="shared" si="1"/>
        <v/>
      </c>
    </row>
    <row r="22" spans="1:15" x14ac:dyDescent="0.45">
      <c r="A22" s="4"/>
      <c r="B22" s="1">
        <v>5</v>
      </c>
      <c r="C22" s="1" t="s">
        <v>37</v>
      </c>
      <c r="D22" s="2" t="s">
        <v>37</v>
      </c>
      <c r="E22" s="3" t="s">
        <v>37</v>
      </c>
      <c r="F22" s="1">
        <v>5</v>
      </c>
      <c r="G22" s="1" t="s">
        <v>37</v>
      </c>
      <c r="H22" s="2" t="s">
        <v>37</v>
      </c>
      <c r="I22" s="3" t="s">
        <v>37</v>
      </c>
      <c r="J22" s="4"/>
      <c r="K22" s="4"/>
      <c r="L22" s="4"/>
      <c r="N22" t="str">
        <f t="shared" si="1"/>
        <v/>
      </c>
      <c r="O22" t="str">
        <f t="shared" si="1"/>
        <v/>
      </c>
    </row>
    <row r="23" spans="1:15" x14ac:dyDescent="0.45">
      <c r="A23" s="4"/>
      <c r="B23" s="1">
        <v>6</v>
      </c>
      <c r="C23" s="1" t="s">
        <v>37</v>
      </c>
      <c r="D23" s="2" t="s">
        <v>37</v>
      </c>
      <c r="E23" s="3" t="s">
        <v>37</v>
      </c>
      <c r="F23" s="1">
        <v>6</v>
      </c>
      <c r="G23" s="1" t="s">
        <v>37</v>
      </c>
      <c r="H23" s="2" t="s">
        <v>37</v>
      </c>
      <c r="I23" s="3" t="s">
        <v>37</v>
      </c>
      <c r="J23" s="4"/>
      <c r="K23" s="4"/>
      <c r="L23" s="4"/>
      <c r="N23" t="str">
        <f t="shared" si="1"/>
        <v/>
      </c>
      <c r="O23" t="str">
        <f t="shared" si="1"/>
        <v/>
      </c>
    </row>
    <row r="24" spans="1:15" x14ac:dyDescent="0.45">
      <c r="A24" s="4"/>
      <c r="B24" s="1">
        <v>7</v>
      </c>
      <c r="C24" s="1" t="s">
        <v>37</v>
      </c>
      <c r="D24" s="2" t="s">
        <v>37</v>
      </c>
      <c r="E24" s="3" t="s">
        <v>37</v>
      </c>
      <c r="F24" s="1">
        <v>7</v>
      </c>
      <c r="G24" s="1" t="s">
        <v>37</v>
      </c>
      <c r="H24" s="2" t="s">
        <v>37</v>
      </c>
      <c r="I24" s="3" t="s">
        <v>37</v>
      </c>
      <c r="J24" s="4"/>
      <c r="K24" s="4"/>
      <c r="L24" s="4"/>
      <c r="N24" t="str">
        <f t="shared" si="1"/>
        <v/>
      </c>
      <c r="O24" t="str">
        <f t="shared" si="1"/>
        <v/>
      </c>
    </row>
    <row r="25" spans="1:15" x14ac:dyDescent="0.45">
      <c r="A25" s="4"/>
      <c r="B25" s="1">
        <v>8</v>
      </c>
      <c r="C25" s="1" t="s">
        <v>37</v>
      </c>
      <c r="D25" s="2" t="s">
        <v>37</v>
      </c>
      <c r="E25" s="3" t="s">
        <v>37</v>
      </c>
      <c r="F25" s="1">
        <v>8</v>
      </c>
      <c r="G25" s="1" t="s">
        <v>37</v>
      </c>
      <c r="H25" s="2" t="s">
        <v>37</v>
      </c>
      <c r="I25" s="3" t="s">
        <v>37</v>
      </c>
      <c r="J25" s="4"/>
      <c r="K25" s="4"/>
      <c r="L25" s="4"/>
      <c r="N25" t="str">
        <f t="shared" si="1"/>
        <v/>
      </c>
      <c r="O25" t="str">
        <f t="shared" si="1"/>
        <v/>
      </c>
    </row>
    <row r="26" spans="1:15" x14ac:dyDescent="0.45">
      <c r="A26" s="4"/>
      <c r="B26" s="1">
        <v>9</v>
      </c>
      <c r="C26" s="1" t="s">
        <v>37</v>
      </c>
      <c r="D26" s="2" t="s">
        <v>37</v>
      </c>
      <c r="E26" s="3" t="s">
        <v>37</v>
      </c>
      <c r="F26" s="1">
        <v>9</v>
      </c>
      <c r="G26" s="1" t="s">
        <v>37</v>
      </c>
      <c r="H26" s="2" t="s">
        <v>37</v>
      </c>
      <c r="I26" s="3" t="s">
        <v>37</v>
      </c>
      <c r="J26" s="36" t="s">
        <v>149</v>
      </c>
      <c r="K26" s="4"/>
      <c r="L26" s="4"/>
      <c r="N26" t="str">
        <f t="shared" si="1"/>
        <v/>
      </c>
      <c r="O26" t="str">
        <f t="shared" si="1"/>
        <v/>
      </c>
    </row>
    <row r="27" spans="1:15" x14ac:dyDescent="0.45">
      <c r="A27" s="4"/>
      <c r="B27" s="1">
        <v>10</v>
      </c>
      <c r="C27" s="1" t="s">
        <v>37</v>
      </c>
      <c r="D27" s="2" t="s">
        <v>37</v>
      </c>
      <c r="E27" s="3" t="s">
        <v>37</v>
      </c>
      <c r="F27" s="1">
        <v>10</v>
      </c>
      <c r="G27" s="1" t="s">
        <v>37</v>
      </c>
      <c r="H27" s="2" t="s">
        <v>37</v>
      </c>
      <c r="I27" s="3" t="s">
        <v>37</v>
      </c>
      <c r="J27" s="11">
        <f>AVERAGE(E18:E27,I18:I27)</f>
        <v>9</v>
      </c>
      <c r="K27" s="4"/>
      <c r="L27" s="4"/>
      <c r="N27" t="str">
        <f t="shared" si="1"/>
        <v/>
      </c>
      <c r="O27" t="str">
        <f t="shared" si="1"/>
        <v/>
      </c>
    </row>
    <row r="28" spans="1:15" ht="21" x14ac:dyDescent="0.65">
      <c r="A28" s="4"/>
      <c r="B28" s="42" t="s">
        <v>405</v>
      </c>
      <c r="C28" s="43"/>
      <c r="D28" s="43"/>
      <c r="E28" s="43"/>
      <c r="F28" s="43"/>
      <c r="G28" s="43"/>
      <c r="H28" s="43"/>
      <c r="I28" s="43"/>
      <c r="J28" s="43"/>
      <c r="K28" s="44"/>
      <c r="L28" s="4"/>
    </row>
    <row r="29" spans="1:15" x14ac:dyDescent="0.45">
      <c r="A29" s="4"/>
      <c r="B29" s="45" t="s">
        <v>2</v>
      </c>
      <c r="C29" s="46"/>
      <c r="D29" s="46"/>
      <c r="E29" s="46"/>
      <c r="F29" s="46" t="s">
        <v>3</v>
      </c>
      <c r="G29" s="46"/>
      <c r="H29" s="46"/>
      <c r="I29" s="46"/>
      <c r="J29" s="46" t="s">
        <v>43</v>
      </c>
      <c r="K29" s="47"/>
      <c r="L29" s="4"/>
    </row>
    <row r="30" spans="1:15" x14ac:dyDescent="0.45">
      <c r="A30" s="4"/>
      <c r="B30" s="18"/>
      <c r="C30" s="18" t="s">
        <v>5</v>
      </c>
      <c r="D30" s="19" t="s">
        <v>6</v>
      </c>
      <c r="E30" s="20" t="s">
        <v>7</v>
      </c>
      <c r="F30" s="18"/>
      <c r="G30" s="18" t="s">
        <v>5</v>
      </c>
      <c r="H30" s="19" t="s">
        <v>6</v>
      </c>
      <c r="I30" s="20" t="s">
        <v>7</v>
      </c>
      <c r="J30" s="57" t="s">
        <v>406</v>
      </c>
      <c r="K30" s="57"/>
      <c r="L30" s="4"/>
      <c r="N30" t="str">
        <f>MID(B28,1,1)</f>
        <v>E</v>
      </c>
      <c r="O30" t="str">
        <f>IF(ISERROR(VLOOKUP(N30,Leeftijdscatogorie,1,FALSE)=TRUE),"",N30)</f>
        <v/>
      </c>
    </row>
    <row r="31" spans="1:15" x14ac:dyDescent="0.45">
      <c r="A31" s="4"/>
      <c r="B31" s="1">
        <v>1</v>
      </c>
      <c r="C31" s="1" t="s">
        <v>407</v>
      </c>
      <c r="D31" s="2">
        <v>39878</v>
      </c>
      <c r="E31" s="3">
        <v>8</v>
      </c>
      <c r="F31" s="1">
        <v>1</v>
      </c>
      <c r="G31" s="1" t="s">
        <v>408</v>
      </c>
      <c r="H31" s="2">
        <v>39825</v>
      </c>
      <c r="I31" s="3">
        <v>8</v>
      </c>
      <c r="J31" s="39" t="s">
        <v>409</v>
      </c>
      <c r="K31" s="57"/>
      <c r="L31" s="4"/>
      <c r="M31" t="str">
        <f>IF(O30="","",VLOOKUP(O30,Leeftijdscatogorie,2,FALSE))</f>
        <v/>
      </c>
      <c r="N31" t="str">
        <f>IF(O30="","",VLOOKUP(O30,Leeftijdscatogorie,3,FALSE))</f>
        <v/>
      </c>
      <c r="O31" t="str">
        <f>IF(O30="","",VLOOKUP(O30,Leeftijdscatogorie,4,FALSE))</f>
        <v/>
      </c>
    </row>
    <row r="32" spans="1:15" x14ac:dyDescent="0.45">
      <c r="A32" s="4"/>
      <c r="B32" s="1">
        <v>2</v>
      </c>
      <c r="C32" s="1" t="s">
        <v>410</v>
      </c>
      <c r="D32" s="2">
        <v>39993</v>
      </c>
      <c r="E32" s="3">
        <v>8</v>
      </c>
      <c r="F32" s="1">
        <v>2</v>
      </c>
      <c r="G32" s="1" t="s">
        <v>411</v>
      </c>
      <c r="H32" s="2">
        <v>39878</v>
      </c>
      <c r="I32" s="3">
        <v>8</v>
      </c>
      <c r="J32" s="4"/>
      <c r="K32" s="4"/>
      <c r="L32" s="4"/>
      <c r="N32" t="str">
        <f>N31</f>
        <v/>
      </c>
      <c r="O32" t="str">
        <f>O31</f>
        <v/>
      </c>
    </row>
    <row r="33" spans="1:15" x14ac:dyDescent="0.45">
      <c r="A33" s="4"/>
      <c r="B33" s="1">
        <v>3</v>
      </c>
      <c r="C33" s="1" t="s">
        <v>412</v>
      </c>
      <c r="D33" s="2">
        <v>40097</v>
      </c>
      <c r="E33" s="3">
        <v>8</v>
      </c>
      <c r="F33" s="1">
        <v>3</v>
      </c>
      <c r="G33" s="1" t="s">
        <v>37</v>
      </c>
      <c r="H33" s="2" t="s">
        <v>37</v>
      </c>
      <c r="I33" s="3" t="s">
        <v>37</v>
      </c>
      <c r="J33" s="4"/>
      <c r="K33" s="4"/>
      <c r="L33" s="4"/>
      <c r="N33" t="str">
        <f t="shared" ref="N33:O40" si="2">N32</f>
        <v/>
      </c>
      <c r="O33" t="str">
        <f t="shared" si="2"/>
        <v/>
      </c>
    </row>
    <row r="34" spans="1:15" x14ac:dyDescent="0.45">
      <c r="A34" s="4"/>
      <c r="B34" s="1">
        <v>4</v>
      </c>
      <c r="C34" s="1" t="s">
        <v>37</v>
      </c>
      <c r="D34" s="2" t="s">
        <v>37</v>
      </c>
      <c r="E34" s="3" t="s">
        <v>37</v>
      </c>
      <c r="F34" s="1">
        <v>4</v>
      </c>
      <c r="G34" s="1" t="s">
        <v>37</v>
      </c>
      <c r="H34" s="2" t="s">
        <v>37</v>
      </c>
      <c r="I34" s="3" t="s">
        <v>37</v>
      </c>
      <c r="J34" s="4"/>
      <c r="K34" s="4"/>
      <c r="L34" s="4"/>
      <c r="N34" t="str">
        <f t="shared" si="2"/>
        <v/>
      </c>
      <c r="O34" t="str">
        <f t="shared" si="2"/>
        <v/>
      </c>
    </row>
    <row r="35" spans="1:15" x14ac:dyDescent="0.45">
      <c r="A35" s="4"/>
      <c r="B35" s="1">
        <v>5</v>
      </c>
      <c r="C35" s="1" t="s">
        <v>37</v>
      </c>
      <c r="D35" s="2" t="s">
        <v>37</v>
      </c>
      <c r="E35" s="3" t="s">
        <v>37</v>
      </c>
      <c r="F35" s="1">
        <v>5</v>
      </c>
      <c r="G35" s="1" t="s">
        <v>37</v>
      </c>
      <c r="H35" s="2" t="s">
        <v>37</v>
      </c>
      <c r="I35" s="3" t="s">
        <v>37</v>
      </c>
      <c r="J35" s="4"/>
      <c r="K35" s="4"/>
      <c r="L35" s="4"/>
      <c r="N35" t="str">
        <f t="shared" si="2"/>
        <v/>
      </c>
      <c r="O35" t="str">
        <f t="shared" si="2"/>
        <v/>
      </c>
    </row>
    <row r="36" spans="1:15" x14ac:dyDescent="0.45">
      <c r="A36" s="4"/>
      <c r="B36" s="1">
        <v>6</v>
      </c>
      <c r="C36" s="1" t="s">
        <v>37</v>
      </c>
      <c r="D36" s="2" t="s">
        <v>37</v>
      </c>
      <c r="E36" s="3" t="s">
        <v>37</v>
      </c>
      <c r="F36" s="1">
        <v>6</v>
      </c>
      <c r="G36" s="1" t="s">
        <v>37</v>
      </c>
      <c r="H36" s="2" t="s">
        <v>37</v>
      </c>
      <c r="I36" s="3" t="s">
        <v>37</v>
      </c>
      <c r="J36" s="4"/>
      <c r="K36" s="4"/>
      <c r="L36" s="4"/>
      <c r="N36" t="str">
        <f t="shared" si="2"/>
        <v/>
      </c>
      <c r="O36" t="str">
        <f t="shared" si="2"/>
        <v/>
      </c>
    </row>
    <row r="37" spans="1:15" x14ac:dyDescent="0.45">
      <c r="A37" s="4"/>
      <c r="B37" s="1">
        <v>7</v>
      </c>
      <c r="C37" s="1" t="s">
        <v>37</v>
      </c>
      <c r="D37" s="2" t="s">
        <v>37</v>
      </c>
      <c r="E37" s="3" t="s">
        <v>37</v>
      </c>
      <c r="F37" s="1">
        <v>7</v>
      </c>
      <c r="G37" s="1" t="s">
        <v>37</v>
      </c>
      <c r="H37" s="2" t="s">
        <v>37</v>
      </c>
      <c r="I37" s="3" t="s">
        <v>37</v>
      </c>
      <c r="J37" s="4"/>
      <c r="K37" s="4"/>
      <c r="L37" s="4"/>
      <c r="N37" t="str">
        <f t="shared" si="2"/>
        <v/>
      </c>
      <c r="O37" t="str">
        <f t="shared" si="2"/>
        <v/>
      </c>
    </row>
    <row r="38" spans="1:15" x14ac:dyDescent="0.45">
      <c r="A38" s="4"/>
      <c r="B38" s="1">
        <v>8</v>
      </c>
      <c r="C38" s="1" t="s">
        <v>37</v>
      </c>
      <c r="D38" s="2" t="s">
        <v>37</v>
      </c>
      <c r="E38" s="3" t="s">
        <v>37</v>
      </c>
      <c r="F38" s="1">
        <v>8</v>
      </c>
      <c r="G38" s="1" t="s">
        <v>37</v>
      </c>
      <c r="H38" s="2" t="s">
        <v>37</v>
      </c>
      <c r="I38" s="3" t="s">
        <v>37</v>
      </c>
      <c r="J38" s="4"/>
      <c r="K38" s="4"/>
      <c r="L38" s="4"/>
      <c r="N38" t="str">
        <f t="shared" si="2"/>
        <v/>
      </c>
      <c r="O38" t="str">
        <f t="shared" si="2"/>
        <v/>
      </c>
    </row>
    <row r="39" spans="1:15" x14ac:dyDescent="0.45">
      <c r="A39" s="4"/>
      <c r="B39" s="1">
        <v>9</v>
      </c>
      <c r="C39" s="1" t="s">
        <v>37</v>
      </c>
      <c r="D39" s="2" t="s">
        <v>37</v>
      </c>
      <c r="E39" s="3" t="s">
        <v>37</v>
      </c>
      <c r="F39" s="1">
        <v>9</v>
      </c>
      <c r="G39" s="1" t="s">
        <v>37</v>
      </c>
      <c r="H39" s="2" t="s">
        <v>37</v>
      </c>
      <c r="I39" s="3" t="s">
        <v>37</v>
      </c>
      <c r="J39" s="36" t="s">
        <v>149</v>
      </c>
      <c r="K39" s="4"/>
      <c r="L39" s="4"/>
      <c r="N39" t="str">
        <f t="shared" si="2"/>
        <v/>
      </c>
      <c r="O39" t="str">
        <f t="shared" si="2"/>
        <v/>
      </c>
    </row>
    <row r="40" spans="1:15" x14ac:dyDescent="0.45">
      <c r="A40" s="4"/>
      <c r="B40" s="1">
        <v>10</v>
      </c>
      <c r="C40" s="1" t="s">
        <v>37</v>
      </c>
      <c r="D40" s="2" t="s">
        <v>37</v>
      </c>
      <c r="E40" s="3" t="s">
        <v>37</v>
      </c>
      <c r="F40" s="1">
        <v>10</v>
      </c>
      <c r="G40" s="1" t="s">
        <v>37</v>
      </c>
      <c r="H40" s="2" t="s">
        <v>37</v>
      </c>
      <c r="I40" s="3" t="s">
        <v>37</v>
      </c>
      <c r="J40" s="11">
        <f>AVERAGE(E31:E40,I31:I40)</f>
        <v>8</v>
      </c>
      <c r="K40" s="4"/>
      <c r="L40" s="4"/>
      <c r="N40" t="str">
        <f t="shared" si="2"/>
        <v/>
      </c>
      <c r="O40" t="str">
        <f t="shared" si="2"/>
        <v/>
      </c>
    </row>
    <row r="41" spans="1:15" ht="21" x14ac:dyDescent="0.65">
      <c r="A41" s="4"/>
      <c r="B41" s="42" t="s">
        <v>413</v>
      </c>
      <c r="C41" s="43"/>
      <c r="D41" s="43"/>
      <c r="E41" s="43"/>
      <c r="F41" s="43"/>
      <c r="G41" s="43"/>
      <c r="H41" s="43"/>
      <c r="I41" s="43"/>
      <c r="J41" s="43"/>
      <c r="K41" s="44"/>
      <c r="L41" s="4"/>
    </row>
    <row r="42" spans="1:15" x14ac:dyDescent="0.45">
      <c r="A42" s="4"/>
      <c r="B42" s="45" t="s">
        <v>2</v>
      </c>
      <c r="C42" s="46"/>
      <c r="D42" s="46"/>
      <c r="E42" s="46"/>
      <c r="F42" s="46" t="s">
        <v>3</v>
      </c>
      <c r="G42" s="46"/>
      <c r="H42" s="46"/>
      <c r="I42" s="46"/>
      <c r="J42" s="46" t="s">
        <v>43</v>
      </c>
      <c r="K42" s="47"/>
      <c r="L42" s="4"/>
    </row>
    <row r="43" spans="1:15" x14ac:dyDescent="0.45">
      <c r="A43" s="4"/>
      <c r="B43" s="18"/>
      <c r="C43" s="18" t="s">
        <v>5</v>
      </c>
      <c r="D43" s="19" t="s">
        <v>6</v>
      </c>
      <c r="E43" s="20" t="s">
        <v>7</v>
      </c>
      <c r="F43" s="18"/>
      <c r="G43" s="18" t="s">
        <v>5</v>
      </c>
      <c r="H43" s="19" t="s">
        <v>6</v>
      </c>
      <c r="I43" s="20" t="s">
        <v>7</v>
      </c>
      <c r="J43" s="57" t="s">
        <v>414</v>
      </c>
      <c r="K43" s="57"/>
      <c r="L43" s="4"/>
      <c r="N43" t="str">
        <f>MID(B41,1,1)</f>
        <v>E</v>
      </c>
      <c r="O43" t="str">
        <f>IF(ISERROR(VLOOKUP(N43,Leeftijdscatogorie,1,FALSE)=TRUE),"",N43)</f>
        <v/>
      </c>
    </row>
    <row r="44" spans="1:15" x14ac:dyDescent="0.45">
      <c r="A44" s="4"/>
      <c r="B44" s="1">
        <v>1</v>
      </c>
      <c r="C44" s="1" t="s">
        <v>415</v>
      </c>
      <c r="D44" s="2">
        <v>39637</v>
      </c>
      <c r="E44" s="3">
        <v>9</v>
      </c>
      <c r="F44" s="1">
        <v>1</v>
      </c>
      <c r="G44" s="1" t="s">
        <v>416</v>
      </c>
      <c r="H44" s="2">
        <v>39693</v>
      </c>
      <c r="I44" s="3">
        <v>9</v>
      </c>
      <c r="J44" s="39" t="s">
        <v>417</v>
      </c>
      <c r="K44" s="57"/>
      <c r="L44" s="4"/>
      <c r="M44" t="str">
        <f>IF(O43="","",VLOOKUP(O43,Leeftijdscatogorie,2,FALSE))</f>
        <v/>
      </c>
      <c r="N44" t="str">
        <f>IF(O43="","",VLOOKUP(O43,Leeftijdscatogorie,3,FALSE))</f>
        <v/>
      </c>
      <c r="O44" t="str">
        <f>IF(O43="","",VLOOKUP(O43,Leeftijdscatogorie,4,FALSE))</f>
        <v/>
      </c>
    </row>
    <row r="45" spans="1:15" x14ac:dyDescent="0.45">
      <c r="A45" s="4"/>
      <c r="B45" s="1">
        <v>2</v>
      </c>
      <c r="C45" s="1" t="s">
        <v>418</v>
      </c>
      <c r="D45" s="2">
        <v>39635</v>
      </c>
      <c r="E45" s="3">
        <v>9</v>
      </c>
      <c r="F45" s="1">
        <v>2</v>
      </c>
      <c r="G45" s="1" t="s">
        <v>419</v>
      </c>
      <c r="H45" s="2">
        <v>39629</v>
      </c>
      <c r="I45" s="3">
        <v>9</v>
      </c>
      <c r="J45" s="4"/>
      <c r="K45" s="4"/>
      <c r="L45" s="4"/>
      <c r="N45" t="str">
        <f>N44</f>
        <v/>
      </c>
      <c r="O45" t="str">
        <f>O44</f>
        <v/>
      </c>
    </row>
    <row r="46" spans="1:15" x14ac:dyDescent="0.45">
      <c r="A46" s="4"/>
      <c r="B46" s="1">
        <v>3</v>
      </c>
      <c r="C46" s="1" t="s">
        <v>420</v>
      </c>
      <c r="D46" s="2">
        <v>39751</v>
      </c>
      <c r="E46" s="3">
        <v>9</v>
      </c>
      <c r="F46" s="1">
        <v>3</v>
      </c>
      <c r="G46" s="1" t="s">
        <v>421</v>
      </c>
      <c r="H46" s="2">
        <v>40058</v>
      </c>
      <c r="I46" s="3">
        <v>8</v>
      </c>
      <c r="J46" s="4"/>
      <c r="K46" s="4"/>
      <c r="L46" s="4"/>
      <c r="N46" t="str">
        <f t="shared" ref="N46:O53" si="3">N45</f>
        <v/>
      </c>
      <c r="O46" t="str">
        <f t="shared" si="3"/>
        <v/>
      </c>
    </row>
    <row r="47" spans="1:15" x14ac:dyDescent="0.45">
      <c r="A47" s="4"/>
      <c r="B47" s="1">
        <v>4</v>
      </c>
      <c r="C47" s="1" t="s">
        <v>37</v>
      </c>
      <c r="D47" s="2" t="s">
        <v>37</v>
      </c>
      <c r="E47" s="3" t="s">
        <v>37</v>
      </c>
      <c r="F47" s="1">
        <v>4</v>
      </c>
      <c r="G47" s="1" t="s">
        <v>37</v>
      </c>
      <c r="H47" s="2" t="s">
        <v>37</v>
      </c>
      <c r="I47" s="3" t="s">
        <v>37</v>
      </c>
      <c r="J47" s="4"/>
      <c r="K47" s="4"/>
      <c r="L47" s="4"/>
      <c r="N47" t="str">
        <f t="shared" si="3"/>
        <v/>
      </c>
      <c r="O47" t="str">
        <f t="shared" si="3"/>
        <v/>
      </c>
    </row>
    <row r="48" spans="1:15" x14ac:dyDescent="0.45">
      <c r="A48" s="4"/>
      <c r="B48" s="1">
        <v>5</v>
      </c>
      <c r="C48" s="1" t="s">
        <v>37</v>
      </c>
      <c r="D48" s="2" t="s">
        <v>37</v>
      </c>
      <c r="E48" s="3" t="s">
        <v>37</v>
      </c>
      <c r="F48" s="1">
        <v>5</v>
      </c>
      <c r="G48" s="1" t="s">
        <v>37</v>
      </c>
      <c r="H48" s="2" t="s">
        <v>37</v>
      </c>
      <c r="I48" s="3" t="s">
        <v>37</v>
      </c>
      <c r="J48" s="4"/>
      <c r="K48" s="4"/>
      <c r="L48" s="4"/>
      <c r="N48" t="str">
        <f t="shared" si="3"/>
        <v/>
      </c>
      <c r="O48" t="str">
        <f t="shared" si="3"/>
        <v/>
      </c>
    </row>
    <row r="49" spans="1:15" x14ac:dyDescent="0.45">
      <c r="A49" s="4"/>
      <c r="B49" s="1">
        <v>6</v>
      </c>
      <c r="C49" s="1" t="s">
        <v>37</v>
      </c>
      <c r="D49" s="2" t="s">
        <v>37</v>
      </c>
      <c r="E49" s="3" t="s">
        <v>37</v>
      </c>
      <c r="F49" s="1">
        <v>6</v>
      </c>
      <c r="G49" s="1" t="s">
        <v>37</v>
      </c>
      <c r="H49" s="2" t="s">
        <v>37</v>
      </c>
      <c r="I49" s="3" t="s">
        <v>37</v>
      </c>
      <c r="J49" s="4"/>
      <c r="K49" s="4"/>
      <c r="L49" s="4"/>
      <c r="N49" t="str">
        <f t="shared" si="3"/>
        <v/>
      </c>
      <c r="O49" t="str">
        <f t="shared" si="3"/>
        <v/>
      </c>
    </row>
    <row r="50" spans="1:15" x14ac:dyDescent="0.45">
      <c r="A50" s="4"/>
      <c r="B50" s="1">
        <v>7</v>
      </c>
      <c r="C50" s="1" t="s">
        <v>37</v>
      </c>
      <c r="D50" s="2" t="s">
        <v>37</v>
      </c>
      <c r="E50" s="3" t="s">
        <v>37</v>
      </c>
      <c r="F50" s="1">
        <v>7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t="str">
        <f t="shared" si="3"/>
        <v/>
      </c>
      <c r="O50" t="str">
        <f t="shared" si="3"/>
        <v/>
      </c>
    </row>
    <row r="51" spans="1:15" x14ac:dyDescent="0.45">
      <c r="A51" s="4"/>
      <c r="B51" s="1">
        <v>8</v>
      </c>
      <c r="C51" s="1" t="s">
        <v>37</v>
      </c>
      <c r="D51" s="2" t="s">
        <v>37</v>
      </c>
      <c r="E51" s="3" t="s">
        <v>37</v>
      </c>
      <c r="F51" s="1">
        <v>8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t="str">
        <f t="shared" si="3"/>
        <v/>
      </c>
      <c r="O51" t="str">
        <f t="shared" si="3"/>
        <v/>
      </c>
    </row>
    <row r="52" spans="1:15" x14ac:dyDescent="0.45">
      <c r="A52" s="4"/>
      <c r="B52" s="1">
        <v>9</v>
      </c>
      <c r="C52" s="1" t="s">
        <v>37</v>
      </c>
      <c r="D52" s="2" t="s">
        <v>37</v>
      </c>
      <c r="E52" s="3" t="s">
        <v>37</v>
      </c>
      <c r="F52" s="1">
        <v>9</v>
      </c>
      <c r="G52" s="1" t="s">
        <v>37</v>
      </c>
      <c r="H52" s="2" t="s">
        <v>37</v>
      </c>
      <c r="I52" s="3" t="s">
        <v>37</v>
      </c>
      <c r="J52" s="36" t="s">
        <v>149</v>
      </c>
      <c r="K52" s="4"/>
      <c r="L52" s="4"/>
      <c r="N52" t="str">
        <f t="shared" si="3"/>
        <v/>
      </c>
      <c r="O52" t="str">
        <f t="shared" si="3"/>
        <v/>
      </c>
    </row>
    <row r="53" spans="1:15" x14ac:dyDescent="0.45">
      <c r="A53" s="4"/>
      <c r="B53" s="1">
        <v>10</v>
      </c>
      <c r="C53" s="1" t="s">
        <v>37</v>
      </c>
      <c r="D53" s="2" t="s">
        <v>37</v>
      </c>
      <c r="E53" s="3" t="s">
        <v>37</v>
      </c>
      <c r="F53" s="1">
        <v>10</v>
      </c>
      <c r="G53" s="1" t="s">
        <v>37</v>
      </c>
      <c r="H53" s="2" t="s">
        <v>37</v>
      </c>
      <c r="I53" s="3" t="s">
        <v>37</v>
      </c>
      <c r="J53" s="11">
        <f>AVERAGE(E44:E53,I44:I53)</f>
        <v>8.8333333333333339</v>
      </c>
      <c r="K53" s="4"/>
      <c r="L53" s="4"/>
      <c r="N53" t="str">
        <f t="shared" si="3"/>
        <v/>
      </c>
      <c r="O53" t="str">
        <f t="shared" si="3"/>
        <v/>
      </c>
    </row>
    <row r="54" spans="1:15" ht="21" x14ac:dyDescent="0.65">
      <c r="A54" s="4"/>
      <c r="B54" s="42" t="s">
        <v>422</v>
      </c>
      <c r="C54" s="43"/>
      <c r="D54" s="43"/>
      <c r="E54" s="43"/>
      <c r="F54" s="43"/>
      <c r="G54" s="43"/>
      <c r="H54" s="43"/>
      <c r="I54" s="43"/>
      <c r="J54" s="43"/>
      <c r="K54" s="44"/>
      <c r="L54" s="4"/>
    </row>
    <row r="55" spans="1:15" x14ac:dyDescent="0.45">
      <c r="A55" s="4"/>
      <c r="B55" s="45" t="s">
        <v>2</v>
      </c>
      <c r="C55" s="46"/>
      <c r="D55" s="46"/>
      <c r="E55" s="46"/>
      <c r="F55" s="46" t="s">
        <v>3</v>
      </c>
      <c r="G55" s="46"/>
      <c r="H55" s="46"/>
      <c r="I55" s="46"/>
      <c r="J55" s="46" t="s">
        <v>43</v>
      </c>
      <c r="K55" s="47"/>
      <c r="L55" s="4"/>
    </row>
    <row r="56" spans="1:15" x14ac:dyDescent="0.45">
      <c r="A56" s="4"/>
      <c r="B56" s="18"/>
      <c r="C56" s="18" t="s">
        <v>5</v>
      </c>
      <c r="D56" s="19" t="s">
        <v>6</v>
      </c>
      <c r="E56" s="20" t="s">
        <v>7</v>
      </c>
      <c r="F56" s="18"/>
      <c r="G56" s="18" t="s">
        <v>5</v>
      </c>
      <c r="H56" s="19" t="s">
        <v>6</v>
      </c>
      <c r="I56" s="20" t="s">
        <v>7</v>
      </c>
      <c r="J56" s="57" t="s">
        <v>423</v>
      </c>
      <c r="K56" s="57"/>
      <c r="L56" s="4"/>
      <c r="N56" t="str">
        <f>MID(B54,1,1)</f>
        <v>E</v>
      </c>
      <c r="O56" t="str">
        <f>IF(ISERROR(VLOOKUP(N56,Leeftijdscatogorie,1,FALSE)=TRUE),"",N56)</f>
        <v/>
      </c>
    </row>
    <row r="57" spans="1:15" x14ac:dyDescent="0.45">
      <c r="A57" s="4"/>
      <c r="B57" s="1">
        <v>1</v>
      </c>
      <c r="C57" s="1" t="s">
        <v>424</v>
      </c>
      <c r="D57" s="2">
        <v>40169</v>
      </c>
      <c r="E57" s="3">
        <v>8</v>
      </c>
      <c r="F57" s="1">
        <v>1</v>
      </c>
      <c r="G57" s="1" t="s">
        <v>425</v>
      </c>
      <c r="H57" s="2">
        <v>40070</v>
      </c>
      <c r="I57" s="3">
        <v>8</v>
      </c>
      <c r="J57" s="39" t="s">
        <v>426</v>
      </c>
      <c r="K57" s="57"/>
      <c r="L57" s="4"/>
      <c r="M57" t="str">
        <f>IF(O56="","",VLOOKUP(O56,Leeftijdscatogorie,2,FALSE))</f>
        <v/>
      </c>
      <c r="N57" t="str">
        <f>IF(O56="","",VLOOKUP(O56,Leeftijdscatogorie,3,FALSE))</f>
        <v/>
      </c>
      <c r="O57" t="str">
        <f>IF(O56="","",VLOOKUP(O56,Leeftijdscatogorie,4,FALSE))</f>
        <v/>
      </c>
    </row>
    <row r="58" spans="1:15" x14ac:dyDescent="0.45">
      <c r="A58" s="4"/>
      <c r="B58" s="1">
        <v>2</v>
      </c>
      <c r="C58" s="1" t="s">
        <v>427</v>
      </c>
      <c r="D58" s="2">
        <v>40143</v>
      </c>
      <c r="E58" s="3">
        <v>8</v>
      </c>
      <c r="F58" s="1">
        <v>2</v>
      </c>
      <c r="G58" s="1" t="s">
        <v>37</v>
      </c>
      <c r="H58" s="2" t="s">
        <v>37</v>
      </c>
      <c r="I58" s="3" t="s">
        <v>37</v>
      </c>
      <c r="J58" s="71"/>
      <c r="K58" s="72"/>
      <c r="L58" s="4"/>
      <c r="N58" t="str">
        <f>N57</f>
        <v/>
      </c>
      <c r="O58" t="str">
        <f>O57</f>
        <v/>
      </c>
    </row>
    <row r="59" spans="1:15" x14ac:dyDescent="0.45">
      <c r="A59" s="4"/>
      <c r="B59" s="1">
        <v>3</v>
      </c>
      <c r="C59" s="1" t="s">
        <v>428</v>
      </c>
      <c r="D59" s="2">
        <v>40015</v>
      </c>
      <c r="E59" s="3">
        <v>8</v>
      </c>
      <c r="F59" s="1">
        <v>3</v>
      </c>
      <c r="G59" s="1" t="s">
        <v>37</v>
      </c>
      <c r="H59" s="2" t="s">
        <v>37</v>
      </c>
      <c r="I59" s="3" t="s">
        <v>37</v>
      </c>
      <c r="J59" s="73"/>
      <c r="K59" s="74"/>
      <c r="L59" s="4"/>
      <c r="N59" t="str">
        <f t="shared" ref="N59:O66" si="4">N58</f>
        <v/>
      </c>
      <c r="O59" t="str">
        <f t="shared" si="4"/>
        <v/>
      </c>
    </row>
    <row r="60" spans="1:15" x14ac:dyDescent="0.45">
      <c r="A60" s="4"/>
      <c r="B60" s="1">
        <v>4</v>
      </c>
      <c r="C60" s="1" t="s">
        <v>429</v>
      </c>
      <c r="D60" s="2">
        <v>39861</v>
      </c>
      <c r="E60" s="3">
        <v>8</v>
      </c>
      <c r="F60" s="1">
        <v>4</v>
      </c>
      <c r="G60" s="1" t="s">
        <v>37</v>
      </c>
      <c r="H60" s="2" t="s">
        <v>37</v>
      </c>
      <c r="I60" s="3" t="s">
        <v>37</v>
      </c>
      <c r="J60" s="4"/>
      <c r="K60" s="4"/>
      <c r="L60" s="4"/>
      <c r="N60" t="str">
        <f t="shared" si="4"/>
        <v/>
      </c>
      <c r="O60" t="str">
        <f t="shared" si="4"/>
        <v/>
      </c>
    </row>
    <row r="61" spans="1:15" x14ac:dyDescent="0.45">
      <c r="A61" s="4"/>
      <c r="B61" s="1">
        <v>5</v>
      </c>
      <c r="C61" s="22" t="s">
        <v>37</v>
      </c>
      <c r="D61" s="2" t="s">
        <v>37</v>
      </c>
      <c r="E61" s="3" t="s">
        <v>37</v>
      </c>
      <c r="F61" s="1">
        <v>5</v>
      </c>
      <c r="G61" s="1" t="s">
        <v>37</v>
      </c>
      <c r="H61" s="2" t="s">
        <v>37</v>
      </c>
      <c r="I61" s="3" t="s">
        <v>37</v>
      </c>
      <c r="J61" s="4"/>
      <c r="K61" s="4"/>
      <c r="L61" s="4"/>
      <c r="N61" t="str">
        <f t="shared" si="4"/>
        <v/>
      </c>
      <c r="O61" t="str">
        <f t="shared" si="4"/>
        <v/>
      </c>
    </row>
    <row r="62" spans="1:15" x14ac:dyDescent="0.45">
      <c r="A62" s="4"/>
      <c r="B62" s="1">
        <v>6</v>
      </c>
      <c r="C62" s="22" t="s">
        <v>37</v>
      </c>
      <c r="D62" s="2" t="s">
        <v>37</v>
      </c>
      <c r="E62" s="3" t="s">
        <v>37</v>
      </c>
      <c r="F62" s="1">
        <v>6</v>
      </c>
      <c r="G62" s="1" t="s">
        <v>37</v>
      </c>
      <c r="H62" s="2" t="s">
        <v>37</v>
      </c>
      <c r="I62" s="3" t="s">
        <v>37</v>
      </c>
      <c r="J62" s="4"/>
      <c r="K62" s="4"/>
      <c r="L62" s="4"/>
      <c r="N62" t="str">
        <f t="shared" si="4"/>
        <v/>
      </c>
      <c r="O62" t="str">
        <f t="shared" si="4"/>
        <v/>
      </c>
    </row>
    <row r="63" spans="1:15" x14ac:dyDescent="0.45">
      <c r="A63" s="4"/>
      <c r="B63" s="1">
        <v>7</v>
      </c>
      <c r="C63" s="22" t="s">
        <v>37</v>
      </c>
      <c r="D63" s="2" t="s">
        <v>37</v>
      </c>
      <c r="E63" s="3" t="s">
        <v>37</v>
      </c>
      <c r="F63" s="1">
        <v>7</v>
      </c>
      <c r="G63" s="1" t="s">
        <v>37</v>
      </c>
      <c r="H63" s="2" t="s">
        <v>37</v>
      </c>
      <c r="I63" s="3" t="s">
        <v>37</v>
      </c>
      <c r="J63" s="4"/>
      <c r="K63" s="4"/>
      <c r="L63" s="4"/>
      <c r="N63" t="str">
        <f t="shared" si="4"/>
        <v/>
      </c>
      <c r="O63" t="str">
        <f t="shared" si="4"/>
        <v/>
      </c>
    </row>
    <row r="64" spans="1:15" x14ac:dyDescent="0.45">
      <c r="A64" s="4"/>
      <c r="B64" s="1">
        <v>8</v>
      </c>
      <c r="C64" s="22" t="s">
        <v>37</v>
      </c>
      <c r="D64" s="2" t="s">
        <v>37</v>
      </c>
      <c r="E64" s="3" t="s">
        <v>37</v>
      </c>
      <c r="F64" s="1">
        <v>8</v>
      </c>
      <c r="G64" s="1" t="s">
        <v>37</v>
      </c>
      <c r="H64" s="2" t="s">
        <v>37</v>
      </c>
      <c r="I64" s="3" t="s">
        <v>37</v>
      </c>
      <c r="J64" s="4"/>
      <c r="K64" s="4"/>
      <c r="L64" s="4"/>
      <c r="N64" t="str">
        <f t="shared" si="4"/>
        <v/>
      </c>
      <c r="O64" t="str">
        <f t="shared" si="4"/>
        <v/>
      </c>
    </row>
    <row r="65" spans="1:15" x14ac:dyDescent="0.45">
      <c r="A65" s="4"/>
      <c r="B65" s="1">
        <v>9</v>
      </c>
      <c r="C65" s="22" t="s">
        <v>37</v>
      </c>
      <c r="D65" s="2" t="s">
        <v>37</v>
      </c>
      <c r="E65" s="3" t="s">
        <v>37</v>
      </c>
      <c r="F65" s="1">
        <v>9</v>
      </c>
      <c r="G65" s="1" t="s">
        <v>37</v>
      </c>
      <c r="H65" s="2" t="s">
        <v>37</v>
      </c>
      <c r="I65" s="3" t="s">
        <v>37</v>
      </c>
      <c r="J65" s="36" t="s">
        <v>149</v>
      </c>
      <c r="K65" s="4"/>
      <c r="L65" s="4"/>
      <c r="N65" t="str">
        <f t="shared" si="4"/>
        <v/>
      </c>
      <c r="O65" t="str">
        <f t="shared" si="4"/>
        <v/>
      </c>
    </row>
    <row r="66" spans="1:15" x14ac:dyDescent="0.45">
      <c r="A66" s="4"/>
      <c r="B66" s="1">
        <v>10</v>
      </c>
      <c r="C66" s="22" t="s">
        <v>37</v>
      </c>
      <c r="D66" s="2" t="s">
        <v>37</v>
      </c>
      <c r="E66" s="3" t="s">
        <v>37</v>
      </c>
      <c r="F66" s="1">
        <v>10</v>
      </c>
      <c r="G66" s="1" t="s">
        <v>37</v>
      </c>
      <c r="H66" s="2" t="s">
        <v>37</v>
      </c>
      <c r="I66" s="3" t="s">
        <v>37</v>
      </c>
      <c r="J66" s="11">
        <f>AVERAGE(E57:E66,I57:I66)</f>
        <v>8</v>
      </c>
      <c r="K66" s="4"/>
      <c r="L66" s="4"/>
      <c r="N66" t="str">
        <f t="shared" si="4"/>
        <v/>
      </c>
      <c r="O66" t="str">
        <f t="shared" si="4"/>
        <v/>
      </c>
    </row>
    <row r="67" spans="1:15" ht="21" hidden="1" x14ac:dyDescent="0.65">
      <c r="A67" s="4"/>
      <c r="B67" s="42" t="s">
        <v>430</v>
      </c>
      <c r="C67" s="43"/>
      <c r="D67" s="43"/>
      <c r="E67" s="43"/>
      <c r="F67" s="43"/>
      <c r="G67" s="43"/>
      <c r="H67" s="43"/>
      <c r="I67" s="43"/>
      <c r="J67" s="43"/>
      <c r="K67" s="44"/>
      <c r="L67" s="4"/>
    </row>
    <row r="68" spans="1:15" hidden="1" x14ac:dyDescent="0.45">
      <c r="A68" s="4"/>
      <c r="B68" s="45" t="s">
        <v>2</v>
      </c>
      <c r="C68" s="46"/>
      <c r="D68" s="46"/>
      <c r="E68" s="46"/>
      <c r="F68" s="46" t="s">
        <v>3</v>
      </c>
      <c r="G68" s="46"/>
      <c r="H68" s="46"/>
      <c r="I68" s="46"/>
      <c r="J68" s="46" t="s">
        <v>43</v>
      </c>
      <c r="K68" s="47"/>
      <c r="L68" s="4"/>
    </row>
    <row r="69" spans="1:15" hidden="1" x14ac:dyDescent="0.45">
      <c r="A69" s="4"/>
      <c r="B69" s="18"/>
      <c r="C69" s="18" t="s">
        <v>5</v>
      </c>
      <c r="D69" s="19" t="s">
        <v>6</v>
      </c>
      <c r="E69" s="20" t="s">
        <v>7</v>
      </c>
      <c r="F69" s="18"/>
      <c r="G69" s="18" t="s">
        <v>5</v>
      </c>
      <c r="H69" s="19" t="s">
        <v>6</v>
      </c>
      <c r="I69" s="20" t="s">
        <v>7</v>
      </c>
      <c r="J69" s="57"/>
      <c r="K69" s="57"/>
      <c r="L69" s="4"/>
      <c r="N69" t="str">
        <f>MID(B67,1,1)</f>
        <v>E</v>
      </c>
      <c r="O69" t="str">
        <f>IF(ISERROR(VLOOKUP(N69,Leeftijdscatogorie,1,FALSE)=TRUE),"",N69)</f>
        <v/>
      </c>
    </row>
    <row r="70" spans="1:15" hidden="1" x14ac:dyDescent="0.45">
      <c r="A70" s="4"/>
      <c r="B70" s="1">
        <v>1</v>
      </c>
      <c r="C70" s="1" t="e">
        <v>#NAME?</v>
      </c>
      <c r="D70" s="2" t="e">
        <v>#NAME?</v>
      </c>
      <c r="E70" s="3" t="e">
        <v>#NAME?</v>
      </c>
      <c r="F70" s="1">
        <v>1</v>
      </c>
      <c r="G70" s="1" t="e">
        <v>#NAME?</v>
      </c>
      <c r="H70" s="2" t="e">
        <v>#NAME?</v>
      </c>
      <c r="I70" s="3" t="e">
        <v>#NAME?</v>
      </c>
      <c r="J70" s="39"/>
      <c r="K70" s="57"/>
      <c r="L70" s="4"/>
      <c r="M70" t="str">
        <f>IF(O69="","",VLOOKUP(O69,Leeftijdscatogorie,2,FALSE))</f>
        <v/>
      </c>
      <c r="N70" t="str">
        <f>IF(O69="","",VLOOKUP(O69,Leeftijdscatogorie,3,FALSE))</f>
        <v/>
      </c>
      <c r="O70" t="str">
        <f>IF(O69="","",VLOOKUP(O69,Leeftijdscatogorie,4,FALSE))</f>
        <v/>
      </c>
    </row>
    <row r="71" spans="1:15" hidden="1" x14ac:dyDescent="0.45">
      <c r="A71" s="4"/>
      <c r="B71" s="1">
        <v>2</v>
      </c>
      <c r="C71" s="1" t="e">
        <v>#NAME?</v>
      </c>
      <c r="D71" s="2" t="e">
        <v>#NAME?</v>
      </c>
      <c r="E71" s="3" t="e">
        <v>#NAME?</v>
      </c>
      <c r="F71" s="1">
        <v>2</v>
      </c>
      <c r="G71" s="1" t="e">
        <v>#NAME?</v>
      </c>
      <c r="H71" s="2" t="e">
        <v>#NAME?</v>
      </c>
      <c r="I71" s="3" t="e">
        <v>#NAME?</v>
      </c>
      <c r="J71" s="4"/>
      <c r="K71" s="4"/>
      <c r="L71" s="4"/>
      <c r="N71" t="str">
        <f>N70</f>
        <v/>
      </c>
      <c r="O71" t="str">
        <f>O70</f>
        <v/>
      </c>
    </row>
    <row r="72" spans="1:15" hidden="1" x14ac:dyDescent="0.45">
      <c r="A72" s="4"/>
      <c r="B72" s="1">
        <v>3</v>
      </c>
      <c r="C72" s="1" t="e">
        <v>#NAME?</v>
      </c>
      <c r="D72" s="2" t="e">
        <v>#NAME?</v>
      </c>
      <c r="E72" s="3" t="e">
        <v>#NAME?</v>
      </c>
      <c r="F72" s="1">
        <v>3</v>
      </c>
      <c r="G72" s="1" t="e">
        <v>#NAME?</v>
      </c>
      <c r="H72" s="2" t="e">
        <v>#NAME?</v>
      </c>
      <c r="I72" s="3" t="e">
        <v>#NAME?</v>
      </c>
      <c r="J72" s="4"/>
      <c r="K72" s="4"/>
      <c r="L72" s="4"/>
      <c r="N72" t="str">
        <f t="shared" ref="N72:O79" si="5">N71</f>
        <v/>
      </c>
      <c r="O72" t="str">
        <f t="shared" si="5"/>
        <v/>
      </c>
    </row>
    <row r="73" spans="1:15" hidden="1" x14ac:dyDescent="0.45">
      <c r="A73" s="4"/>
      <c r="B73" s="1">
        <v>4</v>
      </c>
      <c r="C73" s="1" t="e">
        <v>#NAME?</v>
      </c>
      <c r="D73" s="2" t="e">
        <v>#NAME?</v>
      </c>
      <c r="E73" s="3" t="e">
        <v>#NAME?</v>
      </c>
      <c r="F73" s="1">
        <v>4</v>
      </c>
      <c r="G73" s="1" t="e">
        <v>#NAME?</v>
      </c>
      <c r="H73" s="2" t="e">
        <v>#NAME?</v>
      </c>
      <c r="I73" s="3" t="e">
        <v>#NAME?</v>
      </c>
      <c r="J73" s="4"/>
      <c r="K73" s="4"/>
      <c r="L73" s="4"/>
      <c r="N73" t="str">
        <f t="shared" si="5"/>
        <v/>
      </c>
      <c r="O73" t="str">
        <f t="shared" si="5"/>
        <v/>
      </c>
    </row>
    <row r="74" spans="1:15" hidden="1" x14ac:dyDescent="0.45">
      <c r="A74" s="4"/>
      <c r="B74" s="1">
        <v>5</v>
      </c>
      <c r="C74" s="1" t="e">
        <v>#NAME?</v>
      </c>
      <c r="D74" s="2" t="e">
        <v>#NAME?</v>
      </c>
      <c r="E74" s="3" t="e">
        <v>#NAME?</v>
      </c>
      <c r="F74" s="1">
        <v>5</v>
      </c>
      <c r="G74" s="1" t="e">
        <v>#NAME?</v>
      </c>
      <c r="H74" s="2" t="e">
        <v>#NAME?</v>
      </c>
      <c r="I74" s="3" t="e">
        <v>#NAME?</v>
      </c>
      <c r="J74" s="4"/>
      <c r="K74" s="4"/>
      <c r="L74" s="4"/>
      <c r="N74" t="str">
        <f t="shared" si="5"/>
        <v/>
      </c>
      <c r="O74" t="str">
        <f t="shared" si="5"/>
        <v/>
      </c>
    </row>
    <row r="75" spans="1:15" hidden="1" x14ac:dyDescent="0.45">
      <c r="A75" s="4"/>
      <c r="B75" s="1">
        <v>6</v>
      </c>
      <c r="C75" s="1" t="e">
        <v>#NAME?</v>
      </c>
      <c r="D75" s="2" t="e">
        <v>#NAME?</v>
      </c>
      <c r="E75" s="3" t="e">
        <v>#NAME?</v>
      </c>
      <c r="F75" s="1">
        <v>6</v>
      </c>
      <c r="G75" s="1" t="e">
        <v>#NAME?</v>
      </c>
      <c r="H75" s="2" t="e">
        <v>#NAME?</v>
      </c>
      <c r="I75" s="3" t="e">
        <v>#NAME?</v>
      </c>
      <c r="J75" s="4"/>
      <c r="K75" s="4"/>
      <c r="L75" s="4"/>
      <c r="N75" t="str">
        <f t="shared" si="5"/>
        <v/>
      </c>
      <c r="O75" t="str">
        <f t="shared" si="5"/>
        <v/>
      </c>
    </row>
    <row r="76" spans="1:15" hidden="1" x14ac:dyDescent="0.45">
      <c r="A76" s="4"/>
      <c r="B76" s="1">
        <v>7</v>
      </c>
      <c r="C76" s="1" t="e">
        <v>#NAME?</v>
      </c>
      <c r="D76" s="2" t="e">
        <v>#NAME?</v>
      </c>
      <c r="E76" s="3" t="e">
        <v>#NAME?</v>
      </c>
      <c r="F76" s="1">
        <v>7</v>
      </c>
      <c r="G76" s="1" t="e">
        <v>#NAME?</v>
      </c>
      <c r="H76" s="2" t="e">
        <v>#NAME?</v>
      </c>
      <c r="I76" s="3" t="e">
        <v>#NAME?</v>
      </c>
      <c r="J76" s="4"/>
      <c r="K76" s="4"/>
      <c r="L76" s="4"/>
      <c r="N76" t="str">
        <f t="shared" si="5"/>
        <v/>
      </c>
      <c r="O76" t="str">
        <f t="shared" si="5"/>
        <v/>
      </c>
    </row>
    <row r="77" spans="1:15" hidden="1" x14ac:dyDescent="0.45">
      <c r="A77" s="4"/>
      <c r="B77" s="1">
        <v>8</v>
      </c>
      <c r="C77" s="1" t="e">
        <v>#NAME?</v>
      </c>
      <c r="D77" s="2" t="e">
        <v>#NAME?</v>
      </c>
      <c r="E77" s="3" t="e">
        <v>#NAME?</v>
      </c>
      <c r="F77" s="1">
        <v>8</v>
      </c>
      <c r="G77" s="1" t="e">
        <v>#NAME?</v>
      </c>
      <c r="H77" s="2" t="e">
        <v>#NAME?</v>
      </c>
      <c r="I77" s="3" t="e">
        <v>#NAME?</v>
      </c>
      <c r="J77" s="4"/>
      <c r="K77" s="4"/>
      <c r="L77" s="4"/>
      <c r="N77" t="str">
        <f t="shared" si="5"/>
        <v/>
      </c>
      <c r="O77" t="str">
        <f t="shared" si="5"/>
        <v/>
      </c>
    </row>
    <row r="78" spans="1:15" hidden="1" x14ac:dyDescent="0.45">
      <c r="A78" s="4"/>
      <c r="B78" s="1">
        <v>9</v>
      </c>
      <c r="C78" s="1" t="e">
        <v>#NAME?</v>
      </c>
      <c r="D78" s="2" t="e">
        <v>#NAME?</v>
      </c>
      <c r="E78" s="3" t="e">
        <v>#NAME?</v>
      </c>
      <c r="F78" s="1">
        <v>9</v>
      </c>
      <c r="G78" s="1" t="e">
        <v>#NAME?</v>
      </c>
      <c r="H78" s="2" t="e">
        <v>#NAME?</v>
      </c>
      <c r="I78" s="3" t="e">
        <v>#NAME?</v>
      </c>
      <c r="J78" s="30" t="s">
        <v>41</v>
      </c>
      <c r="K78" s="4"/>
      <c r="L78" s="4"/>
      <c r="N78" t="str">
        <f t="shared" si="5"/>
        <v/>
      </c>
      <c r="O78" t="str">
        <f t="shared" si="5"/>
        <v/>
      </c>
    </row>
    <row r="79" spans="1:15" hidden="1" x14ac:dyDescent="0.45">
      <c r="A79" s="4"/>
      <c r="B79" s="1">
        <v>10</v>
      </c>
      <c r="C79" s="1" t="e">
        <v>#NAME?</v>
      </c>
      <c r="D79" s="2" t="e">
        <v>#NAME?</v>
      </c>
      <c r="E79" s="3" t="e">
        <v>#NAME?</v>
      </c>
      <c r="F79" s="1">
        <v>10</v>
      </c>
      <c r="G79" s="1" t="e">
        <v>#NAME?</v>
      </c>
      <c r="H79" s="2" t="e">
        <v>#NAME?</v>
      </c>
      <c r="I79" s="3" t="e">
        <v>#NAME?</v>
      </c>
      <c r="J79" s="30">
        <f>IF(COUNT(E70:E79,I70:I79)=0,0,COUNT(E70:E79,I70:I79))</f>
        <v>0</v>
      </c>
      <c r="K79" s="4"/>
      <c r="L79" s="4"/>
      <c r="N79" t="str">
        <f t="shared" si="5"/>
        <v/>
      </c>
      <c r="O79" t="str">
        <f t="shared" si="5"/>
        <v/>
      </c>
    </row>
    <row r="80" spans="1:15" ht="21" hidden="1" x14ac:dyDescent="0.65">
      <c r="A80" s="4"/>
      <c r="B80" s="42" t="s">
        <v>431</v>
      </c>
      <c r="C80" s="43"/>
      <c r="D80" s="43"/>
      <c r="E80" s="43"/>
      <c r="F80" s="43"/>
      <c r="G80" s="43"/>
      <c r="H80" s="43"/>
      <c r="I80" s="43"/>
      <c r="J80" s="43"/>
      <c r="K80" s="44"/>
      <c r="L80" s="4"/>
    </row>
    <row r="81" spans="1:15" hidden="1" x14ac:dyDescent="0.45">
      <c r="A81" s="4"/>
      <c r="B81" s="45" t="s">
        <v>2</v>
      </c>
      <c r="C81" s="46"/>
      <c r="D81" s="46"/>
      <c r="E81" s="46"/>
      <c r="F81" s="46" t="s">
        <v>3</v>
      </c>
      <c r="G81" s="46"/>
      <c r="H81" s="46"/>
      <c r="I81" s="46"/>
      <c r="J81" s="46" t="s">
        <v>43</v>
      </c>
      <c r="K81" s="47"/>
      <c r="L81" s="4"/>
    </row>
    <row r="82" spans="1:15" hidden="1" x14ac:dyDescent="0.45">
      <c r="A82" s="4"/>
      <c r="B82" s="18"/>
      <c r="C82" s="18" t="s">
        <v>5</v>
      </c>
      <c r="D82" s="19" t="s">
        <v>6</v>
      </c>
      <c r="E82" s="20" t="s">
        <v>7</v>
      </c>
      <c r="F82" s="18"/>
      <c r="G82" s="18" t="s">
        <v>5</v>
      </c>
      <c r="H82" s="19" t="s">
        <v>6</v>
      </c>
      <c r="I82" s="20" t="s">
        <v>7</v>
      </c>
      <c r="J82" s="57" t="s">
        <v>432</v>
      </c>
      <c r="K82" s="57"/>
      <c r="L82" s="4"/>
      <c r="N82" t="str">
        <f>MID(B80,1,1)</f>
        <v>E</v>
      </c>
      <c r="O82" t="str">
        <f>IF(ISERROR(VLOOKUP(N82,Leeftijdscatogorie,1,FALSE)=TRUE),"",N82)</f>
        <v/>
      </c>
    </row>
    <row r="83" spans="1:15" hidden="1" x14ac:dyDescent="0.45">
      <c r="A83" s="4"/>
      <c r="B83" s="1">
        <v>1</v>
      </c>
      <c r="C83" s="1" t="e">
        <v>#NAME?</v>
      </c>
      <c r="D83" s="2" t="e">
        <v>#NAME?</v>
      </c>
      <c r="E83" s="3" t="e">
        <v>#NAME?</v>
      </c>
      <c r="F83" s="1">
        <v>1</v>
      </c>
      <c r="G83" s="1" t="e">
        <v>#NAME?</v>
      </c>
      <c r="H83" s="2" t="e">
        <v>#NAME?</v>
      </c>
      <c r="I83" s="3" t="e">
        <v>#NAME?</v>
      </c>
      <c r="J83" s="57" t="s">
        <v>376</v>
      </c>
      <c r="K83" s="57"/>
      <c r="L83" s="4"/>
      <c r="M83" t="str">
        <f>IF(O82="","",VLOOKUP(O82,Leeftijdscatogorie,2,FALSE))</f>
        <v/>
      </c>
      <c r="N83" t="str">
        <f>IF(O82="","",VLOOKUP(O82,Leeftijdscatogorie,3,FALSE))</f>
        <v/>
      </c>
      <c r="O83" t="str">
        <f>IF(O82="","",VLOOKUP(O82,Leeftijdscatogorie,4,FALSE))</f>
        <v/>
      </c>
    </row>
    <row r="84" spans="1:15" hidden="1" x14ac:dyDescent="0.45">
      <c r="A84" s="4"/>
      <c r="B84" s="1">
        <v>2</v>
      </c>
      <c r="C84" s="1" t="e">
        <v>#NAME?</v>
      </c>
      <c r="D84" s="2" t="e">
        <v>#NAME?</v>
      </c>
      <c r="E84" s="3" t="e">
        <v>#NAME?</v>
      </c>
      <c r="F84" s="1">
        <v>2</v>
      </c>
      <c r="G84" s="1" t="e">
        <v>#NAME?</v>
      </c>
      <c r="H84" s="2" t="e">
        <v>#NAME?</v>
      </c>
      <c r="I84" s="3" t="e">
        <v>#NAME?</v>
      </c>
      <c r="J84" s="4"/>
      <c r="K84" s="4"/>
      <c r="L84" s="4"/>
      <c r="N84" t="str">
        <f>N83</f>
        <v/>
      </c>
      <c r="O84" t="str">
        <f>O83</f>
        <v/>
      </c>
    </row>
    <row r="85" spans="1:15" hidden="1" x14ac:dyDescent="0.45">
      <c r="A85" s="4"/>
      <c r="B85" s="1">
        <v>3</v>
      </c>
      <c r="C85" s="1" t="e">
        <v>#NAME?</v>
      </c>
      <c r="D85" s="2" t="e">
        <v>#NAME?</v>
      </c>
      <c r="E85" s="3" t="e">
        <v>#NAME?</v>
      </c>
      <c r="F85" s="1">
        <v>3</v>
      </c>
      <c r="G85" s="1" t="e">
        <v>#NAME?</v>
      </c>
      <c r="H85" s="2" t="e">
        <v>#NAME?</v>
      </c>
      <c r="I85" s="3" t="e">
        <v>#NAME?</v>
      </c>
      <c r="J85" s="4"/>
      <c r="K85" s="4"/>
      <c r="L85" s="4"/>
      <c r="N85" t="str">
        <f t="shared" ref="N85:O92" si="6">N84</f>
        <v/>
      </c>
      <c r="O85" t="str">
        <f t="shared" si="6"/>
        <v/>
      </c>
    </row>
    <row r="86" spans="1:15" hidden="1" x14ac:dyDescent="0.45">
      <c r="A86" s="4"/>
      <c r="B86" s="1">
        <v>4</v>
      </c>
      <c r="C86" s="22" t="e">
        <v>#NAME?</v>
      </c>
      <c r="D86" s="2" t="e">
        <v>#NAME?</v>
      </c>
      <c r="E86" s="3" t="e">
        <v>#NAME?</v>
      </c>
      <c r="F86" s="1">
        <v>4</v>
      </c>
      <c r="G86" s="1" t="e">
        <v>#NAME?</v>
      </c>
      <c r="H86" s="2" t="e">
        <v>#NAME?</v>
      </c>
      <c r="I86" s="3" t="e">
        <v>#NAME?</v>
      </c>
      <c r="J86" s="4"/>
      <c r="K86" s="4"/>
      <c r="L86" s="4"/>
      <c r="N86" t="str">
        <f t="shared" si="6"/>
        <v/>
      </c>
      <c r="O86" t="str">
        <f t="shared" si="6"/>
        <v/>
      </c>
    </row>
    <row r="87" spans="1:15" hidden="1" x14ac:dyDescent="0.45">
      <c r="A87" s="4"/>
      <c r="B87" s="1">
        <v>5</v>
      </c>
      <c r="C87" s="22" t="e">
        <v>#NAME?</v>
      </c>
      <c r="D87" s="2" t="e">
        <v>#NAME?</v>
      </c>
      <c r="E87" s="3" t="e">
        <v>#NAME?</v>
      </c>
      <c r="F87" s="1">
        <v>5</v>
      </c>
      <c r="G87" s="1" t="e">
        <v>#NAME?</v>
      </c>
      <c r="H87" s="2" t="e">
        <v>#NAME?</v>
      </c>
      <c r="I87" s="3" t="e">
        <v>#NAME?</v>
      </c>
      <c r="J87" s="4"/>
      <c r="K87" s="4"/>
      <c r="L87" s="4"/>
      <c r="N87" t="str">
        <f t="shared" si="6"/>
        <v/>
      </c>
      <c r="O87" t="str">
        <f t="shared" si="6"/>
        <v/>
      </c>
    </row>
    <row r="88" spans="1:15" hidden="1" x14ac:dyDescent="0.45">
      <c r="A88" s="4"/>
      <c r="B88" s="1">
        <v>6</v>
      </c>
      <c r="C88" s="22" t="e">
        <v>#NAME?</v>
      </c>
      <c r="D88" s="2" t="e">
        <v>#NAME?</v>
      </c>
      <c r="E88" s="3" t="e">
        <v>#NAME?</v>
      </c>
      <c r="F88" s="1">
        <v>6</v>
      </c>
      <c r="G88" s="1" t="e">
        <v>#NAME?</v>
      </c>
      <c r="H88" s="2" t="e">
        <v>#NAME?</v>
      </c>
      <c r="I88" s="3" t="e">
        <v>#NAME?</v>
      </c>
      <c r="J88" s="4"/>
      <c r="K88" s="4"/>
      <c r="L88" s="4"/>
      <c r="N88" t="str">
        <f t="shared" si="6"/>
        <v/>
      </c>
      <c r="O88" t="str">
        <f t="shared" si="6"/>
        <v/>
      </c>
    </row>
    <row r="89" spans="1:15" hidden="1" x14ac:dyDescent="0.45">
      <c r="A89" s="4"/>
      <c r="B89" s="1">
        <v>7</v>
      </c>
      <c r="C89" s="22" t="e">
        <v>#NAME?</v>
      </c>
      <c r="D89" s="2" t="e">
        <v>#NAME?</v>
      </c>
      <c r="E89" s="3" t="e">
        <v>#NAME?</v>
      </c>
      <c r="F89" s="1">
        <v>7</v>
      </c>
      <c r="G89" s="1" t="e">
        <v>#NAME?</v>
      </c>
      <c r="H89" s="2" t="e">
        <v>#NAME?</v>
      </c>
      <c r="I89" s="3" t="e">
        <v>#NAME?</v>
      </c>
      <c r="J89" s="4"/>
      <c r="K89" s="4"/>
      <c r="L89" s="4"/>
      <c r="N89" t="str">
        <f t="shared" si="6"/>
        <v/>
      </c>
      <c r="O89" t="str">
        <f t="shared" si="6"/>
        <v/>
      </c>
    </row>
    <row r="90" spans="1:15" hidden="1" x14ac:dyDescent="0.45">
      <c r="A90" s="4"/>
      <c r="B90" s="1">
        <v>8</v>
      </c>
      <c r="C90" s="22" t="e">
        <v>#NAME?</v>
      </c>
      <c r="D90" s="2" t="e">
        <v>#NAME?</v>
      </c>
      <c r="E90" s="3" t="e">
        <v>#NAME?</v>
      </c>
      <c r="F90" s="1">
        <v>8</v>
      </c>
      <c r="G90" s="1" t="e">
        <v>#NAME?</v>
      </c>
      <c r="H90" s="2" t="e">
        <v>#NAME?</v>
      </c>
      <c r="I90" s="3" t="e">
        <v>#NAME?</v>
      </c>
      <c r="J90" s="4"/>
      <c r="K90" s="4"/>
      <c r="L90" s="4"/>
      <c r="N90" t="str">
        <f t="shared" si="6"/>
        <v/>
      </c>
      <c r="O90" t="str">
        <f t="shared" si="6"/>
        <v/>
      </c>
    </row>
    <row r="91" spans="1:15" hidden="1" x14ac:dyDescent="0.45">
      <c r="A91" s="4"/>
      <c r="B91" s="1">
        <v>9</v>
      </c>
      <c r="C91" s="22" t="e">
        <v>#NAME?</v>
      </c>
      <c r="D91" s="2" t="e">
        <v>#NAME?</v>
      </c>
      <c r="E91" s="3" t="e">
        <v>#NAME?</v>
      </c>
      <c r="F91" s="1">
        <v>9</v>
      </c>
      <c r="G91" s="1" t="e">
        <v>#NAME?</v>
      </c>
      <c r="H91" s="2" t="e">
        <v>#NAME?</v>
      </c>
      <c r="I91" s="3" t="e">
        <v>#NAME?</v>
      </c>
      <c r="J91" s="30" t="s">
        <v>41</v>
      </c>
      <c r="K91" s="4"/>
      <c r="L91" s="4"/>
      <c r="N91" t="str">
        <f t="shared" si="6"/>
        <v/>
      </c>
      <c r="O91" t="str">
        <f t="shared" si="6"/>
        <v/>
      </c>
    </row>
    <row r="92" spans="1:15" hidden="1" x14ac:dyDescent="0.45">
      <c r="A92" s="4"/>
      <c r="B92" s="1">
        <v>10</v>
      </c>
      <c r="C92" s="22" t="e">
        <v>#NAME?</v>
      </c>
      <c r="D92" s="2" t="e">
        <v>#NAME?</v>
      </c>
      <c r="E92" s="3" t="e">
        <v>#NAME?</v>
      </c>
      <c r="F92" s="1">
        <v>10</v>
      </c>
      <c r="G92" s="1" t="e">
        <v>#NAME?</v>
      </c>
      <c r="H92" s="2" t="e">
        <v>#NAME?</v>
      </c>
      <c r="I92" s="3" t="e">
        <v>#NAME?</v>
      </c>
      <c r="J92" s="30">
        <f>IF(COUNT(E83:E92,I83:I92)=0,0,COUNT(E83:E92,I83:I92))</f>
        <v>0</v>
      </c>
      <c r="K92" s="4"/>
      <c r="L92" s="4"/>
      <c r="N92" t="str">
        <f t="shared" si="6"/>
        <v/>
      </c>
      <c r="O92" t="str">
        <f t="shared" si="6"/>
        <v/>
      </c>
    </row>
    <row r="93" spans="1:15" ht="21" hidden="1" x14ac:dyDescent="0.65">
      <c r="A93" s="4"/>
      <c r="B93" s="42" t="s">
        <v>433</v>
      </c>
      <c r="C93" s="43"/>
      <c r="D93" s="43"/>
      <c r="E93" s="43"/>
      <c r="F93" s="43"/>
      <c r="G93" s="43"/>
      <c r="H93" s="43"/>
      <c r="I93" s="43"/>
      <c r="J93" s="43"/>
      <c r="K93" s="44"/>
      <c r="L93" s="4"/>
    </row>
    <row r="94" spans="1:15" hidden="1" x14ac:dyDescent="0.45">
      <c r="A94" s="4"/>
      <c r="B94" s="45" t="s">
        <v>2</v>
      </c>
      <c r="C94" s="46"/>
      <c r="D94" s="46"/>
      <c r="E94" s="46"/>
      <c r="F94" s="46" t="s">
        <v>3</v>
      </c>
      <c r="G94" s="46"/>
      <c r="H94" s="46"/>
      <c r="I94" s="46"/>
      <c r="J94" s="46" t="s">
        <v>43</v>
      </c>
      <c r="K94" s="47"/>
      <c r="L94" s="4"/>
    </row>
    <row r="95" spans="1:15" hidden="1" x14ac:dyDescent="0.45">
      <c r="A95" s="4"/>
      <c r="B95" s="18"/>
      <c r="C95" s="18" t="s">
        <v>5</v>
      </c>
      <c r="D95" s="19" t="s">
        <v>6</v>
      </c>
      <c r="E95" s="20" t="s">
        <v>7</v>
      </c>
      <c r="F95" s="18"/>
      <c r="G95" s="18" t="s">
        <v>5</v>
      </c>
      <c r="H95" s="19" t="s">
        <v>6</v>
      </c>
      <c r="I95" s="20" t="s">
        <v>7</v>
      </c>
      <c r="J95" s="57" t="s">
        <v>432</v>
      </c>
      <c r="K95" s="57"/>
      <c r="L95" s="4"/>
      <c r="N95" t="str">
        <f>MID(B93,1,1)</f>
        <v>E</v>
      </c>
      <c r="O95" t="str">
        <f>IF(ISERROR(VLOOKUP(N95,Leeftijdscatogorie,1,FALSE)=TRUE),"",N95)</f>
        <v/>
      </c>
    </row>
    <row r="96" spans="1:15" hidden="1" x14ac:dyDescent="0.45">
      <c r="A96" s="4"/>
      <c r="B96" s="1">
        <v>1</v>
      </c>
      <c r="C96" s="1" t="e">
        <v>#NAME?</v>
      </c>
      <c r="D96" s="2" t="e">
        <v>#NAME?</v>
      </c>
      <c r="E96" s="3" t="e">
        <v>#NAME?</v>
      </c>
      <c r="F96" s="1">
        <v>1</v>
      </c>
      <c r="G96" s="1" t="e">
        <v>#NAME?</v>
      </c>
      <c r="H96" s="2" t="e">
        <v>#NAME?</v>
      </c>
      <c r="I96" s="3" t="e">
        <v>#NAME?</v>
      </c>
      <c r="J96" s="57" t="s">
        <v>376</v>
      </c>
      <c r="K96" s="57"/>
      <c r="L96" s="4"/>
      <c r="M96" t="str">
        <f>IF(O95="","",VLOOKUP(O95,Leeftijdscatogorie,2,FALSE))</f>
        <v/>
      </c>
      <c r="N96" t="str">
        <f>IF(O95="","",VLOOKUP(O95,Leeftijdscatogorie,3,FALSE))</f>
        <v/>
      </c>
      <c r="O96" t="str">
        <f>IF(O95="","",VLOOKUP(O95,Leeftijdscatogorie,4,FALSE))</f>
        <v/>
      </c>
    </row>
    <row r="97" spans="1:15" hidden="1" x14ac:dyDescent="0.45">
      <c r="A97" s="4"/>
      <c r="B97" s="1">
        <v>2</v>
      </c>
      <c r="C97" s="1" t="e">
        <v>#NAME?</v>
      </c>
      <c r="D97" s="2" t="e">
        <v>#NAME?</v>
      </c>
      <c r="E97" s="3" t="e">
        <v>#NAME?</v>
      </c>
      <c r="F97" s="1">
        <v>2</v>
      </c>
      <c r="G97" s="1" t="e">
        <v>#NAME?</v>
      </c>
      <c r="H97" s="2" t="e">
        <v>#NAME?</v>
      </c>
      <c r="I97" s="3" t="e">
        <v>#NAME?</v>
      </c>
      <c r="J97" s="4"/>
      <c r="K97" s="4"/>
      <c r="L97" s="4"/>
      <c r="N97" t="str">
        <f>N96</f>
        <v/>
      </c>
      <c r="O97" t="str">
        <f>O96</f>
        <v/>
      </c>
    </row>
    <row r="98" spans="1:15" hidden="1" x14ac:dyDescent="0.45">
      <c r="A98" s="4"/>
      <c r="B98" s="1">
        <v>3</v>
      </c>
      <c r="C98" s="1" t="e">
        <v>#NAME?</v>
      </c>
      <c r="D98" s="2" t="e">
        <v>#NAME?</v>
      </c>
      <c r="E98" s="3" t="e">
        <v>#NAME?</v>
      </c>
      <c r="F98" s="1">
        <v>3</v>
      </c>
      <c r="G98" s="1" t="e">
        <v>#NAME?</v>
      </c>
      <c r="H98" s="2" t="e">
        <v>#NAME?</v>
      </c>
      <c r="I98" s="3" t="e">
        <v>#NAME?</v>
      </c>
      <c r="J98" s="4"/>
      <c r="K98" s="4"/>
      <c r="L98" s="4"/>
      <c r="N98" t="str">
        <f t="shared" ref="N98:O105" si="7">N97</f>
        <v/>
      </c>
      <c r="O98" t="str">
        <f t="shared" si="7"/>
        <v/>
      </c>
    </row>
    <row r="99" spans="1:15" hidden="1" x14ac:dyDescent="0.45">
      <c r="A99" s="4"/>
      <c r="B99" s="1">
        <v>4</v>
      </c>
      <c r="C99" s="1" t="e">
        <v>#NAME?</v>
      </c>
      <c r="D99" s="2" t="e">
        <v>#NAME?</v>
      </c>
      <c r="E99" s="3" t="e">
        <v>#NAME?</v>
      </c>
      <c r="F99" s="1">
        <v>4</v>
      </c>
      <c r="G99" s="1" t="e">
        <v>#NAME?</v>
      </c>
      <c r="H99" s="2" t="e">
        <v>#NAME?</v>
      </c>
      <c r="I99" s="3" t="e">
        <v>#NAME?</v>
      </c>
      <c r="J99" s="4"/>
      <c r="K99" s="4"/>
      <c r="L99" s="4"/>
      <c r="N99" t="str">
        <f t="shared" si="7"/>
        <v/>
      </c>
      <c r="O99" t="str">
        <f t="shared" si="7"/>
        <v/>
      </c>
    </row>
    <row r="100" spans="1:15" hidden="1" x14ac:dyDescent="0.45">
      <c r="A100" s="4"/>
      <c r="B100" s="1">
        <v>5</v>
      </c>
      <c r="C100" s="1" t="e">
        <v>#NAME?</v>
      </c>
      <c r="D100" s="2" t="e">
        <v>#NAME?</v>
      </c>
      <c r="E100" s="3" t="e">
        <v>#NAME?</v>
      </c>
      <c r="F100" s="1">
        <v>5</v>
      </c>
      <c r="G100" s="1" t="e">
        <v>#NAME?</v>
      </c>
      <c r="H100" s="2" t="e">
        <v>#NAME?</v>
      </c>
      <c r="I100" s="3" t="e">
        <v>#NAME?</v>
      </c>
      <c r="J100" s="4"/>
      <c r="K100" s="4"/>
      <c r="L100" s="4"/>
      <c r="N100" t="str">
        <f t="shared" si="7"/>
        <v/>
      </c>
      <c r="O100" t="str">
        <f t="shared" si="7"/>
        <v/>
      </c>
    </row>
    <row r="101" spans="1:15" hidden="1" x14ac:dyDescent="0.45">
      <c r="B101" s="1">
        <v>6</v>
      </c>
      <c r="C101" s="1" t="e">
        <v>#NAME?</v>
      </c>
      <c r="D101" s="2" t="e">
        <v>#NAME?</v>
      </c>
      <c r="E101" s="3" t="e">
        <v>#NAME?</v>
      </c>
      <c r="F101" s="1">
        <v>6</v>
      </c>
      <c r="G101" s="1" t="e">
        <v>#NAME?</v>
      </c>
      <c r="H101" s="2" t="e">
        <v>#NAME?</v>
      </c>
      <c r="I101" s="3" t="e">
        <v>#NAME?</v>
      </c>
      <c r="J101" s="4"/>
      <c r="K101" s="4"/>
      <c r="L101" s="4"/>
      <c r="N101" t="str">
        <f t="shared" si="7"/>
        <v/>
      </c>
      <c r="O101" t="str">
        <f t="shared" si="7"/>
        <v/>
      </c>
    </row>
    <row r="102" spans="1:15" hidden="1" x14ac:dyDescent="0.45">
      <c r="B102" s="1">
        <v>7</v>
      </c>
      <c r="C102" s="1" t="e">
        <v>#NAME?</v>
      </c>
      <c r="D102" s="2" t="e">
        <v>#NAME?</v>
      </c>
      <c r="E102" s="3" t="e">
        <v>#NAME?</v>
      </c>
      <c r="F102" s="1">
        <v>7</v>
      </c>
      <c r="G102" s="1" t="e">
        <v>#NAME?</v>
      </c>
      <c r="H102" s="2" t="e">
        <v>#NAME?</v>
      </c>
      <c r="I102" s="3" t="e">
        <v>#NAME?</v>
      </c>
      <c r="J102" s="4"/>
      <c r="K102" s="4"/>
      <c r="L102" s="4"/>
      <c r="N102" t="str">
        <f t="shared" si="7"/>
        <v/>
      </c>
      <c r="O102" t="str">
        <f t="shared" si="7"/>
        <v/>
      </c>
    </row>
    <row r="103" spans="1:15" hidden="1" x14ac:dyDescent="0.45">
      <c r="B103" s="1">
        <v>8</v>
      </c>
      <c r="C103" s="1" t="e">
        <v>#NAME?</v>
      </c>
      <c r="D103" s="2" t="e">
        <v>#NAME?</v>
      </c>
      <c r="E103" s="3" t="e">
        <v>#NAME?</v>
      </c>
      <c r="F103" s="1">
        <v>8</v>
      </c>
      <c r="G103" s="1" t="e">
        <v>#NAME?</v>
      </c>
      <c r="H103" s="2" t="e">
        <v>#NAME?</v>
      </c>
      <c r="I103" s="3" t="e">
        <v>#NAME?</v>
      </c>
      <c r="J103" s="4"/>
      <c r="K103" s="4"/>
      <c r="L103" s="4"/>
      <c r="N103" t="str">
        <f t="shared" si="7"/>
        <v/>
      </c>
      <c r="O103" t="str">
        <f t="shared" si="7"/>
        <v/>
      </c>
    </row>
    <row r="104" spans="1:15" hidden="1" x14ac:dyDescent="0.45">
      <c r="B104" s="1">
        <v>9</v>
      </c>
      <c r="C104" s="1" t="e">
        <v>#NAME?</v>
      </c>
      <c r="D104" s="2" t="e">
        <v>#NAME?</v>
      </c>
      <c r="E104" s="3" t="e">
        <v>#NAME?</v>
      </c>
      <c r="F104" s="1">
        <v>9</v>
      </c>
      <c r="G104" s="1" t="e">
        <v>#NAME?</v>
      </c>
      <c r="H104" s="2" t="e">
        <v>#NAME?</v>
      </c>
      <c r="I104" s="3" t="e">
        <v>#NAME?</v>
      </c>
      <c r="J104" s="30" t="s">
        <v>41</v>
      </c>
      <c r="K104" s="4"/>
      <c r="L104" s="4"/>
      <c r="N104" t="str">
        <f t="shared" si="7"/>
        <v/>
      </c>
      <c r="O104" t="str">
        <f t="shared" si="7"/>
        <v/>
      </c>
    </row>
    <row r="105" spans="1:15" hidden="1" x14ac:dyDescent="0.45">
      <c r="B105" s="1">
        <v>10</v>
      </c>
      <c r="C105" s="1" t="e">
        <v>#NAME?</v>
      </c>
      <c r="D105" s="2" t="e">
        <v>#NAME?</v>
      </c>
      <c r="E105" s="3" t="e">
        <v>#NAME?</v>
      </c>
      <c r="F105" s="1">
        <v>10</v>
      </c>
      <c r="G105" s="1" t="e">
        <v>#NAME?</v>
      </c>
      <c r="H105" s="2" t="e">
        <v>#NAME?</v>
      </c>
      <c r="I105" s="3" t="e">
        <v>#NAME?</v>
      </c>
      <c r="J105" s="30">
        <f>IF(COUNT(E96:E105,I96:I105)=0,0,COUNT(E96:E105,I96:I105))</f>
        <v>0</v>
      </c>
      <c r="K105" s="4"/>
      <c r="L105" s="4"/>
      <c r="N105" t="str">
        <f t="shared" si="7"/>
        <v/>
      </c>
      <c r="O105" t="str">
        <f t="shared" si="7"/>
        <v/>
      </c>
    </row>
    <row r="106" spans="1:15" s="4" customFormat="1" hidden="1" x14ac:dyDescent="0.45">
      <c r="E106" s="35"/>
      <c r="I106" s="35"/>
    </row>
    <row r="107" spans="1:15" s="4" customFormat="1" x14ac:dyDescent="0.45">
      <c r="E107" s="35"/>
      <c r="I107" s="35"/>
    </row>
    <row r="108" spans="1:15" s="4" customFormat="1" x14ac:dyDescent="0.45">
      <c r="E108" s="35"/>
      <c r="I108" s="35"/>
    </row>
    <row r="109" spans="1:15" s="4" customFormat="1" x14ac:dyDescent="0.45">
      <c r="E109" s="35"/>
      <c r="I109" s="35"/>
    </row>
    <row r="110" spans="1:15" s="4" customFormat="1" x14ac:dyDescent="0.45">
      <c r="E110" s="35"/>
      <c r="I110" s="35"/>
    </row>
    <row r="111" spans="1:15" s="4" customFormat="1" x14ac:dyDescent="0.45">
      <c r="E111" s="35"/>
      <c r="I111" s="35"/>
    </row>
    <row r="112" spans="1:15" s="4" customFormat="1" x14ac:dyDescent="0.45">
      <c r="E112" s="35"/>
      <c r="I112" s="35"/>
    </row>
    <row r="113" spans="5:9" s="4" customFormat="1" x14ac:dyDescent="0.45">
      <c r="E113" s="35"/>
      <c r="I113" s="35"/>
    </row>
    <row r="114" spans="5:9" s="4" customFormat="1" x14ac:dyDescent="0.45">
      <c r="E114" s="35"/>
      <c r="I114" s="35"/>
    </row>
    <row r="115" spans="5:9" s="4" customFormat="1" x14ac:dyDescent="0.45">
      <c r="E115" s="35"/>
      <c r="I115" s="35"/>
    </row>
    <row r="116" spans="5:9" s="4" customFormat="1" x14ac:dyDescent="0.45">
      <c r="E116" s="35"/>
      <c r="I116" s="35"/>
    </row>
    <row r="117" spans="5:9" s="4" customFormat="1" x14ac:dyDescent="0.45">
      <c r="E117" s="35"/>
      <c r="I117" s="35"/>
    </row>
    <row r="118" spans="5:9" s="4" customFormat="1" x14ac:dyDescent="0.45">
      <c r="E118" s="35"/>
      <c r="I118" s="35"/>
    </row>
    <row r="119" spans="5:9" s="4" customFormat="1" x14ac:dyDescent="0.45">
      <c r="E119" s="35"/>
      <c r="I119" s="35"/>
    </row>
    <row r="120" spans="5:9" s="4" customFormat="1" x14ac:dyDescent="0.45">
      <c r="E120" s="35"/>
      <c r="I120" s="35"/>
    </row>
  </sheetData>
  <mergeCells count="55">
    <mergeCell ref="J96:K96"/>
    <mergeCell ref="J83:K83"/>
    <mergeCell ref="B93:K93"/>
    <mergeCell ref="B94:E94"/>
    <mergeCell ref="F94:I94"/>
    <mergeCell ref="J94:K94"/>
    <mergeCell ref="J95:K95"/>
    <mergeCell ref="J82:K82"/>
    <mergeCell ref="J59:K59"/>
    <mergeCell ref="B67:K67"/>
    <mergeCell ref="B68:E68"/>
    <mergeCell ref="F68:I68"/>
    <mergeCell ref="J68:K68"/>
    <mergeCell ref="J69:K69"/>
    <mergeCell ref="J70:K70"/>
    <mergeCell ref="B80:K80"/>
    <mergeCell ref="B81:E81"/>
    <mergeCell ref="F81:I81"/>
    <mergeCell ref="J81:K81"/>
    <mergeCell ref="J58:K58"/>
    <mergeCell ref="B42:E42"/>
    <mergeCell ref="F42:I42"/>
    <mergeCell ref="J42:K42"/>
    <mergeCell ref="J43:K43"/>
    <mergeCell ref="J44:K44"/>
    <mergeCell ref="B54:K54"/>
    <mergeCell ref="B55:E55"/>
    <mergeCell ref="F55:I55"/>
    <mergeCell ref="J55:K55"/>
    <mergeCell ref="J56:K56"/>
    <mergeCell ref="J57:K57"/>
    <mergeCell ref="B41:K41"/>
    <mergeCell ref="J17:K17"/>
    <mergeCell ref="J18:K18"/>
    <mergeCell ref="J19:K19"/>
    <mergeCell ref="J20:K20"/>
    <mergeCell ref="J21:K21"/>
    <mergeCell ref="B28:K28"/>
    <mergeCell ref="B29:E29"/>
    <mergeCell ref="F29:I29"/>
    <mergeCell ref="J29:K29"/>
    <mergeCell ref="J30:K30"/>
    <mergeCell ref="J31:K31"/>
    <mergeCell ref="J5:K5"/>
    <mergeCell ref="J6:K6"/>
    <mergeCell ref="B15:K15"/>
    <mergeCell ref="B16:E16"/>
    <mergeCell ref="F16:I16"/>
    <mergeCell ref="J16:K16"/>
    <mergeCell ref="J4:K4"/>
    <mergeCell ref="B1:K1"/>
    <mergeCell ref="B2:K2"/>
    <mergeCell ref="B3:E3"/>
    <mergeCell ref="F3:I3"/>
    <mergeCell ref="J3:K3"/>
  </mergeCells>
  <conditionalFormatting sqref="E5:E14">
    <cfRule type="expression" dxfId="17" priority="10">
      <formula>AND(E5&gt;$O5,E5&lt;&gt;"")</formula>
    </cfRule>
    <cfRule type="expression" dxfId="16" priority="11">
      <formula>AND(E5&gt;$N5,E5&lt;&gt;"")</formula>
    </cfRule>
  </conditionalFormatting>
  <conditionalFormatting sqref="E44:E53">
    <cfRule type="expression" dxfId="15" priority="8">
      <formula>AND(E44&gt;$O44,E44&lt;&gt;"")</formula>
    </cfRule>
    <cfRule type="expression" dxfId="14" priority="9">
      <formula>AND(E44&gt;$N44,E44&lt;&gt;"")</formula>
    </cfRule>
  </conditionalFormatting>
  <conditionalFormatting sqref="E83:E92">
    <cfRule type="expression" dxfId="13" priority="2">
      <formula>AND(E83&gt;$O83,E83&lt;&gt;"")</formula>
    </cfRule>
    <cfRule type="expression" dxfId="12" priority="3">
      <formula>AND(E83&gt;$N83,E83&lt;&gt;"")</formula>
    </cfRule>
    <cfRule type="expression" dxfId="11" priority="4">
      <formula>AND(E83&gt;$O83,E83&lt;&gt;"")</formula>
    </cfRule>
    <cfRule type="expression" dxfId="10" priority="5">
      <formula>AND(E83&gt;$N83,E83&lt;&gt;"")</formula>
    </cfRule>
  </conditionalFormatting>
  <conditionalFormatting sqref="I5:I14 E18:E27 I18:I27 E31:E40 I31:I40 E44:E53 I44:I53 E57:E66 I57:I66 E70:E79 I70:I79 I83:I92 E96:E105 I96:I105">
    <cfRule type="expression" dxfId="9" priority="6">
      <formula>AND(E5&gt;$O5,E5&lt;&gt;"")</formula>
    </cfRule>
    <cfRule type="expression" dxfId="8" priority="7">
      <formula>AND(E5&gt;$N5,E5&lt;&gt;"")</formula>
    </cfRule>
  </conditionalFormatting>
  <conditionalFormatting sqref="J14 J27 J40 J53 J66">
    <cfRule type="cellIs" dxfId="7" priority="1" operator="greaterThan">
      <formula>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7"/>
  <dimension ref="A1:O113"/>
  <sheetViews>
    <sheetView tabSelected="1" workbookViewId="0">
      <selection activeCell="C52" sqref="C52"/>
    </sheetView>
  </sheetViews>
  <sheetFormatPr defaultRowHeight="14.25" x14ac:dyDescent="0.45"/>
  <cols>
    <col min="1" max="1" width="1.73046875" customWidth="1"/>
    <col min="2" max="2" width="3" customWidth="1"/>
    <col min="3" max="3" width="26.59765625" customWidth="1"/>
    <col min="4" max="4" width="11.1328125" customWidth="1"/>
    <col min="5" max="5" width="7.86328125" style="14" customWidth="1"/>
    <col min="6" max="6" width="3" customWidth="1"/>
    <col min="7" max="7" width="26.59765625" customWidth="1"/>
    <col min="8" max="8" width="11.1328125" customWidth="1"/>
    <col min="9" max="9" width="7.86328125" style="14" customWidth="1"/>
    <col min="10" max="10" width="8.59765625" customWidth="1"/>
    <col min="11" max="11" width="12.73046875" customWidth="1"/>
    <col min="13" max="15" width="2" hidden="1" customWidth="1"/>
  </cols>
  <sheetData>
    <row r="1" spans="1:15" ht="30.75" customHeight="1" x14ac:dyDescent="0.45">
      <c r="A1" s="4"/>
      <c r="B1" s="53" t="s">
        <v>434</v>
      </c>
      <c r="C1" s="53"/>
      <c r="D1" s="53"/>
      <c r="E1" s="53"/>
      <c r="F1" s="53"/>
      <c r="G1" s="53"/>
      <c r="H1" s="53"/>
      <c r="I1" s="53"/>
      <c r="J1" s="53"/>
      <c r="K1" s="53"/>
      <c r="L1" s="4"/>
    </row>
    <row r="2" spans="1:15" ht="21" customHeight="1" x14ac:dyDescent="0.65">
      <c r="A2" s="4"/>
      <c r="B2" s="42" t="s">
        <v>435</v>
      </c>
      <c r="C2" s="43"/>
      <c r="D2" s="43"/>
      <c r="E2" s="43"/>
      <c r="F2" s="43"/>
      <c r="G2" s="43"/>
      <c r="H2" s="43"/>
      <c r="I2" s="43"/>
      <c r="J2" s="43"/>
      <c r="K2" s="44"/>
      <c r="L2" s="4"/>
    </row>
    <row r="3" spans="1:15" ht="15" customHeight="1" x14ac:dyDescent="0.45">
      <c r="A3" s="4"/>
      <c r="B3" s="45" t="s">
        <v>2</v>
      </c>
      <c r="C3" s="46"/>
      <c r="D3" s="46"/>
      <c r="E3" s="46"/>
      <c r="F3" s="46" t="s">
        <v>3</v>
      </c>
      <c r="G3" s="46"/>
      <c r="H3" s="46"/>
      <c r="I3" s="46"/>
      <c r="J3" s="46" t="s">
        <v>43</v>
      </c>
      <c r="K3" s="47"/>
      <c r="L3" s="4"/>
    </row>
    <row r="4" spans="1:15" x14ac:dyDescent="0.45">
      <c r="A4" s="4"/>
      <c r="B4" s="5"/>
      <c r="C4" s="5" t="s">
        <v>5</v>
      </c>
      <c r="D4" s="6" t="s">
        <v>6</v>
      </c>
      <c r="E4" s="7" t="s">
        <v>7</v>
      </c>
      <c r="F4" s="5"/>
      <c r="G4" s="5" t="s">
        <v>5</v>
      </c>
      <c r="H4" s="6" t="s">
        <v>6</v>
      </c>
      <c r="I4" s="7" t="s">
        <v>7</v>
      </c>
      <c r="J4" s="48" t="s">
        <v>436</v>
      </c>
      <c r="K4" s="48"/>
      <c r="L4" s="4"/>
      <c r="N4" t="str">
        <f>MID(B2,1,1)</f>
        <v>F</v>
      </c>
      <c r="O4" t="str">
        <f>IF(ISERROR(VLOOKUP(N4,Leeftijdscatogorie,1,FALSE)=TRUE),"",N4)</f>
        <v/>
      </c>
    </row>
    <row r="5" spans="1:15" x14ac:dyDescent="0.45">
      <c r="A5" s="4"/>
      <c r="B5" s="1">
        <v>1</v>
      </c>
      <c r="C5" s="1" t="s">
        <v>437</v>
      </c>
      <c r="D5" s="2">
        <v>40446</v>
      </c>
      <c r="E5" s="3">
        <v>7</v>
      </c>
      <c r="F5" s="1">
        <v>1</v>
      </c>
      <c r="G5" s="1" t="s">
        <v>438</v>
      </c>
      <c r="H5" s="2">
        <v>40381</v>
      </c>
      <c r="I5" s="3">
        <v>7</v>
      </c>
      <c r="J5" s="57" t="s">
        <v>439</v>
      </c>
      <c r="K5" s="57"/>
      <c r="L5" s="4"/>
      <c r="M5" t="str">
        <f>IF(O4="","",VLOOKUP(O4,Leeftijdscatogorie,2,FALSE))</f>
        <v/>
      </c>
      <c r="N5" t="str">
        <f>IF(O4="","",VLOOKUP(O4,Leeftijdscatogorie,3,FALSE))</f>
        <v/>
      </c>
      <c r="O5" t="str">
        <f>IF(O4="","",VLOOKUP(O4,Leeftijdscatogorie,4,FALSE))</f>
        <v/>
      </c>
    </row>
    <row r="6" spans="1:15" x14ac:dyDescent="0.45">
      <c r="A6" s="4"/>
      <c r="B6" s="1">
        <v>2</v>
      </c>
      <c r="C6" s="1" t="s">
        <v>440</v>
      </c>
      <c r="D6" s="2">
        <v>40439</v>
      </c>
      <c r="E6" s="3">
        <v>7</v>
      </c>
      <c r="F6" s="1">
        <v>2</v>
      </c>
      <c r="G6" s="1" t="s">
        <v>441</v>
      </c>
      <c r="H6" s="2">
        <v>40869</v>
      </c>
      <c r="I6" s="3">
        <v>6</v>
      </c>
      <c r="J6" s="38" t="s">
        <v>442</v>
      </c>
      <c r="K6" s="39"/>
      <c r="L6" s="4"/>
      <c r="N6" t="str">
        <f>N5</f>
        <v/>
      </c>
      <c r="O6" t="str">
        <f>O5</f>
        <v/>
      </c>
    </row>
    <row r="7" spans="1:15" x14ac:dyDescent="0.45">
      <c r="A7" s="4"/>
      <c r="B7" s="1">
        <v>3</v>
      </c>
      <c r="C7" s="1" t="s">
        <v>443</v>
      </c>
      <c r="D7" s="2">
        <v>40227</v>
      </c>
      <c r="E7" s="3">
        <v>7</v>
      </c>
      <c r="F7" s="1">
        <v>3</v>
      </c>
      <c r="G7" s="1" t="s">
        <v>444</v>
      </c>
      <c r="H7" s="2">
        <v>40413</v>
      </c>
      <c r="I7" s="3">
        <v>7</v>
      </c>
      <c r="J7" s="4"/>
      <c r="K7" s="4"/>
      <c r="L7" s="4"/>
      <c r="N7" t="str">
        <f t="shared" ref="N7:O14" si="0">N6</f>
        <v/>
      </c>
      <c r="O7" t="str">
        <f t="shared" si="0"/>
        <v/>
      </c>
    </row>
    <row r="8" spans="1:15" x14ac:dyDescent="0.45">
      <c r="A8" s="4"/>
      <c r="B8" s="1">
        <v>4</v>
      </c>
      <c r="C8" s="1" t="s">
        <v>37</v>
      </c>
      <c r="D8" s="2" t="s">
        <v>37</v>
      </c>
      <c r="E8" s="3" t="s">
        <v>37</v>
      </c>
      <c r="F8" s="1">
        <v>4</v>
      </c>
      <c r="G8" s="1" t="s">
        <v>37</v>
      </c>
      <c r="H8" s="2" t="s">
        <v>37</v>
      </c>
      <c r="I8" s="3" t="s">
        <v>37</v>
      </c>
      <c r="J8" s="17"/>
      <c r="K8" s="4"/>
      <c r="L8" s="4"/>
      <c r="N8" t="str">
        <f t="shared" si="0"/>
        <v/>
      </c>
      <c r="O8" t="str">
        <f t="shared" si="0"/>
        <v/>
      </c>
    </row>
    <row r="9" spans="1:15" x14ac:dyDescent="0.45">
      <c r="A9" s="4"/>
      <c r="B9" s="1">
        <v>5</v>
      </c>
      <c r="C9" s="1" t="s">
        <v>37</v>
      </c>
      <c r="D9" s="2" t="s">
        <v>37</v>
      </c>
      <c r="E9" s="3" t="s">
        <v>37</v>
      </c>
      <c r="F9" s="1">
        <v>5</v>
      </c>
      <c r="G9" s="1" t="s">
        <v>37</v>
      </c>
      <c r="H9" s="2" t="s">
        <v>37</v>
      </c>
      <c r="I9" s="3" t="s">
        <v>37</v>
      </c>
      <c r="J9" s="17"/>
      <c r="K9" s="4"/>
      <c r="L9" s="4"/>
      <c r="N9" t="str">
        <f t="shared" si="0"/>
        <v/>
      </c>
      <c r="O9" t="str">
        <f t="shared" si="0"/>
        <v/>
      </c>
    </row>
    <row r="10" spans="1:15" x14ac:dyDescent="0.45">
      <c r="A10" s="4"/>
      <c r="B10" s="1">
        <v>6</v>
      </c>
      <c r="C10" s="1" t="s">
        <v>37</v>
      </c>
      <c r="D10" s="2" t="s">
        <v>37</v>
      </c>
      <c r="E10" s="3" t="s">
        <v>37</v>
      </c>
      <c r="F10" s="1">
        <v>6</v>
      </c>
      <c r="G10" s="1" t="s">
        <v>37</v>
      </c>
      <c r="H10" s="2" t="s">
        <v>37</v>
      </c>
      <c r="I10" s="3" t="s">
        <v>37</v>
      </c>
      <c r="J10" s="17"/>
      <c r="K10" s="4"/>
      <c r="L10" s="4"/>
      <c r="N10" t="str">
        <f t="shared" si="0"/>
        <v/>
      </c>
      <c r="O10" t="str">
        <f t="shared" si="0"/>
        <v/>
      </c>
    </row>
    <row r="11" spans="1:15" x14ac:dyDescent="0.45">
      <c r="A11" s="4"/>
      <c r="B11" s="1">
        <v>7</v>
      </c>
      <c r="C11" s="1" t="s">
        <v>37</v>
      </c>
      <c r="D11" s="2" t="s">
        <v>37</v>
      </c>
      <c r="E11" s="3" t="s">
        <v>37</v>
      </c>
      <c r="F11" s="1">
        <v>7</v>
      </c>
      <c r="G11" s="1" t="s">
        <v>37</v>
      </c>
      <c r="H11" s="2" t="s">
        <v>37</v>
      </c>
      <c r="I11" s="3" t="s">
        <v>37</v>
      </c>
      <c r="J11" s="4"/>
      <c r="K11" s="4"/>
      <c r="L11" s="4"/>
      <c r="N11" t="str">
        <f t="shared" si="0"/>
        <v/>
      </c>
      <c r="O11" t="str">
        <f t="shared" si="0"/>
        <v/>
      </c>
    </row>
    <row r="12" spans="1:15" x14ac:dyDescent="0.45">
      <c r="A12" s="4"/>
      <c r="B12" s="1">
        <v>8</v>
      </c>
      <c r="C12" s="1" t="s">
        <v>37</v>
      </c>
      <c r="D12" s="2" t="s">
        <v>37</v>
      </c>
      <c r="E12" s="3" t="s">
        <v>37</v>
      </c>
      <c r="F12" s="1">
        <v>8</v>
      </c>
      <c r="G12" s="1" t="s">
        <v>37</v>
      </c>
      <c r="H12" s="2" t="s">
        <v>37</v>
      </c>
      <c r="I12" s="3" t="s">
        <v>37</v>
      </c>
      <c r="J12" s="4"/>
      <c r="K12" s="4"/>
      <c r="L12" s="4"/>
      <c r="N12" t="str">
        <f t="shared" si="0"/>
        <v/>
      </c>
      <c r="O12" t="str">
        <f t="shared" si="0"/>
        <v/>
      </c>
    </row>
    <row r="13" spans="1:15" x14ac:dyDescent="0.45">
      <c r="A13" s="4"/>
      <c r="B13" s="1">
        <v>9</v>
      </c>
      <c r="C13" s="1" t="s">
        <v>37</v>
      </c>
      <c r="D13" s="2" t="s">
        <v>37</v>
      </c>
      <c r="E13" s="3" t="s">
        <v>37</v>
      </c>
      <c r="F13" s="1">
        <v>9</v>
      </c>
      <c r="G13" s="1" t="s">
        <v>37</v>
      </c>
      <c r="H13" s="2" t="s">
        <v>37</v>
      </c>
      <c r="I13" s="3" t="s">
        <v>37</v>
      </c>
      <c r="J13" s="36" t="s">
        <v>149</v>
      </c>
      <c r="K13" s="4"/>
      <c r="L13" s="4"/>
      <c r="N13" t="str">
        <f t="shared" si="0"/>
        <v/>
      </c>
      <c r="O13" t="str">
        <f t="shared" si="0"/>
        <v/>
      </c>
    </row>
    <row r="14" spans="1:15" x14ac:dyDescent="0.45">
      <c r="A14" s="4"/>
      <c r="B14" s="1">
        <v>10</v>
      </c>
      <c r="C14" s="1" t="s">
        <v>37</v>
      </c>
      <c r="D14" s="2" t="s">
        <v>37</v>
      </c>
      <c r="E14" s="3" t="s">
        <v>37</v>
      </c>
      <c r="F14" s="1">
        <v>10</v>
      </c>
      <c r="G14" s="1" t="s">
        <v>37</v>
      </c>
      <c r="H14" s="2" t="s">
        <v>37</v>
      </c>
      <c r="I14" s="3" t="s">
        <v>37</v>
      </c>
      <c r="J14" s="11">
        <f>AVERAGE(E5:E14,I5:I14)</f>
        <v>6.833333333333333</v>
      </c>
      <c r="K14" s="4"/>
      <c r="L14" s="4"/>
      <c r="N14" t="str">
        <f t="shared" si="0"/>
        <v/>
      </c>
      <c r="O14" t="str">
        <f t="shared" si="0"/>
        <v/>
      </c>
    </row>
    <row r="15" spans="1:15" ht="21" x14ac:dyDescent="0.65">
      <c r="A15" s="4"/>
      <c r="B15" s="42" t="s">
        <v>445</v>
      </c>
      <c r="C15" s="43"/>
      <c r="D15" s="43"/>
      <c r="E15" s="43"/>
      <c r="F15" s="43"/>
      <c r="G15" s="43"/>
      <c r="H15" s="43"/>
      <c r="I15" s="43"/>
      <c r="J15" s="43"/>
      <c r="K15" s="44"/>
      <c r="L15" s="4"/>
    </row>
    <row r="16" spans="1:15" x14ac:dyDescent="0.45">
      <c r="A16" s="4"/>
      <c r="B16" s="45" t="s">
        <v>2</v>
      </c>
      <c r="C16" s="46"/>
      <c r="D16" s="46"/>
      <c r="E16" s="46"/>
      <c r="F16" s="46" t="s">
        <v>3</v>
      </c>
      <c r="G16" s="46"/>
      <c r="H16" s="46"/>
      <c r="I16" s="46"/>
      <c r="J16" s="46" t="s">
        <v>43</v>
      </c>
      <c r="K16" s="47"/>
      <c r="L16" s="4"/>
    </row>
    <row r="17" spans="1:15" x14ac:dyDescent="0.45">
      <c r="A17" s="4"/>
      <c r="B17" s="18"/>
      <c r="C17" s="18" t="s">
        <v>5</v>
      </c>
      <c r="D17" s="19" t="s">
        <v>6</v>
      </c>
      <c r="E17" s="20" t="s">
        <v>7</v>
      </c>
      <c r="F17" s="18"/>
      <c r="G17" s="18" t="s">
        <v>5</v>
      </c>
      <c r="H17" s="19" t="s">
        <v>6</v>
      </c>
      <c r="I17" s="20" t="s">
        <v>7</v>
      </c>
      <c r="J17" s="75" t="s">
        <v>446</v>
      </c>
      <c r="K17" s="65"/>
      <c r="L17" s="4"/>
      <c r="N17" t="str">
        <f>MID(B15,1,1)</f>
        <v>F</v>
      </c>
      <c r="O17" t="str">
        <f>IF(ISERROR(VLOOKUP(N17,Leeftijdscatogorie,1,FALSE)=TRUE),"",N17)</f>
        <v/>
      </c>
    </row>
    <row r="18" spans="1:15" x14ac:dyDescent="0.45">
      <c r="A18" s="4"/>
      <c r="B18" s="1">
        <v>1</v>
      </c>
      <c r="C18" s="1" t="s">
        <v>447</v>
      </c>
      <c r="D18" s="2">
        <v>40498</v>
      </c>
      <c r="E18" s="3">
        <v>7</v>
      </c>
      <c r="F18" s="1">
        <v>1</v>
      </c>
      <c r="G18" s="1" t="s">
        <v>37</v>
      </c>
      <c r="H18" s="2" t="s">
        <v>37</v>
      </c>
      <c r="I18" s="3" t="s">
        <v>37</v>
      </c>
      <c r="J18" s="57" t="s">
        <v>448</v>
      </c>
      <c r="K18" s="57"/>
      <c r="L18" s="4"/>
      <c r="M18" t="str">
        <f>IF(O17="","",VLOOKUP(O17,Leeftijdscatogorie,2,FALSE))</f>
        <v/>
      </c>
      <c r="N18" t="str">
        <f>IF(O17="","",VLOOKUP(O17,Leeftijdscatogorie,3,FALSE))</f>
        <v/>
      </c>
      <c r="O18" t="str">
        <f>IF(O17="","",VLOOKUP(O17,Leeftijdscatogorie,4,FALSE))</f>
        <v/>
      </c>
    </row>
    <row r="19" spans="1:15" x14ac:dyDescent="0.45">
      <c r="A19" s="4"/>
      <c r="B19" s="1">
        <v>2</v>
      </c>
      <c r="C19" s="1" t="s">
        <v>449</v>
      </c>
      <c r="D19" s="2">
        <v>40429</v>
      </c>
      <c r="E19" s="3">
        <v>7</v>
      </c>
      <c r="F19" s="1">
        <v>2</v>
      </c>
      <c r="G19" s="1" t="s">
        <v>37</v>
      </c>
      <c r="H19" s="2" t="s">
        <v>37</v>
      </c>
      <c r="I19" s="3" t="s">
        <v>37</v>
      </c>
      <c r="J19" s="4"/>
      <c r="K19" s="4"/>
      <c r="L19" s="4"/>
      <c r="N19" t="str">
        <f>N18</f>
        <v/>
      </c>
      <c r="O19" t="str">
        <f>O18</f>
        <v/>
      </c>
    </row>
    <row r="20" spans="1:15" x14ac:dyDescent="0.45">
      <c r="A20" s="4"/>
      <c r="B20" s="1">
        <v>3</v>
      </c>
      <c r="C20" s="1" t="s">
        <v>450</v>
      </c>
      <c r="D20" s="2">
        <v>40213</v>
      </c>
      <c r="E20" s="3">
        <v>7</v>
      </c>
      <c r="F20" s="1">
        <v>3</v>
      </c>
      <c r="G20" s="1" t="s">
        <v>37</v>
      </c>
      <c r="H20" s="2" t="s">
        <v>37</v>
      </c>
      <c r="I20" s="3" t="s">
        <v>37</v>
      </c>
      <c r="J20" s="4"/>
      <c r="K20" s="4"/>
      <c r="L20" s="4"/>
      <c r="N20" t="str">
        <f t="shared" ref="N20:O27" si="1">N19</f>
        <v/>
      </c>
      <c r="O20" t="str">
        <f t="shared" si="1"/>
        <v/>
      </c>
    </row>
    <row r="21" spans="1:15" x14ac:dyDescent="0.45">
      <c r="A21" s="4"/>
      <c r="B21" s="1">
        <v>4</v>
      </c>
      <c r="C21" s="1" t="s">
        <v>451</v>
      </c>
      <c r="D21" s="2">
        <v>40239</v>
      </c>
      <c r="E21" s="3">
        <v>7</v>
      </c>
      <c r="F21" s="1">
        <v>4</v>
      </c>
      <c r="G21" s="1" t="s">
        <v>37</v>
      </c>
      <c r="H21" s="2" t="s">
        <v>37</v>
      </c>
      <c r="I21" s="3" t="s">
        <v>37</v>
      </c>
      <c r="J21" s="4"/>
      <c r="K21" s="4"/>
      <c r="L21" s="4"/>
      <c r="N21" t="str">
        <f t="shared" si="1"/>
        <v/>
      </c>
      <c r="O21" t="str">
        <f t="shared" si="1"/>
        <v/>
      </c>
    </row>
    <row r="22" spans="1:15" x14ac:dyDescent="0.45">
      <c r="A22" s="4"/>
      <c r="B22" s="1">
        <v>5</v>
      </c>
      <c r="C22" s="1" t="s">
        <v>452</v>
      </c>
      <c r="D22" s="2">
        <v>40205</v>
      </c>
      <c r="E22" s="3">
        <v>7</v>
      </c>
      <c r="F22" s="1">
        <v>5</v>
      </c>
      <c r="G22" s="1" t="s">
        <v>37</v>
      </c>
      <c r="H22" s="2" t="s">
        <v>37</v>
      </c>
      <c r="I22" s="3" t="s">
        <v>37</v>
      </c>
      <c r="J22" s="4"/>
      <c r="K22" s="4"/>
      <c r="L22" s="4"/>
      <c r="N22" t="str">
        <f t="shared" si="1"/>
        <v/>
      </c>
      <c r="O22" t="str">
        <f t="shared" si="1"/>
        <v/>
      </c>
    </row>
    <row r="23" spans="1:15" x14ac:dyDescent="0.45">
      <c r="A23" s="4"/>
      <c r="B23" s="1">
        <v>6</v>
      </c>
      <c r="C23" s="1" t="s">
        <v>453</v>
      </c>
      <c r="D23" s="2">
        <v>40561</v>
      </c>
      <c r="E23" s="3">
        <v>6</v>
      </c>
      <c r="F23" s="1">
        <v>6</v>
      </c>
      <c r="G23" s="1" t="s">
        <v>37</v>
      </c>
      <c r="H23" s="2" t="s">
        <v>37</v>
      </c>
      <c r="I23" s="3" t="s">
        <v>37</v>
      </c>
      <c r="J23" s="4"/>
      <c r="K23" s="4"/>
      <c r="L23" s="4"/>
      <c r="N23" t="str">
        <f t="shared" si="1"/>
        <v/>
      </c>
      <c r="O23" t="str">
        <f t="shared" si="1"/>
        <v/>
      </c>
    </row>
    <row r="24" spans="1:15" x14ac:dyDescent="0.45">
      <c r="A24" s="4"/>
      <c r="B24" s="1">
        <v>7</v>
      </c>
      <c r="C24" s="1" t="s">
        <v>37</v>
      </c>
      <c r="D24" s="2" t="s">
        <v>37</v>
      </c>
      <c r="E24" s="3" t="s">
        <v>37</v>
      </c>
      <c r="F24" s="1">
        <v>7</v>
      </c>
      <c r="G24" s="1" t="s">
        <v>37</v>
      </c>
      <c r="H24" s="2" t="s">
        <v>37</v>
      </c>
      <c r="I24" s="3" t="s">
        <v>37</v>
      </c>
      <c r="J24" s="4"/>
      <c r="K24" s="4"/>
      <c r="L24" s="4"/>
      <c r="N24" t="str">
        <f t="shared" si="1"/>
        <v/>
      </c>
      <c r="O24" t="str">
        <f t="shared" si="1"/>
        <v/>
      </c>
    </row>
    <row r="25" spans="1:15" x14ac:dyDescent="0.45">
      <c r="A25" s="4"/>
      <c r="B25" s="1">
        <v>8</v>
      </c>
      <c r="C25" s="1" t="s">
        <v>37</v>
      </c>
      <c r="D25" s="2" t="s">
        <v>37</v>
      </c>
      <c r="E25" s="3" t="s">
        <v>37</v>
      </c>
      <c r="F25" s="1">
        <v>8</v>
      </c>
      <c r="G25" s="1" t="s">
        <v>37</v>
      </c>
      <c r="H25" s="2" t="s">
        <v>37</v>
      </c>
      <c r="I25" s="3" t="s">
        <v>37</v>
      </c>
      <c r="J25" s="4"/>
      <c r="K25" s="4"/>
      <c r="L25" s="4"/>
      <c r="N25" t="str">
        <f t="shared" si="1"/>
        <v/>
      </c>
      <c r="O25" t="str">
        <f t="shared" si="1"/>
        <v/>
      </c>
    </row>
    <row r="26" spans="1:15" x14ac:dyDescent="0.45">
      <c r="A26" s="4"/>
      <c r="B26" s="1">
        <v>9</v>
      </c>
      <c r="C26" s="1" t="s">
        <v>37</v>
      </c>
      <c r="D26" s="2" t="s">
        <v>37</v>
      </c>
      <c r="E26" s="3" t="s">
        <v>37</v>
      </c>
      <c r="F26" s="1">
        <v>9</v>
      </c>
      <c r="G26" s="1" t="s">
        <v>37</v>
      </c>
      <c r="H26" s="2" t="s">
        <v>37</v>
      </c>
      <c r="I26" s="3" t="s">
        <v>37</v>
      </c>
      <c r="J26" s="36" t="s">
        <v>149</v>
      </c>
      <c r="K26" s="4"/>
      <c r="L26" s="4"/>
      <c r="N26" t="str">
        <f t="shared" si="1"/>
        <v/>
      </c>
      <c r="O26" t="str">
        <f t="shared" si="1"/>
        <v/>
      </c>
    </row>
    <row r="27" spans="1:15" x14ac:dyDescent="0.45">
      <c r="A27" s="4"/>
      <c r="B27" s="1">
        <v>10</v>
      </c>
      <c r="C27" s="1" t="s">
        <v>37</v>
      </c>
      <c r="D27" s="2" t="s">
        <v>37</v>
      </c>
      <c r="E27" s="3" t="s">
        <v>37</v>
      </c>
      <c r="F27" s="1">
        <v>10</v>
      </c>
      <c r="G27" s="1" t="s">
        <v>37</v>
      </c>
      <c r="H27" s="2" t="s">
        <v>37</v>
      </c>
      <c r="I27" s="3" t="s">
        <v>37</v>
      </c>
      <c r="J27" s="11">
        <f>AVERAGE(E18:E27,I18:I27)</f>
        <v>6.833333333333333</v>
      </c>
      <c r="K27" s="4"/>
      <c r="L27" s="4"/>
      <c r="N27" t="str">
        <f t="shared" si="1"/>
        <v/>
      </c>
      <c r="O27" t="str">
        <f t="shared" si="1"/>
        <v/>
      </c>
    </row>
    <row r="28" spans="1:15" ht="21" x14ac:dyDescent="0.65">
      <c r="A28" s="4"/>
      <c r="B28" s="42" t="s">
        <v>454</v>
      </c>
      <c r="C28" s="43"/>
      <c r="D28" s="43"/>
      <c r="E28" s="43"/>
      <c r="F28" s="43"/>
      <c r="G28" s="43"/>
      <c r="H28" s="43"/>
      <c r="I28" s="43"/>
      <c r="J28" s="43"/>
      <c r="K28" s="44"/>
      <c r="L28" s="4"/>
    </row>
    <row r="29" spans="1:15" x14ac:dyDescent="0.45">
      <c r="A29" s="4"/>
      <c r="B29" s="45" t="s">
        <v>2</v>
      </c>
      <c r="C29" s="46"/>
      <c r="D29" s="46"/>
      <c r="E29" s="46"/>
      <c r="F29" s="46" t="s">
        <v>3</v>
      </c>
      <c r="G29" s="46"/>
      <c r="H29" s="46"/>
      <c r="I29" s="46"/>
      <c r="J29" s="46" t="s">
        <v>43</v>
      </c>
      <c r="K29" s="47"/>
      <c r="L29" s="4"/>
    </row>
    <row r="30" spans="1:15" x14ac:dyDescent="0.45">
      <c r="A30" s="4"/>
      <c r="B30" s="18"/>
      <c r="C30" s="18" t="s">
        <v>5</v>
      </c>
      <c r="D30" s="19" t="s">
        <v>6</v>
      </c>
      <c r="E30" s="20" t="s">
        <v>7</v>
      </c>
      <c r="F30" s="18"/>
      <c r="G30" s="18" t="s">
        <v>5</v>
      </c>
      <c r="H30" s="19" t="s">
        <v>6</v>
      </c>
      <c r="I30" s="20" t="s">
        <v>7</v>
      </c>
      <c r="J30" s="75" t="s">
        <v>455</v>
      </c>
      <c r="K30" s="65"/>
      <c r="L30" s="4"/>
      <c r="N30" t="str">
        <f>MID(B28,1,1)</f>
        <v>F</v>
      </c>
      <c r="O30" t="str">
        <f>IF(ISERROR(VLOOKUP(N30,Leeftijdscatogorie,1,FALSE)=TRUE),"",N30)</f>
        <v/>
      </c>
    </row>
    <row r="31" spans="1:15" x14ac:dyDescent="0.45">
      <c r="A31" s="4"/>
      <c r="B31" s="1">
        <v>1</v>
      </c>
      <c r="C31" s="16" t="s">
        <v>456</v>
      </c>
      <c r="D31" s="2">
        <v>40344</v>
      </c>
      <c r="E31" s="3">
        <v>7</v>
      </c>
      <c r="F31" s="1">
        <v>1</v>
      </c>
      <c r="G31" s="1" t="s">
        <v>457</v>
      </c>
      <c r="H31" s="2">
        <v>40291</v>
      </c>
      <c r="I31" s="3">
        <v>7</v>
      </c>
      <c r="J31" s="57" t="s">
        <v>458</v>
      </c>
      <c r="K31" s="57"/>
      <c r="L31" s="4"/>
      <c r="M31" t="str">
        <f>IF(O30="","",VLOOKUP(O30,Leeftijdscatogorie,2,FALSE))</f>
        <v/>
      </c>
      <c r="N31" t="str">
        <f>IF(O30="","",VLOOKUP(O30,Leeftijdscatogorie,3,FALSE))</f>
        <v/>
      </c>
      <c r="O31" t="str">
        <f>IF(O30="","",VLOOKUP(O30,Leeftijdscatogorie,4,FALSE))</f>
        <v/>
      </c>
    </row>
    <row r="32" spans="1:15" x14ac:dyDescent="0.45">
      <c r="A32" s="4"/>
      <c r="B32" s="1">
        <v>2</v>
      </c>
      <c r="C32" s="1" t="s">
        <v>459</v>
      </c>
      <c r="D32" s="2">
        <v>40512</v>
      </c>
      <c r="E32" s="3">
        <v>7</v>
      </c>
      <c r="F32" s="1">
        <v>2</v>
      </c>
      <c r="G32" s="1" t="s">
        <v>460</v>
      </c>
      <c r="H32" s="2">
        <v>40309</v>
      </c>
      <c r="I32" s="3">
        <v>7</v>
      </c>
      <c r="J32" s="4"/>
      <c r="K32" s="4"/>
      <c r="L32" s="4"/>
      <c r="N32" t="str">
        <f>N31</f>
        <v/>
      </c>
      <c r="O32" t="str">
        <f>O31</f>
        <v/>
      </c>
    </row>
    <row r="33" spans="1:15" x14ac:dyDescent="0.45">
      <c r="A33" s="4"/>
      <c r="B33" s="1">
        <v>3</v>
      </c>
      <c r="C33" s="1" t="s">
        <v>461</v>
      </c>
      <c r="D33" s="2">
        <v>40409</v>
      </c>
      <c r="E33" s="3">
        <v>7</v>
      </c>
      <c r="F33" s="1">
        <v>3</v>
      </c>
      <c r="G33" s="1" t="s">
        <v>37</v>
      </c>
      <c r="H33" s="2" t="s">
        <v>37</v>
      </c>
      <c r="I33" s="3" t="s">
        <v>37</v>
      </c>
      <c r="J33" s="23"/>
      <c r="K33" s="23"/>
      <c r="L33" s="23"/>
      <c r="N33" t="str">
        <f t="shared" ref="N33:O40" si="2">N32</f>
        <v/>
      </c>
      <c r="O33" t="str">
        <f t="shared" si="2"/>
        <v/>
      </c>
    </row>
    <row r="34" spans="1:15" x14ac:dyDescent="0.45">
      <c r="A34" s="4"/>
      <c r="B34" s="1">
        <v>4</v>
      </c>
      <c r="C34" s="1" t="s">
        <v>462</v>
      </c>
      <c r="D34" s="2">
        <v>40402</v>
      </c>
      <c r="E34" s="3">
        <v>7</v>
      </c>
      <c r="F34" s="1">
        <v>4</v>
      </c>
      <c r="G34" s="1" t="s">
        <v>37</v>
      </c>
      <c r="H34" s="2" t="s">
        <v>37</v>
      </c>
      <c r="I34" s="3" t="s">
        <v>37</v>
      </c>
      <c r="J34" s="23"/>
      <c r="K34" s="23"/>
      <c r="L34" s="23"/>
      <c r="N34" t="str">
        <f t="shared" si="2"/>
        <v/>
      </c>
      <c r="O34" t="str">
        <f t="shared" si="2"/>
        <v/>
      </c>
    </row>
    <row r="35" spans="1:15" x14ac:dyDescent="0.45">
      <c r="A35" s="4"/>
      <c r="B35" s="1">
        <v>5</v>
      </c>
      <c r="C35" s="1" t="s">
        <v>37</v>
      </c>
      <c r="D35" s="2" t="s">
        <v>37</v>
      </c>
      <c r="E35" s="3" t="s">
        <v>37</v>
      </c>
      <c r="F35" s="1">
        <v>5</v>
      </c>
      <c r="G35" s="1" t="s">
        <v>37</v>
      </c>
      <c r="H35" s="2" t="s">
        <v>37</v>
      </c>
      <c r="I35" s="3" t="s">
        <v>37</v>
      </c>
      <c r="J35" s="23"/>
      <c r="K35" s="23"/>
      <c r="L35" s="23"/>
      <c r="N35" t="str">
        <f t="shared" si="2"/>
        <v/>
      </c>
      <c r="O35" t="str">
        <f t="shared" si="2"/>
        <v/>
      </c>
    </row>
    <row r="36" spans="1:15" x14ac:dyDescent="0.45">
      <c r="A36" s="4"/>
      <c r="B36" s="1">
        <v>6</v>
      </c>
      <c r="C36" s="1" t="s">
        <v>37</v>
      </c>
      <c r="D36" s="2" t="s">
        <v>37</v>
      </c>
      <c r="E36" s="3" t="s">
        <v>37</v>
      </c>
      <c r="F36" s="1">
        <v>6</v>
      </c>
      <c r="G36" s="1" t="s">
        <v>37</v>
      </c>
      <c r="H36" s="2" t="s">
        <v>37</v>
      </c>
      <c r="I36" s="3" t="s">
        <v>37</v>
      </c>
      <c r="J36" s="23"/>
      <c r="K36" s="23"/>
      <c r="L36" s="23"/>
      <c r="N36" t="str">
        <f t="shared" si="2"/>
        <v/>
      </c>
      <c r="O36" t="str">
        <f t="shared" si="2"/>
        <v/>
      </c>
    </row>
    <row r="37" spans="1:15" x14ac:dyDescent="0.45">
      <c r="A37" s="4"/>
      <c r="B37" s="1">
        <v>7</v>
      </c>
      <c r="C37" s="1" t="s">
        <v>37</v>
      </c>
      <c r="D37" s="2" t="s">
        <v>37</v>
      </c>
      <c r="E37" s="3" t="s">
        <v>37</v>
      </c>
      <c r="F37" s="1">
        <v>7</v>
      </c>
      <c r="G37" s="1" t="s">
        <v>37</v>
      </c>
      <c r="H37" s="2" t="s">
        <v>37</v>
      </c>
      <c r="I37" s="3" t="s">
        <v>37</v>
      </c>
      <c r="J37" s="4"/>
      <c r="K37" s="4"/>
      <c r="L37" s="4"/>
      <c r="N37" t="str">
        <f t="shared" si="2"/>
        <v/>
      </c>
      <c r="O37" t="str">
        <f t="shared" si="2"/>
        <v/>
      </c>
    </row>
    <row r="38" spans="1:15" x14ac:dyDescent="0.45">
      <c r="A38" s="4"/>
      <c r="B38" s="1">
        <v>8</v>
      </c>
      <c r="C38" s="1" t="s">
        <v>37</v>
      </c>
      <c r="D38" s="2" t="s">
        <v>37</v>
      </c>
      <c r="E38" s="3" t="s">
        <v>37</v>
      </c>
      <c r="F38" s="1">
        <v>8</v>
      </c>
      <c r="G38" s="1" t="s">
        <v>37</v>
      </c>
      <c r="H38" s="2" t="s">
        <v>37</v>
      </c>
      <c r="I38" s="3" t="s">
        <v>37</v>
      </c>
      <c r="J38" s="4"/>
      <c r="K38" s="4"/>
      <c r="L38" s="4"/>
      <c r="N38" t="str">
        <f t="shared" si="2"/>
        <v/>
      </c>
      <c r="O38" t="str">
        <f t="shared" si="2"/>
        <v/>
      </c>
    </row>
    <row r="39" spans="1:15" x14ac:dyDescent="0.45">
      <c r="A39" s="4"/>
      <c r="B39" s="1">
        <v>9</v>
      </c>
      <c r="C39" s="1" t="s">
        <v>37</v>
      </c>
      <c r="D39" s="2" t="s">
        <v>37</v>
      </c>
      <c r="E39" s="3" t="s">
        <v>37</v>
      </c>
      <c r="F39" s="1">
        <v>9</v>
      </c>
      <c r="G39" s="1" t="s">
        <v>37</v>
      </c>
      <c r="H39" s="2" t="s">
        <v>37</v>
      </c>
      <c r="I39" s="3" t="s">
        <v>37</v>
      </c>
      <c r="J39" s="36" t="s">
        <v>149</v>
      </c>
      <c r="K39" s="4"/>
      <c r="L39" s="4"/>
      <c r="N39" t="str">
        <f t="shared" si="2"/>
        <v/>
      </c>
      <c r="O39" t="str">
        <f t="shared" si="2"/>
        <v/>
      </c>
    </row>
    <row r="40" spans="1:15" x14ac:dyDescent="0.45">
      <c r="A40" s="4"/>
      <c r="B40" s="1">
        <v>10</v>
      </c>
      <c r="C40" s="1" t="s">
        <v>37</v>
      </c>
      <c r="D40" s="2" t="s">
        <v>37</v>
      </c>
      <c r="E40" s="3" t="s">
        <v>37</v>
      </c>
      <c r="F40" s="1">
        <v>10</v>
      </c>
      <c r="G40" s="1" t="s">
        <v>37</v>
      </c>
      <c r="H40" s="2" t="s">
        <v>37</v>
      </c>
      <c r="I40" s="3" t="s">
        <v>37</v>
      </c>
      <c r="J40" s="11">
        <f>AVERAGE(E31:E40,I31:I40)</f>
        <v>7</v>
      </c>
      <c r="K40" s="4"/>
      <c r="L40" s="4"/>
      <c r="N40" t="str">
        <f t="shared" si="2"/>
        <v/>
      </c>
      <c r="O40" t="str">
        <f t="shared" si="2"/>
        <v/>
      </c>
    </row>
    <row r="41" spans="1:15" ht="21" x14ac:dyDescent="0.65">
      <c r="A41" s="4"/>
      <c r="B41" s="42" t="s">
        <v>463</v>
      </c>
      <c r="C41" s="43"/>
      <c r="D41" s="43"/>
      <c r="E41" s="43"/>
      <c r="F41" s="43"/>
      <c r="G41" s="43"/>
      <c r="H41" s="43"/>
      <c r="I41" s="43"/>
      <c r="J41" s="43"/>
      <c r="K41" s="44"/>
      <c r="L41" s="4"/>
    </row>
    <row r="42" spans="1:15" x14ac:dyDescent="0.45">
      <c r="A42" s="4"/>
      <c r="B42" s="45" t="s">
        <v>2</v>
      </c>
      <c r="C42" s="46"/>
      <c r="D42" s="46"/>
      <c r="E42" s="46"/>
      <c r="F42" s="46" t="s">
        <v>3</v>
      </c>
      <c r="G42" s="46"/>
      <c r="H42" s="46"/>
      <c r="I42" s="46"/>
      <c r="J42" s="46" t="s">
        <v>43</v>
      </c>
      <c r="K42" s="47"/>
      <c r="L42" s="4"/>
    </row>
    <row r="43" spans="1:15" x14ac:dyDescent="0.45">
      <c r="A43" s="4"/>
      <c r="B43" s="18"/>
      <c r="C43" s="18" t="s">
        <v>5</v>
      </c>
      <c r="D43" s="19" t="s">
        <v>6</v>
      </c>
      <c r="E43" s="20" t="s">
        <v>7</v>
      </c>
      <c r="F43" s="18"/>
      <c r="G43" s="18" t="s">
        <v>5</v>
      </c>
      <c r="H43" s="19" t="s">
        <v>6</v>
      </c>
      <c r="I43" s="20" t="s">
        <v>7</v>
      </c>
      <c r="J43" s="57" t="s">
        <v>464</v>
      </c>
      <c r="K43" s="57"/>
      <c r="L43" s="4"/>
      <c r="N43" t="str">
        <f>MID(B41,1,1)</f>
        <v>F</v>
      </c>
      <c r="O43" t="str">
        <f>IF(ISERROR(VLOOKUP(N43,Leeftijdscatogorie,1,FALSE)=TRUE),"",N43)</f>
        <v/>
      </c>
    </row>
    <row r="44" spans="1:15" x14ac:dyDescent="0.45">
      <c r="A44" s="4"/>
      <c r="B44" s="1">
        <v>1</v>
      </c>
      <c r="C44" s="1" t="s">
        <v>465</v>
      </c>
      <c r="D44" s="2">
        <v>40328</v>
      </c>
      <c r="E44" s="3">
        <v>7</v>
      </c>
      <c r="F44" s="1">
        <v>1</v>
      </c>
      <c r="G44" s="1"/>
      <c r="H44" s="2"/>
      <c r="I44" s="3"/>
      <c r="J44" s="57" t="s">
        <v>466</v>
      </c>
      <c r="K44" s="57"/>
      <c r="L44" s="4"/>
      <c r="M44" t="str">
        <f>IF(O43="","",VLOOKUP(O43,Leeftijdscatogorie,2,FALSE))</f>
        <v/>
      </c>
      <c r="N44" t="str">
        <f>IF(O43="","",VLOOKUP(O43,Leeftijdscatogorie,3,FALSE))</f>
        <v/>
      </c>
      <c r="O44" t="str">
        <f>IF(O43="","",VLOOKUP(O43,Leeftijdscatogorie,4,FALSE))</f>
        <v/>
      </c>
    </row>
    <row r="45" spans="1:15" x14ac:dyDescent="0.45">
      <c r="A45" s="4"/>
      <c r="B45" s="1">
        <v>2</v>
      </c>
      <c r="C45" s="1" t="s">
        <v>467</v>
      </c>
      <c r="D45" s="2">
        <v>40327</v>
      </c>
      <c r="E45" s="3">
        <v>7</v>
      </c>
      <c r="F45" s="1">
        <v>2</v>
      </c>
      <c r="G45" s="1" t="s">
        <v>37</v>
      </c>
      <c r="H45" s="2" t="s">
        <v>37</v>
      </c>
      <c r="I45" s="3" t="s">
        <v>37</v>
      </c>
      <c r="J45" s="4"/>
      <c r="K45" s="4"/>
      <c r="L45" s="4"/>
      <c r="N45" t="str">
        <f>N44</f>
        <v/>
      </c>
      <c r="O45" t="str">
        <f>O44</f>
        <v/>
      </c>
    </row>
    <row r="46" spans="1:15" x14ac:dyDescent="0.45">
      <c r="A46" s="4"/>
      <c r="B46" s="1">
        <v>3</v>
      </c>
      <c r="C46" s="16" t="s">
        <v>468</v>
      </c>
      <c r="D46" s="2">
        <v>40565</v>
      </c>
      <c r="E46" s="3">
        <v>6</v>
      </c>
      <c r="F46" s="1">
        <v>3</v>
      </c>
      <c r="G46" s="1" t="s">
        <v>37</v>
      </c>
      <c r="H46" s="2" t="s">
        <v>37</v>
      </c>
      <c r="I46" s="3" t="s">
        <v>37</v>
      </c>
      <c r="J46" s="4"/>
      <c r="K46" s="4"/>
      <c r="L46" s="4"/>
      <c r="N46" t="str">
        <f t="shared" ref="N46:O53" si="3">N45</f>
        <v/>
      </c>
      <c r="O46" t="str">
        <f t="shared" si="3"/>
        <v/>
      </c>
    </row>
    <row r="47" spans="1:15" x14ac:dyDescent="0.45">
      <c r="A47" s="4"/>
      <c r="B47" s="1">
        <v>4</v>
      </c>
      <c r="C47" s="1" t="s">
        <v>469</v>
      </c>
      <c r="D47" s="2">
        <v>40660</v>
      </c>
      <c r="E47" s="3">
        <v>6</v>
      </c>
      <c r="F47" s="1">
        <v>4</v>
      </c>
      <c r="G47" s="1" t="s">
        <v>37</v>
      </c>
      <c r="H47" s="2" t="s">
        <v>37</v>
      </c>
      <c r="I47" s="3" t="s">
        <v>37</v>
      </c>
      <c r="J47" s="4"/>
      <c r="K47" s="4"/>
      <c r="L47" s="4"/>
      <c r="N47" t="str">
        <f t="shared" si="3"/>
        <v/>
      </c>
      <c r="O47" t="str">
        <f t="shared" si="3"/>
        <v/>
      </c>
    </row>
    <row r="48" spans="1:15" x14ac:dyDescent="0.45">
      <c r="A48" s="4"/>
      <c r="B48" s="1">
        <v>5</v>
      </c>
      <c r="C48" s="1" t="s">
        <v>470</v>
      </c>
      <c r="D48" s="2">
        <v>40538</v>
      </c>
      <c r="E48" s="3">
        <v>7</v>
      </c>
      <c r="F48" s="1">
        <v>5</v>
      </c>
      <c r="G48" s="1" t="s">
        <v>37</v>
      </c>
      <c r="H48" s="2" t="s">
        <v>37</v>
      </c>
      <c r="I48" s="3" t="s">
        <v>37</v>
      </c>
      <c r="J48" s="4"/>
      <c r="K48" s="4"/>
      <c r="L48" s="4"/>
      <c r="N48" t="str">
        <f t="shared" si="3"/>
        <v/>
      </c>
      <c r="O48" t="str">
        <f t="shared" si="3"/>
        <v/>
      </c>
    </row>
    <row r="49" spans="1:15" x14ac:dyDescent="0.45">
      <c r="A49" s="4"/>
      <c r="B49" s="1">
        <v>6</v>
      </c>
      <c r="C49" s="1" t="s">
        <v>37</v>
      </c>
      <c r="D49" s="2" t="s">
        <v>37</v>
      </c>
      <c r="E49" s="3" t="s">
        <v>37</v>
      </c>
      <c r="F49" s="1">
        <v>6</v>
      </c>
      <c r="G49" s="1" t="s">
        <v>37</v>
      </c>
      <c r="H49" s="2" t="s">
        <v>37</v>
      </c>
      <c r="I49" s="3" t="s">
        <v>37</v>
      </c>
      <c r="J49" s="4"/>
      <c r="K49" s="4"/>
      <c r="L49" s="4"/>
      <c r="N49" t="str">
        <f t="shared" si="3"/>
        <v/>
      </c>
      <c r="O49" t="str">
        <f t="shared" si="3"/>
        <v/>
      </c>
    </row>
    <row r="50" spans="1:15" x14ac:dyDescent="0.45">
      <c r="A50" s="4"/>
      <c r="B50" s="1">
        <v>7</v>
      </c>
      <c r="C50" s="1" t="s">
        <v>37</v>
      </c>
      <c r="D50" s="2" t="s">
        <v>37</v>
      </c>
      <c r="E50" s="3" t="s">
        <v>37</v>
      </c>
      <c r="F50" s="1">
        <v>7</v>
      </c>
      <c r="G50" s="1" t="s">
        <v>37</v>
      </c>
      <c r="H50" s="2" t="s">
        <v>37</v>
      </c>
      <c r="I50" s="3" t="s">
        <v>37</v>
      </c>
      <c r="J50" s="4"/>
      <c r="K50" s="4"/>
      <c r="L50" s="4"/>
      <c r="N50" t="str">
        <f t="shared" si="3"/>
        <v/>
      </c>
      <c r="O50" t="str">
        <f t="shared" si="3"/>
        <v/>
      </c>
    </row>
    <row r="51" spans="1:15" x14ac:dyDescent="0.45">
      <c r="A51" s="4"/>
      <c r="B51" s="1">
        <v>8</v>
      </c>
      <c r="C51" s="1" t="s">
        <v>37</v>
      </c>
      <c r="D51" s="2" t="s">
        <v>37</v>
      </c>
      <c r="E51" s="3" t="s">
        <v>37</v>
      </c>
      <c r="F51" s="1">
        <v>8</v>
      </c>
      <c r="G51" s="1" t="s">
        <v>37</v>
      </c>
      <c r="H51" s="2" t="s">
        <v>37</v>
      </c>
      <c r="I51" s="3" t="s">
        <v>37</v>
      </c>
      <c r="J51" s="4"/>
      <c r="K51" s="4"/>
      <c r="L51" s="4"/>
      <c r="N51" t="str">
        <f t="shared" si="3"/>
        <v/>
      </c>
      <c r="O51" t="str">
        <f t="shared" si="3"/>
        <v/>
      </c>
    </row>
    <row r="52" spans="1:15" x14ac:dyDescent="0.45">
      <c r="A52" s="4"/>
      <c r="B52" s="1">
        <v>9</v>
      </c>
      <c r="C52" s="1" t="s">
        <v>37</v>
      </c>
      <c r="D52" s="2" t="s">
        <v>37</v>
      </c>
      <c r="E52" s="3" t="s">
        <v>37</v>
      </c>
      <c r="F52" s="1">
        <v>9</v>
      </c>
      <c r="G52" s="1" t="s">
        <v>37</v>
      </c>
      <c r="H52" s="2" t="s">
        <v>37</v>
      </c>
      <c r="I52" s="3" t="s">
        <v>37</v>
      </c>
      <c r="J52" s="36" t="s">
        <v>149</v>
      </c>
      <c r="K52" s="4"/>
      <c r="L52" s="4"/>
      <c r="N52" t="str">
        <f t="shared" si="3"/>
        <v/>
      </c>
      <c r="O52" t="str">
        <f t="shared" si="3"/>
        <v/>
      </c>
    </row>
    <row r="53" spans="1:15" x14ac:dyDescent="0.45">
      <c r="A53" s="4"/>
      <c r="B53" s="1">
        <v>10</v>
      </c>
      <c r="C53" s="1" t="s">
        <v>37</v>
      </c>
      <c r="D53" s="2" t="s">
        <v>37</v>
      </c>
      <c r="E53" s="3" t="s">
        <v>37</v>
      </c>
      <c r="F53" s="1">
        <v>10</v>
      </c>
      <c r="G53" s="1" t="s">
        <v>37</v>
      </c>
      <c r="H53" s="2" t="s">
        <v>37</v>
      </c>
      <c r="I53" s="3" t="s">
        <v>37</v>
      </c>
      <c r="J53" s="11">
        <f>AVERAGE(E44:E53,I44:I53)</f>
        <v>6.6</v>
      </c>
      <c r="K53" s="4"/>
      <c r="L53" s="4"/>
      <c r="N53" t="str">
        <f t="shared" si="3"/>
        <v/>
      </c>
      <c r="O53" t="str">
        <f t="shared" si="3"/>
        <v/>
      </c>
    </row>
    <row r="54" spans="1:15" ht="21" hidden="1" x14ac:dyDescent="0.65">
      <c r="A54" s="4"/>
      <c r="B54" s="42" t="s">
        <v>471</v>
      </c>
      <c r="C54" s="43"/>
      <c r="D54" s="43"/>
      <c r="E54" s="43"/>
      <c r="F54" s="43"/>
      <c r="G54" s="43"/>
      <c r="H54" s="43"/>
      <c r="I54" s="43"/>
      <c r="J54" s="43"/>
      <c r="K54" s="44"/>
      <c r="L54" s="4"/>
    </row>
    <row r="55" spans="1:15" hidden="1" x14ac:dyDescent="0.45">
      <c r="A55" s="4"/>
      <c r="B55" s="45" t="s">
        <v>2</v>
      </c>
      <c r="C55" s="46"/>
      <c r="D55" s="46"/>
      <c r="E55" s="46"/>
      <c r="F55" s="46" t="s">
        <v>3</v>
      </c>
      <c r="G55" s="46"/>
      <c r="H55" s="46"/>
      <c r="I55" s="46"/>
      <c r="J55" s="46" t="s">
        <v>43</v>
      </c>
      <c r="K55" s="47"/>
      <c r="L55" s="4"/>
    </row>
    <row r="56" spans="1:15" hidden="1" x14ac:dyDescent="0.45">
      <c r="A56" s="4"/>
      <c r="B56" s="18"/>
      <c r="C56" s="18" t="s">
        <v>5</v>
      </c>
      <c r="D56" s="19" t="s">
        <v>6</v>
      </c>
      <c r="E56" s="20" t="s">
        <v>7</v>
      </c>
      <c r="F56" s="18"/>
      <c r="G56" s="18" t="s">
        <v>5</v>
      </c>
      <c r="H56" s="19" t="s">
        <v>6</v>
      </c>
      <c r="I56" s="20" t="s">
        <v>7</v>
      </c>
      <c r="J56" s="37" t="s">
        <v>472</v>
      </c>
      <c r="K56" s="37"/>
      <c r="L56" s="4"/>
      <c r="N56" t="str">
        <f>MID(B54,1,1)</f>
        <v>F</v>
      </c>
      <c r="O56" t="str">
        <f>IF(ISERROR(VLOOKUP(N56,Leeftijdscatogorie,1,FALSE)=TRUE),"",N56)</f>
        <v/>
      </c>
    </row>
    <row r="57" spans="1:15" hidden="1" x14ac:dyDescent="0.45">
      <c r="A57" s="4"/>
      <c r="B57" s="1">
        <v>1</v>
      </c>
      <c r="C57" s="1" t="e">
        <v>#NAME?</v>
      </c>
      <c r="D57" s="2" t="e">
        <v>#NAME?</v>
      </c>
      <c r="E57" s="3" t="e">
        <v>#NAME?</v>
      </c>
      <c r="F57" s="1">
        <v>1</v>
      </c>
      <c r="G57" s="1" t="e">
        <v>#NAME?</v>
      </c>
      <c r="H57" s="2" t="e">
        <v>#NAME?</v>
      </c>
      <c r="I57" s="3" t="e">
        <v>#NAME?</v>
      </c>
      <c r="J57" s="37" t="s">
        <v>473</v>
      </c>
      <c r="K57" s="37"/>
      <c r="L57" s="4"/>
      <c r="M57" t="str">
        <f>IF(O56="","",VLOOKUP(O56,Leeftijdscatogorie,2,FALSE))</f>
        <v/>
      </c>
      <c r="N57" t="str">
        <f>IF(O56="","",VLOOKUP(O56,Leeftijdscatogorie,3,FALSE))</f>
        <v/>
      </c>
      <c r="O57" t="str">
        <f>IF(O56="","",VLOOKUP(O56,Leeftijdscatogorie,4,FALSE))</f>
        <v/>
      </c>
    </row>
    <row r="58" spans="1:15" hidden="1" x14ac:dyDescent="0.45">
      <c r="A58" s="4"/>
      <c r="B58" s="1">
        <v>2</v>
      </c>
      <c r="C58" s="1" t="e">
        <v>#NAME?</v>
      </c>
      <c r="D58" s="2" t="e">
        <v>#NAME?</v>
      </c>
      <c r="E58" s="3" t="e">
        <v>#NAME?</v>
      </c>
      <c r="F58" s="1">
        <v>2</v>
      </c>
      <c r="G58" s="1" t="e">
        <v>#NAME?</v>
      </c>
      <c r="H58" s="2" t="e">
        <v>#NAME?</v>
      </c>
      <c r="I58" s="3" t="e">
        <v>#NAME?</v>
      </c>
      <c r="J58" s="4"/>
      <c r="K58" s="4"/>
      <c r="L58" s="4"/>
      <c r="N58" t="str">
        <f>N57</f>
        <v/>
      </c>
      <c r="O58" t="str">
        <f>O57</f>
        <v/>
      </c>
    </row>
    <row r="59" spans="1:15" hidden="1" x14ac:dyDescent="0.45">
      <c r="A59" s="4"/>
      <c r="B59" s="1">
        <v>3</v>
      </c>
      <c r="C59" s="1" t="e">
        <v>#NAME?</v>
      </c>
      <c r="D59" s="2" t="e">
        <v>#NAME?</v>
      </c>
      <c r="E59" s="3" t="e">
        <v>#NAME?</v>
      </c>
      <c r="F59" s="1">
        <v>3</v>
      </c>
      <c r="G59" s="1" t="e">
        <v>#NAME?</v>
      </c>
      <c r="H59" s="2" t="e">
        <v>#NAME?</v>
      </c>
      <c r="I59" s="3" t="e">
        <v>#NAME?</v>
      </c>
      <c r="J59" s="4"/>
      <c r="K59" s="4"/>
      <c r="L59" s="4"/>
      <c r="N59" t="str">
        <f t="shared" ref="N59:O66" si="4">N58</f>
        <v/>
      </c>
      <c r="O59" t="str">
        <f t="shared" si="4"/>
        <v/>
      </c>
    </row>
    <row r="60" spans="1:15" hidden="1" x14ac:dyDescent="0.45">
      <c r="A60" s="4"/>
      <c r="B60" s="1">
        <v>4</v>
      </c>
      <c r="C60" s="1" t="e">
        <v>#NAME?</v>
      </c>
      <c r="D60" s="2" t="e">
        <v>#NAME?</v>
      </c>
      <c r="E60" s="3" t="e">
        <v>#NAME?</v>
      </c>
      <c r="F60" s="1">
        <v>4</v>
      </c>
      <c r="G60" s="1" t="e">
        <v>#NAME?</v>
      </c>
      <c r="H60" s="2" t="e">
        <v>#NAME?</v>
      </c>
      <c r="I60" s="3" t="e">
        <v>#NAME?</v>
      </c>
      <c r="J60" s="4"/>
      <c r="K60" s="4"/>
      <c r="L60" s="4"/>
      <c r="N60" t="str">
        <f t="shared" si="4"/>
        <v/>
      </c>
      <c r="O60" t="str">
        <f t="shared" si="4"/>
        <v/>
      </c>
    </row>
    <row r="61" spans="1:15" hidden="1" x14ac:dyDescent="0.45">
      <c r="A61" s="4"/>
      <c r="B61" s="1">
        <v>5</v>
      </c>
      <c r="C61" s="1" t="e">
        <v>#NAME?</v>
      </c>
      <c r="D61" s="2" t="e">
        <v>#NAME?</v>
      </c>
      <c r="E61" s="3" t="e">
        <v>#NAME?</v>
      </c>
      <c r="F61" s="1">
        <v>5</v>
      </c>
      <c r="G61" s="1" t="e">
        <v>#NAME?</v>
      </c>
      <c r="H61" s="2" t="e">
        <v>#NAME?</v>
      </c>
      <c r="I61" s="3" t="e">
        <v>#NAME?</v>
      </c>
      <c r="J61" s="4"/>
      <c r="K61" s="4"/>
      <c r="L61" s="4"/>
      <c r="N61" t="str">
        <f t="shared" si="4"/>
        <v/>
      </c>
      <c r="O61" t="str">
        <f t="shared" si="4"/>
        <v/>
      </c>
    </row>
    <row r="62" spans="1:15" hidden="1" x14ac:dyDescent="0.45">
      <c r="A62" s="4"/>
      <c r="B62" s="1">
        <v>6</v>
      </c>
      <c r="C62" s="1" t="e">
        <v>#NAME?</v>
      </c>
      <c r="D62" s="2" t="e">
        <v>#NAME?</v>
      </c>
      <c r="E62" s="3" t="e">
        <v>#NAME?</v>
      </c>
      <c r="F62" s="1">
        <v>6</v>
      </c>
      <c r="G62" s="1" t="e">
        <v>#NAME?</v>
      </c>
      <c r="H62" s="2" t="e">
        <v>#NAME?</v>
      </c>
      <c r="I62" s="3" t="e">
        <v>#NAME?</v>
      </c>
      <c r="J62" s="4"/>
      <c r="K62" s="4"/>
      <c r="L62" s="4"/>
      <c r="N62" t="str">
        <f t="shared" si="4"/>
        <v/>
      </c>
      <c r="O62" t="str">
        <f t="shared" si="4"/>
        <v/>
      </c>
    </row>
    <row r="63" spans="1:15" hidden="1" x14ac:dyDescent="0.45">
      <c r="A63" s="4"/>
      <c r="B63" s="1">
        <v>7</v>
      </c>
      <c r="C63" s="1" t="e">
        <v>#NAME?</v>
      </c>
      <c r="D63" s="2" t="e">
        <v>#NAME?</v>
      </c>
      <c r="E63" s="3" t="e">
        <v>#NAME?</v>
      </c>
      <c r="F63" s="1">
        <v>7</v>
      </c>
      <c r="G63" s="1" t="e">
        <v>#NAME?</v>
      </c>
      <c r="H63" s="2" t="e">
        <v>#NAME?</v>
      </c>
      <c r="I63" s="3" t="e">
        <v>#NAME?</v>
      </c>
      <c r="J63" s="4"/>
      <c r="K63" s="4"/>
      <c r="L63" s="4"/>
      <c r="N63" t="str">
        <f t="shared" si="4"/>
        <v/>
      </c>
      <c r="O63" t="str">
        <f t="shared" si="4"/>
        <v/>
      </c>
    </row>
    <row r="64" spans="1:15" hidden="1" x14ac:dyDescent="0.45">
      <c r="A64" s="4"/>
      <c r="B64" s="1">
        <v>8</v>
      </c>
      <c r="C64" s="1" t="e">
        <v>#NAME?</v>
      </c>
      <c r="D64" s="2" t="e">
        <v>#NAME?</v>
      </c>
      <c r="E64" s="3" t="e">
        <v>#NAME?</v>
      </c>
      <c r="F64" s="1">
        <v>8</v>
      </c>
      <c r="G64" s="1" t="e">
        <v>#NAME?</v>
      </c>
      <c r="H64" s="2" t="e">
        <v>#NAME?</v>
      </c>
      <c r="I64" s="3" t="e">
        <v>#NAME?</v>
      </c>
      <c r="J64" s="4"/>
      <c r="K64" s="4"/>
      <c r="L64" s="4"/>
      <c r="N64" t="str">
        <f t="shared" si="4"/>
        <v/>
      </c>
      <c r="O64" t="str">
        <f t="shared" si="4"/>
        <v/>
      </c>
    </row>
    <row r="65" spans="1:15" hidden="1" x14ac:dyDescent="0.45">
      <c r="A65" s="4"/>
      <c r="B65" s="1">
        <v>9</v>
      </c>
      <c r="C65" s="1" t="e">
        <v>#NAME?</v>
      </c>
      <c r="D65" s="2" t="e">
        <v>#NAME?</v>
      </c>
      <c r="E65" s="3" t="e">
        <v>#NAME?</v>
      </c>
      <c r="F65" s="1">
        <v>9</v>
      </c>
      <c r="G65" s="1" t="e">
        <v>#NAME?</v>
      </c>
      <c r="H65" s="2" t="e">
        <v>#NAME?</v>
      </c>
      <c r="I65" s="3" t="e">
        <v>#NAME?</v>
      </c>
      <c r="J65" s="30" t="s">
        <v>41</v>
      </c>
      <c r="K65" s="4"/>
      <c r="L65" s="4"/>
      <c r="N65" t="str">
        <f t="shared" si="4"/>
        <v/>
      </c>
      <c r="O65" t="str">
        <f t="shared" si="4"/>
        <v/>
      </c>
    </row>
    <row r="66" spans="1:15" hidden="1" x14ac:dyDescent="0.45">
      <c r="A66" s="4"/>
      <c r="B66" s="1">
        <v>10</v>
      </c>
      <c r="C66" s="1" t="e">
        <v>#NAME?</v>
      </c>
      <c r="D66" s="2" t="e">
        <v>#NAME?</v>
      </c>
      <c r="E66" s="3" t="e">
        <v>#NAME?</v>
      </c>
      <c r="F66" s="1">
        <v>10</v>
      </c>
      <c r="G66" s="1" t="e">
        <v>#NAME?</v>
      </c>
      <c r="H66" s="2" t="e">
        <v>#NAME?</v>
      </c>
      <c r="I66" s="3" t="e">
        <v>#NAME?</v>
      </c>
      <c r="J66" s="30">
        <f>IF(COUNT(E57:E66,I57:I66)=0,0,COUNT(E57:E66,I57:I66))</f>
        <v>0</v>
      </c>
      <c r="K66" s="4"/>
      <c r="L66" s="4"/>
      <c r="N66" t="str">
        <f t="shared" si="4"/>
        <v/>
      </c>
      <c r="O66" t="str">
        <f t="shared" si="4"/>
        <v/>
      </c>
    </row>
    <row r="67" spans="1:15" ht="21" x14ac:dyDescent="0.65">
      <c r="A67" s="4"/>
      <c r="B67" s="42" t="s">
        <v>471</v>
      </c>
      <c r="C67" s="43"/>
      <c r="D67" s="43"/>
      <c r="E67" s="43"/>
      <c r="F67" s="43"/>
      <c r="G67" s="43"/>
      <c r="H67" s="43"/>
      <c r="I67" s="43"/>
      <c r="J67" s="43"/>
      <c r="K67" s="44"/>
      <c r="L67" s="4"/>
    </row>
    <row r="68" spans="1:15" x14ac:dyDescent="0.45">
      <c r="A68" s="4"/>
      <c r="B68" s="76" t="s">
        <v>2</v>
      </c>
      <c r="C68" s="77"/>
      <c r="D68" s="77"/>
      <c r="E68" s="77"/>
      <c r="F68" s="77" t="s">
        <v>3</v>
      </c>
      <c r="G68" s="77"/>
      <c r="H68" s="77"/>
      <c r="I68" s="77"/>
      <c r="J68" s="24" t="s">
        <v>92</v>
      </c>
      <c r="K68" s="25"/>
      <c r="L68" s="4"/>
    </row>
    <row r="69" spans="1:15" x14ac:dyDescent="0.45">
      <c r="A69" s="4"/>
      <c r="B69" s="1"/>
      <c r="C69" s="1" t="s">
        <v>5</v>
      </c>
      <c r="D69" s="2" t="s">
        <v>6</v>
      </c>
      <c r="E69" s="3" t="s">
        <v>7</v>
      </c>
      <c r="F69" s="1"/>
      <c r="G69" s="1" t="s">
        <v>5</v>
      </c>
      <c r="H69" s="2" t="s">
        <v>6</v>
      </c>
      <c r="I69" s="3" t="s">
        <v>7</v>
      </c>
      <c r="J69" s="57" t="s">
        <v>474</v>
      </c>
      <c r="K69" s="57"/>
      <c r="L69" s="4"/>
      <c r="N69" t="s">
        <v>475</v>
      </c>
      <c r="O69" t="s">
        <v>475</v>
      </c>
    </row>
    <row r="70" spans="1:15" x14ac:dyDescent="0.45">
      <c r="A70" s="4"/>
      <c r="B70" s="1">
        <v>1</v>
      </c>
      <c r="C70" s="1" t="s">
        <v>476</v>
      </c>
      <c r="D70" s="2">
        <v>40786</v>
      </c>
      <c r="E70" s="3">
        <v>6</v>
      </c>
      <c r="F70" s="1">
        <v>1</v>
      </c>
      <c r="G70" s="1" t="s">
        <v>477</v>
      </c>
      <c r="H70" s="2">
        <v>40806</v>
      </c>
      <c r="I70" s="3">
        <v>6</v>
      </c>
      <c r="J70" s="38" t="s">
        <v>478</v>
      </c>
      <c r="K70" s="39"/>
      <c r="L70" s="4"/>
      <c r="M70">
        <v>5</v>
      </c>
      <c r="N70">
        <v>7</v>
      </c>
      <c r="O70">
        <v>8</v>
      </c>
    </row>
    <row r="71" spans="1:15" x14ac:dyDescent="0.45">
      <c r="A71" s="4"/>
      <c r="B71" s="1">
        <v>2</v>
      </c>
      <c r="C71" s="1" t="s">
        <v>479</v>
      </c>
      <c r="D71" s="2">
        <v>40652</v>
      </c>
      <c r="E71" s="3">
        <v>6</v>
      </c>
      <c r="F71" s="1">
        <v>2</v>
      </c>
      <c r="G71" s="1" t="s">
        <v>37</v>
      </c>
      <c r="H71" s="2" t="s">
        <v>37</v>
      </c>
      <c r="I71" s="3" t="s">
        <v>37</v>
      </c>
      <c r="J71" s="4"/>
      <c r="K71" s="4"/>
      <c r="L71" s="4"/>
      <c r="N71">
        <v>7</v>
      </c>
      <c r="O71">
        <v>8</v>
      </c>
    </row>
    <row r="72" spans="1:15" x14ac:dyDescent="0.45">
      <c r="A72" s="4"/>
      <c r="B72" s="1">
        <v>3</v>
      </c>
      <c r="C72" s="1" t="s">
        <v>480</v>
      </c>
      <c r="D72" s="2">
        <v>40243</v>
      </c>
      <c r="E72" s="3">
        <v>7</v>
      </c>
      <c r="F72" s="1">
        <v>3</v>
      </c>
      <c r="G72" s="1" t="s">
        <v>37</v>
      </c>
      <c r="H72" s="2" t="s">
        <v>37</v>
      </c>
      <c r="I72" s="3" t="s">
        <v>37</v>
      </c>
      <c r="J72" s="4"/>
      <c r="K72" s="4"/>
      <c r="L72" s="4"/>
      <c r="N72">
        <v>7</v>
      </c>
      <c r="O72">
        <v>8</v>
      </c>
    </row>
    <row r="73" spans="1:15" x14ac:dyDescent="0.45">
      <c r="A73" s="4"/>
      <c r="B73" s="1">
        <v>4</v>
      </c>
      <c r="C73" s="1" t="s">
        <v>481</v>
      </c>
      <c r="D73" s="2">
        <v>40226</v>
      </c>
      <c r="E73" s="3">
        <v>7</v>
      </c>
      <c r="F73" s="1">
        <v>4</v>
      </c>
      <c r="G73" s="1" t="s">
        <v>37</v>
      </c>
      <c r="H73" s="2" t="s">
        <v>37</v>
      </c>
      <c r="I73" s="3" t="s">
        <v>37</v>
      </c>
      <c r="J73" s="4"/>
      <c r="K73" s="4"/>
      <c r="L73" s="4"/>
      <c r="N73">
        <v>7</v>
      </c>
      <c r="O73">
        <v>8</v>
      </c>
    </row>
    <row r="74" spans="1:15" x14ac:dyDescent="0.45">
      <c r="A74" s="4"/>
      <c r="B74" s="1">
        <v>5</v>
      </c>
      <c r="C74" s="1" t="s">
        <v>37</v>
      </c>
      <c r="D74" s="2" t="s">
        <v>37</v>
      </c>
      <c r="E74" s="3" t="s">
        <v>37</v>
      </c>
      <c r="F74" s="1">
        <v>5</v>
      </c>
      <c r="G74" s="1" t="s">
        <v>37</v>
      </c>
      <c r="H74" s="2" t="s">
        <v>37</v>
      </c>
      <c r="I74" s="3" t="s">
        <v>37</v>
      </c>
      <c r="J74" s="4"/>
      <c r="K74" s="4"/>
      <c r="L74" s="4"/>
      <c r="N74">
        <v>7</v>
      </c>
      <c r="O74">
        <v>8</v>
      </c>
    </row>
    <row r="75" spans="1:15" x14ac:dyDescent="0.45">
      <c r="A75" s="4"/>
      <c r="B75" s="1">
        <v>6</v>
      </c>
      <c r="C75" s="1" t="s">
        <v>37</v>
      </c>
      <c r="D75" s="2" t="s">
        <v>37</v>
      </c>
      <c r="E75" s="3" t="s">
        <v>37</v>
      </c>
      <c r="F75" s="1">
        <v>6</v>
      </c>
      <c r="G75" s="1" t="s">
        <v>37</v>
      </c>
      <c r="H75" s="2" t="s">
        <v>37</v>
      </c>
      <c r="I75" s="3" t="s">
        <v>37</v>
      </c>
      <c r="J75" s="4"/>
      <c r="K75" s="4"/>
      <c r="L75" s="4"/>
      <c r="N75">
        <v>7</v>
      </c>
      <c r="O75">
        <v>8</v>
      </c>
    </row>
    <row r="76" spans="1:15" x14ac:dyDescent="0.45">
      <c r="A76" s="4"/>
      <c r="B76" s="1">
        <v>7</v>
      </c>
      <c r="C76" s="1" t="s">
        <v>37</v>
      </c>
      <c r="D76" s="2" t="s">
        <v>37</v>
      </c>
      <c r="E76" s="3" t="s">
        <v>37</v>
      </c>
      <c r="F76" s="1">
        <v>7</v>
      </c>
      <c r="G76" s="1" t="s">
        <v>37</v>
      </c>
      <c r="H76" s="2" t="s">
        <v>37</v>
      </c>
      <c r="I76" s="3" t="s">
        <v>37</v>
      </c>
      <c r="J76" s="4"/>
      <c r="K76" s="4"/>
      <c r="L76" s="4"/>
      <c r="N76">
        <v>7</v>
      </c>
      <c r="O76">
        <v>8</v>
      </c>
    </row>
    <row r="77" spans="1:15" x14ac:dyDescent="0.45">
      <c r="A77" s="4"/>
      <c r="B77" s="1">
        <v>8</v>
      </c>
      <c r="C77" s="1" t="s">
        <v>37</v>
      </c>
      <c r="D77" s="2" t="s">
        <v>37</v>
      </c>
      <c r="E77" s="3" t="s">
        <v>37</v>
      </c>
      <c r="F77" s="1">
        <v>8</v>
      </c>
      <c r="G77" s="1" t="s">
        <v>37</v>
      </c>
      <c r="H77" s="2" t="s">
        <v>37</v>
      </c>
      <c r="I77" s="3" t="s">
        <v>37</v>
      </c>
      <c r="J77" s="4"/>
      <c r="K77" s="4"/>
      <c r="L77" s="4"/>
      <c r="N77">
        <v>7</v>
      </c>
      <c r="O77">
        <v>8</v>
      </c>
    </row>
    <row r="78" spans="1:15" x14ac:dyDescent="0.45">
      <c r="A78" s="4"/>
      <c r="B78" s="1">
        <v>9</v>
      </c>
      <c r="C78" s="1" t="s">
        <v>37</v>
      </c>
      <c r="D78" s="2" t="s">
        <v>37</v>
      </c>
      <c r="E78" s="3" t="s">
        <v>37</v>
      </c>
      <c r="F78" s="1">
        <v>9</v>
      </c>
      <c r="G78" s="1" t="s">
        <v>37</v>
      </c>
      <c r="H78" s="2" t="s">
        <v>37</v>
      </c>
      <c r="I78" s="3" t="s">
        <v>37</v>
      </c>
      <c r="J78" s="36" t="s">
        <v>149</v>
      </c>
      <c r="K78" s="4"/>
      <c r="L78" s="4"/>
      <c r="N78">
        <v>7</v>
      </c>
      <c r="O78">
        <v>8</v>
      </c>
    </row>
    <row r="79" spans="1:15" x14ac:dyDescent="0.45">
      <c r="A79" s="4"/>
      <c r="B79" s="1">
        <v>10</v>
      </c>
      <c r="C79" s="1" t="s">
        <v>37</v>
      </c>
      <c r="D79" s="2" t="s">
        <v>37</v>
      </c>
      <c r="E79" s="3" t="s">
        <v>37</v>
      </c>
      <c r="F79" s="1">
        <v>10</v>
      </c>
      <c r="G79" s="1" t="s">
        <v>37</v>
      </c>
      <c r="H79" s="2" t="s">
        <v>37</v>
      </c>
      <c r="I79" s="3" t="s">
        <v>37</v>
      </c>
      <c r="J79" s="11">
        <f>AVERAGE(E70:E79,I70:I79)</f>
        <v>6.4</v>
      </c>
      <c r="K79" s="4"/>
      <c r="L79" s="4"/>
      <c r="N79">
        <v>7</v>
      </c>
      <c r="O79">
        <v>8</v>
      </c>
    </row>
    <row r="80" spans="1:15" ht="21" x14ac:dyDescent="0.65">
      <c r="A80" s="4"/>
      <c r="B80" s="42" t="s">
        <v>482</v>
      </c>
      <c r="C80" s="43"/>
      <c r="D80" s="43"/>
      <c r="E80" s="43"/>
      <c r="F80" s="43"/>
      <c r="G80" s="43"/>
      <c r="H80" s="43"/>
      <c r="I80" s="43"/>
      <c r="J80" s="43"/>
      <c r="K80" s="44"/>
      <c r="L80" s="4"/>
    </row>
    <row r="81" spans="1:15" x14ac:dyDescent="0.45">
      <c r="A81" s="4"/>
      <c r="B81" s="76" t="s">
        <v>2</v>
      </c>
      <c r="C81" s="77"/>
      <c r="D81" s="77"/>
      <c r="E81" s="77"/>
      <c r="F81" s="77" t="s">
        <v>3</v>
      </c>
      <c r="G81" s="77"/>
      <c r="H81" s="77"/>
      <c r="I81" s="77"/>
      <c r="J81" s="24" t="s">
        <v>92</v>
      </c>
      <c r="K81" s="25"/>
      <c r="L81" s="4"/>
    </row>
    <row r="82" spans="1:15" x14ac:dyDescent="0.45">
      <c r="A82" s="4"/>
      <c r="B82" s="1"/>
      <c r="C82" s="1" t="s">
        <v>5</v>
      </c>
      <c r="D82" s="2" t="s">
        <v>6</v>
      </c>
      <c r="E82" s="3" t="s">
        <v>7</v>
      </c>
      <c r="F82" s="1"/>
      <c r="G82" s="1" t="s">
        <v>5</v>
      </c>
      <c r="H82" s="2" t="s">
        <v>6</v>
      </c>
      <c r="I82" s="3" t="s">
        <v>7</v>
      </c>
      <c r="J82" s="57" t="s">
        <v>483</v>
      </c>
      <c r="K82" s="57"/>
      <c r="L82" s="4"/>
      <c r="N82">
        <v>5</v>
      </c>
      <c r="O82">
        <v>5</v>
      </c>
    </row>
    <row r="83" spans="1:15" x14ac:dyDescent="0.45">
      <c r="A83" s="4"/>
      <c r="B83" s="1">
        <v>1</v>
      </c>
      <c r="C83" s="1" t="s">
        <v>484</v>
      </c>
      <c r="D83" s="2">
        <v>41174</v>
      </c>
      <c r="E83" s="3"/>
      <c r="F83" s="1">
        <v>1</v>
      </c>
      <c r="G83" s="1" t="s">
        <v>485</v>
      </c>
      <c r="H83" s="2">
        <v>41044</v>
      </c>
      <c r="I83" s="3">
        <v>5</v>
      </c>
      <c r="J83" s="38" t="s">
        <v>486</v>
      </c>
      <c r="K83" s="39"/>
      <c r="L83" s="4"/>
      <c r="N83">
        <v>5</v>
      </c>
      <c r="O83">
        <v>5</v>
      </c>
    </row>
    <row r="84" spans="1:15" x14ac:dyDescent="0.45">
      <c r="A84" s="4"/>
      <c r="B84" s="1">
        <v>2</v>
      </c>
      <c r="C84" s="1" t="s">
        <v>37</v>
      </c>
      <c r="D84" s="2" t="s">
        <v>37</v>
      </c>
      <c r="E84" s="3" t="s">
        <v>37</v>
      </c>
      <c r="F84" s="1">
        <v>2</v>
      </c>
      <c r="G84" s="1" t="s">
        <v>487</v>
      </c>
      <c r="H84" s="2">
        <v>41502</v>
      </c>
      <c r="I84" s="3">
        <v>4</v>
      </c>
      <c r="J84" s="38" t="s">
        <v>488</v>
      </c>
      <c r="K84" s="39"/>
      <c r="L84" s="4"/>
      <c r="N84">
        <v>5</v>
      </c>
      <c r="O84">
        <v>5</v>
      </c>
    </row>
    <row r="85" spans="1:15" x14ac:dyDescent="0.45">
      <c r="A85" s="4"/>
      <c r="B85" s="1">
        <v>3</v>
      </c>
      <c r="C85" s="1" t="s">
        <v>37</v>
      </c>
      <c r="D85" s="2" t="s">
        <v>37</v>
      </c>
      <c r="E85" s="3" t="s">
        <v>37</v>
      </c>
      <c r="F85" s="1">
        <v>3</v>
      </c>
      <c r="G85" s="1" t="s">
        <v>37</v>
      </c>
      <c r="H85" s="2" t="s">
        <v>37</v>
      </c>
      <c r="I85" s="3" t="s">
        <v>37</v>
      </c>
      <c r="J85" s="4"/>
      <c r="K85" s="4"/>
      <c r="L85" s="4"/>
      <c r="N85">
        <v>5</v>
      </c>
      <c r="O85">
        <v>5</v>
      </c>
    </row>
    <row r="86" spans="1:15" x14ac:dyDescent="0.45">
      <c r="A86" s="4"/>
      <c r="B86" s="1">
        <v>4</v>
      </c>
      <c r="C86" s="1" t="s">
        <v>37</v>
      </c>
      <c r="D86" s="2" t="s">
        <v>37</v>
      </c>
      <c r="E86" s="3" t="s">
        <v>37</v>
      </c>
      <c r="F86" s="1">
        <v>4</v>
      </c>
      <c r="G86" s="1" t="s">
        <v>37</v>
      </c>
      <c r="H86" s="2" t="s">
        <v>37</v>
      </c>
      <c r="I86" s="3" t="s">
        <v>37</v>
      </c>
      <c r="J86" s="4"/>
      <c r="K86" s="4"/>
      <c r="L86" s="4"/>
      <c r="N86">
        <v>5</v>
      </c>
      <c r="O86">
        <v>5</v>
      </c>
    </row>
    <row r="87" spans="1:15" x14ac:dyDescent="0.45">
      <c r="A87" s="4"/>
      <c r="B87" s="1">
        <v>5</v>
      </c>
      <c r="C87" s="1" t="s">
        <v>37</v>
      </c>
      <c r="D87" s="2" t="s">
        <v>37</v>
      </c>
      <c r="E87" s="3" t="s">
        <v>37</v>
      </c>
      <c r="F87" s="1">
        <v>5</v>
      </c>
      <c r="G87" s="1" t="s">
        <v>37</v>
      </c>
      <c r="H87" s="2" t="s">
        <v>37</v>
      </c>
      <c r="I87" s="3" t="s">
        <v>37</v>
      </c>
      <c r="J87" s="4"/>
      <c r="K87" s="4"/>
      <c r="L87" s="4"/>
      <c r="N87">
        <v>5</v>
      </c>
      <c r="O87">
        <v>5</v>
      </c>
    </row>
    <row r="88" spans="1:15" x14ac:dyDescent="0.45">
      <c r="A88" s="4"/>
      <c r="B88" s="1">
        <v>6</v>
      </c>
      <c r="C88" s="1" t="s">
        <v>37</v>
      </c>
      <c r="D88" s="2" t="s">
        <v>37</v>
      </c>
      <c r="E88" s="3" t="s">
        <v>37</v>
      </c>
      <c r="F88" s="1">
        <v>6</v>
      </c>
      <c r="G88" s="1" t="s">
        <v>37</v>
      </c>
      <c r="H88" s="2" t="s">
        <v>37</v>
      </c>
      <c r="I88" s="3" t="s">
        <v>37</v>
      </c>
      <c r="J88" s="4"/>
      <c r="K88" s="4"/>
      <c r="L88" s="4"/>
      <c r="N88">
        <v>5</v>
      </c>
      <c r="O88">
        <v>5</v>
      </c>
    </row>
    <row r="89" spans="1:15" x14ac:dyDescent="0.45">
      <c r="A89" s="4"/>
      <c r="B89" s="1">
        <v>7</v>
      </c>
      <c r="C89" s="1" t="s">
        <v>37</v>
      </c>
      <c r="D89" s="2" t="s">
        <v>37</v>
      </c>
      <c r="E89" s="3" t="s">
        <v>37</v>
      </c>
      <c r="F89" s="1">
        <v>7</v>
      </c>
      <c r="G89" s="1" t="s">
        <v>37</v>
      </c>
      <c r="H89" s="2" t="s">
        <v>37</v>
      </c>
      <c r="I89" s="3" t="s">
        <v>37</v>
      </c>
      <c r="J89" s="4"/>
      <c r="K89" s="4"/>
      <c r="L89" s="4"/>
      <c r="N89">
        <v>5</v>
      </c>
      <c r="O89">
        <v>5</v>
      </c>
    </row>
    <row r="90" spans="1:15" x14ac:dyDescent="0.45">
      <c r="A90" s="4"/>
      <c r="B90" s="1">
        <v>8</v>
      </c>
      <c r="C90" s="1" t="s">
        <v>37</v>
      </c>
      <c r="D90" s="2" t="s">
        <v>37</v>
      </c>
      <c r="E90" s="3" t="s">
        <v>37</v>
      </c>
      <c r="F90" s="1">
        <v>8</v>
      </c>
      <c r="G90" s="1" t="s">
        <v>37</v>
      </c>
      <c r="H90" s="2" t="s">
        <v>37</v>
      </c>
      <c r="I90" s="3" t="s">
        <v>37</v>
      </c>
      <c r="J90" s="4"/>
      <c r="K90" s="4"/>
      <c r="L90" s="4"/>
      <c r="N90">
        <v>5</v>
      </c>
      <c r="O90">
        <v>5</v>
      </c>
    </row>
    <row r="91" spans="1:15" x14ac:dyDescent="0.45">
      <c r="A91" s="4"/>
      <c r="B91" s="1">
        <v>9</v>
      </c>
      <c r="C91" s="1" t="s">
        <v>37</v>
      </c>
      <c r="D91" s="2" t="s">
        <v>37</v>
      </c>
      <c r="E91" s="3" t="s">
        <v>37</v>
      </c>
      <c r="F91" s="1">
        <v>9</v>
      </c>
      <c r="G91" s="1" t="s">
        <v>37</v>
      </c>
      <c r="H91" s="2" t="s">
        <v>37</v>
      </c>
      <c r="I91" s="3" t="s">
        <v>37</v>
      </c>
      <c r="J91" s="35"/>
      <c r="K91" s="4"/>
      <c r="L91" s="4"/>
      <c r="N91">
        <v>5</v>
      </c>
      <c r="O91">
        <v>5</v>
      </c>
    </row>
    <row r="92" spans="1:15" x14ac:dyDescent="0.45">
      <c r="A92" s="4"/>
      <c r="B92" s="1">
        <v>10</v>
      </c>
      <c r="C92" s="1" t="s">
        <v>37</v>
      </c>
      <c r="D92" s="2" t="s">
        <v>37</v>
      </c>
      <c r="E92" s="3" t="s">
        <v>37</v>
      </c>
      <c r="F92" s="1">
        <v>10</v>
      </c>
      <c r="G92" s="1" t="s">
        <v>37</v>
      </c>
      <c r="H92" s="2" t="s">
        <v>37</v>
      </c>
      <c r="I92" s="3" t="s">
        <v>37</v>
      </c>
      <c r="J92" s="35"/>
      <c r="K92" s="4"/>
      <c r="L92" s="4"/>
      <c r="N92">
        <v>5</v>
      </c>
      <c r="O92">
        <v>5</v>
      </c>
    </row>
    <row r="93" spans="1:15" x14ac:dyDescent="0.45">
      <c r="A93" s="4"/>
      <c r="B93" s="4"/>
      <c r="C93" s="4"/>
      <c r="D93" s="4"/>
      <c r="E93" s="35"/>
      <c r="F93" s="4"/>
      <c r="G93" s="4"/>
      <c r="H93" s="4"/>
      <c r="I93" s="35"/>
      <c r="J93" s="4"/>
      <c r="K93" s="4"/>
      <c r="L93" s="4"/>
    </row>
    <row r="94" spans="1:15" x14ac:dyDescent="0.45">
      <c r="A94" s="4"/>
      <c r="B94" s="4"/>
      <c r="C94" s="4"/>
      <c r="D94" s="4"/>
      <c r="E94" s="35"/>
      <c r="F94" s="4"/>
      <c r="G94" s="4"/>
      <c r="H94" s="4"/>
      <c r="I94" s="35"/>
      <c r="J94" s="4"/>
      <c r="K94" s="4"/>
      <c r="L94" s="4"/>
    </row>
    <row r="95" spans="1:15" x14ac:dyDescent="0.45">
      <c r="A95" s="4"/>
      <c r="B95" s="4"/>
      <c r="C95" s="4"/>
      <c r="D95" s="4"/>
      <c r="E95" s="35"/>
      <c r="F95" s="4"/>
      <c r="G95" s="4"/>
      <c r="H95" s="4"/>
      <c r="I95" s="35"/>
      <c r="J95" s="4"/>
      <c r="K95" s="4"/>
      <c r="L95" s="4"/>
    </row>
    <row r="96" spans="1:15" x14ac:dyDescent="0.45">
      <c r="A96" s="4"/>
      <c r="B96" s="4"/>
      <c r="C96" s="4"/>
      <c r="D96" s="4"/>
      <c r="E96" s="35"/>
      <c r="F96" s="4"/>
      <c r="G96" s="4"/>
      <c r="H96" s="4"/>
      <c r="I96" s="35"/>
      <c r="J96" s="4"/>
      <c r="K96" s="4"/>
      <c r="L96" s="4"/>
    </row>
    <row r="97" spans="1:12" x14ac:dyDescent="0.45">
      <c r="A97" s="4"/>
      <c r="B97" s="4"/>
      <c r="C97" s="4"/>
      <c r="D97" s="4"/>
      <c r="E97" s="35"/>
      <c r="F97" s="4"/>
      <c r="G97" s="4"/>
      <c r="H97" s="4"/>
      <c r="I97" s="35"/>
      <c r="J97" s="4"/>
      <c r="K97" s="4"/>
      <c r="L97" s="4"/>
    </row>
    <row r="98" spans="1:12" x14ac:dyDescent="0.45">
      <c r="A98" s="4"/>
      <c r="B98" s="4"/>
      <c r="C98" s="4"/>
      <c r="D98" s="4"/>
      <c r="E98" s="35"/>
      <c r="F98" s="4"/>
      <c r="G98" s="4"/>
      <c r="H98" s="4"/>
      <c r="I98" s="35"/>
      <c r="J98" s="4"/>
      <c r="K98" s="4"/>
      <c r="L98" s="4"/>
    </row>
    <row r="99" spans="1:12" x14ac:dyDescent="0.45">
      <c r="A99" s="4"/>
      <c r="B99" s="4"/>
      <c r="C99" s="4"/>
      <c r="D99" s="4"/>
      <c r="E99" s="35"/>
      <c r="F99" s="4"/>
      <c r="G99" s="4"/>
      <c r="H99" s="4"/>
      <c r="I99" s="35"/>
      <c r="J99" s="4"/>
      <c r="K99" s="4"/>
      <c r="L99" s="4"/>
    </row>
    <row r="100" spans="1:12" x14ac:dyDescent="0.45">
      <c r="A100" s="4"/>
      <c r="B100" s="4"/>
      <c r="C100" s="4"/>
      <c r="D100" s="4"/>
      <c r="E100" s="35"/>
      <c r="F100" s="4"/>
      <c r="G100" s="4"/>
      <c r="H100" s="4"/>
      <c r="I100" s="35"/>
      <c r="J100" s="4"/>
      <c r="K100" s="4"/>
      <c r="L100" s="4"/>
    </row>
    <row r="101" spans="1:12" x14ac:dyDescent="0.45">
      <c r="A101" s="4"/>
      <c r="B101" s="4"/>
      <c r="C101" s="4"/>
      <c r="D101" s="4"/>
      <c r="E101" s="35"/>
      <c r="F101" s="4"/>
      <c r="G101" s="4"/>
      <c r="H101" s="4"/>
      <c r="I101" s="35"/>
      <c r="J101" s="4"/>
      <c r="K101" s="4"/>
      <c r="L101" s="4"/>
    </row>
    <row r="102" spans="1:12" x14ac:dyDescent="0.45">
      <c r="A102" s="4"/>
      <c r="B102" s="4"/>
      <c r="C102" s="4"/>
      <c r="D102" s="4"/>
      <c r="E102" s="35"/>
      <c r="F102" s="4"/>
      <c r="G102" s="4"/>
      <c r="H102" s="4"/>
      <c r="I102" s="35"/>
      <c r="J102" s="4"/>
      <c r="K102" s="4"/>
      <c r="L102" s="4"/>
    </row>
    <row r="103" spans="1:12" x14ac:dyDescent="0.45">
      <c r="A103" s="4"/>
      <c r="B103" s="4"/>
      <c r="C103" s="4"/>
      <c r="D103" s="4"/>
      <c r="E103" s="35"/>
      <c r="F103" s="4"/>
      <c r="G103" s="4"/>
      <c r="H103" s="4"/>
      <c r="I103" s="35"/>
      <c r="J103" s="4"/>
      <c r="K103" s="4"/>
      <c r="L103" s="4"/>
    </row>
    <row r="104" spans="1:12" x14ac:dyDescent="0.45">
      <c r="A104" s="4"/>
      <c r="B104" s="4"/>
      <c r="C104" s="4"/>
      <c r="D104" s="4"/>
      <c r="E104" s="35"/>
      <c r="F104" s="4"/>
      <c r="G104" s="4"/>
      <c r="H104" s="4"/>
      <c r="I104" s="35"/>
      <c r="J104" s="4"/>
      <c r="K104" s="4"/>
      <c r="L104" s="4"/>
    </row>
    <row r="105" spans="1:12" x14ac:dyDescent="0.45">
      <c r="A105" s="4"/>
      <c r="B105" s="4"/>
      <c r="C105" s="4"/>
      <c r="D105" s="4"/>
      <c r="E105" s="35"/>
      <c r="F105" s="4"/>
      <c r="G105" s="4"/>
      <c r="H105" s="4"/>
      <c r="I105" s="35"/>
      <c r="J105" s="4"/>
      <c r="K105" s="4"/>
      <c r="L105" s="4"/>
    </row>
    <row r="106" spans="1:12" x14ac:dyDescent="0.45">
      <c r="A106" s="4"/>
      <c r="B106" s="4"/>
      <c r="C106" s="4"/>
      <c r="D106" s="4"/>
      <c r="E106" s="35"/>
      <c r="F106" s="4"/>
      <c r="G106" s="4"/>
      <c r="H106" s="4"/>
      <c r="I106" s="35"/>
      <c r="J106" s="4"/>
      <c r="K106" s="4"/>
      <c r="L106" s="4"/>
    </row>
    <row r="107" spans="1:12" x14ac:dyDescent="0.45">
      <c r="A107" s="4"/>
      <c r="B107" s="4"/>
      <c r="C107" s="4"/>
      <c r="D107" s="4"/>
      <c r="E107" s="35"/>
      <c r="F107" s="4"/>
      <c r="G107" s="4"/>
      <c r="H107" s="4"/>
      <c r="I107" s="35"/>
      <c r="J107" s="4"/>
      <c r="K107" s="4"/>
      <c r="L107" s="4"/>
    </row>
    <row r="108" spans="1:12" x14ac:dyDescent="0.45">
      <c r="A108" s="4"/>
      <c r="B108" s="4"/>
      <c r="C108" s="4"/>
      <c r="D108" s="4"/>
      <c r="E108" s="35"/>
      <c r="F108" s="4"/>
      <c r="G108" s="4"/>
      <c r="H108" s="4"/>
      <c r="I108" s="35"/>
      <c r="J108" s="4"/>
      <c r="K108" s="4"/>
      <c r="L108" s="4"/>
    </row>
    <row r="109" spans="1:12" x14ac:dyDescent="0.45">
      <c r="A109" s="4"/>
      <c r="B109" s="4"/>
      <c r="C109" s="4"/>
      <c r="D109" s="4"/>
      <c r="E109" s="35"/>
      <c r="F109" s="4"/>
      <c r="G109" s="4"/>
      <c r="H109" s="4"/>
      <c r="I109" s="35"/>
      <c r="J109" s="4"/>
      <c r="K109" s="4"/>
      <c r="L109" s="4"/>
    </row>
    <row r="110" spans="1:12" x14ac:dyDescent="0.45">
      <c r="A110" s="4"/>
      <c r="B110" s="4"/>
      <c r="C110" s="4"/>
      <c r="D110" s="4"/>
      <c r="E110" s="35"/>
      <c r="F110" s="4"/>
      <c r="G110" s="4"/>
      <c r="H110" s="4"/>
      <c r="I110" s="35"/>
      <c r="J110" s="4"/>
      <c r="K110" s="4"/>
      <c r="L110" s="4"/>
    </row>
    <row r="111" spans="1:12" x14ac:dyDescent="0.45">
      <c r="A111" s="4"/>
      <c r="B111" s="4"/>
      <c r="C111" s="4"/>
      <c r="D111" s="4"/>
      <c r="E111" s="35"/>
      <c r="F111" s="4"/>
      <c r="G111" s="4"/>
      <c r="H111" s="4"/>
      <c r="I111" s="35"/>
      <c r="J111" s="4"/>
      <c r="K111" s="4"/>
      <c r="L111" s="4"/>
    </row>
    <row r="112" spans="1:12" x14ac:dyDescent="0.45">
      <c r="A112" s="4"/>
      <c r="B112" s="4"/>
      <c r="C112" s="4"/>
      <c r="D112" s="4"/>
      <c r="E112" s="35"/>
      <c r="F112" s="4"/>
      <c r="G112" s="4"/>
      <c r="H112" s="4"/>
      <c r="I112" s="35"/>
      <c r="J112" s="4"/>
      <c r="K112" s="4"/>
      <c r="L112" s="4"/>
    </row>
    <row r="113" spans="1:12" x14ac:dyDescent="0.45">
      <c r="A113" s="4"/>
      <c r="B113" s="4"/>
      <c r="C113" s="4"/>
      <c r="D113" s="4"/>
      <c r="E113" s="35"/>
      <c r="F113" s="4"/>
      <c r="G113" s="4"/>
      <c r="H113" s="4"/>
      <c r="I113" s="35"/>
      <c r="J113" s="4"/>
      <c r="K113" s="4"/>
      <c r="L113" s="4"/>
    </row>
  </sheetData>
  <mergeCells count="43">
    <mergeCell ref="J84:K84"/>
    <mergeCell ref="F29:I29"/>
    <mergeCell ref="J29:K29"/>
    <mergeCell ref="J30:K30"/>
    <mergeCell ref="J31:K31"/>
    <mergeCell ref="B41:K41"/>
    <mergeCell ref="B42:E42"/>
    <mergeCell ref="F42:I42"/>
    <mergeCell ref="J42:K42"/>
    <mergeCell ref="B80:K80"/>
    <mergeCell ref="B81:E81"/>
    <mergeCell ref="F81:I81"/>
    <mergeCell ref="J82:K82"/>
    <mergeCell ref="J83:K83"/>
    <mergeCell ref="F68:I68"/>
    <mergeCell ref="J69:K69"/>
    <mergeCell ref="B1:K1"/>
    <mergeCell ref="B2:K2"/>
    <mergeCell ref="B3:E3"/>
    <mergeCell ref="F3:I3"/>
    <mergeCell ref="J3:K3"/>
    <mergeCell ref="J4:K4"/>
    <mergeCell ref="J5:K5"/>
    <mergeCell ref="J6:K6"/>
    <mergeCell ref="B15:K15"/>
    <mergeCell ref="J70:K70"/>
    <mergeCell ref="J56:K56"/>
    <mergeCell ref="J57:K57"/>
    <mergeCell ref="B67:K67"/>
    <mergeCell ref="B68:E68"/>
    <mergeCell ref="J43:K43"/>
    <mergeCell ref="J44:K44"/>
    <mergeCell ref="B54:K54"/>
    <mergeCell ref="B55:E55"/>
    <mergeCell ref="B16:E16"/>
    <mergeCell ref="F16:I16"/>
    <mergeCell ref="J16:K16"/>
    <mergeCell ref="F55:I55"/>
    <mergeCell ref="J55:K55"/>
    <mergeCell ref="J17:K17"/>
    <mergeCell ref="J18:K18"/>
    <mergeCell ref="B28:K28"/>
    <mergeCell ref="B29:E29"/>
  </mergeCells>
  <conditionalFormatting sqref="E5:E14 I5:I14 E18:E27 I18:I27 E31:E40 I31:I40 E44:E53 I44:I53 E70:E79 I70:I79">
    <cfRule type="expression" dxfId="6" priority="6">
      <formula>AND(E5&gt;$O5,E5&lt;&gt;"")</formula>
    </cfRule>
    <cfRule type="expression" dxfId="5" priority="7">
      <formula>AND(E5&gt;$N5,E5&lt;&gt;"")</formula>
    </cfRule>
  </conditionalFormatting>
  <conditionalFormatting sqref="E57:E66 I57:I66">
    <cfRule type="expression" dxfId="4" priority="4">
      <formula>AND(E57&gt;$O57,E57&lt;&gt;"")</formula>
    </cfRule>
    <cfRule type="expression" dxfId="3" priority="5">
      <formula>AND(E57&gt;$N57,E57&lt;&gt;"")</formula>
    </cfRule>
  </conditionalFormatting>
  <conditionalFormatting sqref="E83:E92 I83:I92">
    <cfRule type="expression" dxfId="2" priority="2">
      <formula>AND(E83&gt;$O83,E83&lt;&gt;"")</formula>
    </cfRule>
    <cfRule type="expression" dxfId="1" priority="3">
      <formula>AND(E83&gt;$N83,E83&lt;&gt;"")</formula>
    </cfRule>
  </conditionalFormatting>
  <conditionalFormatting sqref="J14 J27 J40 J53 J79">
    <cfRule type="cellIs" dxfId="0" priority="1" operator="greaterThan">
      <formula>7</formula>
    </cfRule>
  </conditionalFormatting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79F96-4630-4127-98DB-20F05B5FDD23}">
  <ds:schemaRefs>
    <ds:schemaRef ds:uri="http://schemas.microsoft.com/office/2006/metadata/properties"/>
    <ds:schemaRef ds:uri="http://schemas.microsoft.com/office/infopath/2007/PartnerControls"/>
    <ds:schemaRef ds:uri="433ddfc1-fee3-4cb4-a29f-5839980eeb96"/>
    <ds:schemaRef ds:uri="4aa677f6-df1a-4d33-8ba3-c60d83947899"/>
  </ds:schemaRefs>
</ds:datastoreItem>
</file>

<file path=customXml/itemProps2.xml><?xml version="1.0" encoding="utf-8"?>
<ds:datastoreItem xmlns:ds="http://schemas.openxmlformats.org/officeDocument/2006/customXml" ds:itemID="{CA49023E-3A69-49DD-8ABB-DFA809822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677f6-df1a-4d33-8ba3-c60d83947899"/>
    <ds:schemaRef ds:uri="433ddfc1-fee3-4cb4-a29f-5839980ee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04F971-19E0-4834-86EE-6BFF499CE4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Team Sen</vt:lpstr>
      <vt:lpstr>Team A</vt:lpstr>
      <vt:lpstr>Team B</vt:lpstr>
      <vt:lpstr>Team C</vt:lpstr>
      <vt:lpstr>Team D</vt:lpstr>
      <vt:lpstr>Team E</vt:lpstr>
      <vt:lpstr>Team 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</dc:creator>
  <cp:keywords/>
  <dc:description/>
  <cp:lastModifiedBy>Antjan Laban</cp:lastModifiedBy>
  <cp:revision/>
  <dcterms:created xsi:type="dcterms:W3CDTF">2017-10-12T17:26:34Z</dcterms:created>
  <dcterms:modified xsi:type="dcterms:W3CDTF">2026-02-25T15:05:03Z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