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njewit.sharepoint.com/sites/TC/Gedeelde documenten/2025-2026/Competitie voorbereiding 2025-2026/"/>
    </mc:Choice>
  </mc:AlternateContent>
  <xr:revisionPtr revIDLastSave="170" documentId="8_{D76A0EBA-7729-4F81-A344-230301BD6069}" xr6:coauthVersionLast="47" xr6:coauthVersionMax="47" xr10:uidLastSave="{E0860ECA-C238-4386-B3E0-7F32A949750C}"/>
  <bookViews>
    <workbookView xWindow="-120" yWindow="-120" windowWidth="29040" windowHeight="15720" tabRatio="741" firstSheet="1" activeTab="1" xr2:uid="{936DD2DD-FEE1-479C-98CF-F58D2D27076A}"/>
  </bookViews>
  <sheets>
    <sheet name="Teamsamenstelling" sheetId="2" r:id="rId1"/>
    <sheet name="Spelerslijst" sheetId="3" r:id="rId2"/>
    <sheet name="Teams" sheetId="19" r:id="rId3"/>
    <sheet name="Staf" sheetId="4" r:id="rId4"/>
    <sheet name="Aandachtpunten" sheetId="13" r:id="rId5"/>
    <sheet name="Teams-deelversie" sheetId="14" r:id="rId6"/>
    <sheet name="Stoppers" sheetId="5" r:id="rId7"/>
    <sheet name="vraagtekens" sheetId="6" r:id="rId8"/>
    <sheet name="leden" sheetId="17" r:id="rId9"/>
    <sheet name="notitieopties" sheetId="18" r:id="rId10"/>
    <sheet name="Sheet1" sheetId="20" r:id="rId11"/>
    <sheet name="Sheet2" sheetId="21" r:id="rId12"/>
    <sheet name="Sheet3" sheetId="22" r:id="rId13"/>
  </sheets>
  <definedNames>
    <definedName name="_xlnm._FilterDatabase" localSheetId="4" hidden="1">Aandachtpunten!$A$1:$E$1</definedName>
    <definedName name="_xlnm._FilterDatabase" localSheetId="1" hidden="1">Spelerslijst!$L$1:$Q$128</definedName>
    <definedName name="_xlnm._FilterDatabase" localSheetId="0" hidden="1">Teamsamenstelling!$AN$62:$AN$65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3" l="1"/>
  <c r="D79" i="3"/>
  <c r="G20" i="2" a="1"/>
  <c r="G20" i="2" s="1"/>
  <c r="R20" i="2" a="1"/>
  <c r="R20" i="2" s="1"/>
  <c r="C16" i="14" a="1"/>
  <c r="C16" i="14" s="1"/>
  <c r="F16" i="14" a="1"/>
  <c r="F16" i="14" s="1"/>
  <c r="D123" i="3"/>
  <c r="K73" i="14" a="1"/>
  <c r="K73" i="14" s="1"/>
  <c r="K57" i="14" a="1"/>
  <c r="K57" i="14" s="1"/>
  <c r="D163" i="3"/>
  <c r="D146" i="3"/>
  <c r="C121" i="14" a="1"/>
  <c r="C121" i="14" s="1"/>
  <c r="B121" i="14" a="1"/>
  <c r="B121" i="14" s="1"/>
  <c r="C113" i="14" a="1"/>
  <c r="C113" i="14" s="1"/>
  <c r="B113" i="14" a="1"/>
  <c r="B113" i="14" s="1"/>
  <c r="N106" i="14" a="1"/>
  <c r="N106" i="14" s="1"/>
  <c r="L106" i="14" a="1"/>
  <c r="L106" i="14" s="1"/>
  <c r="K106" i="14" a="1"/>
  <c r="K106" i="14" s="1"/>
  <c r="I106" i="14" a="1"/>
  <c r="I106" i="14" s="1"/>
  <c r="H106" i="14" a="1"/>
  <c r="H106" i="14" s="1"/>
  <c r="F106" i="14" a="1"/>
  <c r="F106" i="14" s="1"/>
  <c r="E106" i="14" a="1"/>
  <c r="E106" i="14" s="1"/>
  <c r="C106" i="14" a="1"/>
  <c r="C106" i="14" s="1"/>
  <c r="B106" i="14" a="1"/>
  <c r="B106" i="14" s="1"/>
  <c r="O100" i="14" a="1"/>
  <c r="O100" i="14" s="1"/>
  <c r="N100" i="14" a="1"/>
  <c r="N100" i="14" s="1"/>
  <c r="L100" i="14" a="1"/>
  <c r="L100" i="14" s="1"/>
  <c r="K100" i="14" a="1"/>
  <c r="K100" i="14" s="1"/>
  <c r="I100" i="14" a="1"/>
  <c r="I100" i="14" s="1"/>
  <c r="H100" i="14" a="1"/>
  <c r="H100" i="14" s="1"/>
  <c r="F100" i="14" a="1"/>
  <c r="F100" i="14" s="1"/>
  <c r="E100" i="14" a="1"/>
  <c r="E100" i="14" s="1"/>
  <c r="C100" i="14" a="1"/>
  <c r="C100" i="14" s="1"/>
  <c r="B100" i="14" a="1"/>
  <c r="B100" i="14" s="1"/>
  <c r="T94" i="14" a="1"/>
  <c r="T94" i="14" s="1"/>
  <c r="Q94" i="14" a="1"/>
  <c r="Q94" i="14" s="1"/>
  <c r="O94" i="14" a="1"/>
  <c r="O94" i="14" s="1"/>
  <c r="N94" i="14" a="1"/>
  <c r="N94" i="14" s="1"/>
  <c r="L94" i="14" a="1"/>
  <c r="L94" i="14" s="1"/>
  <c r="K94" i="14" a="1"/>
  <c r="K94" i="14" s="1"/>
  <c r="I94" i="14" a="1"/>
  <c r="I94" i="14" s="1"/>
  <c r="H94" i="14" a="1"/>
  <c r="H94" i="14" s="1"/>
  <c r="F94" i="14" a="1"/>
  <c r="F94" i="14" s="1"/>
  <c r="E94" i="14" a="1"/>
  <c r="E94" i="14" s="1"/>
  <c r="C94" i="14" a="1"/>
  <c r="C94" i="14" s="1"/>
  <c r="B94" i="14" a="1"/>
  <c r="B94" i="14" s="1"/>
  <c r="U88" i="14" a="1"/>
  <c r="U88" i="14" s="1"/>
  <c r="T88" i="14" a="1"/>
  <c r="T88" i="14" s="1"/>
  <c r="R88" i="14" a="1"/>
  <c r="R88" i="14" s="1"/>
  <c r="Q88" i="14" a="1"/>
  <c r="Q88" i="14" s="1"/>
  <c r="O88" i="14" a="1"/>
  <c r="O88" i="14" s="1"/>
  <c r="N88" i="14" a="1"/>
  <c r="N88" i="14" s="1"/>
  <c r="L88" i="14" a="1"/>
  <c r="L88" i="14" s="1"/>
  <c r="K88" i="14" a="1"/>
  <c r="K88" i="14" s="1"/>
  <c r="I88" i="14" a="1"/>
  <c r="I88" i="14" s="1"/>
  <c r="H88" i="14" a="1"/>
  <c r="H88" i="14" s="1"/>
  <c r="F88" i="14" a="1"/>
  <c r="F88" i="14" s="1"/>
  <c r="E88" i="14" a="1"/>
  <c r="E88" i="14" s="1"/>
  <c r="C88" i="14" a="1"/>
  <c r="C88" i="14" s="1"/>
  <c r="B88" i="14" a="1"/>
  <c r="B88" i="14" s="1"/>
  <c r="N82" i="14" a="1"/>
  <c r="N82" i="14" s="1"/>
  <c r="L82" i="14" a="1"/>
  <c r="L82" i="14" s="1"/>
  <c r="K82" i="14" a="1"/>
  <c r="K82" i="14" s="1"/>
  <c r="I82" i="14" a="1"/>
  <c r="I82" i="14" s="1"/>
  <c r="H82" i="14" a="1"/>
  <c r="H82" i="14" s="1"/>
  <c r="F82" i="14" a="1"/>
  <c r="F82" i="14" s="1"/>
  <c r="E82" i="14" a="1"/>
  <c r="E82" i="14" s="1"/>
  <c r="C82" i="14" a="1"/>
  <c r="C82" i="14" s="1"/>
  <c r="B82" i="14" a="1"/>
  <c r="B82" i="14" s="1"/>
  <c r="O73" i="14" a="1"/>
  <c r="O73" i="14" s="1"/>
  <c r="N73" i="14" a="1"/>
  <c r="N73" i="14" s="1"/>
  <c r="L73" i="14" a="1"/>
  <c r="L73" i="14" s="1"/>
  <c r="I73" i="14" a="1"/>
  <c r="I73" i="14" s="1"/>
  <c r="H73" i="14" a="1"/>
  <c r="H73" i="14" s="1"/>
  <c r="F73" i="14" a="1"/>
  <c r="F73" i="14" s="1"/>
  <c r="E73" i="14" a="1"/>
  <c r="E73" i="14" s="1"/>
  <c r="C73" i="14" a="1"/>
  <c r="C73" i="14" s="1"/>
  <c r="B73" i="14" a="1"/>
  <c r="B73" i="14" s="1"/>
  <c r="O67" i="14" a="1"/>
  <c r="O67" i="14" s="1"/>
  <c r="N67" i="14" a="1"/>
  <c r="N67" i="14" s="1"/>
  <c r="L67" i="14" a="1"/>
  <c r="L67" i="14" s="1"/>
  <c r="K67" i="14" a="1"/>
  <c r="K67" i="14" s="1"/>
  <c r="I67" i="14" a="1"/>
  <c r="I67" i="14" s="1"/>
  <c r="H67" i="14" a="1"/>
  <c r="H67" i="14" s="1"/>
  <c r="F67" i="14" a="1"/>
  <c r="F67" i="14" s="1"/>
  <c r="E67" i="14" a="1"/>
  <c r="E67" i="14" s="1"/>
  <c r="C67" i="14" a="1"/>
  <c r="C67" i="14" s="1"/>
  <c r="B67" i="14" a="1"/>
  <c r="B67" i="14" s="1"/>
  <c r="O57" i="14" a="1"/>
  <c r="O57" i="14" s="1"/>
  <c r="N57" i="14" a="1"/>
  <c r="N57" i="14" s="1"/>
  <c r="L57" i="14" a="1"/>
  <c r="L57" i="14" s="1"/>
  <c r="I57" i="14" a="1"/>
  <c r="I57" i="14" s="1"/>
  <c r="H57" i="14" a="1"/>
  <c r="H57" i="14" s="1"/>
  <c r="F57" i="14" a="1"/>
  <c r="F57" i="14" s="1"/>
  <c r="E57" i="14" a="1"/>
  <c r="E57" i="14" s="1"/>
  <c r="C57" i="14" a="1"/>
  <c r="C57" i="14" s="1"/>
  <c r="B57" i="14" a="1"/>
  <c r="B57" i="14" s="1"/>
  <c r="O51" i="14" a="1"/>
  <c r="O51" i="14" s="1"/>
  <c r="N51" i="14" a="1"/>
  <c r="N51" i="14" s="1"/>
  <c r="L51" i="14" a="1"/>
  <c r="L51" i="14" s="1"/>
  <c r="K51" i="14" a="1"/>
  <c r="K51" i="14" s="1"/>
  <c r="I51" i="14" a="1"/>
  <c r="I51" i="14" s="1"/>
  <c r="H51" i="14" a="1"/>
  <c r="H51" i="14" s="1"/>
  <c r="F51" i="14" a="1"/>
  <c r="F51" i="14" s="1"/>
  <c r="E51" i="14" a="1"/>
  <c r="E51" i="14" s="1"/>
  <c r="C51" i="14" a="1"/>
  <c r="C51" i="14" s="1"/>
  <c r="B51" i="14" a="1"/>
  <c r="B51" i="14" s="1"/>
  <c r="O42" i="14" a="1"/>
  <c r="O42" i="14" s="1"/>
  <c r="N42" i="14" a="1"/>
  <c r="N42" i="14" s="1"/>
  <c r="L42" i="14" a="1"/>
  <c r="L42" i="14" s="1"/>
  <c r="K42" i="14" a="1"/>
  <c r="K42" i="14" s="1"/>
  <c r="I42" i="14" a="1"/>
  <c r="I42" i="14" s="1"/>
  <c r="H42" i="14" a="1"/>
  <c r="H42" i="14" s="1"/>
  <c r="F42" i="14" a="1"/>
  <c r="F42" i="14" s="1"/>
  <c r="E42" i="14" a="1"/>
  <c r="E42" i="14" s="1"/>
  <c r="C42" i="14" a="1"/>
  <c r="C42" i="14" s="1"/>
  <c r="B42" i="14" a="1"/>
  <c r="B42" i="14" s="1"/>
  <c r="W36" i="14" a="1"/>
  <c r="W36" i="14" s="1"/>
  <c r="T36" i="14" a="1"/>
  <c r="T36" i="14" s="1"/>
  <c r="R36" i="14" a="1"/>
  <c r="R36" i="14" s="1"/>
  <c r="Q36" i="14" a="1"/>
  <c r="Q36" i="14" s="1"/>
  <c r="O36" i="14" a="1"/>
  <c r="O36" i="14" s="1"/>
  <c r="N36" i="14" a="1"/>
  <c r="N36" i="14" s="1"/>
  <c r="L36" i="14" a="1"/>
  <c r="L36" i="14" s="1"/>
  <c r="K36" i="14" a="1"/>
  <c r="K36" i="14" s="1"/>
  <c r="I36" i="14" a="1"/>
  <c r="I36" i="14" s="1"/>
  <c r="H36" i="14" a="1"/>
  <c r="H36" i="14" s="1"/>
  <c r="E36" i="14" a="1"/>
  <c r="E36" i="14" s="1"/>
  <c r="B36" i="14" a="1"/>
  <c r="B36" i="14" s="1"/>
  <c r="X27" i="14" a="1"/>
  <c r="X27" i="14" s="1"/>
  <c r="W27" i="14" a="1"/>
  <c r="W27" i="14" s="1"/>
  <c r="U27" i="14" a="1"/>
  <c r="U27" i="14" s="1"/>
  <c r="T27" i="14" a="1"/>
  <c r="T27" i="14" s="1"/>
  <c r="R27" i="14" a="1"/>
  <c r="R27" i="14" s="1"/>
  <c r="Q27" i="14" a="1"/>
  <c r="Q27" i="14" s="1"/>
  <c r="O27" i="14" a="1"/>
  <c r="O27" i="14" s="1"/>
  <c r="N27" i="14" a="1"/>
  <c r="N27" i="14" s="1"/>
  <c r="L27" i="14" a="1"/>
  <c r="L27" i="14" s="1"/>
  <c r="K27" i="14" a="1"/>
  <c r="K27" i="14" s="1"/>
  <c r="I27" i="14" a="1"/>
  <c r="I27" i="14" s="1"/>
  <c r="H27" i="14" a="1"/>
  <c r="H27" i="14" s="1"/>
  <c r="F27" i="14" a="1"/>
  <c r="F27" i="14" s="1"/>
  <c r="E27" i="14" a="1"/>
  <c r="E27" i="14" s="1"/>
  <c r="C27" i="14" a="1"/>
  <c r="C27" i="14" s="1"/>
  <c r="B27" i="14" a="1"/>
  <c r="B27" i="14" s="1"/>
  <c r="K16" i="14" a="1"/>
  <c r="K16" i="14" s="1"/>
  <c r="I16" i="14" a="1"/>
  <c r="I16" i="14" s="1"/>
  <c r="H16" i="14" a="1"/>
  <c r="H16" i="14" s="1"/>
  <c r="E16" i="14" a="1"/>
  <c r="E16" i="14" s="1"/>
  <c r="B16" i="14" a="1"/>
  <c r="B16" i="14" s="1"/>
  <c r="L4" i="14" a="1"/>
  <c r="L4" i="14" s="1"/>
  <c r="K4" i="14" a="1"/>
  <c r="K4" i="14" s="1"/>
  <c r="I4" i="14" a="1"/>
  <c r="I4" i="14" s="1"/>
  <c r="H4" i="14" a="1"/>
  <c r="H4" i="14" s="1"/>
  <c r="F4" i="14" a="1"/>
  <c r="F4" i="14" s="1"/>
  <c r="E4" i="14" a="1"/>
  <c r="E4" i="14" s="1"/>
  <c r="C4" i="14" a="1"/>
  <c r="C4" i="14" s="1"/>
  <c r="B4" i="14" a="1"/>
  <c r="B4" i="14" s="1"/>
  <c r="G126" i="2" a="1"/>
  <c r="G126" i="2" s="1"/>
  <c r="AN111" i="2" a="1"/>
  <c r="AN111" i="2" s="1"/>
  <c r="AI111" i="2" a="1"/>
  <c r="AI111" i="2" s="1"/>
  <c r="AC111" i="2" a="1"/>
  <c r="AC111" i="2" s="1"/>
  <c r="R111" i="2" a="1"/>
  <c r="R111" i="2" s="1"/>
  <c r="G111" i="2" a="1"/>
  <c r="G111" i="2" s="1"/>
  <c r="AY99" i="2" a="1"/>
  <c r="AY99" i="2" s="1"/>
  <c r="AN99" i="2" a="1"/>
  <c r="AN99" i="2" s="1"/>
  <c r="AC99" i="2" a="1"/>
  <c r="AC99" i="2" s="1"/>
  <c r="R99" i="2" a="1"/>
  <c r="R99" i="2" s="1"/>
  <c r="G99" i="2" a="1"/>
  <c r="G99" i="2" s="1"/>
  <c r="AN87" i="2" a="1"/>
  <c r="AN87" i="2" s="1"/>
  <c r="AC87" i="2" a="1"/>
  <c r="AC87" i="2" s="1"/>
  <c r="R87" i="2" a="1"/>
  <c r="R87" i="2" s="1"/>
  <c r="G87" i="2" a="1"/>
  <c r="G87" i="2" s="1"/>
  <c r="AY72" i="2" a="1"/>
  <c r="AY72" i="2" s="1"/>
  <c r="AT72" i="2" a="1"/>
  <c r="AT72" i="2" s="1"/>
  <c r="AN72" i="2" a="1"/>
  <c r="AN72" i="2" s="1"/>
  <c r="AC72" i="2" a="1"/>
  <c r="AC72" i="2" s="1"/>
  <c r="R72" i="2" a="1"/>
  <c r="R72" i="2" s="1"/>
  <c r="G72" i="2" a="1"/>
  <c r="G72" i="2" s="1"/>
  <c r="AY56" i="2" a="1"/>
  <c r="AY56" i="2" s="1"/>
  <c r="AN56" i="2" a="1"/>
  <c r="AN56" i="2" s="1"/>
  <c r="AC56" i="2" a="1"/>
  <c r="AC56" i="2" s="1"/>
  <c r="R56" i="2" a="1"/>
  <c r="R56" i="2" s="1"/>
  <c r="G56" i="2" a="1"/>
  <c r="G56" i="2" s="1"/>
  <c r="B56" i="2" a="1"/>
  <c r="B56" i="2" s="1"/>
  <c r="BJ41" i="2" a="1"/>
  <c r="BJ41" i="2" s="1"/>
  <c r="AY41" i="2" a="1"/>
  <c r="AY41" i="2" s="1"/>
  <c r="AN41" i="2" a="1"/>
  <c r="AN41" i="2" s="1"/>
  <c r="AC41" i="2" a="1"/>
  <c r="AC41" i="2" s="1"/>
  <c r="AC20" i="2" a="1"/>
  <c r="AC20" i="2" s="1"/>
  <c r="D148" i="3"/>
  <c r="D158" i="3"/>
  <c r="O13" i="3"/>
  <c r="O12" i="3"/>
  <c r="D144" i="3"/>
  <c r="D26" i="3"/>
  <c r="D10" i="3"/>
  <c r="D6" i="3"/>
  <c r="D71" i="3"/>
  <c r="D73" i="3"/>
  <c r="D145" i="3"/>
  <c r="AC4" i="2" a="1"/>
  <c r="AC4" i="2" s="1"/>
  <c r="AD4" i="2" a="1"/>
  <c r="AD4" i="2" s="1"/>
  <c r="AE4" i="2" a="1"/>
  <c r="AE4" i="2" s="1"/>
  <c r="AF4" i="2" a="1"/>
  <c r="AF4" i="2" s="1"/>
  <c r="AC3" i="2" s="1"/>
  <c r="M4" i="2" a="1"/>
  <c r="M4" i="2" s="1"/>
  <c r="N4" i="2" a="1"/>
  <c r="N4" i="2" s="1"/>
  <c r="O4" i="2" a="1"/>
  <c r="O4" i="2" s="1"/>
  <c r="P4" i="2" a="1"/>
  <c r="P4" i="2" s="1"/>
  <c r="M3" i="2" s="1"/>
  <c r="R4" i="2" a="1"/>
  <c r="R4" i="2" s="1"/>
  <c r="S4" i="2" a="1"/>
  <c r="S4" i="2" s="1"/>
  <c r="T4" i="2" a="1"/>
  <c r="T4" i="2" s="1"/>
  <c r="U4" i="2" a="1"/>
  <c r="U4" i="2" s="1"/>
  <c r="R3" i="2" s="1"/>
  <c r="X4" i="2" a="1"/>
  <c r="X4" i="2" s="1"/>
  <c r="Y4" i="2" a="1"/>
  <c r="Y4" i="2" s="1"/>
  <c r="Z4" i="2" a="1"/>
  <c r="Z4" i="2" s="1"/>
  <c r="AA4" i="2" a="1"/>
  <c r="AA4" i="2" s="1"/>
  <c r="X3" i="2" s="1"/>
  <c r="B4" i="2" a="1"/>
  <c r="B4" i="2" s="1"/>
  <c r="C4" i="2" a="1"/>
  <c r="C4" i="2" s="1"/>
  <c r="D4" i="2" a="1"/>
  <c r="D4" i="2" s="1"/>
  <c r="E4" i="2" a="1"/>
  <c r="E4" i="2" s="1"/>
  <c r="B3" i="2" s="1"/>
  <c r="G4" i="2" a="1"/>
  <c r="G4" i="2" s="1"/>
  <c r="H4" i="2" a="1"/>
  <c r="H4" i="2" s="1"/>
  <c r="I4" i="2" a="1"/>
  <c r="I4" i="2" s="1"/>
  <c r="J4" i="2" a="1"/>
  <c r="J4" i="2" s="1"/>
  <c r="G3" i="2" s="1"/>
  <c r="M20" i="2" a="1"/>
  <c r="M20" i="2" s="1"/>
  <c r="X20" i="2" a="1"/>
  <c r="X20" i="2" s="1"/>
  <c r="B20" i="2" a="1"/>
  <c r="B20" i="2" s="1"/>
  <c r="BC47" i="2" a="1"/>
  <c r="BC47" i="2" s="1"/>
  <c r="BB47" i="2" a="1"/>
  <c r="BB47" i="2" s="1"/>
  <c r="AY47" i="2" a="1"/>
  <c r="AY47" i="2" s="1"/>
  <c r="AX47" i="2" a="1"/>
  <c r="AX47" i="2" s="1"/>
  <c r="AW47" i="2" a="1"/>
  <c r="AW47" i="2" s="1"/>
  <c r="AT47" i="2" a="1"/>
  <c r="AT47" i="2" s="1"/>
  <c r="D25" i="3"/>
  <c r="D147" i="3"/>
  <c r="O127" i="3"/>
  <c r="O120" i="3"/>
  <c r="D21" i="3"/>
  <c r="AY105" i="2" a="1"/>
  <c r="AY105" i="2" s="1"/>
  <c r="AQ105" i="2" a="1"/>
  <c r="AQ105" i="2" s="1"/>
  <c r="AP105" i="2" a="1"/>
  <c r="AP105" i="2" s="1"/>
  <c r="AO105" i="2" a="1"/>
  <c r="AO105" i="2" s="1"/>
  <c r="AN105" i="2" a="1"/>
  <c r="AN105" i="2" s="1"/>
  <c r="AF105" i="2" a="1"/>
  <c r="AF105" i="2" s="1"/>
  <c r="AE105" i="2" a="1"/>
  <c r="AE105" i="2" s="1"/>
  <c r="AD105" i="2" a="1"/>
  <c r="AD105" i="2" s="1"/>
  <c r="AC105" i="2" a="1"/>
  <c r="AC105" i="2" s="1"/>
  <c r="U105" i="2" a="1"/>
  <c r="U105" i="2" s="1"/>
  <c r="T105" i="2" a="1"/>
  <c r="T105" i="2" s="1"/>
  <c r="S105" i="2" a="1"/>
  <c r="S105" i="2" s="1"/>
  <c r="R105" i="2" a="1"/>
  <c r="R105" i="2" s="1"/>
  <c r="J105" i="2" a="1"/>
  <c r="J105" i="2" s="1"/>
  <c r="I105" i="2" a="1"/>
  <c r="I105" i="2" s="1"/>
  <c r="H105" i="2" a="1"/>
  <c r="H105" i="2" s="1"/>
  <c r="G105" i="2" a="1"/>
  <c r="G105" i="2" s="1"/>
  <c r="BY93" i="2" a="1"/>
  <c r="BY93" i="2" s="1"/>
  <c r="BX93" i="2" a="1"/>
  <c r="BX93" i="2" s="1"/>
  <c r="BU93" i="2" a="1"/>
  <c r="BU93" i="2" s="1"/>
  <c r="BN93" i="2" a="1"/>
  <c r="BN93" i="2" s="1"/>
  <c r="BM93" i="2" a="1"/>
  <c r="BM93" i="2" s="1"/>
  <c r="BJ93" i="2" a="1"/>
  <c r="BJ93" i="2" s="1"/>
  <c r="BC93" i="2" a="1"/>
  <c r="BC93" i="2" s="1"/>
  <c r="BB93" i="2" a="1"/>
  <c r="BB93" i="2" s="1"/>
  <c r="AY93" i="2" a="1"/>
  <c r="AY93" i="2" s="1"/>
  <c r="AQ93" i="2" a="1"/>
  <c r="AQ93" i="2" s="1"/>
  <c r="AP93" i="2" a="1"/>
  <c r="AP93" i="2" s="1"/>
  <c r="AO93" i="2" a="1"/>
  <c r="AO93" i="2" s="1"/>
  <c r="AN93" i="2" a="1"/>
  <c r="AN93" i="2" s="1"/>
  <c r="AF93" i="2" a="1"/>
  <c r="AF93" i="2" s="1"/>
  <c r="AE93" i="2" a="1"/>
  <c r="AE93" i="2" s="1"/>
  <c r="AD93" i="2" a="1"/>
  <c r="AD93" i="2" s="1"/>
  <c r="AC93" i="2" a="1"/>
  <c r="AC93" i="2" s="1"/>
  <c r="U93" i="2" a="1"/>
  <c r="U93" i="2" s="1"/>
  <c r="T93" i="2" a="1"/>
  <c r="T93" i="2" s="1"/>
  <c r="S93" i="2" a="1"/>
  <c r="S93" i="2" s="1"/>
  <c r="R93" i="2" a="1"/>
  <c r="R93" i="2" s="1"/>
  <c r="K93" i="2" a="1"/>
  <c r="K93" i="2" s="1"/>
  <c r="J93" i="2" a="1"/>
  <c r="J93" i="2" s="1"/>
  <c r="I93" i="2" a="1"/>
  <c r="I93" i="2" s="1"/>
  <c r="H93" i="2" a="1"/>
  <c r="H93" i="2" s="1"/>
  <c r="G93" i="2" a="1"/>
  <c r="G93" i="2" s="1"/>
  <c r="BC78" i="2" a="1"/>
  <c r="BC78" i="2" s="1"/>
  <c r="BB78" i="2" a="1"/>
  <c r="BB78" i="2" s="1"/>
  <c r="BA78" i="2" a="1"/>
  <c r="BA78" i="2" s="1"/>
  <c r="AZ78" i="2" a="1"/>
  <c r="AZ78" i="2" s="1"/>
  <c r="AY78" i="2" a="1"/>
  <c r="AY78" i="2" s="1"/>
  <c r="AQ78" i="2" a="1"/>
  <c r="AQ78" i="2" s="1"/>
  <c r="AP78" i="2" a="1"/>
  <c r="AP78" i="2" s="1"/>
  <c r="AO78" i="2" a="1"/>
  <c r="AO78" i="2" s="1"/>
  <c r="AN78" i="2" a="1"/>
  <c r="AN78" i="2" s="1"/>
  <c r="AF78" i="2" a="1"/>
  <c r="AF78" i="2" s="1"/>
  <c r="AE78" i="2" a="1"/>
  <c r="AE78" i="2" s="1"/>
  <c r="AD78" i="2" a="1"/>
  <c r="AD78" i="2" s="1"/>
  <c r="AC78" i="2" a="1"/>
  <c r="AC78" i="2" s="1"/>
  <c r="U78" i="2" a="1"/>
  <c r="U78" i="2" s="1"/>
  <c r="T78" i="2" a="1"/>
  <c r="T78" i="2" s="1"/>
  <c r="S78" i="2" a="1"/>
  <c r="S78" i="2" s="1"/>
  <c r="R78" i="2" a="1"/>
  <c r="R78" i="2" s="1"/>
  <c r="J78" i="2" a="1"/>
  <c r="J78" i="2" s="1"/>
  <c r="I78" i="2" a="1"/>
  <c r="I78" i="2" s="1"/>
  <c r="H78" i="2" a="1"/>
  <c r="H78" i="2" s="1"/>
  <c r="G78" i="2" a="1"/>
  <c r="G78" i="2" s="1"/>
  <c r="BB62" i="2" a="1"/>
  <c r="BB62" i="2" s="1"/>
  <c r="BA62" i="2" a="1"/>
  <c r="BA62" i="2" s="1"/>
  <c r="AZ62" i="2" a="1"/>
  <c r="AZ62" i="2" s="1"/>
  <c r="AY62" i="2" a="1"/>
  <c r="AY62" i="2" s="1"/>
  <c r="AQ62" i="2" a="1"/>
  <c r="AQ62" i="2" s="1"/>
  <c r="AP62" i="2" a="1"/>
  <c r="AP62" i="2" s="1"/>
  <c r="AO62" i="2" a="1"/>
  <c r="AO62" i="2" s="1"/>
  <c r="AN62" i="2" a="1"/>
  <c r="AN62" i="2" s="1"/>
  <c r="AF62" i="2" a="1"/>
  <c r="AF62" i="2" s="1"/>
  <c r="AE62" i="2" a="1"/>
  <c r="AE62" i="2" s="1"/>
  <c r="AD62" i="2" a="1"/>
  <c r="AD62" i="2" s="1"/>
  <c r="AC62" i="2" a="1"/>
  <c r="AC62" i="2" s="1"/>
  <c r="U62" i="2" a="1"/>
  <c r="U62" i="2" s="1"/>
  <c r="T62" i="2" a="1"/>
  <c r="T62" i="2" s="1"/>
  <c r="S62" i="2" a="1"/>
  <c r="S62" i="2" s="1"/>
  <c r="R62" i="2" a="1"/>
  <c r="R62" i="2" s="1"/>
  <c r="J62" i="2" a="1"/>
  <c r="J62" i="2" s="1"/>
  <c r="I62" i="2" a="1"/>
  <c r="I62" i="2" s="1"/>
  <c r="H62" i="2" a="1"/>
  <c r="H62" i="2" s="1"/>
  <c r="G62" i="2" a="1"/>
  <c r="G62" i="2" s="1"/>
  <c r="BA47" i="2" a="1"/>
  <c r="BA47" i="2" s="1"/>
  <c r="AZ47" i="2" a="1"/>
  <c r="AZ47" i="2" s="1"/>
  <c r="AQ47" i="2" a="1"/>
  <c r="AQ47" i="2" s="1"/>
  <c r="AP47" i="2" a="1"/>
  <c r="AP47" i="2" s="1"/>
  <c r="AO47" i="2" a="1"/>
  <c r="AO47" i="2" s="1"/>
  <c r="AN47" i="2" a="1"/>
  <c r="AN47" i="2" s="1"/>
  <c r="AF47" i="2" a="1"/>
  <c r="AF47" i="2" s="1"/>
  <c r="AE47" i="2" a="1"/>
  <c r="AE47" i="2" s="1"/>
  <c r="AD47" i="2" a="1"/>
  <c r="AD47" i="2" s="1"/>
  <c r="AC47" i="2" a="1"/>
  <c r="AC47" i="2" s="1"/>
  <c r="V47" i="2" a="1"/>
  <c r="V47" i="2" s="1"/>
  <c r="U47" i="2" a="1"/>
  <c r="U47" i="2" s="1"/>
  <c r="T47" i="2" a="1"/>
  <c r="T47" i="2" s="1"/>
  <c r="S47" i="2" a="1"/>
  <c r="S47" i="2" s="1"/>
  <c r="R47" i="2" a="1"/>
  <c r="R47" i="2" s="1"/>
  <c r="K47" i="2" a="1"/>
  <c r="K47" i="2" s="1"/>
  <c r="J47" i="2" a="1"/>
  <c r="J47" i="2" s="1"/>
  <c r="G46" i="2" s="1"/>
  <c r="I47" i="2" a="1"/>
  <c r="I47" i="2" s="1"/>
  <c r="H47" i="2" a="1"/>
  <c r="H47" i="2" s="1"/>
  <c r="G47" i="2" a="1"/>
  <c r="G47" i="2" s="1"/>
  <c r="CI31" i="2" a="1"/>
  <c r="CI31" i="2" s="1"/>
  <c r="CH31" i="2" a="1"/>
  <c r="CH31" i="2" s="1"/>
  <c r="CG31" i="2" a="1"/>
  <c r="CG31" i="2" s="1"/>
  <c r="CF31" i="2" a="1"/>
  <c r="CF31" i="2" s="1"/>
  <c r="BX31" i="2" a="1"/>
  <c r="BX31" i="2" s="1"/>
  <c r="BW31" i="2" a="1"/>
  <c r="BW31" i="2" s="1"/>
  <c r="BV31" i="2" a="1"/>
  <c r="BV31" i="2" s="1"/>
  <c r="BU31" i="2" a="1"/>
  <c r="BU31" i="2" s="1"/>
  <c r="BM31" i="2" a="1"/>
  <c r="BM31" i="2" s="1"/>
  <c r="BL31" i="2" a="1"/>
  <c r="BL31" i="2" s="1"/>
  <c r="BK31" i="2" a="1"/>
  <c r="BK31" i="2" s="1"/>
  <c r="BJ31" i="2" a="1"/>
  <c r="BJ31" i="2" s="1"/>
  <c r="BB31" i="2" a="1"/>
  <c r="BB31" i="2" s="1"/>
  <c r="BA31" i="2" a="1"/>
  <c r="BA31" i="2" s="1"/>
  <c r="AZ31" i="2" a="1"/>
  <c r="AZ31" i="2" s="1"/>
  <c r="AY31" i="2" a="1"/>
  <c r="AY31" i="2" s="1"/>
  <c r="AQ31" i="2" a="1"/>
  <c r="AQ31" i="2" s="1"/>
  <c r="AP31" i="2" a="1"/>
  <c r="AP31" i="2" s="1"/>
  <c r="AO31" i="2" a="1"/>
  <c r="AO31" i="2" s="1"/>
  <c r="AN31" i="2" a="1"/>
  <c r="AN31" i="2" s="1"/>
  <c r="AF31" i="2" a="1"/>
  <c r="AF31" i="2" s="1"/>
  <c r="AE31" i="2" a="1"/>
  <c r="AE31" i="2" s="1"/>
  <c r="AD31" i="2" a="1"/>
  <c r="AD31" i="2" s="1"/>
  <c r="AC31" i="2" a="1"/>
  <c r="AC31" i="2" s="1"/>
  <c r="V31" i="2" a="1"/>
  <c r="V31" i="2" s="1"/>
  <c r="U31" i="2" a="1"/>
  <c r="U31" i="2" s="1"/>
  <c r="T31" i="2" a="1"/>
  <c r="T31" i="2" s="1"/>
  <c r="S31" i="2" a="1"/>
  <c r="S31" i="2" s="1"/>
  <c r="R31" i="2" a="1"/>
  <c r="R31" i="2" s="1"/>
  <c r="K31" i="2" a="1"/>
  <c r="K31" i="2" s="1"/>
  <c r="J31" i="2" a="1"/>
  <c r="J31" i="2" s="1"/>
  <c r="I31" i="2" a="1"/>
  <c r="I31" i="2" s="1"/>
  <c r="H31" i="2" a="1"/>
  <c r="H31" i="2" s="1"/>
  <c r="G31" i="2" a="1"/>
  <c r="G31" i="2" s="1"/>
  <c r="AR4" i="2" a="1"/>
  <c r="AR4" i="2" s="1"/>
  <c r="AQ4" i="2" a="1"/>
  <c r="AQ4" i="2" s="1"/>
  <c r="AP4" i="2" a="1"/>
  <c r="AP4" i="2" s="1"/>
  <c r="AO4" i="2" a="1"/>
  <c r="AO4" i="2" s="1"/>
  <c r="AN4" i="2" a="1"/>
  <c r="AN4" i="2" s="1"/>
  <c r="J118" i="2" a="1"/>
  <c r="J118" i="2" s="1"/>
  <c r="I118" i="2" a="1"/>
  <c r="I118" i="2" s="1"/>
  <c r="H118" i="2" a="1"/>
  <c r="H118" i="2" s="1"/>
  <c r="G118" i="2" a="1"/>
  <c r="G118" i="2" s="1"/>
  <c r="BC105" i="2" a="1"/>
  <c r="BC105" i="2" s="1"/>
  <c r="BB105" i="2" a="1"/>
  <c r="BB105" i="2" s="1"/>
  <c r="BA105" i="2" a="1"/>
  <c r="BA105" i="2" s="1"/>
  <c r="AZ105" i="2" a="1"/>
  <c r="AZ105" i="2" s="1"/>
  <c r="D4" i="3"/>
  <c r="D3" i="3"/>
  <c r="D118" i="2" a="1"/>
  <c r="D118" i="2" s="1"/>
  <c r="C118" i="2" a="1"/>
  <c r="C118" i="2" s="1"/>
  <c r="O105" i="2" a="1"/>
  <c r="O105" i="2" s="1"/>
  <c r="N105" i="2" a="1"/>
  <c r="N105" i="2" s="1"/>
  <c r="AK93" i="2" a="1"/>
  <c r="AK93" i="2" s="1"/>
  <c r="AJ93" i="2" a="1"/>
  <c r="AJ93" i="2" s="1"/>
  <c r="Z93" i="2" a="1"/>
  <c r="Z93" i="2" s="1"/>
  <c r="Y93" i="2" a="1"/>
  <c r="Y93" i="2" s="1"/>
  <c r="O93" i="2" a="1"/>
  <c r="O93" i="2" s="1"/>
  <c r="N93" i="2" a="1"/>
  <c r="N93" i="2" s="1"/>
  <c r="AV78" i="2" a="1"/>
  <c r="AV78" i="2" s="1"/>
  <c r="AU78" i="2" a="1"/>
  <c r="AU78" i="2" s="1"/>
  <c r="AK78" i="2" a="1"/>
  <c r="AK78" i="2" s="1"/>
  <c r="AJ78" i="2" a="1"/>
  <c r="AJ78" i="2" s="1"/>
  <c r="Z78" i="2" a="1"/>
  <c r="Z78" i="2" s="1"/>
  <c r="Y78" i="2" a="1"/>
  <c r="Y78" i="2" s="1"/>
  <c r="O78" i="2" a="1"/>
  <c r="O78" i="2" s="1"/>
  <c r="N78" i="2" a="1"/>
  <c r="N78" i="2" s="1"/>
  <c r="AV62" i="2" a="1"/>
  <c r="AV62" i="2" s="1"/>
  <c r="AU62" i="2" a="1"/>
  <c r="AU62" i="2" s="1"/>
  <c r="AK62" i="2" a="1"/>
  <c r="AK62" i="2" s="1"/>
  <c r="AJ62" i="2" a="1"/>
  <c r="AJ62" i="2" s="1"/>
  <c r="Z62" i="2" a="1"/>
  <c r="Z62" i="2" s="1"/>
  <c r="Y62" i="2" a="1"/>
  <c r="Y62" i="2" s="1"/>
  <c r="O62" i="2" a="1"/>
  <c r="O62" i="2" s="1"/>
  <c r="N62" i="2" a="1"/>
  <c r="N62" i="2" s="1"/>
  <c r="AV47" i="2" a="1"/>
  <c r="AV47" i="2" s="1"/>
  <c r="AU47" i="2" a="1"/>
  <c r="AU47" i="2" s="1"/>
  <c r="AK47" i="2" a="1"/>
  <c r="AK47" i="2" s="1"/>
  <c r="AJ47" i="2" a="1"/>
  <c r="AJ47" i="2" s="1"/>
  <c r="Z47" i="2" a="1"/>
  <c r="Z47" i="2" s="1"/>
  <c r="Y47" i="2" a="1"/>
  <c r="Y47" i="2" s="1"/>
  <c r="O47" i="2" a="1"/>
  <c r="O47" i="2" s="1"/>
  <c r="N47" i="2" a="1"/>
  <c r="N47" i="2" s="1"/>
  <c r="CC31" i="2" a="1"/>
  <c r="CC31" i="2" s="1"/>
  <c r="CB31" i="2" a="1"/>
  <c r="CB31" i="2" s="1"/>
  <c r="BR31" i="2" a="1"/>
  <c r="BR31" i="2" s="1"/>
  <c r="BQ31" i="2" a="1"/>
  <c r="BQ31" i="2" s="1"/>
  <c r="BG31" i="2" a="1"/>
  <c r="BG31" i="2" s="1"/>
  <c r="BF31" i="2" a="1"/>
  <c r="BF31" i="2" s="1"/>
  <c r="AV31" i="2" a="1"/>
  <c r="AV31" i="2" s="1"/>
  <c r="AU31" i="2" a="1"/>
  <c r="AU31" i="2" s="1"/>
  <c r="AK31" i="2" a="1"/>
  <c r="AK31" i="2" s="1"/>
  <c r="AJ31" i="2" a="1"/>
  <c r="AJ31" i="2" s="1"/>
  <c r="Z31" i="2" a="1"/>
  <c r="Z31" i="2" s="1"/>
  <c r="Y31" i="2" a="1"/>
  <c r="Y31" i="2" s="1"/>
  <c r="O31" i="2" a="1"/>
  <c r="O31" i="2" s="1"/>
  <c r="N31" i="2" a="1"/>
  <c r="N31" i="2" s="1"/>
  <c r="AK4" i="2" a="1"/>
  <c r="AK4" i="2" s="1"/>
  <c r="AJ4" i="2" a="1"/>
  <c r="AJ4" i="2" s="1"/>
  <c r="D105" i="2" a="1"/>
  <c r="D105" i="2" s="1"/>
  <c r="C105" i="2" a="1"/>
  <c r="C105" i="2" s="1"/>
  <c r="D93" i="2" a="1"/>
  <c r="D93" i="2" s="1"/>
  <c r="C93" i="2" a="1"/>
  <c r="C93" i="2" s="1"/>
  <c r="D78" i="2" a="1"/>
  <c r="D78" i="2" s="1"/>
  <c r="C78" i="2" a="1"/>
  <c r="C78" i="2" s="1"/>
  <c r="C62" i="2" a="1"/>
  <c r="C62" i="2" s="1"/>
  <c r="D62" i="2" a="1"/>
  <c r="D62" i="2" s="1"/>
  <c r="D47" i="2" a="1"/>
  <c r="D47" i="2" s="1"/>
  <c r="C47" i="2" a="1"/>
  <c r="C47" i="2" s="1"/>
  <c r="D31" i="2" a="1"/>
  <c r="D31" i="2" s="1"/>
  <c r="C31" i="2" a="1"/>
  <c r="C31" i="2" s="1"/>
  <c r="B62" i="2" a="1"/>
  <c r="B62" i="2" s="1"/>
  <c r="F2" i="5" a="1"/>
  <c r="F2" i="5" s="1"/>
  <c r="G2" i="5" a="1"/>
  <c r="G2" i="5" s="1"/>
  <c r="N2" i="5" a="1"/>
  <c r="N2" i="5" s="1"/>
  <c r="O128" i="3"/>
  <c r="K118" i="2" s="1" a="1"/>
  <c r="K118" i="2" s="1"/>
  <c r="D2" i="3"/>
  <c r="D125" i="3"/>
  <c r="D8" i="3"/>
  <c r="D48" i="3"/>
  <c r="O112" i="3"/>
  <c r="D80" i="3"/>
  <c r="C2" i="5" a="1"/>
  <c r="C2" i="5" s="1"/>
  <c r="D2" i="5" a="1"/>
  <c r="D2" i="5" s="1"/>
  <c r="B2" i="5" a="1"/>
  <c r="B2" i="5" s="1"/>
  <c r="J2" i="5" a="1"/>
  <c r="J2" i="5" s="1"/>
  <c r="M2" i="5" a="1"/>
  <c r="M2" i="5" s="1"/>
  <c r="I2" i="5" a="1"/>
  <c r="I2" i="5" s="1"/>
  <c r="I2" i="6" a="1"/>
  <c r="I2" i="6" s="1"/>
  <c r="A2" i="6" a="1"/>
  <c r="A2" i="6" s="1"/>
  <c r="B2" i="6" a="1"/>
  <c r="B2" i="6" s="1"/>
  <c r="C2" i="6" a="1"/>
  <c r="C2" i="6" s="1"/>
  <c r="E2" i="6" a="1"/>
  <c r="E2" i="6" s="1"/>
  <c r="G2" i="6" a="1"/>
  <c r="G2" i="6" s="1"/>
  <c r="O47" i="3"/>
  <c r="D64" i="3"/>
  <c r="D89" i="3"/>
  <c r="D42" i="3"/>
  <c r="O26" i="3" l="1"/>
  <c r="O6" i="3"/>
  <c r="O5" i="3"/>
  <c r="O9" i="3"/>
  <c r="O7" i="3"/>
  <c r="O11" i="3"/>
  <c r="O10" i="3"/>
  <c r="O17" i="3"/>
  <c r="O14" i="3"/>
  <c r="O16" i="3"/>
  <c r="O15" i="3"/>
  <c r="O19" i="3"/>
  <c r="O24" i="3"/>
  <c r="O22" i="3"/>
  <c r="O27" i="3"/>
  <c r="O18" i="3"/>
  <c r="O20" i="3"/>
  <c r="O2" i="3"/>
  <c r="O25" i="3"/>
  <c r="AR31" i="2" s="1" a="1"/>
  <c r="AR31" i="2" s="1"/>
  <c r="O4" i="3"/>
  <c r="AG31" i="2" s="1" a="1"/>
  <c r="AG31" i="2" s="1"/>
  <c r="O31" i="3"/>
  <c r="O23" i="3"/>
  <c r="O28" i="3"/>
  <c r="O33" i="3"/>
  <c r="O34" i="3"/>
  <c r="O32" i="3"/>
  <c r="O21" i="3"/>
  <c r="O36" i="3"/>
  <c r="O37" i="3"/>
  <c r="O29" i="3"/>
  <c r="O49" i="3"/>
  <c r="O43" i="3"/>
  <c r="BY31" i="2" s="1" a="1"/>
  <c r="BY31" i="2" s="1"/>
  <c r="O38" i="3"/>
  <c r="O53" i="3"/>
  <c r="O50" i="3"/>
  <c r="O46" i="3"/>
  <c r="O42" i="3"/>
  <c r="O45" i="3"/>
  <c r="O39" i="3"/>
  <c r="O40" i="3"/>
  <c r="O48" i="3"/>
  <c r="O41" i="3"/>
  <c r="O35" i="3"/>
  <c r="O56" i="3"/>
  <c r="O52" i="3"/>
  <c r="O69" i="3"/>
  <c r="O55" i="3"/>
  <c r="O44" i="3"/>
  <c r="O30" i="3"/>
  <c r="O57" i="3"/>
  <c r="O51" i="3"/>
  <c r="O61" i="3"/>
  <c r="O59" i="3"/>
  <c r="O84" i="3"/>
  <c r="O78" i="3"/>
  <c r="O63" i="3"/>
  <c r="O68" i="3"/>
  <c r="O70" i="3"/>
  <c r="O58" i="3"/>
  <c r="O93" i="3"/>
  <c r="O66" i="3"/>
  <c r="O96" i="3"/>
  <c r="O85" i="3"/>
  <c r="O62" i="3"/>
  <c r="AR47" i="2" s="1" a="1"/>
  <c r="AR47" i="2" s="1"/>
  <c r="O82" i="3"/>
  <c r="O74" i="3"/>
  <c r="O71" i="3"/>
  <c r="O76" i="3"/>
  <c r="O73" i="3"/>
  <c r="O64" i="3"/>
  <c r="O103" i="3"/>
  <c r="O54" i="3"/>
  <c r="O65" i="3"/>
  <c r="O89" i="3"/>
  <c r="O88" i="3"/>
  <c r="O99" i="3"/>
  <c r="O77" i="3"/>
  <c r="O102" i="3"/>
  <c r="O60" i="3"/>
  <c r="O104" i="3"/>
  <c r="O94" i="3"/>
  <c r="O90" i="3"/>
  <c r="O91" i="3"/>
  <c r="O107" i="3"/>
  <c r="O87" i="3"/>
  <c r="O101" i="3"/>
  <c r="O92" i="3"/>
  <c r="O100" i="3"/>
  <c r="O75" i="3"/>
  <c r="O97" i="3"/>
  <c r="O72" i="3"/>
  <c r="AG62" i="2" s="1" a="1"/>
  <c r="AG62" i="2" s="1"/>
  <c r="O86" i="3"/>
  <c r="BC62" i="2" s="1" a="1"/>
  <c r="BC62" i="2" s="1"/>
  <c r="O81" i="3"/>
  <c r="O108" i="3"/>
  <c r="O67" i="3"/>
  <c r="O111" i="3"/>
  <c r="O116" i="3"/>
  <c r="O124" i="3"/>
  <c r="O106" i="3"/>
  <c r="O95" i="3"/>
  <c r="V78" i="2" s="1" a="1"/>
  <c r="V78" i="2" s="1"/>
  <c r="O98" i="3"/>
  <c r="O105" i="3"/>
  <c r="O117" i="3"/>
  <c r="O126" i="3"/>
  <c r="O113" i="3"/>
  <c r="V93" i="2" s="1" a="1"/>
  <c r="V93" i="2" s="1"/>
  <c r="O119" i="3"/>
  <c r="O115" i="3"/>
  <c r="K105" i="2" s="1" a="1"/>
  <c r="K105" i="2" s="1"/>
  <c r="O125" i="3"/>
  <c r="AG105" i="2" s="1" a="1"/>
  <c r="AG105" i="2" s="1"/>
  <c r="O110" i="3"/>
  <c r="O80" i="3"/>
  <c r="O83" i="3"/>
  <c r="O79" i="3"/>
  <c r="O114" i="3"/>
  <c r="AR93" i="2" s="1" a="1"/>
  <c r="AR93" i="2" s="1"/>
  <c r="O123" i="3"/>
  <c r="O109" i="3"/>
  <c r="O121" i="3"/>
  <c r="O122" i="3"/>
  <c r="O118" i="3"/>
  <c r="O8" i="3"/>
  <c r="O3" i="3"/>
  <c r="D161" i="3"/>
  <c r="D2" i="6" s="1" a="1"/>
  <c r="D2" i="6" s="1"/>
  <c r="D162" i="3"/>
  <c r="D157" i="3"/>
  <c r="D159" i="3"/>
  <c r="D155" i="3"/>
  <c r="D150" i="3"/>
  <c r="D151" i="3"/>
  <c r="D149" i="3"/>
  <c r="D152" i="3"/>
  <c r="D153" i="3"/>
  <c r="D156" i="3"/>
  <c r="D160" i="3"/>
  <c r="D154" i="3"/>
  <c r="D143" i="3"/>
  <c r="D142" i="3"/>
  <c r="D137" i="3"/>
  <c r="D132" i="3"/>
  <c r="D140" i="3"/>
  <c r="D141" i="3"/>
  <c r="D134" i="3"/>
  <c r="D135" i="3"/>
  <c r="D131" i="3"/>
  <c r="D130" i="3"/>
  <c r="D128" i="3"/>
  <c r="D120" i="3"/>
  <c r="D139" i="3"/>
  <c r="D138" i="3"/>
  <c r="D129" i="3"/>
  <c r="D85" i="3"/>
  <c r="D119" i="3"/>
  <c r="D127" i="3"/>
  <c r="D124" i="3"/>
  <c r="D121" i="3"/>
  <c r="D122" i="3"/>
  <c r="D133" i="3"/>
  <c r="D126" i="3"/>
  <c r="D118" i="3"/>
  <c r="D117" i="3"/>
  <c r="D115" i="3"/>
  <c r="D105" i="3"/>
  <c r="D116" i="3"/>
  <c r="D106" i="3"/>
  <c r="D87" i="3"/>
  <c r="D100" i="3"/>
  <c r="D113" i="3"/>
  <c r="D83" i="3"/>
  <c r="D107" i="3"/>
  <c r="D86" i="3"/>
  <c r="D95" i="3"/>
  <c r="D110" i="3"/>
  <c r="D109" i="3"/>
  <c r="D114" i="3"/>
  <c r="D82" i="3"/>
  <c r="D112" i="3"/>
  <c r="D97" i="3"/>
  <c r="D88" i="3"/>
  <c r="D94" i="3"/>
  <c r="D136" i="3"/>
  <c r="D104" i="3"/>
  <c r="D75" i="3"/>
  <c r="D111" i="3"/>
  <c r="D84" i="3"/>
  <c r="D101" i="3"/>
  <c r="D108" i="3"/>
  <c r="D96" i="3"/>
  <c r="D99" i="3"/>
  <c r="AB4" i="2" s="1" a="1"/>
  <c r="AB4" i="2" s="1"/>
  <c r="D103" i="3"/>
  <c r="D91" i="3"/>
  <c r="D90" i="3"/>
  <c r="D59" i="3"/>
  <c r="D67" i="3"/>
  <c r="D98" i="3"/>
  <c r="D49" i="3"/>
  <c r="D68" i="3"/>
  <c r="D40" i="3"/>
  <c r="D53" i="3"/>
  <c r="D51" i="3"/>
  <c r="D41" i="3"/>
  <c r="D43" i="3"/>
  <c r="D38" i="3"/>
  <c r="D61" i="3"/>
  <c r="D65" i="3"/>
  <c r="D63" i="3"/>
  <c r="D50" i="3"/>
  <c r="D92" i="3"/>
  <c r="D62" i="3"/>
  <c r="D30" i="3"/>
  <c r="D76" i="3"/>
  <c r="D70" i="3"/>
  <c r="D35" i="3"/>
  <c r="D47" i="3"/>
  <c r="D18" i="3"/>
  <c r="D45" i="3"/>
  <c r="D36" i="3"/>
  <c r="D74" i="3"/>
  <c r="D78" i="3"/>
  <c r="D56" i="3"/>
  <c r="D54" i="3"/>
  <c r="D102" i="3"/>
  <c r="D66" i="3"/>
  <c r="D81" i="3"/>
  <c r="D58" i="3"/>
  <c r="D57" i="3"/>
  <c r="D44" i="3"/>
  <c r="D14" i="3"/>
  <c r="D22" i="3"/>
  <c r="D77" i="3"/>
  <c r="D46" i="3"/>
  <c r="D31" i="3"/>
  <c r="D28" i="3"/>
  <c r="D23" i="3"/>
  <c r="D34" i="3"/>
  <c r="D93" i="3"/>
  <c r="D17" i="3"/>
  <c r="D19" i="3"/>
  <c r="D11" i="3"/>
  <c r="D16" i="3"/>
  <c r="D37" i="3"/>
  <c r="D33" i="3"/>
  <c r="D52" i="3"/>
  <c r="D72" i="3"/>
  <c r="D29" i="3"/>
  <c r="D12" i="3"/>
  <c r="D20" i="3"/>
  <c r="E2" i="5" s="1" a="1"/>
  <c r="E2" i="5" s="1"/>
  <c r="D60" i="3"/>
  <c r="D55" i="3"/>
  <c r="D39" i="3"/>
  <c r="D15" i="3"/>
  <c r="D69" i="3"/>
  <c r="D5" i="3"/>
  <c r="D32" i="3"/>
  <c r="D13" i="3"/>
  <c r="D24" i="3"/>
  <c r="D27" i="3"/>
  <c r="D9" i="3"/>
  <c r="D7" i="3"/>
  <c r="V4" i="2" l="1" a="1"/>
  <c r="V4" i="2" s="1"/>
  <c r="AR78" i="2" a="1"/>
  <c r="AR78" i="2" s="1"/>
  <c r="F4" i="2" a="1"/>
  <c r="F4" i="2" s="1"/>
  <c r="Q4" i="2" a="1"/>
  <c r="Q4" i="2" s="1"/>
  <c r="V62" i="2" a="1"/>
  <c r="V62" i="2" s="1"/>
  <c r="K4" i="2" a="1"/>
  <c r="K4" i="2" s="1"/>
  <c r="AG4" i="2" a="1"/>
  <c r="AG4" i="2" s="1"/>
  <c r="AG2" i="2" s="1"/>
  <c r="AR105" i="2" a="1"/>
  <c r="AR105" i="2" s="1"/>
  <c r="AG93" i="2" a="1"/>
  <c r="AG93" i="2" s="1"/>
  <c r="AR62" i="2" a="1"/>
  <c r="AR62" i="2" s="1"/>
  <c r="AG78" i="2" a="1"/>
  <c r="AG78" i="2" s="1"/>
  <c r="AG47" i="2" a="1"/>
  <c r="AG47" i="2" s="1"/>
  <c r="K2" i="5" a="1"/>
  <c r="K2" i="5" s="1"/>
  <c r="K78" i="2" a="1"/>
  <c r="K78" i="2" s="1"/>
  <c r="V105" i="2" a="1"/>
  <c r="V105" i="2" s="1"/>
  <c r="K62" i="2" a="1"/>
  <c r="K62" i="2" s="1"/>
  <c r="BN31" i="2" a="1"/>
  <c r="BN31" i="2" s="1"/>
  <c r="CJ31" i="2" a="1"/>
  <c r="CJ31" i="2" s="1"/>
  <c r="BC31" i="2" a="1"/>
  <c r="BC31" i="2" s="1"/>
  <c r="F78" i="2" a="1"/>
  <c r="F78" i="2" s="1"/>
  <c r="L2" i="5" a="1"/>
  <c r="L2" i="5" s="1"/>
  <c r="AL20" i="2" a="1"/>
  <c r="AL20" i="2" s="1"/>
  <c r="AI20" i="2" a="1"/>
  <c r="AI20" i="2" s="1"/>
  <c r="AN3" i="2"/>
  <c r="AL4" i="2" a="1"/>
  <c r="AL4" i="2" s="1"/>
  <c r="AI3" i="2" s="1"/>
  <c r="AI4" i="2" a="1"/>
  <c r="AI4" i="2" s="1"/>
  <c r="B111" i="2" a="1"/>
  <c r="B111" i="2" s="1"/>
  <c r="V2" i="2" l="1"/>
  <c r="K2" i="2"/>
  <c r="M47" i="2" a="1"/>
  <c r="M47" i="2" s="1"/>
  <c r="E118" i="2" a="1"/>
  <c r="E118" i="2" s="1"/>
  <c r="B117" i="2" s="1"/>
  <c r="AW105" i="2" a="1"/>
  <c r="AW105" i="2" s="1"/>
  <c r="AT104" i="2" s="1"/>
  <c r="AL105" i="2" a="1"/>
  <c r="AL105" i="2" s="1"/>
  <c r="AI104" i="2" s="1"/>
  <c r="AA105" i="2" a="1"/>
  <c r="AA105" i="2" s="1"/>
  <c r="X104" i="2" s="1"/>
  <c r="P105" i="2" a="1"/>
  <c r="P105" i="2" s="1"/>
  <c r="M104" i="2" s="1"/>
  <c r="E105" i="2" a="1"/>
  <c r="E105" i="2" s="1"/>
  <c r="B104" i="2" s="1"/>
  <c r="BS93" i="2" a="1"/>
  <c r="BS93" i="2" s="1"/>
  <c r="BP92" i="2" s="1"/>
  <c r="BH93" i="2" a="1"/>
  <c r="BH93" i="2" s="1"/>
  <c r="BE92" i="2" s="1"/>
  <c r="AW93" i="2" a="1"/>
  <c r="AW93" i="2" s="1"/>
  <c r="AT92" i="2" s="1"/>
  <c r="AL93" i="2" a="1"/>
  <c r="AL93" i="2" s="1"/>
  <c r="AI92" i="2" s="1"/>
  <c r="AA93" i="2" a="1"/>
  <c r="AA93" i="2" s="1"/>
  <c r="X92" i="2" s="1"/>
  <c r="P93" i="2" a="1"/>
  <c r="P93" i="2" s="1"/>
  <c r="M92" i="2" s="1"/>
  <c r="E93" i="2" a="1"/>
  <c r="E93" i="2" s="1"/>
  <c r="B92" i="2" s="1"/>
  <c r="AW78" i="2" a="1"/>
  <c r="AW78" i="2" s="1"/>
  <c r="AT77" i="2" s="1"/>
  <c r="AL78" i="2" a="1"/>
  <c r="AL78" i="2" s="1"/>
  <c r="AI77" i="2" s="1"/>
  <c r="AA78" i="2" a="1"/>
  <c r="AA78" i="2" s="1"/>
  <c r="X77" i="2" s="1"/>
  <c r="P78" i="2" a="1"/>
  <c r="P78" i="2" s="1"/>
  <c r="M77" i="2" s="1"/>
  <c r="E78" i="2" a="1"/>
  <c r="E78" i="2" s="1"/>
  <c r="B77" i="2" s="1"/>
  <c r="AW62" i="2" a="1"/>
  <c r="AW62" i="2" s="1"/>
  <c r="AT61" i="2" s="1"/>
  <c r="AL62" i="2" a="1"/>
  <c r="AL62" i="2" s="1"/>
  <c r="AI61" i="2" s="1"/>
  <c r="AA62" i="2" a="1"/>
  <c r="AA62" i="2" s="1"/>
  <c r="X61" i="2" s="1"/>
  <c r="P62" i="2" a="1"/>
  <c r="P62" i="2" s="1"/>
  <c r="M61" i="2" s="1"/>
  <c r="E62" i="2" a="1"/>
  <c r="E62" i="2" s="1"/>
  <c r="B61" i="2" s="1"/>
  <c r="AT46" i="2"/>
  <c r="AL47" i="2" a="1"/>
  <c r="AL47" i="2" s="1"/>
  <c r="AI46" i="2" s="1"/>
  <c r="AA47" i="2" a="1"/>
  <c r="AA47" i="2" s="1"/>
  <c r="X46" i="2" s="1"/>
  <c r="P47" i="2" a="1"/>
  <c r="P47" i="2" s="1"/>
  <c r="M46" i="2" s="1"/>
  <c r="E47" i="2" a="1"/>
  <c r="E47" i="2" s="1"/>
  <c r="B46" i="2" s="1"/>
  <c r="CD31" i="2" a="1"/>
  <c r="CD31" i="2" s="1"/>
  <c r="CA30" i="2" s="1"/>
  <c r="BS31" i="2" a="1"/>
  <c r="BS31" i="2" s="1"/>
  <c r="BP30" i="2" s="1"/>
  <c r="BH31" i="2" a="1"/>
  <c r="BH31" i="2" s="1"/>
  <c r="BE30" i="2" s="1"/>
  <c r="AW31" i="2" a="1"/>
  <c r="AW31" i="2" s="1"/>
  <c r="AT30" i="2" s="1"/>
  <c r="AL31" i="2" a="1"/>
  <c r="AL31" i="2" s="1"/>
  <c r="AI30" i="2" s="1"/>
  <c r="AA31" i="2" a="1"/>
  <c r="AA31" i="2" s="1"/>
  <c r="X30" i="2" s="1"/>
  <c r="P31" i="2" a="1"/>
  <c r="P31" i="2" s="1"/>
  <c r="M30" i="2" s="1"/>
  <c r="E31" i="2" a="1"/>
  <c r="E31" i="2" s="1"/>
  <c r="B30" i="2" s="1"/>
  <c r="G117" i="2"/>
  <c r="AY104" i="2"/>
  <c r="AN104" i="2"/>
  <c r="AC104" i="2"/>
  <c r="R104" i="2"/>
  <c r="G104" i="2"/>
  <c r="BU92" i="2"/>
  <c r="BJ92" i="2"/>
  <c r="AY92" i="2"/>
  <c r="AN92" i="2"/>
  <c r="AC92" i="2"/>
  <c r="R92" i="2"/>
  <c r="G92" i="2"/>
  <c r="AY77" i="2"/>
  <c r="AN77" i="2"/>
  <c r="AC77" i="2"/>
  <c r="R77" i="2"/>
  <c r="AY61" i="2"/>
  <c r="AN61" i="2"/>
  <c r="AC61" i="2"/>
  <c r="R61" i="2"/>
  <c r="G61" i="2"/>
  <c r="AY46" i="2"/>
  <c r="AN46" i="2"/>
  <c r="AC46" i="2"/>
  <c r="R46" i="2"/>
  <c r="CF30" i="2"/>
  <c r="BU30" i="2"/>
  <c r="BJ30" i="2"/>
  <c r="AY30" i="2"/>
  <c r="AN30" i="2"/>
  <c r="AC30" i="2"/>
  <c r="R30" i="2"/>
  <c r="G30" i="2"/>
  <c r="G77" i="2"/>
  <c r="BS99" i="2" a="1"/>
  <c r="BS99" i="2" s="1"/>
  <c r="BP99" i="2" a="1"/>
  <c r="BP99" i="2" s="1"/>
  <c r="BP93" i="2" a="1"/>
  <c r="BP93" i="2" s="1"/>
  <c r="F2" i="6" a="1"/>
  <c r="F2" i="6" s="1"/>
  <c r="AM62" i="2" a="1"/>
  <c r="AM62" i="2" s="1"/>
  <c r="AB78" i="2" a="1"/>
  <c r="AB78" i="2" s="1"/>
  <c r="AM78" i="2" a="1"/>
  <c r="AM78" i="2" s="1"/>
  <c r="BI93" i="2" a="1"/>
  <c r="BI93" i="2" s="1"/>
  <c r="AX93" i="2" a="1"/>
  <c r="AX93" i="2" s="1"/>
  <c r="BH99" i="2" a="1"/>
  <c r="BH99" i="2" s="1"/>
  <c r="BE99" i="2" a="1"/>
  <c r="BE99" i="2" s="1"/>
  <c r="BE93" i="2" a="1"/>
  <c r="BE93" i="2" s="1"/>
  <c r="CD41" i="2" a="1"/>
  <c r="CD41" i="2" s="1"/>
  <c r="CA41" i="2" a="1"/>
  <c r="CA41" i="2" s="1"/>
  <c r="CA31" i="2" a="1"/>
  <c r="CA31" i="2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A2" i="5" a="1"/>
  <c r="A2" i="5" s="1"/>
  <c r="B126" i="2" a="1"/>
  <c r="B126" i="2" s="1"/>
  <c r="AW111" i="2" a="1"/>
  <c r="AW111" i="2" s="1"/>
  <c r="AT111" i="2" a="1"/>
  <c r="AT111" i="2" s="1"/>
  <c r="X111" i="2" a="1"/>
  <c r="X111" i="2" s="1"/>
  <c r="M111" i="2" a="1"/>
  <c r="M111" i="2" s="1"/>
  <c r="B99" i="2" a="1"/>
  <c r="B99" i="2" s="1"/>
  <c r="M99" i="2" a="1"/>
  <c r="M99" i="2" s="1"/>
  <c r="X99" i="2" a="1"/>
  <c r="X99" i="2" s="1"/>
  <c r="AI99" i="2" a="1"/>
  <c r="AI99" i="2" s="1"/>
  <c r="AT99" i="2" a="1"/>
  <c r="AT99" i="2" s="1"/>
  <c r="AW87" i="2" a="1"/>
  <c r="AW87" i="2" s="1"/>
  <c r="AT87" i="2" a="1"/>
  <c r="AT87" i="2" s="1"/>
  <c r="AI87" i="2" a="1"/>
  <c r="AI87" i="2" s="1"/>
  <c r="X87" i="2" a="1"/>
  <c r="X87" i="2" s="1"/>
  <c r="M87" i="2" a="1"/>
  <c r="M87" i="2" s="1"/>
  <c r="B87" i="2" a="1"/>
  <c r="B87" i="2" s="1"/>
  <c r="B72" i="2" a="1"/>
  <c r="B72" i="2" s="1"/>
  <c r="M72" i="2" a="1"/>
  <c r="M72" i="2" s="1"/>
  <c r="X72" i="2" a="1"/>
  <c r="X72" i="2" s="1"/>
  <c r="AI72" i="2" a="1"/>
  <c r="AI72" i="2" s="1"/>
  <c r="AT56" i="2" a="1"/>
  <c r="AT56" i="2" s="1"/>
  <c r="AI56" i="2" a="1"/>
  <c r="AI56" i="2" s="1"/>
  <c r="X56" i="2" a="1"/>
  <c r="X56" i="2" s="1"/>
  <c r="M56" i="2" a="1"/>
  <c r="M56" i="2" s="1"/>
  <c r="BS41" i="2" a="1"/>
  <c r="BS41" i="2" s="1"/>
  <c r="BP41" i="2" a="1"/>
  <c r="BP41" i="2" s="1"/>
  <c r="BE41" i="2" a="1"/>
  <c r="BE41" i="2" s="1"/>
  <c r="AT41" i="2" a="1"/>
  <c r="AT41" i="2" s="1"/>
  <c r="AI41" i="2" a="1"/>
  <c r="AI41" i="2" s="1"/>
  <c r="X41" i="2" a="1"/>
  <c r="X41" i="2" s="1"/>
  <c r="P41" i="2" a="1"/>
  <c r="P41" i="2" s="1"/>
  <c r="M41" i="2" a="1"/>
  <c r="M41" i="2" s="1"/>
  <c r="E41" i="2" a="1"/>
  <c r="E41" i="2" s="1"/>
  <c r="B41" i="2" a="1"/>
  <c r="B41" i="2" s="1"/>
  <c r="AX105" i="2" a="1"/>
  <c r="AX105" i="2" s="1"/>
  <c r="AT105" i="2" a="1"/>
  <c r="AT105" i="2" s="1"/>
  <c r="AM105" i="2" a="1"/>
  <c r="AM105" i="2" s="1"/>
  <c r="AI105" i="2" a="1"/>
  <c r="AI105" i="2" s="1"/>
  <c r="AB105" i="2" a="1"/>
  <c r="AB105" i="2" s="1"/>
  <c r="X105" i="2" a="1"/>
  <c r="X105" i="2" s="1"/>
  <c r="M105" i="2" a="1"/>
  <c r="M105" i="2" s="1"/>
  <c r="AT93" i="2" a="1"/>
  <c r="AT93" i="2" s="1"/>
  <c r="AI93" i="2" a="1"/>
  <c r="AI93" i="2" s="1"/>
  <c r="AB93" i="2" a="1"/>
  <c r="AB93" i="2" s="1"/>
  <c r="X93" i="2" a="1"/>
  <c r="X93" i="2" s="1"/>
  <c r="M93" i="2" a="1"/>
  <c r="M93" i="2" s="1"/>
  <c r="AX78" i="2" a="1"/>
  <c r="AX78" i="2" s="1"/>
  <c r="AT78" i="2" a="1"/>
  <c r="AT78" i="2" s="1"/>
  <c r="AI78" i="2" a="1"/>
  <c r="AI78" i="2" s="1"/>
  <c r="X78" i="2" a="1"/>
  <c r="X78" i="2" s="1"/>
  <c r="M78" i="2" a="1"/>
  <c r="M78" i="2" s="1"/>
  <c r="AX62" i="2" a="1"/>
  <c r="AX62" i="2" s="1"/>
  <c r="AT62" i="2" a="1"/>
  <c r="AT62" i="2" s="1"/>
  <c r="AI62" i="2" a="1"/>
  <c r="AI62" i="2" s="1"/>
  <c r="X62" i="2" a="1"/>
  <c r="X62" i="2" s="1"/>
  <c r="M62" i="2" a="1"/>
  <c r="M62" i="2" s="1"/>
  <c r="F105" i="2" a="1"/>
  <c r="F105" i="2" s="1"/>
  <c r="B105" i="2" a="1"/>
  <c r="B105" i="2" s="1"/>
  <c r="B118" i="2" a="1"/>
  <c r="B118" i="2" s="1"/>
  <c r="B93" i="2" a="1"/>
  <c r="B93" i="2" s="1"/>
  <c r="B78" i="2" a="1"/>
  <c r="B78" i="2" s="1"/>
  <c r="AM47" i="2" a="1"/>
  <c r="AM47" i="2" s="1"/>
  <c r="AI47" i="2" a="1"/>
  <c r="AI47" i="2" s="1"/>
  <c r="X47" i="2" a="1"/>
  <c r="X47" i="2" s="1"/>
  <c r="F47" i="2" a="1"/>
  <c r="F47" i="2" s="1"/>
  <c r="B47" i="2" a="1"/>
  <c r="B47" i="2" s="1"/>
  <c r="BT31" i="2" a="1"/>
  <c r="BT31" i="2" s="1"/>
  <c r="BP31" i="2" a="1"/>
  <c r="BP31" i="2" s="1"/>
  <c r="BI31" i="2" a="1"/>
  <c r="BI31" i="2" s="1"/>
  <c r="BE31" i="2" a="1"/>
  <c r="BE31" i="2" s="1"/>
  <c r="AX31" i="2" a="1"/>
  <c r="AX31" i="2" s="1"/>
  <c r="AT31" i="2" a="1"/>
  <c r="AT31" i="2" s="1"/>
  <c r="AM31" i="2" a="1"/>
  <c r="AM31" i="2" s="1"/>
  <c r="AI31" i="2" a="1"/>
  <c r="AI31" i="2" s="1"/>
  <c r="X31" i="2" a="1"/>
  <c r="X31" i="2" s="1"/>
  <c r="Q31" i="2" a="1"/>
  <c r="Q31" i="2" s="1"/>
  <c r="M31" i="2" a="1"/>
  <c r="M31" i="2" s="1"/>
  <c r="F31" i="2" a="1"/>
  <c r="F31" i="2" s="1"/>
  <c r="B31" i="2" a="1"/>
  <c r="B31" i="2" s="1"/>
  <c r="CE31" i="2" a="1"/>
  <c r="CE31" i="2" s="1"/>
  <c r="BN29" i="2" l="1"/>
  <c r="AR76" i="2"/>
  <c r="AM4" i="2" a="1"/>
  <c r="AM4" i="2" s="1"/>
  <c r="AR29" i="2"/>
  <c r="BY29" i="2"/>
  <c r="BC29" i="2"/>
  <c r="AR45" i="2"/>
  <c r="AG76" i="2"/>
  <c r="AG91" i="2"/>
  <c r="AR103" i="2"/>
  <c r="BC91" i="2"/>
  <c r="K76" i="2"/>
  <c r="AR60" i="2"/>
  <c r="AM93" i="2" a="1"/>
  <c r="AM93" i="2" s="1"/>
  <c r="F93" i="2" a="1"/>
  <c r="F93" i="2" s="1"/>
  <c r="K91" i="2" s="1"/>
  <c r="BT93" i="2" a="1"/>
  <c r="BT93" i="2" s="1"/>
  <c r="BY91" i="2" s="1"/>
  <c r="Q93" i="2" a="1"/>
  <c r="Q93" i="2" s="1"/>
  <c r="F62" i="2" a="1"/>
  <c r="F62" i="2" s="1"/>
  <c r="K103" i="2"/>
  <c r="Q78" i="2" a="1"/>
  <c r="Q78" i="2" s="1"/>
  <c r="AB62" i="2" a="1"/>
  <c r="AB62" i="2" s="1"/>
  <c r="V29" i="2"/>
  <c r="K29" i="2"/>
  <c r="BN91" i="2"/>
  <c r="BC60" i="2"/>
  <c r="K45" i="2"/>
  <c r="CJ29" i="2"/>
  <c r="BC76" i="2"/>
  <c r="BC45" i="2"/>
  <c r="AG103" i="2"/>
  <c r="BC103" i="2"/>
  <c r="AB47" i="2" a="1"/>
  <c r="AB47" i="2" s="1"/>
  <c r="F118" i="2" a="1"/>
  <c r="F118" i="2" s="1"/>
  <c r="K116" i="2" s="1"/>
  <c r="Q105" i="2" a="1"/>
  <c r="Q105" i="2" s="1"/>
  <c r="V103" i="2" s="1"/>
  <c r="Q62" i="2" a="1"/>
  <c r="Q62" i="2" s="1"/>
  <c r="Q47" i="2" a="1"/>
  <c r="Q47" i="2" s="1"/>
  <c r="AB31" i="2" a="1"/>
  <c r="AB31" i="2" s="1"/>
  <c r="AR2" i="2" l="1"/>
  <c r="V91" i="2"/>
  <c r="AG29" i="2"/>
  <c r="V60" i="2"/>
  <c r="AG45" i="2"/>
  <c r="AR91" i="2"/>
  <c r="V45" i="2"/>
  <c r="V76" i="2"/>
  <c r="K60" i="2"/>
  <c r="AG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2F6C00-293B-48C3-8414-88A1BD171F97}" keepAlive="1" name="Query - leden" description="Verbinding maken met de query leden in de werkmap." type="5" refreshedVersion="8" background="1" saveData="1">
    <dbPr connection="Provider=Microsoft.Mashup.OleDb.1;Data Source=$Workbook$;Location=leden;Extended Properties=&quot;&quot;" command="SELECT * FROM [lede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<sst xmlns="http://schemas.openxmlformats.org/spreadsheetml/2006/main" count="4504" uniqueCount="1597">
  <si>
    <t>Selecties</t>
  </si>
  <si>
    <t>S1S2</t>
  </si>
  <si>
    <t>U19</t>
  </si>
  <si>
    <t>U17</t>
  </si>
  <si>
    <t>U15</t>
  </si>
  <si>
    <t>Senioren</t>
  </si>
  <si>
    <t>S1</t>
  </si>
  <si>
    <t>S2</t>
  </si>
  <si>
    <t>S3</t>
  </si>
  <si>
    <t>S4</t>
  </si>
  <si>
    <t>S5</t>
  </si>
  <si>
    <t>S6</t>
  </si>
  <si>
    <t>S7</t>
  </si>
  <si>
    <t>MW1</t>
  </si>
  <si>
    <t>Rood</t>
  </si>
  <si>
    <t>U17-1</t>
  </si>
  <si>
    <t>U17-2</t>
  </si>
  <si>
    <t>OW J1</t>
  </si>
  <si>
    <t>OW J2</t>
  </si>
  <si>
    <t>--</t>
  </si>
  <si>
    <t>Oranje</t>
  </si>
  <si>
    <t>U15-1</t>
  </si>
  <si>
    <t>OW J3</t>
  </si>
  <si>
    <t>OW J4</t>
  </si>
  <si>
    <t>OW J5</t>
  </si>
  <si>
    <t>OW J6</t>
  </si>
  <si>
    <t>Geel</t>
  </si>
  <si>
    <t>OW J7</t>
  </si>
  <si>
    <t>OW J8</t>
  </si>
  <si>
    <t>OW J9</t>
  </si>
  <si>
    <t>OW J10</t>
  </si>
  <si>
    <t>X</t>
  </si>
  <si>
    <t>Groen</t>
  </si>
  <si>
    <t>OW J11</t>
  </si>
  <si>
    <t>OW J12</t>
  </si>
  <si>
    <t>OW J13</t>
  </si>
  <si>
    <t>OW J14</t>
  </si>
  <si>
    <t>Blauw</t>
  </si>
  <si>
    <t>OW J15</t>
  </si>
  <si>
    <t>OW J16</t>
  </si>
  <si>
    <t>OW J17</t>
  </si>
  <si>
    <t>OW J19</t>
  </si>
  <si>
    <t>-</t>
  </si>
  <si>
    <t>Kangoeroes</t>
  </si>
  <si>
    <t>K</t>
  </si>
  <si>
    <t>Rel.nr</t>
  </si>
  <si>
    <t>Naam &amp; Initialen)</t>
  </si>
  <si>
    <t>Roepnaam</t>
  </si>
  <si>
    <t>Leeftijd Peildatum</t>
  </si>
  <si>
    <t>Geb datum</t>
  </si>
  <si>
    <t>Team 25-26</t>
  </si>
  <si>
    <t>Team 25-26 ALT</t>
  </si>
  <si>
    <t>Team 24-25</t>
  </si>
  <si>
    <t>Notitie</t>
  </si>
  <si>
    <t>AR</t>
  </si>
  <si>
    <t>Naam &amp; Initialen</t>
  </si>
  <si>
    <t>Team 24-252</t>
  </si>
  <si>
    <t>NND41B5</t>
  </si>
  <si>
    <t>Groot, S. (Senna) de</t>
  </si>
  <si>
    <t>Senna</t>
  </si>
  <si>
    <t>NKH71P1</t>
  </si>
  <si>
    <t>Kooij, C.W. (Wilco)</t>
  </si>
  <si>
    <t>Wilco</t>
  </si>
  <si>
    <t>NMZ15W4</t>
  </si>
  <si>
    <t>Merwe, F. (Floor) van de</t>
  </si>
  <si>
    <t>Floor</t>
  </si>
  <si>
    <t>NFW42X5</t>
  </si>
  <si>
    <t>Jong, M. (Michiel) 't</t>
  </si>
  <si>
    <t>Michiel</t>
  </si>
  <si>
    <t>NND9850</t>
  </si>
  <si>
    <t>Burgt, L. (Leah) van de</t>
  </si>
  <si>
    <t>Leah</t>
  </si>
  <si>
    <t>NKQ40P2</t>
  </si>
  <si>
    <t>Vlaming, R. (Roy) de</t>
  </si>
  <si>
    <t>Roy</t>
  </si>
  <si>
    <t>3</t>
  </si>
  <si>
    <t>NMZ53P9</t>
  </si>
  <si>
    <t>Haren, C.M. (Cato) van</t>
  </si>
  <si>
    <t>Cato</t>
  </si>
  <si>
    <t>F4</t>
  </si>
  <si>
    <t>NGG54S2</t>
  </si>
  <si>
    <t>Ploeg, H (Hans)</t>
  </si>
  <si>
    <t>Hans</t>
  </si>
  <si>
    <t>NNF08Z6</t>
  </si>
  <si>
    <t>Struijk, F. (Fay)</t>
  </si>
  <si>
    <t>Fay</t>
  </si>
  <si>
    <t>NGD51N5</t>
  </si>
  <si>
    <t>Isarin, T P (Thomas)</t>
  </si>
  <si>
    <t>Thomas</t>
  </si>
  <si>
    <t>NND37V8</t>
  </si>
  <si>
    <t>Nienes, N. (Nova) van</t>
  </si>
  <si>
    <t>Nova</t>
  </si>
  <si>
    <t>NGW00S1</t>
  </si>
  <si>
    <t>Booy, J (Jan)</t>
  </si>
  <si>
    <t>Jan</t>
  </si>
  <si>
    <t>Stopt</t>
  </si>
  <si>
    <t>NND11G5</t>
  </si>
  <si>
    <t>Schaardenburg, L. (Luna) van</t>
  </si>
  <si>
    <t>Luna</t>
  </si>
  <si>
    <t>NJF53H2</t>
  </si>
  <si>
    <t>Strijen, L.A. van (Lars)</t>
  </si>
  <si>
    <t>Lars</t>
  </si>
  <si>
    <t>NND27N7</t>
  </si>
  <si>
    <t>Tol, K. (Karlijn) van</t>
  </si>
  <si>
    <t>Karlijn</t>
  </si>
  <si>
    <t>NGT16K5</t>
  </si>
  <si>
    <t>Naaktgeboren, S. (Stefan)</t>
  </si>
  <si>
    <t>Stefan</t>
  </si>
  <si>
    <t>4</t>
  </si>
  <si>
    <t>Ariadne</t>
  </si>
  <si>
    <t>NJC26C8</t>
  </si>
  <si>
    <t>Houwerzijl, E. (Emiel)</t>
  </si>
  <si>
    <t>Emiel</t>
  </si>
  <si>
    <t>NMV77N3</t>
  </si>
  <si>
    <t>Mans, L. (Lara)</t>
  </si>
  <si>
    <t>Lara</t>
  </si>
  <si>
    <t>F1</t>
  </si>
  <si>
    <t>NJC17J6</t>
  </si>
  <si>
    <t>Gent, L (Lex) van</t>
  </si>
  <si>
    <t>Lex</t>
  </si>
  <si>
    <t>NMX49N6</t>
  </si>
  <si>
    <t>Nawar, M. (Mayvin)</t>
  </si>
  <si>
    <t>Mayvin</t>
  </si>
  <si>
    <t>F3</t>
  </si>
  <si>
    <t>NJH39X4</t>
  </si>
  <si>
    <t>Brugge, B.R. (Bart) van der</t>
  </si>
  <si>
    <t>Bart</t>
  </si>
  <si>
    <t>NNB62G1</t>
  </si>
  <si>
    <t>Jong, L.T.M. (Louisa) de</t>
  </si>
  <si>
    <t>Louisa</t>
  </si>
  <si>
    <t>F2</t>
  </si>
  <si>
    <t>NJG52P6</t>
  </si>
  <si>
    <t>Peuter, F. (Freek)</t>
  </si>
  <si>
    <t>Freek</t>
  </si>
  <si>
    <t>NMQ42K7</t>
  </si>
  <si>
    <t>Lange, S. (Sanna) de</t>
  </si>
  <si>
    <t>Sanna</t>
  </si>
  <si>
    <t>NJF24X2</t>
  </si>
  <si>
    <t>Kalkeren, R. (Robin) van</t>
  </si>
  <si>
    <t>Robin</t>
  </si>
  <si>
    <t>2</t>
  </si>
  <si>
    <t>NMZ21H2</t>
  </si>
  <si>
    <t>Rombouts, T. (Tess)</t>
  </si>
  <si>
    <t>Tess</t>
  </si>
  <si>
    <t>NJF95S5</t>
  </si>
  <si>
    <t>Mans, B. (Bob)</t>
  </si>
  <si>
    <t>Bob</t>
  </si>
  <si>
    <t>NMV90Z6</t>
  </si>
  <si>
    <t>Burgt, L. (Livia) van de</t>
  </si>
  <si>
    <t>Livia</t>
  </si>
  <si>
    <t>NJF77Y3</t>
  </si>
  <si>
    <t>Klink, M (Marijn)</t>
  </si>
  <si>
    <t>Marijn</t>
  </si>
  <si>
    <t>1</t>
  </si>
  <si>
    <t>NMV61M3</t>
  </si>
  <si>
    <t>Stomp, A. (Alisa)</t>
  </si>
  <si>
    <t>Alisa</t>
  </si>
  <si>
    <t>NJD65S8</t>
  </si>
  <si>
    <t>Dijk, J. (Joeri) van</t>
  </si>
  <si>
    <t>Joeri</t>
  </si>
  <si>
    <t>NMM42W7</t>
  </si>
  <si>
    <t>Jacobs, V. (Vive)</t>
  </si>
  <si>
    <t>Vive</t>
  </si>
  <si>
    <t>E4</t>
  </si>
  <si>
    <t>NKD19Y4</t>
  </si>
  <si>
    <t>Driesprong, B. (Bart)</t>
  </si>
  <si>
    <t>NMV75Z1</t>
  </si>
  <si>
    <t>Berg, W. (Wies) van den</t>
  </si>
  <si>
    <t>Wies</t>
  </si>
  <si>
    <t>NJH76N5</t>
  </si>
  <si>
    <t>Klink, O.C. (Olivier)</t>
  </si>
  <si>
    <t>Olivier</t>
  </si>
  <si>
    <t>NMX55K8</t>
  </si>
  <si>
    <t>Baas, J. (Julia)</t>
  </si>
  <si>
    <t>Julia</t>
  </si>
  <si>
    <t>NKD39Q8</t>
  </si>
  <si>
    <t>Schindler, M. (Mark)</t>
  </si>
  <si>
    <t>Mark</t>
  </si>
  <si>
    <t>5</t>
  </si>
  <si>
    <t>NND85L7</t>
  </si>
  <si>
    <t>Gemert, F. (Fien) van</t>
  </si>
  <si>
    <t>Fien</t>
  </si>
  <si>
    <t>NKX56P2</t>
  </si>
  <si>
    <t>Flach, J.H. (Joram)</t>
  </si>
  <si>
    <t>Joram</t>
  </si>
  <si>
    <t>NMQ48V2</t>
  </si>
  <si>
    <t>Bakker, K. (Karlijn)</t>
  </si>
  <si>
    <t>E3</t>
  </si>
  <si>
    <t>NJZ00W3</t>
  </si>
  <si>
    <t>Gent, T. (Tim) van</t>
  </si>
  <si>
    <t>Tim</t>
  </si>
  <si>
    <t>NMS67Y2</t>
  </si>
  <si>
    <t>Bouman, I. (Imme)</t>
  </si>
  <si>
    <t>Imme</t>
  </si>
  <si>
    <t>NKT73W8</t>
  </si>
  <si>
    <t>Driel, Q. (Quinten) van</t>
  </si>
  <si>
    <t>Quinten</t>
  </si>
  <si>
    <t>NNB63S8</t>
  </si>
  <si>
    <t>Boog, S.L. (Suze)</t>
  </si>
  <si>
    <t>Suze</t>
  </si>
  <si>
    <t>NJY83B4</t>
  </si>
  <si>
    <t>Dubbeld, R. (Ruben)</t>
  </si>
  <si>
    <t>Ruben</t>
  </si>
  <si>
    <t>6</t>
  </si>
  <si>
    <t>NND99W1</t>
  </si>
  <si>
    <t>Gerritsen, J. (Jaylinn)</t>
  </si>
  <si>
    <t>Jaylinn</t>
  </si>
  <si>
    <t>NKN65B6</t>
  </si>
  <si>
    <t>Baars, L.A. (Luuk)</t>
  </si>
  <si>
    <t>Luuk</t>
  </si>
  <si>
    <t>Kampman, J. (Jalou)</t>
  </si>
  <si>
    <t>Jalou</t>
  </si>
  <si>
    <t>NKG59J2</t>
  </si>
  <si>
    <t>Groeneweg, T. (Tim)</t>
  </si>
  <si>
    <t>NNC48S4</t>
  </si>
  <si>
    <t>Haseth, L. (Lieve) de</t>
  </si>
  <si>
    <t>Lieve</t>
  </si>
  <si>
    <t>NJZ26Z2</t>
  </si>
  <si>
    <t>Kooper, C. (Ché)</t>
  </si>
  <si>
    <t>Ché</t>
  </si>
  <si>
    <t>NMS40B0</t>
  </si>
  <si>
    <t>Bergh, A.J. (Aniek) van den</t>
  </si>
  <si>
    <t>Aniek</t>
  </si>
  <si>
    <t>E2</t>
  </si>
  <si>
    <t>NKV95Q4</t>
  </si>
  <si>
    <t>Fasbender, T. (Tijmen)</t>
  </si>
  <si>
    <t>Tijmen</t>
  </si>
  <si>
    <t>NMW98N7</t>
  </si>
  <si>
    <t>Torbali, N. (Nehir)</t>
  </si>
  <si>
    <t>Nehir</t>
  </si>
  <si>
    <t>NKY88T2</t>
  </si>
  <si>
    <t>Uijl, D. (Daniel) den</t>
  </si>
  <si>
    <t>Daniel</t>
  </si>
  <si>
    <t>NMK64V4</t>
  </si>
  <si>
    <t>Mans, R. (Robin)</t>
  </si>
  <si>
    <t>E1</t>
  </si>
  <si>
    <t>NLR23F9</t>
  </si>
  <si>
    <t>Wijgaart, R.L.H. (Rick) van de</t>
  </si>
  <si>
    <t>Rick</t>
  </si>
  <si>
    <t>NMS09V7</t>
  </si>
  <si>
    <t>Twist, J.J. (Julia) van</t>
  </si>
  <si>
    <t>NKR20M2</t>
  </si>
  <si>
    <t>Seevinck, T. (Tim)</t>
  </si>
  <si>
    <t>NNB02Y7</t>
  </si>
  <si>
    <t>Naeije, E.A. (Eloise)</t>
  </si>
  <si>
    <t>Eloise</t>
  </si>
  <si>
    <t>NKW50C2</t>
  </si>
  <si>
    <t>Boon, T. (Thijs)</t>
  </si>
  <si>
    <t>Thijs</t>
  </si>
  <si>
    <t>NMW80G9</t>
  </si>
  <si>
    <t>Kombe, S.N. (Nesrin)</t>
  </si>
  <si>
    <t>Nesrin</t>
  </si>
  <si>
    <t>NKW21H5</t>
  </si>
  <si>
    <t>Kuijper, D.V. (David)</t>
  </si>
  <si>
    <t>David</t>
  </si>
  <si>
    <t>NMS99T8</t>
  </si>
  <si>
    <t>Rebollo, T. (Tess)</t>
  </si>
  <si>
    <t>NKW30G0</t>
  </si>
  <si>
    <t>Vlaming, J.C. (Jens) de</t>
  </si>
  <si>
    <t>Jens</t>
  </si>
  <si>
    <t>NML53R9</t>
  </si>
  <si>
    <t>Kleingeld, S. (Sofie)</t>
  </si>
  <si>
    <t>Sofie</t>
  </si>
  <si>
    <t>NLL37Q7</t>
  </si>
  <si>
    <t>Timmer, J. (Jordan)</t>
  </si>
  <si>
    <t>Jordan</t>
  </si>
  <si>
    <t>NMM97Y1</t>
  </si>
  <si>
    <t>Laban, M. (Maartje)</t>
  </si>
  <si>
    <t>Maartje</t>
  </si>
  <si>
    <t>NKX56T0</t>
  </si>
  <si>
    <t>Verhagen, L.A.J. (Laurens)</t>
  </si>
  <si>
    <t>Laurens</t>
  </si>
  <si>
    <t>NMW34Q6</t>
  </si>
  <si>
    <t>Arbiati, S. (Sanae) el</t>
  </si>
  <si>
    <t>Sanae</t>
  </si>
  <si>
    <t>D3</t>
  </si>
  <si>
    <t>NKX66T5</t>
  </si>
  <si>
    <t>Wietses, J. (Joël)</t>
  </si>
  <si>
    <t>Joël</t>
  </si>
  <si>
    <t>NMJ35H3</t>
  </si>
  <si>
    <t>Dongen, P. (Pien) van</t>
  </si>
  <si>
    <t>Pien</t>
  </si>
  <si>
    <t>NLB71F2</t>
  </si>
  <si>
    <t>Koornneef, W.J. (Wouter)</t>
  </si>
  <si>
    <t>Wouter</t>
  </si>
  <si>
    <t>NMZ00X1</t>
  </si>
  <si>
    <t>Dijl, B.E.I. (Benthe) van</t>
  </si>
  <si>
    <t>Benthe</t>
  </si>
  <si>
    <t>D4</t>
  </si>
  <si>
    <t>NLG59F1</t>
  </si>
  <si>
    <t>Lohuis, J.A. (Jens)</t>
  </si>
  <si>
    <t>NMD34T8</t>
  </si>
  <si>
    <t>Exalto, L.B.C. (Lisa)</t>
  </si>
  <si>
    <t>Lisa</t>
  </si>
  <si>
    <t>D2</t>
  </si>
  <si>
    <t>NLG59G8</t>
  </si>
  <si>
    <t>Koster, S. (Senne)</t>
  </si>
  <si>
    <t>Senne</t>
  </si>
  <si>
    <t>NMH07D4</t>
  </si>
  <si>
    <t>Vos, J. (Jeslynn)</t>
  </si>
  <si>
    <t>Jeslynn</t>
  </si>
  <si>
    <t>NLL20F4</t>
  </si>
  <si>
    <t>Burgt, S. (Seth) van de</t>
  </si>
  <si>
    <t>Seth</t>
  </si>
  <si>
    <t>A2</t>
  </si>
  <si>
    <t>NLJ94L1</t>
  </si>
  <si>
    <t>Dekker, J. (Jaimey)</t>
  </si>
  <si>
    <t>Jaimey</t>
  </si>
  <si>
    <t>NLG58W7</t>
  </si>
  <si>
    <t>Vaartmans, J.A. (Jordi)</t>
  </si>
  <si>
    <t>Jordi</t>
  </si>
  <si>
    <t>A1</t>
  </si>
  <si>
    <t>NMH37W2</t>
  </si>
  <si>
    <t>Linden, I. (Ize) van der</t>
  </si>
  <si>
    <t>Ize</t>
  </si>
  <si>
    <t>NLB71B4</t>
  </si>
  <si>
    <t>Koornneef, T.J. (Tommie)</t>
  </si>
  <si>
    <t>Tommie</t>
  </si>
  <si>
    <t>A3</t>
  </si>
  <si>
    <t>NMQ40P6</t>
  </si>
  <si>
    <t>Schot, E. (Emma)</t>
  </si>
  <si>
    <t>Emma</t>
  </si>
  <si>
    <t>NLR06X4</t>
  </si>
  <si>
    <t>Pille, M.A. (Menno)</t>
  </si>
  <si>
    <t>Menno</t>
  </si>
  <si>
    <t>NMM85F7</t>
  </si>
  <si>
    <t>Brouwer, E.N. (Noor)</t>
  </si>
  <si>
    <t>Noor</t>
  </si>
  <si>
    <t>NLG58X4</t>
  </si>
  <si>
    <t>Dongen, F.P.B. (Freek) van</t>
  </si>
  <si>
    <t>NMR12K3</t>
  </si>
  <si>
    <t>Bergh, L.J. (Jolijn) van den</t>
  </si>
  <si>
    <t>Jolijn</t>
  </si>
  <si>
    <t>NLG57P5</t>
  </si>
  <si>
    <t>Bäcker, C.J. (Tijn)</t>
  </si>
  <si>
    <t>Tijn</t>
  </si>
  <si>
    <t>NMM21T3</t>
  </si>
  <si>
    <t>Boogaart, L. (Lenthe) van den</t>
  </si>
  <si>
    <t>Lenthe</t>
  </si>
  <si>
    <t>NLM05B2</t>
  </si>
  <si>
    <t>Vliet, T. (Tycho)</t>
  </si>
  <si>
    <t>Tycho</t>
  </si>
  <si>
    <t>NND10C4</t>
  </si>
  <si>
    <t>Rooij, N. (Nora) van</t>
  </si>
  <si>
    <t>Nora</t>
  </si>
  <si>
    <t>NLL19V8</t>
  </si>
  <si>
    <t>Zwanenburg, J. (Jack)</t>
  </si>
  <si>
    <t>Jack</t>
  </si>
  <si>
    <t>NMC85Q4</t>
  </si>
  <si>
    <t>Wiel, Y.J. (Yara) van der</t>
  </si>
  <si>
    <t>Yara</t>
  </si>
  <si>
    <t>D1</t>
  </si>
  <si>
    <t>NKZ28R9</t>
  </si>
  <si>
    <t>Jongh, M. (Matthijs) de</t>
  </si>
  <si>
    <t>Matthijs</t>
  </si>
  <si>
    <t>NMK12D7</t>
  </si>
  <si>
    <t>Tims, F. (Fay)</t>
  </si>
  <si>
    <t>NLG57L7</t>
  </si>
  <si>
    <t>Valk, J.B. (Jarno)</t>
  </si>
  <si>
    <t>Jarno</t>
  </si>
  <si>
    <t>NMG13P0</t>
  </si>
  <si>
    <t>Boer, L. (Layla) de</t>
  </si>
  <si>
    <t>Layla</t>
  </si>
  <si>
    <t>NLS85H0</t>
  </si>
  <si>
    <t>Dekker, O.C. (Onno) den</t>
  </si>
  <si>
    <t>Onno</t>
  </si>
  <si>
    <t>B1</t>
  </si>
  <si>
    <t>NMW80H6</t>
  </si>
  <si>
    <t>Kombe, F.N. (Nurefsan)</t>
  </si>
  <si>
    <t>Nurefsan</t>
  </si>
  <si>
    <t>NLN28Y3</t>
  </si>
  <si>
    <t>Kuijper, R.A. (Raoul)</t>
  </si>
  <si>
    <t>Raoul</t>
  </si>
  <si>
    <t>NMD71P1</t>
  </si>
  <si>
    <t>Kleingeld, E. (Evi)</t>
  </si>
  <si>
    <t>Evi</t>
  </si>
  <si>
    <t>NLD36P9</t>
  </si>
  <si>
    <t>Driesprong, N. (Niek)</t>
  </si>
  <si>
    <t>Niek</t>
  </si>
  <si>
    <t>NMN23K7</t>
  </si>
  <si>
    <t>Moniz, D. (Davina)</t>
  </si>
  <si>
    <t>Davina</t>
  </si>
  <si>
    <t>NMJ10P4</t>
  </si>
  <si>
    <t>Boshoven, C. (Casper)</t>
  </si>
  <si>
    <t>Casper</t>
  </si>
  <si>
    <t>NMY80F4</t>
  </si>
  <si>
    <t>Niehof, E. (Elske)</t>
  </si>
  <si>
    <t>Elske</t>
  </si>
  <si>
    <t>NLP78Q4</t>
  </si>
  <si>
    <t>Sas, M. (Maarten)</t>
  </si>
  <si>
    <t>Maarten</t>
  </si>
  <si>
    <t>NMN14R4</t>
  </si>
  <si>
    <t>Oosse, E. (Esther)</t>
  </si>
  <si>
    <t>Esther</t>
  </si>
  <si>
    <t>NLL37S1</t>
  </si>
  <si>
    <t>Camphens, T. (Tijn)</t>
  </si>
  <si>
    <t>NMP92X2</t>
  </si>
  <si>
    <t>Geldrop, I.I. (Imke) van</t>
  </si>
  <si>
    <t>Imke</t>
  </si>
  <si>
    <t>NLS75Y4</t>
  </si>
  <si>
    <t>Heersping, D.B.A.C. (Dani)</t>
  </si>
  <si>
    <t>Dani</t>
  </si>
  <si>
    <t>NMP73C8</t>
  </si>
  <si>
    <t>Uljee, T. (Tess)</t>
  </si>
  <si>
    <t>NLY54F4</t>
  </si>
  <si>
    <t>Vos, J. (Justin)</t>
  </si>
  <si>
    <t>Justin</t>
  </si>
  <si>
    <t>B3</t>
  </si>
  <si>
    <t>NLZ39C9</t>
  </si>
  <si>
    <t>Bakker, A. (Anouk)</t>
  </si>
  <si>
    <t>Anouk</t>
  </si>
  <si>
    <t>C2</t>
  </si>
  <si>
    <t>NLV35B6</t>
  </si>
  <si>
    <t>Quarre, S.M. (Stephan)</t>
  </si>
  <si>
    <t>Stephan</t>
  </si>
  <si>
    <t>NMX62K4</t>
  </si>
  <si>
    <t>Markusse, M. (Milou)</t>
  </si>
  <si>
    <t>Milou</t>
  </si>
  <si>
    <t>C3</t>
  </si>
  <si>
    <t>NMK85P5</t>
  </si>
  <si>
    <t>Pichel, T. (Timo)</t>
  </si>
  <si>
    <t>Timo</t>
  </si>
  <si>
    <t>B2</t>
  </si>
  <si>
    <t>NMJ63F3</t>
  </si>
  <si>
    <t>Rooij, E.J. (Eva) van</t>
  </si>
  <si>
    <t>Eva</t>
  </si>
  <si>
    <t>C1</t>
  </si>
  <si>
    <t>NLS85J4</t>
  </si>
  <si>
    <t>Vliet, K.M. (Kian)</t>
  </si>
  <si>
    <t>Kian</t>
  </si>
  <si>
    <t>NMK31G5</t>
  </si>
  <si>
    <t>Littooij, F.R. (Feline)</t>
  </si>
  <si>
    <t>Feline</t>
  </si>
  <si>
    <t>NMC41D1</t>
  </si>
  <si>
    <t>Afsharbegloe, P. (Parham)</t>
  </si>
  <si>
    <t>Parham</t>
  </si>
  <si>
    <t>B4</t>
  </si>
  <si>
    <t>NMK07T9</t>
  </si>
  <si>
    <t>Naeije, L. (Lisanne)</t>
  </si>
  <si>
    <t>Lisanne</t>
  </si>
  <si>
    <t>NLX00G3</t>
  </si>
  <si>
    <t>Sempel, J.D. (Jasper)</t>
  </si>
  <si>
    <t>Jasper</t>
  </si>
  <si>
    <t>NLC78B6</t>
  </si>
  <si>
    <t>Dekker, J. (Jodie)</t>
  </si>
  <si>
    <t>Jodie</t>
  </si>
  <si>
    <t>NMG85H5</t>
  </si>
  <si>
    <t>Hovestadt, D. (Diederik)</t>
  </si>
  <si>
    <t>Diederik</t>
  </si>
  <si>
    <t>NMK01M2</t>
  </si>
  <si>
    <t>Ehmila, J. (Jenna)</t>
  </si>
  <si>
    <t>Jenna</t>
  </si>
  <si>
    <t>NMJ72N6</t>
  </si>
  <si>
    <t>Bemer, J.L.E. (Jarno)</t>
  </si>
  <si>
    <t>NMN85P8</t>
  </si>
  <si>
    <t>Rijswijk, F. (Fenna) van</t>
  </si>
  <si>
    <t>Fenna</t>
  </si>
  <si>
    <t>NMB42C6</t>
  </si>
  <si>
    <t>Heeren, D. (Djess) van</t>
  </si>
  <si>
    <t>Djess</t>
  </si>
  <si>
    <t>NMB03R4</t>
  </si>
  <si>
    <t>Exalto, L. (Laura)</t>
  </si>
  <si>
    <t>Laura</t>
  </si>
  <si>
    <t>NMV37K2</t>
  </si>
  <si>
    <t>Linden, J.W.P. (Jurre) van der</t>
  </si>
  <si>
    <t>Jurre</t>
  </si>
  <si>
    <t>NMD22V1</t>
  </si>
  <si>
    <t>Bezemer, E.R. (Eva)</t>
  </si>
  <si>
    <t>NLX04H2</t>
  </si>
  <si>
    <t>Post, J.M. (Joaz)</t>
  </si>
  <si>
    <t>Joaz</t>
  </si>
  <si>
    <t>NMZ36R2</t>
  </si>
  <si>
    <t>Gerritsen, K. (Kayleigh)</t>
  </si>
  <si>
    <t>Kayleigh</t>
  </si>
  <si>
    <t>NLP78P7</t>
  </si>
  <si>
    <t>Sas, N. (Niek)</t>
  </si>
  <si>
    <t>NML06D5</t>
  </si>
  <si>
    <t>Waard, O.J. (Olivia) de</t>
  </si>
  <si>
    <t>Olivia</t>
  </si>
  <si>
    <t>NLY32T6</t>
  </si>
  <si>
    <t>Ven, J. (Jonas) van de</t>
  </si>
  <si>
    <t>Jonas</t>
  </si>
  <si>
    <t>NMN48D3</t>
  </si>
  <si>
    <t>Wietses, E.A.E. (Ester)</t>
  </si>
  <si>
    <t>Ester</t>
  </si>
  <si>
    <t>NMD51K6</t>
  </si>
  <si>
    <t>Vos, T. (Thomas)</t>
  </si>
  <si>
    <t>NMW83F1</t>
  </si>
  <si>
    <t>Lotgerink, A. (Anne-Sophie)</t>
  </si>
  <si>
    <t>Anne-Sophie</t>
  </si>
  <si>
    <t>NMQ51D0</t>
  </si>
  <si>
    <t>Kerschkamp, M. (Mika)</t>
  </si>
  <si>
    <t>Mika</t>
  </si>
  <si>
    <t>NNF00X8</t>
  </si>
  <si>
    <t>Grandia, R.(Rolina)</t>
  </si>
  <si>
    <t>Rolina</t>
  </si>
  <si>
    <t>NMG18G2</t>
  </si>
  <si>
    <t>Belder, L. (Lenn)</t>
  </si>
  <si>
    <t>Lenn</t>
  </si>
  <si>
    <t>NMN06Y4</t>
  </si>
  <si>
    <t>Jongkind, P. (Pippa)</t>
  </si>
  <si>
    <t>Pippa</t>
  </si>
  <si>
    <t>NMC61P5</t>
  </si>
  <si>
    <t>Dekker, T.J. (Tiemen) den</t>
  </si>
  <si>
    <t>Tiemen</t>
  </si>
  <si>
    <t>NLS34M7</t>
  </si>
  <si>
    <t>Camphens, S. (Saar)</t>
  </si>
  <si>
    <t>Saar</t>
  </si>
  <si>
    <t>NMP90X6</t>
  </si>
  <si>
    <t>Molendijk, L. (Levi)</t>
  </si>
  <si>
    <t>Levi</t>
  </si>
  <si>
    <t>NMK74C6</t>
  </si>
  <si>
    <t>Nijman, F.J.J. (Famke)</t>
  </si>
  <si>
    <t>Famke</t>
  </si>
  <si>
    <t>NMF22Q8</t>
  </si>
  <si>
    <t>Jacobs, X. (Xavi)</t>
  </si>
  <si>
    <t>Xavi</t>
  </si>
  <si>
    <t>NMQ57X8</t>
  </si>
  <si>
    <t>Driel, S. (Sanne) van</t>
  </si>
  <si>
    <t>Sanne</t>
  </si>
  <si>
    <t>NMK12K6</t>
  </si>
  <si>
    <t>Vos, T. (Thijs)</t>
  </si>
  <si>
    <t>NMN07F4</t>
  </si>
  <si>
    <t>Barbaroux, M.N. (Manon)</t>
  </si>
  <si>
    <t>Manon</t>
  </si>
  <si>
    <t>NLV80P4</t>
  </si>
  <si>
    <t>Heersping, S. (Sander)</t>
  </si>
  <si>
    <t>Sander</t>
  </si>
  <si>
    <t>NNB34K0</t>
  </si>
  <si>
    <t>Jansen, L. (Lieke)</t>
  </si>
  <si>
    <t>Lieke</t>
  </si>
  <si>
    <t>NMZ46V5</t>
  </si>
  <si>
    <t>Croes, A.A. (Aidric)</t>
  </si>
  <si>
    <t>Aidric</t>
  </si>
  <si>
    <t>NLM86V5</t>
  </si>
  <si>
    <t>Vaartmans, B. (Britt)</t>
  </si>
  <si>
    <t>Britt</t>
  </si>
  <si>
    <t>NMZ41P8</t>
  </si>
  <si>
    <t>Weijde, D. (Daan) van der</t>
  </si>
  <si>
    <t>Daan</t>
  </si>
  <si>
    <t>NMP10M9</t>
  </si>
  <si>
    <t>Bergh, M.J. (Marit) van den</t>
  </si>
  <si>
    <t>Marit</t>
  </si>
  <si>
    <t>NMT18Q5</t>
  </si>
  <si>
    <t>Reus, M.F. (Matthijs) de</t>
  </si>
  <si>
    <t>NLP78L9</t>
  </si>
  <si>
    <t>Wiel, D.N. (Danique) van der</t>
  </si>
  <si>
    <t>Danique</t>
  </si>
  <si>
    <t>NMC41W4</t>
  </si>
  <si>
    <t>Ameijden, J. (Joep) van</t>
  </si>
  <si>
    <t>Joep</t>
  </si>
  <si>
    <t>NLM40K0</t>
  </si>
  <si>
    <t>Bouwknegt, E.L. (Enora)</t>
  </si>
  <si>
    <t>Enora</t>
  </si>
  <si>
    <t>NMZ41X4</t>
  </si>
  <si>
    <t>Haseth, F.M. (Finn) de</t>
  </si>
  <si>
    <t>Finn</t>
  </si>
  <si>
    <t>NLS54M7</t>
  </si>
  <si>
    <t>Baas, N.J. (Nikki)</t>
  </si>
  <si>
    <t>Nikki</t>
  </si>
  <si>
    <t>NLV80M3</t>
  </si>
  <si>
    <t>Laban, F.C. (Freek)</t>
  </si>
  <si>
    <t>NKT65Z0</t>
  </si>
  <si>
    <t>Kleingeld, J.N. (Julia)</t>
  </si>
  <si>
    <t>NMC29Z9</t>
  </si>
  <si>
    <t>Vos, J. (Juda)</t>
  </si>
  <si>
    <t>Juda</t>
  </si>
  <si>
    <t>NLN41L1</t>
  </si>
  <si>
    <t>Stomp, N. (Noa)</t>
  </si>
  <si>
    <t>Noa</t>
  </si>
  <si>
    <t>NMQ65B3</t>
  </si>
  <si>
    <t>Uljee, C. (Cas)</t>
  </si>
  <si>
    <t>Cas</t>
  </si>
  <si>
    <t>NLL20H8</t>
  </si>
  <si>
    <t>Burgt, F. (Feline) van de</t>
  </si>
  <si>
    <t>NMN49T8</t>
  </si>
  <si>
    <t>Verberkt, N. (Nathan)</t>
  </si>
  <si>
    <t>Nathan</t>
  </si>
  <si>
    <t>NLQ98H2</t>
  </si>
  <si>
    <t>Bakker, F. (Femke)</t>
  </si>
  <si>
    <t>Femke</t>
  </si>
  <si>
    <t>NMJ72R4</t>
  </si>
  <si>
    <t>Bemer, F.G.L. (Falco)</t>
  </si>
  <si>
    <t>Falco</t>
  </si>
  <si>
    <t>Dekker, J. (Jordan)</t>
  </si>
  <si>
    <t>NMJ72P0</t>
  </si>
  <si>
    <t>Bemer, T.R.S (Tygo)</t>
  </si>
  <si>
    <t>Tygo</t>
  </si>
  <si>
    <t>NLX64V0</t>
  </si>
  <si>
    <t>Boer, E.M. (Esmée) de</t>
  </si>
  <si>
    <t>Esmée</t>
  </si>
  <si>
    <t>NMN23L4</t>
  </si>
  <si>
    <t>Kuling, F. (Fynn)</t>
  </si>
  <si>
    <t>Fynn</t>
  </si>
  <si>
    <t>NLX25R5</t>
  </si>
  <si>
    <t>Engelfriet, D. (Demi)</t>
  </si>
  <si>
    <t>Demi</t>
  </si>
  <si>
    <t>NMN23M1</t>
  </si>
  <si>
    <t>Veenendaal, M. (Martijn)</t>
  </si>
  <si>
    <t>Martijn</t>
  </si>
  <si>
    <t>NMK12F1</t>
  </si>
  <si>
    <t>Groen, E. (Evie)</t>
  </si>
  <si>
    <t>Evie</t>
  </si>
  <si>
    <t>NMN65L0</t>
  </si>
  <si>
    <t>Rest, L.J. (Lucas) van de</t>
  </si>
  <si>
    <t>Lucas</t>
  </si>
  <si>
    <t>NMT44W0</t>
  </si>
  <si>
    <t>Peters, S.N. (Sanne)</t>
  </si>
  <si>
    <t>NLZ21F1</t>
  </si>
  <si>
    <t>Ven, A. (Abel) van de</t>
  </si>
  <si>
    <t>Abel</t>
  </si>
  <si>
    <t>NLR34F7</t>
  </si>
  <si>
    <t>Jongkind, F.W.J. (Floortje)</t>
  </si>
  <si>
    <t>Floortje</t>
  </si>
  <si>
    <t>NMN10V0</t>
  </si>
  <si>
    <t>Winter, L.P. (Lars)</t>
  </si>
  <si>
    <t>NLP77Z4</t>
  </si>
  <si>
    <t>Klooster, D. (Danique) van der</t>
  </si>
  <si>
    <t>NMX35P3</t>
  </si>
  <si>
    <t>Weijde, L. (Lukas) van der</t>
  </si>
  <si>
    <t>Lukas</t>
  </si>
  <si>
    <t>NLV84L8</t>
  </si>
  <si>
    <t>Vercouteren, N. (Noortje)</t>
  </si>
  <si>
    <t>Noortje</t>
  </si>
  <si>
    <t>NMB99X9</t>
  </si>
  <si>
    <t>Bosch, A. (Ayden) van den</t>
  </si>
  <si>
    <t>Ayden</t>
  </si>
  <si>
    <t>NLP89W4</t>
  </si>
  <si>
    <t>Volker, T.N. (Tess)</t>
  </si>
  <si>
    <t>NMQ45V3</t>
  </si>
  <si>
    <t>Dijkstra, R.J. (Ralf)</t>
  </si>
  <si>
    <t>Ralf</t>
  </si>
  <si>
    <t>NMB60Y4</t>
  </si>
  <si>
    <t>Lindhout, D. (Demi)</t>
  </si>
  <si>
    <t>NMX53X3</t>
  </si>
  <si>
    <t>Koppelaar, C. (Collin)</t>
  </si>
  <si>
    <t>Collin</t>
  </si>
  <si>
    <t>NLX00H0</t>
  </si>
  <si>
    <t>Bemer, G.M.E. (Githa)</t>
  </si>
  <si>
    <t>Githa</t>
  </si>
  <si>
    <t>NMK07M0</t>
  </si>
  <si>
    <t>Hoedelmans, T. (Tobias)</t>
  </si>
  <si>
    <t>Tobias</t>
  </si>
  <si>
    <t>NLL53K3</t>
  </si>
  <si>
    <t>Dongen, M.J. (Madelief) van</t>
  </si>
  <si>
    <t>Madelief</t>
  </si>
  <si>
    <t>NMN66T9</t>
  </si>
  <si>
    <t>Jongkind, J.M. (Joep)</t>
  </si>
  <si>
    <t>NLS76C3</t>
  </si>
  <si>
    <t>Zwanenburg, R.J. (Robin)</t>
  </si>
  <si>
    <t>NMN65C7</t>
  </si>
  <si>
    <t>Jongkind, S.C. (Sepp)</t>
  </si>
  <si>
    <t>Sepp</t>
  </si>
  <si>
    <t>NMN23N8</t>
  </si>
  <si>
    <t>Veenendaal, E. (Eline)</t>
  </si>
  <si>
    <t>Eline</t>
  </si>
  <si>
    <t>NMK59H6</t>
  </si>
  <si>
    <t>Ameijden, M. (Morris) van</t>
  </si>
  <si>
    <t>Morris</t>
  </si>
  <si>
    <t>NLX08G7</t>
  </si>
  <si>
    <t>Kamerman, Z. (Zoë)</t>
  </si>
  <si>
    <t>Zoë</t>
  </si>
  <si>
    <t>NMJ3L0</t>
  </si>
  <si>
    <t>Everaarts, L. (Levi)</t>
  </si>
  <si>
    <t>NLS08H9</t>
  </si>
  <si>
    <t>Reuvers, L. (Lisa)</t>
  </si>
  <si>
    <t>NMN09P0</t>
  </si>
  <si>
    <t>Dekker, J (Jorn) den</t>
  </si>
  <si>
    <t>Jorn</t>
  </si>
  <si>
    <t>NLJ4Z4</t>
  </si>
  <si>
    <t>Lohuis, F.A.C. (Floor)</t>
  </si>
  <si>
    <t>NMX73J6</t>
  </si>
  <si>
    <t>Josefina, M. (Mayson)</t>
  </si>
  <si>
    <t>Mayson</t>
  </si>
  <si>
    <t>NLL20G1</t>
  </si>
  <si>
    <t>Burgt, E. (Elize) van de</t>
  </si>
  <si>
    <t>Elize</t>
  </si>
  <si>
    <t>NMW39Z4</t>
  </si>
  <si>
    <t>Verberkt, G.J. (Gideon)</t>
  </si>
  <si>
    <t>Gideon</t>
  </si>
  <si>
    <t>NLN05N7</t>
  </si>
  <si>
    <t>Klooster, C. (Carmen) van der</t>
  </si>
  <si>
    <t>Carmen</t>
  </si>
  <si>
    <t>NMN39T3</t>
  </si>
  <si>
    <t>Ploeg, K.J.A. (Koen)</t>
  </si>
  <si>
    <t>Koen</t>
  </si>
  <si>
    <t>NLT96R9</t>
  </si>
  <si>
    <t>Voorbij, D.M. (Doeska)</t>
  </si>
  <si>
    <t>Doeska</t>
  </si>
  <si>
    <t>NMV01T2</t>
  </si>
  <si>
    <t>Boekee, R.D. (Rens)</t>
  </si>
  <si>
    <t>Rens</t>
  </si>
  <si>
    <t>NLP78D3</t>
  </si>
  <si>
    <t>Linden, B.S. (Benthe) van der</t>
  </si>
  <si>
    <t>NNC13W2</t>
  </si>
  <si>
    <t>Weijde, J. (Jasper) van der</t>
  </si>
  <si>
    <t>NLP78C6</t>
  </si>
  <si>
    <t>Verboom, S. (Stella)</t>
  </si>
  <si>
    <t>Stella</t>
  </si>
  <si>
    <t>NMZ32V8</t>
  </si>
  <si>
    <t>Stel, T. (Tom) van der</t>
  </si>
  <si>
    <t>Tom</t>
  </si>
  <si>
    <t>NLS45N2</t>
  </si>
  <si>
    <t>Kilsdonk, S.A (Sophie)</t>
  </si>
  <si>
    <t>Sophie</t>
  </si>
  <si>
    <t>NMV70H0</t>
  </si>
  <si>
    <t>Sijde, T. (Timo) van der</t>
  </si>
  <si>
    <t>NLP78N3</t>
  </si>
  <si>
    <t>Wolleswinkel, I.M.S. (Iza)</t>
  </si>
  <si>
    <t>Iza</t>
  </si>
  <si>
    <t>NND82J4</t>
  </si>
  <si>
    <t>Nawar, D (David)</t>
  </si>
  <si>
    <t>NLL81G4</t>
  </si>
  <si>
    <t>Manduapessy, M. (Merel)</t>
  </si>
  <si>
    <t>Merel</t>
  </si>
  <si>
    <t>NMY95H8</t>
  </si>
  <si>
    <t>Mol, L.A. (Lucien)</t>
  </si>
  <si>
    <t>Lucien</t>
  </si>
  <si>
    <t>NLP78G4</t>
  </si>
  <si>
    <t>Bozuwa, J. (Julia)</t>
  </si>
  <si>
    <t>NNB22W3</t>
  </si>
  <si>
    <t>Burgh, J.A. (James) van der</t>
  </si>
  <si>
    <t>James</t>
  </si>
  <si>
    <t>NLH27P1</t>
  </si>
  <si>
    <t>Haas, A. (Amber) de</t>
  </si>
  <si>
    <t>Amber</t>
  </si>
  <si>
    <t>NMZ29R6</t>
  </si>
  <si>
    <t>Wingerden, E.J. (Elroy) van</t>
  </si>
  <si>
    <t>Elroy</t>
  </si>
  <si>
    <t>NLJ47P3</t>
  </si>
  <si>
    <t>Everdingen, T. (Tessa) van</t>
  </si>
  <si>
    <t>Tessa</t>
  </si>
  <si>
    <t>NMV71X5</t>
  </si>
  <si>
    <t>Alberts, A. (Amos)</t>
  </si>
  <si>
    <t>Amos</t>
  </si>
  <si>
    <t>NLF50K8</t>
  </si>
  <si>
    <t>Fasbender, L. (Lindi)</t>
  </si>
  <si>
    <t>Lindi</t>
  </si>
  <si>
    <t>NMY74T9</t>
  </si>
  <si>
    <t>Ploeg, L. (Luuk)</t>
  </si>
  <si>
    <t>NLB71D8</t>
  </si>
  <si>
    <t>Boshoven, S.A.E. (Sara)</t>
  </si>
  <si>
    <t>Sara</t>
  </si>
  <si>
    <t>NNC48W2</t>
  </si>
  <si>
    <t>Nekkers, Q. (Quinn)</t>
  </si>
  <si>
    <t>Quinn</t>
  </si>
  <si>
    <t>NKT92K1</t>
  </si>
  <si>
    <t>Jongh, A. (Anouk) de</t>
  </si>
  <si>
    <t>NMY97N6</t>
  </si>
  <si>
    <t>Jong, S. (Sepp) de</t>
  </si>
  <si>
    <t>NKN53B5</t>
  </si>
  <si>
    <t>Versnel, V. (Vivienne)</t>
  </si>
  <si>
    <t>Vivienne</t>
  </si>
  <si>
    <t>NND77N2</t>
  </si>
  <si>
    <t>Houweling, J. (Jeftha)</t>
  </si>
  <si>
    <t>Jeftha</t>
  </si>
  <si>
    <t>NLB70S0</t>
  </si>
  <si>
    <t>Quarré, E.A. (Elena)</t>
  </si>
  <si>
    <t>Elena</t>
  </si>
  <si>
    <t>NNC40P9</t>
  </si>
  <si>
    <t>Koolstra, H. (Hidde)</t>
  </si>
  <si>
    <t>Hidde</t>
  </si>
  <si>
    <t>NLB70T7</t>
  </si>
  <si>
    <t>Boeije, A.J. (Amber)</t>
  </si>
  <si>
    <t>NNC46X3</t>
  </si>
  <si>
    <t>Roos, L. (Lucas)</t>
  </si>
  <si>
    <t>NLL20B6</t>
  </si>
  <si>
    <t>Wensen, M. (Maud)</t>
  </si>
  <si>
    <t>Maud</t>
  </si>
  <si>
    <t>NNB52J7</t>
  </si>
  <si>
    <t>Groot, F. (Finn) de</t>
  </si>
  <si>
    <t>NKY17P6</t>
  </si>
  <si>
    <t>Groeneweg, R.K. (Roos)</t>
  </si>
  <si>
    <t>Roos</t>
  </si>
  <si>
    <t>NMW39Y7</t>
  </si>
  <si>
    <t>Verberkt, R.J. (Ruben)</t>
  </si>
  <si>
    <t>NND44J</t>
  </si>
  <si>
    <t xml:space="preserve">Schaap, R. (Romy) </t>
  </si>
  <si>
    <t>Romy</t>
  </si>
  <si>
    <t>NMZ29T0</t>
  </si>
  <si>
    <t>Wingerden, B.R. (Branley) van</t>
  </si>
  <si>
    <t>Branley</t>
  </si>
  <si>
    <t>NLB70Z9</t>
  </si>
  <si>
    <t>Lievaart, C.A. (Carlijn)</t>
  </si>
  <si>
    <t>Carlijn</t>
  </si>
  <si>
    <t>NMY74V3</t>
  </si>
  <si>
    <t>Ploeg, F. (Finn)</t>
  </si>
  <si>
    <t>NKX36X8</t>
  </si>
  <si>
    <t>Witman, K. (Kimberley)</t>
  </si>
  <si>
    <t>Kimberley</t>
  </si>
  <si>
    <t>- Heer S1/S2</t>
  </si>
  <si>
    <t>Heer S1S2</t>
  </si>
  <si>
    <t>NKK48D6</t>
  </si>
  <si>
    <t>Mol, L.N.A. (Laura)</t>
  </si>
  <si>
    <t>NMY03K8</t>
  </si>
  <si>
    <t>Bezemer, O. (Olle)</t>
  </si>
  <si>
    <t>Olle</t>
  </si>
  <si>
    <t>NKQ40Q9</t>
  </si>
  <si>
    <t>Driesprong, M. (Meike)</t>
  </si>
  <si>
    <t>Meike</t>
  </si>
  <si>
    <t>NKK27G4</t>
  </si>
  <si>
    <t>Valk, M.E. (Marlies)</t>
  </si>
  <si>
    <t>Marlies</t>
  </si>
  <si>
    <t>NKK27B9</t>
  </si>
  <si>
    <t>Fernhout, L. (Loïs)</t>
  </si>
  <si>
    <t>Loïs</t>
  </si>
  <si>
    <t>NKG18N7</t>
  </si>
  <si>
    <t>Teerds, E.L. (Eva)</t>
  </si>
  <si>
    <t>NLB70X5</t>
  </si>
  <si>
    <t>Friebel, A. (Angela)</t>
  </si>
  <si>
    <t>Angela</t>
  </si>
  <si>
    <t>NKJ29C1</t>
  </si>
  <si>
    <t>Pierse, A.W. (Anniek)</t>
  </si>
  <si>
    <t>Anniek</t>
  </si>
  <si>
    <t>NKJ95L7</t>
  </si>
  <si>
    <t>Oppe, M. (Milou)</t>
  </si>
  <si>
    <t>NLS08G2</t>
  </si>
  <si>
    <t>Dubbeld, S. (Sanne)</t>
  </si>
  <si>
    <t>NKC46T4</t>
  </si>
  <si>
    <t>Koote, L.D. (Laura)</t>
  </si>
  <si>
    <t>NKQ14R3</t>
  </si>
  <si>
    <t>Wit, N.M.T. (Nadia) de</t>
  </si>
  <si>
    <t>Nadia</t>
  </si>
  <si>
    <t>NKQ13Q3</t>
  </si>
  <si>
    <t>Wit, S.E.E. (Syrah) de</t>
  </si>
  <si>
    <t>Syrah</t>
  </si>
  <si>
    <t>NKG59H8</t>
  </si>
  <si>
    <t>Dommisse, K. (Kim)</t>
  </si>
  <si>
    <t>Kim</t>
  </si>
  <si>
    <t>NKG59L6</t>
  </si>
  <si>
    <t>Dijk, D. (Demi) van</t>
  </si>
  <si>
    <t>NKC46S7</t>
  </si>
  <si>
    <t>Schram, L.J. (Lara)</t>
  </si>
  <si>
    <t>NJY82Z9</t>
  </si>
  <si>
    <t>Dubbeld, T. (Tessa)</t>
  </si>
  <si>
    <t>XXX</t>
  </si>
  <si>
    <t>- Dame S1/S2</t>
  </si>
  <si>
    <t>Dame S1/S2</t>
  </si>
  <si>
    <t>Hulsker, N.M. (Nina)</t>
  </si>
  <si>
    <t>Nina</t>
  </si>
  <si>
    <t>NJV33D0</t>
  </si>
  <si>
    <t>Knippenberg, R. (Rachel)</t>
  </si>
  <si>
    <t>Rachel</t>
  </si>
  <si>
    <t>NJQ72K1</t>
  </si>
  <si>
    <t>Dommisse, R. (Robin)</t>
  </si>
  <si>
    <t>NJG35B7</t>
  </si>
  <si>
    <t xml:space="preserve">Visser, R. (Renske) </t>
  </si>
  <si>
    <t>Renske</t>
  </si>
  <si>
    <t>NJG13L1</t>
  </si>
  <si>
    <t>Ardon, E. (Esther)</t>
  </si>
  <si>
    <t>NJF17P0</t>
  </si>
  <si>
    <t>Leijdsman, R. (Robin)</t>
  </si>
  <si>
    <t>NJF85B1</t>
  </si>
  <si>
    <t>Klink, X (Xanne)</t>
  </si>
  <si>
    <t>Xanne</t>
  </si>
  <si>
    <t>NJH51Q1</t>
  </si>
  <si>
    <t>Kalkeren-Verweij, M. (Mirthe) van</t>
  </si>
  <si>
    <t>Mirthe</t>
  </si>
  <si>
    <t>NJK08X9</t>
  </si>
  <si>
    <t>Gurp, M (Merel) van</t>
  </si>
  <si>
    <t>NJK42D1</t>
  </si>
  <si>
    <t>Ardon, L (Linda)</t>
  </si>
  <si>
    <t>Linda</t>
  </si>
  <si>
    <t>NGT42S4</t>
  </si>
  <si>
    <t>Brand, L (Liesbeth)</t>
  </si>
  <si>
    <t>Liesbeth</t>
  </si>
  <si>
    <t>NJK09N2</t>
  </si>
  <si>
    <t>Starre-Scheurwater, K. (Kim) van der</t>
  </si>
  <si>
    <t>NFX24T4</t>
  </si>
  <si>
    <t>Opstal-Haksteen, T.K. (Tamara) van</t>
  </si>
  <si>
    <t>Tamara</t>
  </si>
  <si>
    <t>NGG54V3</t>
  </si>
  <si>
    <t>Batenburg, H. (Hanneke)</t>
  </si>
  <si>
    <t>Hanneke</t>
  </si>
  <si>
    <t>NGD85T4</t>
  </si>
  <si>
    <t>Heesterbeek, K. (Kim)</t>
  </si>
  <si>
    <t>NJK34W5</t>
  </si>
  <si>
    <t>Ploeg, L (Lieke)</t>
  </si>
  <si>
    <t>NFV12W2</t>
  </si>
  <si>
    <t>Stomp-Burgt, L (Lianne) vd</t>
  </si>
  <si>
    <t>Lianne</t>
  </si>
  <si>
    <t>?</t>
  </si>
  <si>
    <t>NFW28D3</t>
  </si>
  <si>
    <t>Veld, D. (Dorien) in 't</t>
  </si>
  <si>
    <t>Dorien</t>
  </si>
  <si>
    <t>Hoffman, M. (Merel)</t>
  </si>
  <si>
    <t>Maandag</t>
  </si>
  <si>
    <t>Dinsdag</t>
  </si>
  <si>
    <t>Woensdag</t>
  </si>
  <si>
    <t>Donderdag</t>
  </si>
  <si>
    <t>2025-2026</t>
  </si>
  <si>
    <t>Selectie/Team</t>
  </si>
  <si>
    <t>Team</t>
  </si>
  <si>
    <t>Naam</t>
  </si>
  <si>
    <t>A/B</t>
  </si>
  <si>
    <t>Kleur</t>
  </si>
  <si>
    <t>8 of 4-korfbal</t>
  </si>
  <si>
    <t>Gem. Leeftijd</t>
  </si>
  <si>
    <t xml:space="preserve">(Samenstelling 24-25) </t>
  </si>
  <si>
    <t>Ja</t>
  </si>
  <si>
    <t>Selectie</t>
  </si>
  <si>
    <t>1e selectie senioren</t>
  </si>
  <si>
    <t>Senioren 1</t>
  </si>
  <si>
    <t>A</t>
  </si>
  <si>
    <t>Senioren 2</t>
  </si>
  <si>
    <t>Senioren 3</t>
  </si>
  <si>
    <t>Senioren 4</t>
  </si>
  <si>
    <t>Senioren 5</t>
  </si>
  <si>
    <t>B</t>
  </si>
  <si>
    <t>Senioren 6</t>
  </si>
  <si>
    <t>Senioren 7</t>
  </si>
  <si>
    <t>U19 Selectie</t>
  </si>
  <si>
    <t>U19-1</t>
  </si>
  <si>
    <t xml:space="preserve">U19-1 </t>
  </si>
  <si>
    <t>U19-2</t>
  </si>
  <si>
    <t>U17 selectie</t>
  </si>
  <si>
    <t>B2/C1</t>
  </si>
  <si>
    <t>Nee</t>
  </si>
  <si>
    <t>C1/C2</t>
  </si>
  <si>
    <t>U15-2</t>
  </si>
  <si>
    <t>OW J01</t>
  </si>
  <si>
    <t>OW Jeugd 01</t>
  </si>
  <si>
    <t>OW J02</t>
  </si>
  <si>
    <t>OW Jeugd 02</t>
  </si>
  <si>
    <t>OW J03</t>
  </si>
  <si>
    <t>OW Jeugd 03</t>
  </si>
  <si>
    <t>OW J04</t>
  </si>
  <si>
    <t>OW Jeugd 04</t>
  </si>
  <si>
    <t>OW J05</t>
  </si>
  <si>
    <t>OW Jeugd 05</t>
  </si>
  <si>
    <t>OW J06</t>
  </si>
  <si>
    <t>OW Jeugd 06</t>
  </si>
  <si>
    <t>OW J07</t>
  </si>
  <si>
    <t>OW Jeugd 07</t>
  </si>
  <si>
    <t>OW J08</t>
  </si>
  <si>
    <t>OW Jeugd 08</t>
  </si>
  <si>
    <t>OW J09</t>
  </si>
  <si>
    <t>OW Jeugd 09</t>
  </si>
  <si>
    <t>OW Jeugd 10</t>
  </si>
  <si>
    <t>OW Jeugd 11</t>
  </si>
  <si>
    <t>OW Jeugd 12</t>
  </si>
  <si>
    <t>OW Jeugd 13</t>
  </si>
  <si>
    <t>OW Jeugd 14</t>
  </si>
  <si>
    <t>OW Jeugd 15</t>
  </si>
  <si>
    <t>Nieuwe E</t>
  </si>
  <si>
    <t>OW Jeugd 16</t>
  </si>
  <si>
    <t>OW Jeugd 17</t>
  </si>
  <si>
    <t>OW J18</t>
  </si>
  <si>
    <t>OW Jeugd 18</t>
  </si>
  <si>
    <t>Nieuwe F</t>
  </si>
  <si>
    <t>OW J20</t>
  </si>
  <si>
    <t>OW K</t>
  </si>
  <si>
    <t>Veld 1</t>
  </si>
  <si>
    <t>Veld 2</t>
  </si>
  <si>
    <t>Veld 3</t>
  </si>
  <si>
    <t>Functie</t>
  </si>
  <si>
    <t>eigen team</t>
  </si>
  <si>
    <t>team vorig jaar</t>
  </si>
  <si>
    <t xml:space="preserve">Niveau </t>
  </si>
  <si>
    <t>Column1</t>
  </si>
  <si>
    <t>Column2</t>
  </si>
  <si>
    <t>Menno Kop</t>
  </si>
  <si>
    <t>Trainer/Coach S1</t>
  </si>
  <si>
    <t>Niels Mastijn</t>
  </si>
  <si>
    <t>Rene te Witt</t>
  </si>
  <si>
    <t>Trainer/Coach S2</t>
  </si>
  <si>
    <t>Senior - KT3</t>
  </si>
  <si>
    <t>Fred Lichteveld</t>
  </si>
  <si>
    <t>Teammanager S2</t>
  </si>
  <si>
    <t>A1A2</t>
  </si>
  <si>
    <t>Ruben Kamerbeek</t>
  </si>
  <si>
    <t>Fysio</t>
  </si>
  <si>
    <t>nvt</t>
  </si>
  <si>
    <t>Anouk de Jongh</t>
  </si>
  <si>
    <t>Verzorger</t>
  </si>
  <si>
    <t xml:space="preserve">Medior </t>
  </si>
  <si>
    <t>Joris van den Neucker</t>
  </si>
  <si>
    <t>Analist S1</t>
  </si>
  <si>
    <t>Kim Ardon</t>
  </si>
  <si>
    <t>Begeleider</t>
  </si>
  <si>
    <t>Dio Naaktgeboren</t>
  </si>
  <si>
    <t>Trainer/Coach</t>
  </si>
  <si>
    <t>Arthyn Muller</t>
  </si>
  <si>
    <t>Trainer/Coach U19-1</t>
  </si>
  <si>
    <t>Senior</t>
  </si>
  <si>
    <t>Lianne Stomp - vd Burgt</t>
  </si>
  <si>
    <t>Jens Lohuis</t>
  </si>
  <si>
    <t>Trainer/Coach U19-2</t>
  </si>
  <si>
    <t>A1/A2</t>
  </si>
  <si>
    <t>Medior</t>
  </si>
  <si>
    <t>Joël Wietses</t>
  </si>
  <si>
    <t>Jasper Kleingeld</t>
  </si>
  <si>
    <t>Trainer/Coach U17-1</t>
  </si>
  <si>
    <t>B1B2</t>
  </si>
  <si>
    <t>Mees Oppe</t>
  </si>
  <si>
    <t>DeetosSnel 1</t>
  </si>
  <si>
    <t>Junior - KT2</t>
  </si>
  <si>
    <t>Alex de Boer</t>
  </si>
  <si>
    <t>Trainer/Coach U17-2</t>
  </si>
  <si>
    <t>Tom van de Ven</t>
  </si>
  <si>
    <t>Alex van de Klooster</t>
  </si>
  <si>
    <t>Teammanager U17</t>
  </si>
  <si>
    <t>Bas de Jong</t>
  </si>
  <si>
    <t>Ondersteuning U17</t>
  </si>
  <si>
    <t>Milou Oppe</t>
  </si>
  <si>
    <t>S1/S2</t>
  </si>
  <si>
    <t>Rob van Dongen</t>
  </si>
  <si>
    <t>Luuk Baars</t>
  </si>
  <si>
    <t>Maud van Wensen</t>
  </si>
  <si>
    <t>Martijn van der Wiel</t>
  </si>
  <si>
    <t>Chris Gerritsen</t>
  </si>
  <si>
    <t>Fieneke Lotgerink</t>
  </si>
  <si>
    <t>Niek Driesprong</t>
  </si>
  <si>
    <t>DeetosSnel U19</t>
  </si>
  <si>
    <t>Seth vd Burgt</t>
  </si>
  <si>
    <t>Startend - KT2</t>
  </si>
  <si>
    <t>Sophie Kilsdonk</t>
  </si>
  <si>
    <t>Justin Vos</t>
  </si>
  <si>
    <t>Sara Boshoven</t>
  </si>
  <si>
    <t>gaat door</t>
  </si>
  <si>
    <t>Kimberley Witman</t>
  </si>
  <si>
    <t>Robert Koster</t>
  </si>
  <si>
    <t>Senne Koster</t>
  </si>
  <si>
    <t>Junior</t>
  </si>
  <si>
    <t>Nadia de Wit</t>
  </si>
  <si>
    <t>Syrah de Wit</t>
  </si>
  <si>
    <t>Marcel St. Nicolaas</t>
  </si>
  <si>
    <t>Sjoerd van Ameijden</t>
  </si>
  <si>
    <t>Liesbeth Wibbens</t>
  </si>
  <si>
    <t>Monique te Witt</t>
  </si>
  <si>
    <t>Gertjan Ploeg</t>
  </si>
  <si>
    <t>Trainer</t>
  </si>
  <si>
    <t>Ilonka Bouwknegt</t>
  </si>
  <si>
    <t>Joaz Post</t>
  </si>
  <si>
    <t>Nikki Baas</t>
  </si>
  <si>
    <t>Lieke Bakker</t>
  </si>
  <si>
    <t>Matthijs de Jongh</t>
  </si>
  <si>
    <t>Jet van Trooijen</t>
  </si>
  <si>
    <t>Kimberly Jacobs</t>
  </si>
  <si>
    <t>Paula Malschaert</t>
  </si>
  <si>
    <t>Celia de Lange</t>
  </si>
  <si>
    <t>Thijs Vos</t>
  </si>
  <si>
    <t>Assistent-trainer</t>
  </si>
  <si>
    <t>Trainer/coach</t>
  </si>
  <si>
    <t>iemand erbij, kan niet op maandag</t>
  </si>
  <si>
    <t>Henno Ploeg</t>
  </si>
  <si>
    <t>Coach</t>
  </si>
  <si>
    <t>Antjan Laban</t>
  </si>
  <si>
    <t>Hoofdtrainer F</t>
  </si>
  <si>
    <t>Freek Laban</t>
  </si>
  <si>
    <t>Sander Heersping</t>
  </si>
  <si>
    <t>Danique van der Klooster</t>
  </si>
  <si>
    <t>Blauw (wel met hoofdtrainer)</t>
  </si>
  <si>
    <t>Jordy Vaartmans</t>
  </si>
  <si>
    <t>Merle Nobel</t>
  </si>
  <si>
    <t>Esmée de Boer</t>
  </si>
  <si>
    <t>Tess Volker</t>
  </si>
  <si>
    <t>Eva van Rooij</t>
  </si>
  <si>
    <t>Jeslynn Vos</t>
  </si>
  <si>
    <t>Mila de Wit</t>
  </si>
  <si>
    <t>Saar Camphens</t>
  </si>
  <si>
    <t>Linda Ardon</t>
  </si>
  <si>
    <t>Ruben Dubbeld</t>
  </si>
  <si>
    <t>Tessa Dubbled</t>
  </si>
  <si>
    <t>Categorie</t>
  </si>
  <si>
    <t>Aandachtspunten</t>
  </si>
  <si>
    <t>Onderwerp</t>
  </si>
  <si>
    <t>Antwoord</t>
  </si>
  <si>
    <t>Actiehouder</t>
  </si>
  <si>
    <t>Wanneer</t>
  </si>
  <si>
    <t>Status</t>
  </si>
  <si>
    <t>Scenario 1. - nu</t>
  </si>
  <si>
    <t>Scenario 2 - Evie Groen door en Pippa naar D4</t>
  </si>
  <si>
    <t xml:space="preserve">Scenario 3 - Manon, Noortje en Evie naar C4 -met 17 kids + wedstrijdlid </t>
  </si>
  <si>
    <t>Dames</t>
  </si>
  <si>
    <t>Heren</t>
  </si>
  <si>
    <t>Team       24-25</t>
  </si>
  <si>
    <t>Team op Peildatum</t>
  </si>
  <si>
    <t>Relatiecode</t>
  </si>
  <si>
    <t>Volledige naam (2)</t>
  </si>
  <si>
    <t>Geboortedatum</t>
  </si>
  <si>
    <t>Lidmaatschapcode</t>
  </si>
  <si>
    <t>Geslacht</t>
  </si>
  <si>
    <t>Abel van de Ven</t>
  </si>
  <si>
    <t>230</t>
  </si>
  <si>
    <t>definitief</t>
  </si>
  <si>
    <t>M</t>
  </si>
  <si>
    <t>Alisa Stomp</t>
  </si>
  <si>
    <t>V</t>
  </si>
  <si>
    <t>Amber Boeije</t>
  </si>
  <si>
    <t>210</t>
  </si>
  <si>
    <t>Amber de Haas</t>
  </si>
  <si>
    <t>Amos Alberts</t>
  </si>
  <si>
    <t>Angela Friebel</t>
  </si>
  <si>
    <t>200</t>
  </si>
  <si>
    <t>Aniek van den Bergh</t>
  </si>
  <si>
    <t>NKD19X7</t>
  </si>
  <si>
    <t>Anne Driesprong</t>
  </si>
  <si>
    <t>Anne</t>
  </si>
  <si>
    <t>202</t>
  </si>
  <si>
    <t>NMW65S8</t>
  </si>
  <si>
    <t>Annelieke Smouter</t>
  </si>
  <si>
    <t>Annelieke</t>
  </si>
  <si>
    <t>Anne-Sophie Lotgerink</t>
  </si>
  <si>
    <t>Anniek Pierse</t>
  </si>
  <si>
    <t>Anouk Bakker</t>
  </si>
  <si>
    <t>NFW92M3</t>
  </si>
  <si>
    <t>Antjan</t>
  </si>
  <si>
    <t>NFW26G8</t>
  </si>
  <si>
    <t>Arjan Noels</t>
  </si>
  <si>
    <t>Arjan</t>
  </si>
  <si>
    <t>NMV76G1</t>
  </si>
  <si>
    <t>Art Malschaert</t>
  </si>
  <si>
    <t>Art</t>
  </si>
  <si>
    <t>Ayden van den Bosch</t>
  </si>
  <si>
    <t>NFW41S7</t>
  </si>
  <si>
    <t>Barbara Camphens-Moerman</t>
  </si>
  <si>
    <t>Barbara</t>
  </si>
  <si>
    <t>NFS90V6</t>
  </si>
  <si>
    <t>Bart de Wit</t>
  </si>
  <si>
    <t>Bart Driesprong</t>
  </si>
  <si>
    <t>Bart van der Brugge</t>
  </si>
  <si>
    <t>NGW10M4</t>
  </si>
  <si>
    <t>Bas</t>
  </si>
  <si>
    <t>NKS24S7</t>
  </si>
  <si>
    <t>Bente van Wijngaarden</t>
  </si>
  <si>
    <t>Bente</t>
  </si>
  <si>
    <t>Benthe van der Linden</t>
  </si>
  <si>
    <t>220</t>
  </si>
  <si>
    <t>Bob Mans</t>
  </si>
  <si>
    <t>NKR88F7</t>
  </si>
  <si>
    <t>Bridget ter Horst</t>
  </si>
  <si>
    <t>Bridget</t>
  </si>
  <si>
    <t>NML00R5</t>
  </si>
  <si>
    <t>Bryanna Bos</t>
  </si>
  <si>
    <t>Bryanna</t>
  </si>
  <si>
    <t>Carlijn Lievaart</t>
  </si>
  <si>
    <t>Carmen van der Klooster</t>
  </si>
  <si>
    <t>NMQ44L0</t>
  </si>
  <si>
    <t>Cas Tieleman</t>
  </si>
  <si>
    <t>Cas Uljee</t>
  </si>
  <si>
    <t>Casper Boshoven</t>
  </si>
  <si>
    <t>Ché Kooper</t>
  </si>
  <si>
    <t>NMX21V8</t>
  </si>
  <si>
    <t>Ciprian Minzararu</t>
  </si>
  <si>
    <t>Ciprian</t>
  </si>
  <si>
    <t>Collin Koppelaar</t>
  </si>
  <si>
    <t>NKX56Q9</t>
  </si>
  <si>
    <t>Damaris Everaarts</t>
  </si>
  <si>
    <t>Damaris</t>
  </si>
  <si>
    <t>Dani Heersping</t>
  </si>
  <si>
    <t>Daniel den Uijl</t>
  </si>
  <si>
    <t>Danique van der Wiel</t>
  </si>
  <si>
    <t>David Kuijper</t>
  </si>
  <si>
    <t>Davina Moniz</t>
  </si>
  <si>
    <t>NFW15S4</t>
  </si>
  <si>
    <t>Debita Moerman</t>
  </si>
  <si>
    <t>Debita</t>
  </si>
  <si>
    <t>Demi Engelfriet</t>
  </si>
  <si>
    <t>Demi Lindhout</t>
  </si>
  <si>
    <t>Demi van Dijk</t>
  </si>
  <si>
    <t>NJC15T9</t>
  </si>
  <si>
    <t>Diana Visser-Michelsen</t>
  </si>
  <si>
    <t>Diana</t>
  </si>
  <si>
    <t>Diederik Hovestadt</t>
  </si>
  <si>
    <t>Djess van Heeren</t>
  </si>
  <si>
    <t>Doeska Voorbij</t>
  </si>
  <si>
    <t>Dorien in 't Veld</t>
  </si>
  <si>
    <t>203</t>
  </si>
  <si>
    <t>NFW26Q8</t>
  </si>
  <si>
    <t>Egbert Vos</t>
  </si>
  <si>
    <t>Egbert</t>
  </si>
  <si>
    <t>Elena Quarré</t>
  </si>
  <si>
    <t>Eline Veenendaal</t>
  </si>
  <si>
    <t>NMX01Q3</t>
  </si>
  <si>
    <t>Elize Bohms</t>
  </si>
  <si>
    <t>Elize van de Burgt</t>
  </si>
  <si>
    <t>Emiel Houwerzijl</t>
  </si>
  <si>
    <t>Emma Schot</t>
  </si>
  <si>
    <t>Enora Bouwknegt</t>
  </si>
  <si>
    <t>Esther Ardon</t>
  </si>
  <si>
    <t>Esther Oosse</t>
  </si>
  <si>
    <t>NJC46R3</t>
  </si>
  <si>
    <t>Esther Wibbens</t>
  </si>
  <si>
    <t>Eva Bezemer</t>
  </si>
  <si>
    <t>Eva Teerds</t>
  </si>
  <si>
    <t>NMJ53F3</t>
  </si>
  <si>
    <t>Evi Kleingeld</t>
  </si>
  <si>
    <t>Evie Groen</t>
  </si>
  <si>
    <t>Falco Bemer</t>
  </si>
  <si>
    <t>Famke Nijman</t>
  </si>
  <si>
    <t>Fay Tims</t>
  </si>
  <si>
    <t>Feline Littooij</t>
  </si>
  <si>
    <t>Feline van de Burgt</t>
  </si>
  <si>
    <t>Femke Bakker</t>
  </si>
  <si>
    <t>Fenna van Rijswijk</t>
  </si>
  <si>
    <t>NMG03C4</t>
  </si>
  <si>
    <t>Finn Verboom</t>
  </si>
  <si>
    <t>NLJ04Z4</t>
  </si>
  <si>
    <t>Floor Lohuis</t>
  </si>
  <si>
    <t>Floortje Jongkind</t>
  </si>
  <si>
    <t>NKX20W8</t>
  </si>
  <si>
    <t>Flore Steenks</t>
  </si>
  <si>
    <t>Flore</t>
  </si>
  <si>
    <t>Freek de Peuter</t>
  </si>
  <si>
    <t>Freek van Dongen</t>
  </si>
  <si>
    <t>Fynn Kuling</t>
  </si>
  <si>
    <t>Gideon Verberkt</t>
  </si>
  <si>
    <t>Githa Bemer</t>
  </si>
  <si>
    <t>Hans Ploeg</t>
  </si>
  <si>
    <t>NGT43N2</t>
  </si>
  <si>
    <t>Hilde Visser</t>
  </si>
  <si>
    <t>Hilde</t>
  </si>
  <si>
    <t>Imke van Geldrop</t>
  </si>
  <si>
    <t>Imme Bouman</t>
  </si>
  <si>
    <t>Iza Wolleswinkel</t>
  </si>
  <si>
    <t>Ize van der Linden</t>
  </si>
  <si>
    <t>Jack Zwanenburg</t>
  </si>
  <si>
    <t>NJB54T5</t>
  </si>
  <si>
    <t>Jaimy van Arkel</t>
  </si>
  <si>
    <t>Jaimy</t>
  </si>
  <si>
    <t>Jan Booy</t>
  </si>
  <si>
    <t>NFW14Y3</t>
  </si>
  <si>
    <t>Jan-Peter Verwaal</t>
  </si>
  <si>
    <t>Jan-Peter</t>
  </si>
  <si>
    <t>NJH13R4</t>
  </si>
  <si>
    <t>Jany Lacroes</t>
  </si>
  <si>
    <t>Jany</t>
  </si>
  <si>
    <t>Jarno Bemer</t>
  </si>
  <si>
    <t>Jarno Valk</t>
  </si>
  <si>
    <t>NFW28T5</t>
  </si>
  <si>
    <t>Jasper Sempel</t>
  </si>
  <si>
    <t>Jenna Ehmila</t>
  </si>
  <si>
    <t>NLF29C4</t>
  </si>
  <si>
    <t>Jennifer Herremans</t>
  </si>
  <si>
    <t>Jennifer</t>
  </si>
  <si>
    <t>Jens de Vlaming</t>
  </si>
  <si>
    <t>NJH51J2</t>
  </si>
  <si>
    <t>Jeroen Huijgen</t>
  </si>
  <si>
    <t>Jeroen</t>
  </si>
  <si>
    <t>Joep Jongkind</t>
  </si>
  <si>
    <t>Joep van Ameijden</t>
  </si>
  <si>
    <t>Joeri van Dijk</t>
  </si>
  <si>
    <t>NFW15F3</t>
  </si>
  <si>
    <t>Johan van der Wall</t>
  </si>
  <si>
    <t>Johan</t>
  </si>
  <si>
    <t>Jolijn van den Bergh</t>
  </si>
  <si>
    <t>Jonas van de Ven</t>
  </si>
  <si>
    <t>Joram Flach</t>
  </si>
  <si>
    <t>Jordan Timmer</t>
  </si>
  <si>
    <t>Jordi Vaartmans</t>
  </si>
  <si>
    <t>Jorn den Dekker</t>
  </si>
  <si>
    <t>Juda Vos</t>
  </si>
  <si>
    <t>Julia Baas</t>
  </si>
  <si>
    <t>Julia Bozuwa</t>
  </si>
  <si>
    <t>Julia Kleingeld</t>
  </si>
  <si>
    <t>Julia van Twist</t>
  </si>
  <si>
    <t>Jurre van der Linden</t>
  </si>
  <si>
    <t>Karlijn Bakker</t>
  </si>
  <si>
    <t>Kian Vliet</t>
  </si>
  <si>
    <t>Kim Dommisse</t>
  </si>
  <si>
    <t>Kim Heesterbeek</t>
  </si>
  <si>
    <t>Kim van der Starre-Scheurwater</t>
  </si>
  <si>
    <t>204</t>
  </si>
  <si>
    <t>Koen Ploeg</t>
  </si>
  <si>
    <t>Lara Mans</t>
  </si>
  <si>
    <t>240</t>
  </si>
  <si>
    <t>Lara Schram</t>
  </si>
  <si>
    <t>Lars van Strijen</t>
  </si>
  <si>
    <t>NLT47Y6</t>
  </si>
  <si>
    <t>Lars Visser</t>
  </si>
  <si>
    <t>Lars Winter</t>
  </si>
  <si>
    <t>Laura Exalto</t>
  </si>
  <si>
    <t>Laura Koote</t>
  </si>
  <si>
    <t>Laurens Verhagen</t>
  </si>
  <si>
    <t>Layla de Boer</t>
  </si>
  <si>
    <t>Lenn Belder</t>
  </si>
  <si>
    <t>Lenthe van den Boogaart</t>
  </si>
  <si>
    <t>NMJ03L0</t>
  </si>
  <si>
    <t>Levi Everaarts</t>
  </si>
  <si>
    <t>Levi Molendijk</t>
  </si>
  <si>
    <t>NFX11D8</t>
  </si>
  <si>
    <t>Lex van Dalen</t>
  </si>
  <si>
    <t>NJC17J5</t>
  </si>
  <si>
    <t>Lex van Gent</t>
  </si>
  <si>
    <t>NKY54N3</t>
  </si>
  <si>
    <t>Lianne Bouwknegt</t>
  </si>
  <si>
    <t>Lieke Ploeg</t>
  </si>
  <si>
    <t>Liesbeth Brand</t>
  </si>
  <si>
    <t>Lindi Fasbender</t>
  </si>
  <si>
    <t>Lisa Exalto</t>
  </si>
  <si>
    <t>Lisa Reuvers</t>
  </si>
  <si>
    <t>Lisanne Naeije</t>
  </si>
  <si>
    <t>NFW26V3</t>
  </si>
  <si>
    <t>Lisette van den Assem</t>
  </si>
  <si>
    <t>Lisette</t>
  </si>
  <si>
    <t>Livia van de Burgt</t>
  </si>
  <si>
    <t>Loïs Fernhout</t>
  </si>
  <si>
    <t>Lucas van de Rest</t>
  </si>
  <si>
    <t>Lukas van der Weijde</t>
  </si>
  <si>
    <t>NML47R6</t>
  </si>
  <si>
    <t>Maarten Rutten</t>
  </si>
  <si>
    <t>Maarten Sas</t>
  </si>
  <si>
    <t>Maartje Laban</t>
  </si>
  <si>
    <t>Madelief van Dongen</t>
  </si>
  <si>
    <t>Manon Barbaroux</t>
  </si>
  <si>
    <t>NFW13Y0</t>
  </si>
  <si>
    <t>Marco van Kalkeren</t>
  </si>
  <si>
    <t>Marco</t>
  </si>
  <si>
    <t>Marijn Klink</t>
  </si>
  <si>
    <t>Marit van den Bergh</t>
  </si>
  <si>
    <t>Mark Schindler</t>
  </si>
  <si>
    <t>Marlies Valk</t>
  </si>
  <si>
    <t>Martijn Veenendaal</t>
  </si>
  <si>
    <t>Matthijs de Reus</t>
  </si>
  <si>
    <t>Meike Driesprong</t>
  </si>
  <si>
    <t>Menno Pille</t>
  </si>
  <si>
    <t>Merel Manduapessy</t>
  </si>
  <si>
    <t>NJW77M6</t>
  </si>
  <si>
    <t>Merel Schram</t>
  </si>
  <si>
    <t>Merel van Gurp</t>
  </si>
  <si>
    <t>NMJ57G2</t>
  </si>
  <si>
    <t>Merlijn Wit, de</t>
  </si>
  <si>
    <t>Merlijn</t>
  </si>
  <si>
    <t>Michiel 't Jong</t>
  </si>
  <si>
    <t>Mika Kerschkamp</t>
  </si>
  <si>
    <t>NLL19T4</t>
  </si>
  <si>
    <t>Mila</t>
  </si>
  <si>
    <t>Milou Markusse</t>
  </si>
  <si>
    <t>NMT10Q1</t>
  </si>
  <si>
    <t>Mirjam de Wit</t>
  </si>
  <si>
    <t>Mirjam</t>
  </si>
  <si>
    <t>Morris van Ameijden</t>
  </si>
  <si>
    <t>Nathan Verberkt</t>
  </si>
  <si>
    <t>Nehir Torbali</t>
  </si>
  <si>
    <t>Nesrin Kombe</t>
  </si>
  <si>
    <t>Niek Sas</t>
  </si>
  <si>
    <t>Noa Stomp</t>
  </si>
  <si>
    <t>Noor Brouwer</t>
  </si>
  <si>
    <t>Noortje Vercouteren</t>
  </si>
  <si>
    <t>Nurefsan Kombe</t>
  </si>
  <si>
    <t>Olivia de Waard</t>
  </si>
  <si>
    <t>Olivier Klink</t>
  </si>
  <si>
    <t>Olle Bezemer</t>
  </si>
  <si>
    <t>Onno den Dekker</t>
  </si>
  <si>
    <t>Parham Afsharbegloe</t>
  </si>
  <si>
    <t>NFZ85W0</t>
  </si>
  <si>
    <t>Peter Batenburg</t>
  </si>
  <si>
    <t>Peter</t>
  </si>
  <si>
    <t>NMH24Z9</t>
  </si>
  <si>
    <t>Petra Verheijde</t>
  </si>
  <si>
    <t>Petra</t>
  </si>
  <si>
    <t>Pien van Dongen</t>
  </si>
  <si>
    <t>Pippa Jongkind</t>
  </si>
  <si>
    <t>Quinten van Driel</t>
  </si>
  <si>
    <t>Ralf Dijkstra</t>
  </si>
  <si>
    <t>Raoul Kuijper</t>
  </si>
  <si>
    <t>Rens Boekee</t>
  </si>
  <si>
    <t>NGT42V5</t>
  </si>
  <si>
    <t>Rens Draaijer</t>
  </si>
  <si>
    <t>Renske Visser</t>
  </si>
  <si>
    <t>Rick van de Wijgaart</t>
  </si>
  <si>
    <t>NGP49B2</t>
  </si>
  <si>
    <t>Robbert van Ameijden</t>
  </si>
  <si>
    <t>Robbert</t>
  </si>
  <si>
    <t>Robin Leijdsman</t>
  </si>
  <si>
    <t>Robin Mans</t>
  </si>
  <si>
    <t>Robin van Kalkeren</t>
  </si>
  <si>
    <t>Robin Zwanenburg</t>
  </si>
  <si>
    <t>NFV13V8</t>
  </si>
  <si>
    <t>Ronald Riet</t>
  </si>
  <si>
    <t>Ronald</t>
  </si>
  <si>
    <t>Roos Groeneweg</t>
  </si>
  <si>
    <t>Roy de Vlaming</t>
  </si>
  <si>
    <t>Ruben Verberkt</t>
  </si>
  <si>
    <t>Sanae el Arbiati</t>
  </si>
  <si>
    <t>Sanna de Lange</t>
  </si>
  <si>
    <t>Sanne Dubbeld</t>
  </si>
  <si>
    <t>Sanne Peters</t>
  </si>
  <si>
    <t>NJK27R4</t>
  </si>
  <si>
    <t>Sanne van Andel</t>
  </si>
  <si>
    <t>Sanne van Driel</t>
  </si>
  <si>
    <t>Sepp Jongkind</t>
  </si>
  <si>
    <t>Seth van de Burgt</t>
  </si>
  <si>
    <t>NJQ72J4</t>
  </si>
  <si>
    <t>Simone van Zwoll</t>
  </si>
  <si>
    <t>Simone</t>
  </si>
  <si>
    <t>Sofie Kleingeld</t>
  </si>
  <si>
    <t>Stefan Naaktgeboren</t>
  </si>
  <si>
    <t>Stella Verboom</t>
  </si>
  <si>
    <t>NMX02T7</t>
  </si>
  <si>
    <t>Stepan Polumysni</t>
  </si>
  <si>
    <t>Stepan</t>
  </si>
  <si>
    <t>Stephan Quarre</t>
  </si>
  <si>
    <t>NGT92Q5</t>
  </si>
  <si>
    <t>Steven Kuperus</t>
  </si>
  <si>
    <t>Steven</t>
  </si>
  <si>
    <t>NML14J6</t>
  </si>
  <si>
    <t>Suze Maaskant</t>
  </si>
  <si>
    <t>Tamara van Opstal-Haksteen</t>
  </si>
  <si>
    <t>NMY03L5</t>
  </si>
  <si>
    <t>Ted Bezemer</t>
  </si>
  <si>
    <t>Ted</t>
  </si>
  <si>
    <t>Tess Rebollo</t>
  </si>
  <si>
    <t>Tess Uljee</t>
  </si>
  <si>
    <t>Tessa Dubbeld</t>
  </si>
  <si>
    <t>Tessa van Everdingen</t>
  </si>
  <si>
    <t>Thijs Boon</t>
  </si>
  <si>
    <t>Thomas Isarin</t>
  </si>
  <si>
    <t>Thomas Vos</t>
  </si>
  <si>
    <t>Tiemen den Dekker</t>
  </si>
  <si>
    <t>Tijmen Fasbender</t>
  </si>
  <si>
    <t>Tijn Bäcker</t>
  </si>
  <si>
    <t>Tijn Camphens</t>
  </si>
  <si>
    <t>Tim Seevinck</t>
  </si>
  <si>
    <t>af te melden</t>
  </si>
  <si>
    <t>Tim van Gent</t>
  </si>
  <si>
    <t>Timo Pichel</t>
  </si>
  <si>
    <t>Timo van der Sijde</t>
  </si>
  <si>
    <t>NKF94H2</t>
  </si>
  <si>
    <t>Tirsa Fernhout</t>
  </si>
  <si>
    <t>Tirsa</t>
  </si>
  <si>
    <t>Tobias Hoedelmans</t>
  </si>
  <si>
    <t>Tommie Koornneef</t>
  </si>
  <si>
    <t>Tycho Vliet</t>
  </si>
  <si>
    <t>Tygo Bemer</t>
  </si>
  <si>
    <t>NKL40B9</t>
  </si>
  <si>
    <t>Vera Klootwijk</t>
  </si>
  <si>
    <t>Vera</t>
  </si>
  <si>
    <t>NMS76D7</t>
  </si>
  <si>
    <t>Vince van der Hoeven</t>
  </si>
  <si>
    <t>Vince</t>
  </si>
  <si>
    <t>Vive Jacobs</t>
  </si>
  <si>
    <t>Vivienne Versnel</t>
  </si>
  <si>
    <t>Wies van den Berg</t>
  </si>
  <si>
    <t>Wilco Kooij</t>
  </si>
  <si>
    <t>Wouter Koornneef</t>
  </si>
  <si>
    <t>Xanne Klink</t>
  </si>
  <si>
    <t>Xavi Jacobs</t>
  </si>
  <si>
    <t>Yara van der Wiel</t>
  </si>
  <si>
    <t>Zoë Kamerman</t>
  </si>
  <si>
    <t>Verrassing +</t>
  </si>
  <si>
    <t>Verrassing -</t>
  </si>
  <si>
    <t>Selectie?</t>
  </si>
  <si>
    <t>Twijfelt</t>
  </si>
  <si>
    <t>Oud</t>
  </si>
  <si>
    <t>Jong</t>
  </si>
  <si>
    <t>Ander team?</t>
  </si>
  <si>
    <t>Order</t>
  </si>
  <si>
    <t>Team blok</t>
  </si>
  <si>
    <t>Team blok 2</t>
  </si>
  <si>
    <t>Cat type</t>
  </si>
  <si>
    <t>Cat</t>
  </si>
  <si>
    <t>Max leeftijd</t>
  </si>
  <si>
    <t>Gemiddeld 1</t>
  </si>
  <si>
    <t>Gemiddeld 2</t>
  </si>
  <si>
    <t>Min M</t>
  </si>
  <si>
    <t>Min V</t>
  </si>
  <si>
    <t>1S</t>
  </si>
  <si>
    <t>Senioren A</t>
  </si>
  <si>
    <t>2S</t>
  </si>
  <si>
    <t>2e selectie senioren</t>
  </si>
  <si>
    <t>Senioren B</t>
  </si>
  <si>
    <t>S1A</t>
  </si>
  <si>
    <t>Midweek</t>
  </si>
  <si>
    <t>S2A</t>
  </si>
  <si>
    <t>S3A</t>
  </si>
  <si>
    <t>S3B</t>
  </si>
  <si>
    <t>S4A</t>
  </si>
  <si>
    <t>S4B</t>
  </si>
  <si>
    <t>S5A</t>
  </si>
  <si>
    <t>S5B</t>
  </si>
  <si>
    <t>S6A</t>
  </si>
  <si>
    <t>S6B</t>
  </si>
  <si>
    <t>S7B</t>
  </si>
  <si>
    <t>S8B</t>
  </si>
  <si>
    <t>Senioren 8</t>
  </si>
  <si>
    <t>S9B</t>
  </si>
  <si>
    <t>Senioren 9</t>
  </si>
  <si>
    <t>S10</t>
  </si>
  <si>
    <t>Senioren 10</t>
  </si>
  <si>
    <t>Midweek 1</t>
  </si>
  <si>
    <t>MW2</t>
  </si>
  <si>
    <t>Midweek 2</t>
  </si>
  <si>
    <t>MW3</t>
  </si>
  <si>
    <t>Midweek 3</t>
  </si>
  <si>
    <t>U19S</t>
  </si>
  <si>
    <t>U19-3</t>
  </si>
  <si>
    <t>U19-4</t>
  </si>
  <si>
    <t>U17S</t>
  </si>
  <si>
    <t>U17-3</t>
  </si>
  <si>
    <t>U17-4</t>
  </si>
  <si>
    <t>U15S</t>
  </si>
  <si>
    <t>U15 selectie</t>
  </si>
  <si>
    <t>U15-3</t>
  </si>
  <si>
    <t>U15-4</t>
  </si>
  <si>
    <t>Rood1</t>
  </si>
  <si>
    <t>Rood 1</t>
  </si>
  <si>
    <t>Rood2</t>
  </si>
  <si>
    <t>Rood 2</t>
  </si>
  <si>
    <t>Rood3</t>
  </si>
  <si>
    <t>Rood 3</t>
  </si>
  <si>
    <t>Rood4</t>
  </si>
  <si>
    <t>Rood 4</t>
  </si>
  <si>
    <t>Rood5</t>
  </si>
  <si>
    <t>Rood 5</t>
  </si>
  <si>
    <t>Rood6</t>
  </si>
  <si>
    <t>Rood 6</t>
  </si>
  <si>
    <t>Rood7</t>
  </si>
  <si>
    <t>Rood 7</t>
  </si>
  <si>
    <t>Rood8</t>
  </si>
  <si>
    <t>Rood 8</t>
  </si>
  <si>
    <t>Oranje1</t>
  </si>
  <si>
    <t>Oranje 1</t>
  </si>
  <si>
    <t>Oranje2</t>
  </si>
  <si>
    <t>Oranje 2</t>
  </si>
  <si>
    <t>Oranje3</t>
  </si>
  <si>
    <t>Oranje 3</t>
  </si>
  <si>
    <t>Oranje4</t>
  </si>
  <si>
    <t>Oranje 4</t>
  </si>
  <si>
    <t>Oranje5</t>
  </si>
  <si>
    <t>Oranje 5</t>
  </si>
  <si>
    <t>Oranje6</t>
  </si>
  <si>
    <t>Oranje 6</t>
  </si>
  <si>
    <t>Oranje7</t>
  </si>
  <si>
    <t>Oranje 7</t>
  </si>
  <si>
    <t>Oranje8</t>
  </si>
  <si>
    <t>Oranje 8</t>
  </si>
  <si>
    <t>Geel1</t>
  </si>
  <si>
    <t>Geel 1</t>
  </si>
  <si>
    <t>Geel2</t>
  </si>
  <si>
    <t>Geel 2</t>
  </si>
  <si>
    <t>Geel3</t>
  </si>
  <si>
    <t>Geel 3</t>
  </si>
  <si>
    <t>Geel4</t>
  </si>
  <si>
    <t>Geel 4</t>
  </si>
  <si>
    <t>Geel5</t>
  </si>
  <si>
    <t>Geel 5</t>
  </si>
  <si>
    <t>Geel6</t>
  </si>
  <si>
    <t>Geel 6</t>
  </si>
  <si>
    <t>Geel7</t>
  </si>
  <si>
    <t>Geel 7</t>
  </si>
  <si>
    <t>Geel8</t>
  </si>
  <si>
    <t>Geel 8</t>
  </si>
  <si>
    <t>Groen1</t>
  </si>
  <si>
    <t>Groen 1</t>
  </si>
  <si>
    <t>Groen2</t>
  </si>
  <si>
    <t>Groen 2</t>
  </si>
  <si>
    <t>Groen3</t>
  </si>
  <si>
    <t>Groen 3</t>
  </si>
  <si>
    <t>Groen4</t>
  </si>
  <si>
    <t>Groen 4</t>
  </si>
  <si>
    <t>Groen5</t>
  </si>
  <si>
    <t>Groen 5</t>
  </si>
  <si>
    <t>Groen6</t>
  </si>
  <si>
    <t>Groen 6</t>
  </si>
  <si>
    <t>Groen7</t>
  </si>
  <si>
    <t>Groen 7</t>
  </si>
  <si>
    <t>Groen8</t>
  </si>
  <si>
    <t>Groen 8</t>
  </si>
  <si>
    <t>Groen9</t>
  </si>
  <si>
    <t>Groen 9</t>
  </si>
  <si>
    <t>Groen10</t>
  </si>
  <si>
    <t>Groen 10</t>
  </si>
  <si>
    <t>Blauw1</t>
  </si>
  <si>
    <t>Blauw 1</t>
  </si>
  <si>
    <t>Blauw2</t>
  </si>
  <si>
    <t>Blauw 2</t>
  </si>
  <si>
    <t>Blauw3</t>
  </si>
  <si>
    <t>Blauw 3</t>
  </si>
  <si>
    <t>Blauw4</t>
  </si>
  <si>
    <t>Blauw 4</t>
  </si>
  <si>
    <t>Blauw5</t>
  </si>
  <si>
    <t>Blauw 5</t>
  </si>
  <si>
    <t>Blauw6</t>
  </si>
  <si>
    <t>Blauw 6</t>
  </si>
  <si>
    <t>Blauw7</t>
  </si>
  <si>
    <t>Blauw 7</t>
  </si>
  <si>
    <t>Blauw8</t>
  </si>
  <si>
    <t>Blauw 8</t>
  </si>
  <si>
    <t>Blauw9</t>
  </si>
  <si>
    <t>Blauw 9</t>
  </si>
  <si>
    <t>Blauw10</t>
  </si>
  <si>
    <t>Blauw 10</t>
  </si>
  <si>
    <t>Wit</t>
  </si>
  <si>
    <t>Type</t>
  </si>
  <si>
    <t>Adult/ Youth</t>
  </si>
  <si>
    <t>Max player leeftijd</t>
  </si>
  <si>
    <t>Max avg team age</t>
  </si>
  <si>
    <t>Min avg team age</t>
  </si>
  <si>
    <t>Age diff</t>
  </si>
  <si>
    <t>Adult</t>
  </si>
  <si>
    <t>Youth</t>
  </si>
  <si>
    <t>Senioren selectie</t>
  </si>
  <si>
    <t>U19 selectie</t>
  </si>
  <si>
    <t>U15 selectio</t>
  </si>
  <si>
    <t>Trainer/Coach  U17-2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</si>
</sst>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/mm/yy;@"/>
    <numFmt numFmtId="166" formatCode="d/m/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5" tint="0.79998168889431442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5"/>
      </left>
      <right style="medium">
        <color theme="5"/>
      </right>
      <top style="medium">
        <color theme="5"/>
      </top>
      <bottom style="thin">
        <color theme="5" tint="0.79998168889431442"/>
      </bottom>
      <diagonal/>
    </border>
    <border>
      <left style="medium">
        <color theme="5"/>
      </left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5" tint="0.79998168889431442"/>
      </right>
      <top style="medium">
        <color theme="5"/>
      </top>
      <bottom style="thin">
        <color theme="5" tint="0.79998168889431442"/>
      </bottom>
      <diagonal/>
    </border>
    <border>
      <left/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 style="medium">
        <color theme="5"/>
      </right>
      <top style="thin">
        <color theme="5" tint="0.79998168889431442"/>
      </top>
      <bottom style="thin">
        <color theme="5" tint="0.79998168889431442"/>
      </bottom>
      <diagonal/>
    </border>
  </borders>
  <cellStyleXfs count="1">
    <xf numFmtId="0" fontId="0" fillId="0" borderId="0"/>
  </cellStyleXfs>
  <cellXfs count="159">
    <xf numFmtId="0" fontId="0" fillId="0" borderId="0" xfId="0"/>
    <xf numFmtId="14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4" borderId="13" xfId="0" applyFont="1" applyFill="1" applyBorder="1"/>
    <xf numFmtId="164" fontId="1" fillId="5" borderId="3" xfId="0" applyNumberFormat="1" applyFont="1" applyFill="1" applyBorder="1"/>
    <xf numFmtId="0" fontId="0" fillId="4" borderId="20" xfId="0" applyFill="1" applyBorder="1"/>
    <xf numFmtId="0" fontId="0" fillId="0" borderId="20" xfId="0" applyBorder="1"/>
    <xf numFmtId="14" fontId="0" fillId="4" borderId="20" xfId="0" applyNumberFormat="1" applyFill="1" applyBorder="1"/>
    <xf numFmtId="14" fontId="0" fillId="0" borderId="20" xfId="0" applyNumberFormat="1" applyBorder="1"/>
    <xf numFmtId="14" fontId="0" fillId="4" borderId="0" xfId="0" applyNumberFormat="1" applyFill="1"/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2" xfId="0" applyFont="1" applyBorder="1" applyAlignment="1">
      <alignment horizontal="center" wrapText="1"/>
    </xf>
    <xf numFmtId="14" fontId="3" fillId="0" borderId="22" xfId="0" applyNumberFormat="1" applyFont="1" applyBorder="1"/>
    <xf numFmtId="0" fontId="3" fillId="0" borderId="23" xfId="0" applyFont="1" applyBorder="1" applyAlignment="1">
      <alignment wrapText="1"/>
    </xf>
    <xf numFmtId="0" fontId="3" fillId="0" borderId="24" xfId="0" applyFont="1" applyBorder="1"/>
    <xf numFmtId="0" fontId="3" fillId="0" borderId="25" xfId="0" applyFont="1" applyBorder="1"/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wrapText="1"/>
    </xf>
    <xf numFmtId="14" fontId="3" fillId="0" borderId="22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0" borderId="26" xfId="0" applyFont="1" applyBorder="1" applyAlignment="1">
      <alignment horizontal="center"/>
    </xf>
    <xf numFmtId="0" fontId="3" fillId="0" borderId="27" xfId="0" applyFont="1" applyBorder="1"/>
    <xf numFmtId="0" fontId="3" fillId="0" borderId="28" xfId="0" applyFont="1" applyBorder="1"/>
    <xf numFmtId="0" fontId="3" fillId="0" borderId="28" xfId="0" applyFont="1" applyBorder="1" applyAlignment="1">
      <alignment horizontal="center"/>
    </xf>
    <xf numFmtId="14" fontId="3" fillId="0" borderId="28" xfId="0" applyNumberFormat="1" applyFont="1" applyBorder="1"/>
    <xf numFmtId="0" fontId="1" fillId="0" borderId="0" xfId="0" applyFont="1"/>
    <xf numFmtId="0" fontId="0" fillId="0" borderId="24" xfId="0" applyBorder="1"/>
    <xf numFmtId="14" fontId="0" fillId="0" borderId="1" xfId="0" applyNumberFormat="1" applyBorder="1"/>
    <xf numFmtId="16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5" borderId="4" xfId="0" applyFill="1" applyBorder="1"/>
    <xf numFmtId="0" fontId="1" fillId="4" borderId="12" xfId="0" applyFont="1" applyFill="1" applyBorder="1"/>
    <xf numFmtId="0" fontId="0" fillId="0" borderId="15" xfId="0" applyBorder="1"/>
    <xf numFmtId="0" fontId="0" fillId="0" borderId="0" xfId="0" quotePrefix="1"/>
    <xf numFmtId="0" fontId="3" fillId="0" borderId="1" xfId="0" quotePrefix="1" applyFont="1" applyBorder="1" applyAlignment="1">
      <alignment horizontal="center"/>
    </xf>
    <xf numFmtId="0" fontId="1" fillId="4" borderId="14" xfId="0" applyFont="1" applyFill="1" applyBorder="1"/>
    <xf numFmtId="0" fontId="0" fillId="3" borderId="3" xfId="0" applyFill="1" applyBorder="1"/>
    <xf numFmtId="0" fontId="0" fillId="0" borderId="29" xfId="0" applyBorder="1"/>
    <xf numFmtId="0" fontId="0" fillId="0" borderId="30" xfId="0" applyBorder="1"/>
    <xf numFmtId="2" fontId="0" fillId="0" borderId="0" xfId="0" applyNumberFormat="1"/>
    <xf numFmtId="2" fontId="1" fillId="4" borderId="13" xfId="0" applyNumberFormat="1" applyFont="1" applyFill="1" applyBorder="1"/>
    <xf numFmtId="2" fontId="0" fillId="3" borderId="11" xfId="0" applyNumberFormat="1" applyFill="1" applyBorder="1"/>
    <xf numFmtId="2" fontId="0" fillId="0" borderId="6" xfId="0" applyNumberFormat="1" applyBorder="1"/>
    <xf numFmtId="2" fontId="0" fillId="0" borderId="8" xfId="0" applyNumberFormat="1" applyBorder="1"/>
    <xf numFmtId="2" fontId="0" fillId="2" borderId="13" xfId="0" applyNumberFormat="1" applyFill="1" applyBorder="1"/>
    <xf numFmtId="2" fontId="0" fillId="2" borderId="0" xfId="0" applyNumberFormat="1" applyFill="1"/>
    <xf numFmtId="2" fontId="0" fillId="2" borderId="18" xfId="0" applyNumberFormat="1" applyFill="1" applyBorder="1"/>
    <xf numFmtId="2" fontId="1" fillId="5" borderId="3" xfId="0" applyNumberFormat="1" applyFont="1" applyFill="1" applyBorder="1"/>
    <xf numFmtId="2" fontId="0" fillId="2" borderId="14" xfId="0" applyNumberFormat="1" applyFill="1" applyBorder="1"/>
    <xf numFmtId="2" fontId="0" fillId="2" borderId="16" xfId="0" applyNumberFormat="1" applyFill="1" applyBorder="1"/>
    <xf numFmtId="2" fontId="0" fillId="2" borderId="19" xfId="0" applyNumberFormat="1" applyFill="1" applyBorder="1"/>
    <xf numFmtId="14" fontId="3" fillId="0" borderId="28" xfId="0" applyNumberFormat="1" applyFont="1" applyBorder="1" applyAlignment="1">
      <alignment horizontal="right"/>
    </xf>
    <xf numFmtId="0" fontId="3" fillId="0" borderId="26" xfId="0" applyFont="1" applyBorder="1"/>
    <xf numFmtId="0" fontId="0" fillId="0" borderId="27" xfId="0" applyBorder="1"/>
    <xf numFmtId="165" fontId="0" fillId="4" borderId="0" xfId="0" applyNumberFormat="1" applyFill="1"/>
    <xf numFmtId="165" fontId="0" fillId="0" borderId="20" xfId="0" applyNumberFormat="1" applyBorder="1"/>
    <xf numFmtId="165" fontId="0" fillId="0" borderId="0" xfId="0" applyNumberFormat="1"/>
    <xf numFmtId="165" fontId="0" fillId="4" borderId="20" xfId="0" applyNumberFormat="1" applyFill="1" applyBorder="1"/>
    <xf numFmtId="0" fontId="0" fillId="0" borderId="28" xfId="0" applyBorder="1"/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26" xfId="0" applyFont="1" applyBorder="1"/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5" xfId="0" quotePrefix="1" applyFont="1" applyBorder="1" applyAlignment="1">
      <alignment horizontal="center"/>
    </xf>
    <xf numFmtId="0" fontId="3" fillId="0" borderId="31" xfId="0" applyFont="1" applyBorder="1"/>
    <xf numFmtId="0" fontId="3" fillId="0" borderId="31" xfId="0" applyFont="1" applyBorder="1" applyAlignment="1">
      <alignment horizontal="center"/>
    </xf>
    <xf numFmtId="20" fontId="0" fillId="7" borderId="34" xfId="0" applyNumberFormat="1" applyFill="1" applyBorder="1" applyAlignment="1">
      <alignment textRotation="180"/>
    </xf>
    <xf numFmtId="0" fontId="0" fillId="7" borderId="35" xfId="0" applyFill="1" applyBorder="1" applyAlignment="1">
      <alignment textRotation="180"/>
    </xf>
    <xf numFmtId="0" fontId="0" fillId="7" borderId="36" xfId="0" applyFill="1" applyBorder="1" applyAlignment="1">
      <alignment textRotation="180"/>
    </xf>
    <xf numFmtId="0" fontId="0" fillId="7" borderId="37" xfId="0" applyFill="1" applyBorder="1"/>
    <xf numFmtId="0" fontId="0" fillId="7" borderId="1" xfId="0" applyFill="1" applyBorder="1"/>
    <xf numFmtId="0" fontId="0" fillId="7" borderId="38" xfId="0" applyFill="1" applyBorder="1"/>
    <xf numFmtId="0" fontId="0" fillId="7" borderId="39" xfId="0" applyFill="1" applyBorder="1"/>
    <xf numFmtId="0" fontId="0" fillId="7" borderId="40" xfId="0" applyFill="1" applyBorder="1"/>
    <xf numFmtId="0" fontId="0" fillId="7" borderId="41" xfId="0" applyFill="1" applyBorder="1"/>
    <xf numFmtId="20" fontId="0" fillId="5" borderId="34" xfId="0" applyNumberFormat="1" applyFill="1" applyBorder="1" applyAlignment="1">
      <alignment textRotation="180"/>
    </xf>
    <xf numFmtId="0" fontId="0" fillId="5" borderId="35" xfId="0" applyFill="1" applyBorder="1" applyAlignment="1">
      <alignment textRotation="180"/>
    </xf>
    <xf numFmtId="0" fontId="0" fillId="5" borderId="36" xfId="0" applyFill="1" applyBorder="1" applyAlignment="1">
      <alignment textRotation="180"/>
    </xf>
    <xf numFmtId="0" fontId="0" fillId="5" borderId="37" xfId="0" applyFill="1" applyBorder="1"/>
    <xf numFmtId="0" fontId="0" fillId="5" borderId="1" xfId="0" applyFill="1" applyBorder="1"/>
    <xf numFmtId="0" fontId="0" fillId="5" borderId="38" xfId="0" applyFill="1" applyBorder="1"/>
    <xf numFmtId="0" fontId="0" fillId="5" borderId="39" xfId="0" applyFill="1" applyBorder="1"/>
    <xf numFmtId="0" fontId="0" fillId="5" borderId="40" xfId="0" applyFill="1" applyBorder="1"/>
    <xf numFmtId="0" fontId="0" fillId="5" borderId="41" xfId="0" applyFill="1" applyBorder="1"/>
    <xf numFmtId="0" fontId="0" fillId="8" borderId="0" xfId="0" applyFill="1"/>
    <xf numFmtId="0" fontId="0" fillId="9" borderId="0" xfId="0" applyFill="1"/>
    <xf numFmtId="0" fontId="0" fillId="4" borderId="37" xfId="0" applyFill="1" applyBorder="1"/>
    <xf numFmtId="0" fontId="0" fillId="4" borderId="1" xfId="0" applyFill="1" applyBorder="1"/>
    <xf numFmtId="0" fontId="0" fillId="4" borderId="38" xfId="0" applyFill="1" applyBorder="1"/>
    <xf numFmtId="0" fontId="0" fillId="0" borderId="42" xfId="0" applyBorder="1"/>
    <xf numFmtId="0" fontId="0" fillId="0" borderId="43" xfId="0" applyBorder="1"/>
    <xf numFmtId="0" fontId="0" fillId="9" borderId="39" xfId="0" applyFill="1" applyBorder="1"/>
    <xf numFmtId="0" fontId="0" fillId="9" borderId="40" xfId="0" applyFill="1" applyBorder="1"/>
    <xf numFmtId="0" fontId="0" fillId="9" borderId="41" xfId="0" applyFill="1" applyBorder="1"/>
    <xf numFmtId="0" fontId="0" fillId="9" borderId="37" xfId="0" applyFill="1" applyBorder="1"/>
    <xf numFmtId="0" fontId="0" fillId="9" borderId="1" xfId="0" applyFill="1" applyBorder="1"/>
    <xf numFmtId="0" fontId="0" fillId="9" borderId="38" xfId="0" applyFill="1" applyBorder="1"/>
    <xf numFmtId="0" fontId="0" fillId="10" borderId="37" xfId="0" applyFill="1" applyBorder="1"/>
    <xf numFmtId="0" fontId="0" fillId="10" borderId="1" xfId="0" applyFill="1" applyBorder="1"/>
    <xf numFmtId="0" fontId="0" fillId="10" borderId="38" xfId="0" applyFill="1" applyBorder="1"/>
    <xf numFmtId="0" fontId="0" fillId="0" borderId="38" xfId="0" applyBorder="1"/>
    <xf numFmtId="0" fontId="7" fillId="11" borderId="44" xfId="0" applyFont="1" applyFill="1" applyBorder="1"/>
    <xf numFmtId="0" fontId="0" fillId="0" borderId="44" xfId="0" applyBorder="1"/>
    <xf numFmtId="0" fontId="0" fillId="12" borderId="44" xfId="0" applyFill="1" applyBorder="1"/>
    <xf numFmtId="0" fontId="0" fillId="12" borderId="45" xfId="0" applyFill="1" applyBorder="1"/>
    <xf numFmtId="2" fontId="0" fillId="0" borderId="46" xfId="0" applyNumberFormat="1" applyBorder="1"/>
    <xf numFmtId="0" fontId="1" fillId="4" borderId="13" xfId="0" quotePrefix="1" applyFont="1" applyFill="1" applyBorder="1"/>
    <xf numFmtId="0" fontId="3" fillId="0" borderId="28" xfId="0" applyFont="1" applyBorder="1" applyAlignment="1">
      <alignment horizontal="left"/>
    </xf>
    <xf numFmtId="0" fontId="1" fillId="4" borderId="12" xfId="0" quotePrefix="1" applyFont="1" applyFill="1" applyBorder="1"/>
    <xf numFmtId="0" fontId="0" fillId="0" borderId="16" xfId="0" applyBorder="1"/>
    <xf numFmtId="0" fontId="0" fillId="5" borderId="29" xfId="0" applyFill="1" applyBorder="1"/>
    <xf numFmtId="0" fontId="0" fillId="13" borderId="0" xfId="0" applyFill="1"/>
    <xf numFmtId="0" fontId="0" fillId="5" borderId="0" xfId="0" applyFill="1"/>
    <xf numFmtId="166" fontId="3" fillId="0" borderId="28" xfId="0" applyNumberFormat="1" applyFont="1" applyBorder="1" applyAlignment="1">
      <alignment horizontal="right"/>
    </xf>
    <xf numFmtId="0" fontId="3" fillId="0" borderId="28" xfId="0" quotePrefix="1" applyFont="1" applyBorder="1"/>
    <xf numFmtId="0" fontId="0" fillId="0" borderId="28" xfId="0" applyBorder="1" applyAlignment="1">
      <alignment horizontal="left"/>
    </xf>
    <xf numFmtId="0" fontId="6" fillId="0" borderId="26" xfId="0" applyFont="1" applyBorder="1" applyAlignment="1">
      <alignment horizontal="left"/>
    </xf>
    <xf numFmtId="14" fontId="3" fillId="0" borderId="27" xfId="0" applyNumberFormat="1" applyFont="1" applyBorder="1"/>
    <xf numFmtId="0" fontId="0" fillId="0" borderId="28" xfId="0" applyBorder="1" applyAlignment="1">
      <alignment horizontal="center"/>
    </xf>
    <xf numFmtId="0" fontId="2" fillId="6" borderId="16" xfId="0" applyFont="1" applyFill="1" applyBorder="1" applyAlignment="1">
      <alignment horizontal="center" vertical="center" textRotation="90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6" xfId="0" applyFill="1" applyBorder="1" applyAlignment="1">
      <alignment horizontal="center"/>
    </xf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numFmt numFmtId="0" formatCode="General"/>
    </dxf>
    <dxf>
      <numFmt numFmtId="0" formatCode="General"/>
    </dxf>
    <dxf>
      <numFmt numFmtId="166" formatCode="d/m/yyyy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FF00"/>
        </patternFill>
      </fill>
    </dxf>
    <dxf>
      <font>
        <b val="0"/>
        <i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ont>
        <b val="0"/>
        <i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C0F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1048413</v>
    <v>1</v>
  </rv>
  <rv s="0">
    <v>0</v>
    <v>8</v>
    <v>1048447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E9BBE-C725-4F1C-BD01-A039350FEC28}" name="Tabel1" displayName="Tabel1" ref="A1:J164" totalsRowShown="0" headerRowDxfId="58" dataDxfId="57" headerRowBorderDxfId="55" tableBorderDxfId="56" totalsRowBorderDxfId="54">
  <autoFilter ref="A1:J164" xr:uid="{AE6E9BBE-C725-4F1C-BD01-A039350FEC28}"/>
  <sortState xmlns:xlrd2="http://schemas.microsoft.com/office/spreadsheetml/2017/richdata2" ref="A2:J164">
    <sortCondition ref="D1:D164"/>
  </sortState>
  <tableColumns count="10">
    <tableColumn id="1" xr3:uid="{DAD90888-E12D-4FE7-96A0-7F4BFF04D99D}" name="Rel.nr" dataDxfId="53"/>
    <tableColumn id="2" xr3:uid="{D9B86D9B-3872-43E4-B56E-B6D22C092B3D}" name="Naam &amp; Initialen)" dataDxfId="52"/>
    <tableColumn id="3" xr3:uid="{CFC207A0-0670-4B58-A13D-75317CFE7CA0}" name="Roepnaam" dataDxfId="51"/>
    <tableColumn id="4" xr3:uid="{4B4FD741-0429-4F2D-B9C5-42EED222BB21}" name="Leeftijd Peildatum" dataDxfId="50">
      <calculatedColumnFormula>ROUND( YEARFRAC( Tabel1[[#This Row],[Geb datum]], DATE(2025,12,31), 1 ), 2 )</calculatedColumnFormula>
    </tableColumn>
    <tableColumn id="5" xr3:uid="{671D7D19-9841-4CCC-9AE4-344DB8604D3E}" name="Geb datum" dataDxfId="49"/>
    <tableColumn id="7" xr3:uid="{08FA66E4-6DA5-4CB2-8E6E-0FD40911EDEA}" name="Team 25-26" dataDxfId="48"/>
    <tableColumn id="9" xr3:uid="{EF2E96CA-45CA-4A45-A0F1-D555464B67F2}" name="Team 25-26 ALT" dataDxfId="47"/>
    <tableColumn id="10" xr3:uid="{E050B8F8-294D-4103-89CA-DBE14B263FDE}" name="Team 24-25" dataDxfId="46"/>
    <tableColumn id="6" xr3:uid="{E980F95F-B123-46C5-9E7F-3623207723CF}" name="Notitie" dataDxfId="45"/>
    <tableColumn id="8" xr3:uid="{4059E91F-D872-4761-905F-839B29A8AAD5}" name="AR" dataDxfId="44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46C684-F586-4B64-BE6C-6ADE40A70A37}" name="Tabel3" displayName="Tabel3" ref="L1:U128" headerRowDxfId="43" dataDxfId="42" headerRowBorderDxfId="40" tableBorderDxfId="41" totalsRowBorderDxfId="39">
  <autoFilter ref="L1:U128" xr:uid="{4B46C684-F586-4B64-BE6C-6ADE40A70A37}"/>
  <sortState xmlns:xlrd2="http://schemas.microsoft.com/office/spreadsheetml/2017/richdata2" ref="L2:U128">
    <sortCondition descending="1" ref="O1:O128"/>
  </sortState>
  <tableColumns count="10">
    <tableColumn id="1" xr3:uid="{39F9CA59-15DF-4038-A3D0-F30CE46BB845}" name="Rel.nr" totalsRowLabel="-" dataDxfId="37" totalsRowDxfId="38"/>
    <tableColumn id="2" xr3:uid="{E4A71CD9-07CE-46AC-9546-D216D4E285ED}" name="Naam &amp; Initialen" totalsRowLabel="Lars van Strijen" dataDxfId="35" totalsRowDxfId="36"/>
    <tableColumn id="3" xr3:uid="{B1BB36A2-7C76-49C9-8DEB-279B073BDB6C}" name="Roepnaam" dataDxfId="33" totalsRowDxfId="34"/>
    <tableColumn id="4" xr3:uid="{CE56645C-EDBF-4F56-90C1-7F5123429BDC}" name="Leeftijd Peildatum" dataDxfId="31" totalsRowDxfId="32">
      <calculatedColumnFormula>ROUND( YEARFRAC( Tabel3[[#This Row],[Geb datum]], DATE(2025,12,31), 1 ), 2 )</calculatedColumnFormula>
    </tableColumn>
    <tableColumn id="5" xr3:uid="{6BE2106D-00C6-41F4-A7DA-6E00DA33CA3D}" name="Geb datum" dataDxfId="29" totalsRowDxfId="30"/>
    <tableColumn id="7" xr3:uid="{B275FF8B-3F2F-4977-A3EC-117059BE15C7}" name="Team 25-26" dataDxfId="27" totalsRowDxfId="28"/>
    <tableColumn id="9" xr3:uid="{F78FB6EC-9A35-4E3F-B843-B917F8D43B9E}" name="Team 25-26 ALT" dataDxfId="25" totalsRowDxfId="26"/>
    <tableColumn id="10" xr3:uid="{EFEA58FD-932C-4942-AC5F-1AFB98BD08C6}" name="Team 24-252" dataDxfId="23" totalsRowDxfId="24"/>
    <tableColumn id="6" xr3:uid="{AF436F7A-99FA-40E6-A700-863ED14C72B5}" name="Notitie" dataDxfId="21" totalsRowDxfId="22"/>
    <tableColumn id="8" xr3:uid="{6A33BB6B-B238-4E49-9ADF-87306C92EF3E}" name="AR" dataDxfId="19" totalsRowDxfId="2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8155D7-C668-49B0-85F1-1C380F1C36C9}" name="Table6" displayName="Table6" ref="A3:I41" totalsRowShown="0">
  <autoFilter ref="A3:I41" xr:uid="{4E8155D7-C668-49B0-85F1-1C380F1C36C9}">
    <filterColumn colId="0">
      <filters>
        <filter val="?"/>
        <filter val="Ja"/>
      </filters>
    </filterColumn>
    <filterColumn colId="1">
      <customFilters>
        <customFilter operator="notEqual" val=" "/>
      </customFilters>
    </filterColumn>
  </autoFilter>
  <tableColumns count="9">
    <tableColumn id="1" xr3:uid="{714545F4-8A95-490E-8481-B78597BE0871}" name="2025-2026"/>
    <tableColumn id="3" xr3:uid="{90630828-2750-492E-A1F2-C4A04FFBC2A9}" name="Selectie/Team"/>
    <tableColumn id="2" xr3:uid="{96B15A2E-F17C-42D6-A958-D0E23015D154}" name="Team"/>
    <tableColumn id="4" xr3:uid="{F41ABE2E-7011-4508-8BF8-200C39CB6293}" name="Naam"/>
    <tableColumn id="5" xr3:uid="{9DF4D88C-65C5-4E46-A7A2-B3493975B0A9}" name="A/B"/>
    <tableColumn id="6" xr3:uid="{F3F189E3-63FD-445D-B5BF-3681C5EE3B20}" name="Kleur"/>
    <tableColumn id="7" xr3:uid="{44DCF846-4872-484D-AAF8-5B066A7415A6}" name="8 of 4-korfbal"/>
    <tableColumn id="8" xr3:uid="{C20DAED6-20B7-4AAB-A0CE-A94C3554E338}" name="Gem. Leeftijd"/>
    <tableColumn id="9" xr3:uid="{038FECD3-25AC-4440-A681-1BA2AF078C95}" name="(Samenstelling 24-25) 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9AF53-1EE6-4B39-9B64-3F02F0D774AB}" name="Tabel2" displayName="Tabel2" ref="A1:H73" totalsRowShown="0">
  <autoFilter ref="A1:H73" xr:uid="{E269AF53-1EE6-4B39-9B64-3F02F0D774AB}"/>
  <sortState xmlns:xlrd2="http://schemas.microsoft.com/office/spreadsheetml/2017/richdata2" ref="A2:H73">
    <sortCondition ref="B2:B73" customList="S1S2,S1,S2,S3,S4,S5,S6,S7,S8,S9,MW,U19,U19-1,U19-2,U17,U17-1,U17-2,U15,U15-1,U15-2,OW J1,OW J2,OW J3,OW J4,OW J5,OW J6,OW J7,OW J8,OW J9,OW J10,OW J11,OW J12,OW J13,OW J14,OW J15,OW J16,OW J17,OW J18,OW J19,OW J20,K"/>
    <sortCondition ref="C2:C73" customList="Trainer/Coach S1,Trainer/Coach S2,Trainer/Coach U19-1,Trainer/Coach U19-2,Trainer/Coach U17-1,Trainer/Coach U17-2,Trainer/Coach,Coach,Hoofdtrainer F,Teammanager S1,Teammanager S2,Teammanager U19,Teammanager U17,Teammanager,Assistent-trainer,Video-analist,Fysio,Verzorger"/>
    <sortCondition ref="A2:A73"/>
  </sortState>
  <tableColumns count="8">
    <tableColumn id="1" xr3:uid="{F4E38EE9-E2FC-4DCA-B87D-D17E9FD692D4}" name="Naam"/>
    <tableColumn id="2" xr3:uid="{E0C059FB-2261-46E4-8C50-90A4F5ABD7DD}" name="Team"/>
    <tableColumn id="3" xr3:uid="{67CE2758-1409-40A2-8A95-2CBB5A36DB73}" name="Functie"/>
    <tableColumn id="4" xr3:uid="{64EA5507-E898-44C2-B83B-BFCAFEEFA8A6}" name="eigen team"/>
    <tableColumn id="6" xr3:uid="{ACAEE753-D911-4971-83AE-435141B09E91}" name="team vorig jaar"/>
    <tableColumn id="5" xr3:uid="{75C6463C-DB32-427D-94DD-9D29F902A228}" name="Niveau "/>
    <tableColumn id="7" xr3:uid="{F6766C0E-C1D3-4AE5-BC8E-F154279F2591}" name="Column1"/>
    <tableColumn id="8" xr3:uid="{BD3C0312-A657-428B-AA27-E2651AF1168E}" name="Column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279E89-959C-4714-883A-F89E51BDA26F}" name="leden" displayName="leden" ref="A1:G481" totalsRowShown="0">
  <autoFilter ref="A1:G481" xr:uid="{4E279E89-959C-4714-883A-F89E51BDA26F}"/>
  <sortState xmlns:xlrd2="http://schemas.microsoft.com/office/spreadsheetml/2017/richdata2" ref="A2:G481">
    <sortCondition ref="B1:B481"/>
  </sortState>
  <tableColumns count="7">
    <tableColumn id="1" xr3:uid="{A742683D-A38B-4A68-B88D-712F7B708810}" name="Relatiecode" dataDxfId="16"/>
    <tableColumn id="2" xr3:uid="{C139250B-3C78-4E04-9AF9-0FBFB22516A5}" name="Volledige naam (2)" dataDxfId="15"/>
    <tableColumn id="3" xr3:uid="{2AA56838-2700-4E0E-954D-284A07FE7CD5}" name="Roepnaam" dataDxfId="14"/>
    <tableColumn id="4" xr3:uid="{1A3BD2E5-AE62-4B29-847F-8FBDA5DF7209}" name="Geboortedatum" dataDxfId="13"/>
    <tableColumn id="5" xr3:uid="{89565097-8C85-48B3-ADEF-37950D086E41}" name="Lidmaatschapcode"/>
    <tableColumn id="6" xr3:uid="{D5FECF69-F75F-4C4E-95C0-E1DB6795F794}" name="Status" dataDxfId="12"/>
    <tableColumn id="7" xr3:uid="{95EA97AB-8610-4782-A5B7-36A59B284C5C}" name="Geslacht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4FFF56-E378-4354-A9CD-4FB71D598F6F}" name="Table4" displayName="Table4" ref="A1:H80" totalsRowShown="0" headerRowDxfId="10" dataDxfId="9" tableBorderDxfId="8">
  <autoFilter ref="A1:H80" xr:uid="{AB4FFF56-E378-4354-A9CD-4FB71D598F6F}"/>
  <tableColumns count="8">
    <tableColumn id="2" xr3:uid="{2E31A0A3-4613-4418-AD4A-9C2DC5791C40}" name="Team" dataDxfId="7"/>
    <tableColumn id="9" xr3:uid="{DE42CE09-AE4A-4101-8CE1-00D8E1D0E781}" name="Order" dataDxfId="6"/>
    <tableColumn id="1" xr3:uid="{08000A84-AC44-4392-83F6-6539013F501D}" name="Selectie/Team" dataDxfId="5"/>
    <tableColumn id="10" xr3:uid="{72E43E3F-7190-483F-8D06-229C08A2ED4C}" name="Team blok" dataDxfId="4"/>
    <tableColumn id="11" xr3:uid="{DCB3CA41-C6B3-4548-AD66-2055D9F7265E}" name="Team blok 2" dataDxfId="3"/>
    <tableColumn id="3" xr3:uid="{A151F7A4-0ACD-4A70-9C0A-3CF3FD01F309}" name="Naam" dataDxfId="2"/>
    <tableColumn id="4" xr3:uid="{DD1BA98E-F305-491C-9A19-BFD90634682B}" name="Cat type" dataDxfId="1"/>
    <tableColumn id="5" xr3:uid="{F3A0B322-71DC-47ED-922C-01705AECA786}" name="Cat" dataDxfId="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031C03-3B2E-467C-8270-5D8C23C503FE}" name="Table7" displayName="Table7" ref="M1:S13" totalsRowShown="0">
  <autoFilter ref="M1:S13" xr:uid="{79031C03-3B2E-467C-8270-5D8C23C503FE}"/>
  <tableColumns count="7">
    <tableColumn id="1" xr3:uid="{0032898F-95F3-49FF-BA32-D48DB3E4DB93}" name="Categorie"/>
    <tableColumn id="2" xr3:uid="{CE298A7B-B59E-48A3-A3AA-CEA063DBD5C6}" name="Max leeftijd"/>
    <tableColumn id="3" xr3:uid="{55AB8026-51A4-47DE-9677-9DEF55CE01B5}" name="Gemiddeld 1"/>
    <tableColumn id="4" xr3:uid="{4012D5D3-EB95-4667-9DFB-9EF7A83DE7A9}" name="Gemiddeld 2"/>
    <tableColumn id="5" xr3:uid="{AECF711B-5C4C-4A23-9E0A-106A097A3945}" name="Min M"/>
    <tableColumn id="6" xr3:uid="{F218CEBB-6F33-42AF-9637-409D65771CA1}" name="Min V"/>
    <tableColumn id="7" xr3:uid="{7706DFD5-1CC5-4028-A920-329197AE8B5E}" name="Team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8783A0-DEE0-46CE-8B05-294835C507F2}" name="Table79" displayName="Table79" ref="A1:I17" totalsRowShown="0">
  <autoFilter ref="A1:I17" xr:uid="{E98783A0-DEE0-46CE-8B05-294835C507F2}"/>
  <tableColumns count="9">
    <tableColumn id="1" xr3:uid="{CA165A1F-5360-4144-9176-DE2F53DCBC90}" name="Type"/>
    <tableColumn id="9" xr3:uid="{AF2EE20B-0081-4FF3-8D22-EDABA1B80853}" name="Adult/ Youth"/>
    <tableColumn id="2" xr3:uid="{0F31A254-EA36-444B-B8E7-07537E443DDA}" name="Max player leeftijd"/>
    <tableColumn id="3" xr3:uid="{1F7A1FEF-9432-4D65-A549-0AC09B8210EC}" name="Max avg team age"/>
    <tableColumn id="4" xr3:uid="{76E6BF75-4BEE-4057-8F96-ED1FDD72E44B}" name="Min avg team age"/>
    <tableColumn id="8" xr3:uid="{DABE2BDD-B2D9-460F-AF6E-D37BCAFC9539}" name="Age diff"/>
    <tableColumn id="5" xr3:uid="{75FCBB84-6AE9-47D8-B892-1F0E954A3A5F}" name="Min M"/>
    <tableColumn id="6" xr3:uid="{B0D85687-35AA-406A-9647-1510DDEF256B}" name="Min V"/>
    <tableColumn id="7" xr3:uid="{848BF71A-4C05-43A0-8E25-6B132C44F9D1}" name="Team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08073-5F9E-4B29-B2F6-04C6098E941D}">
  <sheetPr>
    <tabColor theme="9"/>
  </sheetPr>
  <dimension ref="A1:CJ133"/>
  <sheetViews>
    <sheetView topLeftCell="A72" zoomScale="107" zoomScaleNormal="100" workbookViewId="0">
      <selection activeCell="M117" sqref="M117"/>
    </sheetView>
  </sheetViews>
  <sheetFormatPr defaultColWidth="8.7109375" defaultRowHeight="15"/>
  <cols>
    <col min="1" max="1" width="4.7109375" customWidth="1"/>
    <col min="2" max="2" width="24.7109375" customWidth="1"/>
    <col min="3" max="4" width="2.7109375" hidden="1" customWidth="1"/>
    <col min="5" max="5" width="7.42578125" bestFit="1" customWidth="1"/>
    <col min="6" max="6" width="6.42578125" style="67" bestFit="1" customWidth="1"/>
    <col min="7" max="7" width="24.7109375" customWidth="1"/>
    <col min="8" max="9" width="2.7109375" hidden="1" customWidth="1"/>
    <col min="10" max="10" width="6.7109375" bestFit="1" customWidth="1"/>
    <col min="11" max="11" width="8.28515625" style="67" bestFit="1" customWidth="1"/>
    <col min="12" max="12" width="3.42578125" customWidth="1"/>
    <col min="13" max="13" width="24.7109375" customWidth="1"/>
    <col min="14" max="15" width="2.7109375" hidden="1" customWidth="1"/>
    <col min="16" max="16" width="12.140625" customWidth="1"/>
    <col min="17" max="17" width="6.42578125" style="67" bestFit="1" customWidth="1"/>
    <col min="18" max="18" width="24.7109375" customWidth="1"/>
    <col min="19" max="20" width="2.7109375" hidden="1" customWidth="1"/>
    <col min="21" max="21" width="7.42578125" bestFit="1" customWidth="1"/>
    <col min="22" max="22" width="8.28515625" style="67" bestFit="1" customWidth="1"/>
    <col min="23" max="23" width="3.42578125" customWidth="1"/>
    <col min="24" max="24" width="24.7109375" customWidth="1"/>
    <col min="25" max="26" width="2.7109375" hidden="1" customWidth="1"/>
    <col min="27" max="27" width="8.7109375" bestFit="1" customWidth="1"/>
    <col min="28" max="28" width="6.42578125" style="67" bestFit="1" customWidth="1"/>
    <col min="29" max="29" width="24.7109375" customWidth="1"/>
    <col min="30" max="31" width="2.7109375" hidden="1" customWidth="1"/>
    <col min="32" max="32" width="8.7109375" bestFit="1" customWidth="1"/>
    <col min="33" max="33" width="8.28515625" style="67" bestFit="1" customWidth="1"/>
    <col min="34" max="34" width="3.42578125" customWidth="1"/>
    <col min="35" max="35" width="24.7109375" customWidth="1"/>
    <col min="36" max="37" width="2.7109375" hidden="1" customWidth="1"/>
    <col min="38" max="38" width="8.7109375" bestFit="1" customWidth="1"/>
    <col min="39" max="39" width="6.42578125" style="67" bestFit="1" customWidth="1"/>
    <col min="40" max="40" width="24.7109375" customWidth="1"/>
    <col min="41" max="42" width="2.7109375" hidden="1" customWidth="1"/>
    <col min="43" max="43" width="8.7109375" bestFit="1" customWidth="1"/>
    <col min="44" max="44" width="8.28515625" style="67" bestFit="1" customWidth="1"/>
    <col min="45" max="45" width="3.7109375" customWidth="1"/>
    <col min="46" max="46" width="24.7109375" customWidth="1"/>
    <col min="47" max="48" width="2.7109375" hidden="1" customWidth="1"/>
    <col min="49" max="49" width="8.85546875" bestFit="1" customWidth="1"/>
    <col min="50" max="50" width="6.42578125" style="67" bestFit="1" customWidth="1"/>
    <col min="51" max="51" width="24.7109375" customWidth="1"/>
    <col min="52" max="53" width="2.7109375" hidden="1" customWidth="1"/>
    <col min="54" max="54" width="8.7109375" bestFit="1" customWidth="1"/>
    <col min="55" max="55" width="8.28515625" style="67" bestFit="1" customWidth="1"/>
    <col min="56" max="56" width="3.7109375" customWidth="1"/>
    <col min="57" max="57" width="24.7109375" customWidth="1"/>
    <col min="58" max="59" width="2.7109375" hidden="1" customWidth="1"/>
    <col min="60" max="60" width="8.7109375" bestFit="1" customWidth="1"/>
    <col min="61" max="61" width="6.42578125" style="67" bestFit="1" customWidth="1"/>
    <col min="62" max="62" width="24.7109375" customWidth="1"/>
    <col min="63" max="64" width="2.7109375" hidden="1" customWidth="1"/>
    <col min="65" max="65" width="8.7109375" bestFit="1" customWidth="1"/>
    <col min="66" max="66" width="8.28515625" style="67" bestFit="1" customWidth="1"/>
    <col min="67" max="67" width="4.28515625" customWidth="1"/>
    <col min="68" max="68" width="24.7109375" customWidth="1"/>
    <col min="69" max="70" width="2.7109375" hidden="1" customWidth="1"/>
    <col min="71" max="71" width="8.7109375" bestFit="1" customWidth="1"/>
    <col min="72" max="72" width="6.140625" style="67" bestFit="1" customWidth="1"/>
    <col min="73" max="73" width="24.7109375" customWidth="1"/>
    <col min="74" max="75" width="2.7109375" hidden="1" customWidth="1"/>
    <col min="76" max="76" width="8.7109375" bestFit="1" customWidth="1"/>
    <col min="77" max="77" width="8.140625" style="67" bestFit="1" customWidth="1"/>
    <col min="79" max="79" width="24.7109375" customWidth="1"/>
    <col min="80" max="81" width="2.7109375" hidden="1" customWidth="1"/>
    <col min="83" max="83" width="4.7109375" customWidth="1"/>
    <col min="84" max="84" width="24.7109375" customWidth="1"/>
    <col min="85" max="86" width="2.7109375" hidden="1" customWidth="1"/>
    <col min="88" max="88" width="4.7109375" customWidth="1"/>
  </cols>
  <sheetData>
    <row r="1" spans="1:44" ht="13.5" customHeight="1" thickBot="1"/>
    <row r="2" spans="1:44" ht="15.75" customHeight="1" thickBot="1">
      <c r="A2" s="152" t="s">
        <v>0</v>
      </c>
      <c r="B2" s="21" t="s">
        <v>1</v>
      </c>
      <c r="C2" s="21"/>
      <c r="D2" s="21"/>
      <c r="E2" s="21"/>
      <c r="F2" s="68"/>
      <c r="G2" s="21"/>
      <c r="H2" s="21"/>
      <c r="I2" s="21"/>
      <c r="J2" s="21"/>
      <c r="K2" s="75">
        <f>AVERAGE(F4:F24,K4:K24)</f>
        <v>23.782727272727275</v>
      </c>
      <c r="M2" s="21" t="s">
        <v>2</v>
      </c>
      <c r="N2" s="21"/>
      <c r="O2" s="21"/>
      <c r="P2" s="21"/>
      <c r="Q2" s="68"/>
      <c r="R2" s="21"/>
      <c r="S2" s="21"/>
      <c r="T2" s="21"/>
      <c r="U2" s="21"/>
      <c r="V2" s="75">
        <f>AVERAGE(Q4:Q24,V4:V24)</f>
        <v>17.663888888888891</v>
      </c>
      <c r="X2" s="21" t="s">
        <v>3</v>
      </c>
      <c r="Y2" s="21"/>
      <c r="Z2" s="21"/>
      <c r="AA2" s="21"/>
      <c r="AB2" s="68"/>
      <c r="AC2" s="21"/>
      <c r="AD2" s="21"/>
      <c r="AE2" s="21"/>
      <c r="AF2" s="21"/>
      <c r="AG2" s="75">
        <f>AVERAGE(AB4:AB24,AG4:AG24)</f>
        <v>15.826666666666666</v>
      </c>
      <c r="AI2" s="21" t="s">
        <v>4</v>
      </c>
      <c r="AJ2" s="21"/>
      <c r="AK2" s="21"/>
      <c r="AL2" s="21"/>
      <c r="AM2" s="68"/>
      <c r="AN2" s="21"/>
      <c r="AO2" s="21"/>
      <c r="AP2" s="21"/>
      <c r="AQ2" s="21"/>
      <c r="AR2" s="75" t="e">
        <f>AVERAGE(AM4:AM24,AR4:AR24)</f>
        <v>#DIV/0!</v>
      </c>
    </row>
    <row r="3" spans="1:44" ht="15.75" thickBot="1">
      <c r="A3" s="152"/>
      <c r="B3" s="8" t="str">
        <f>CONCATENATE("Dames (",COUNTA(E4:E19),")")</f>
        <v>Dames (11)</v>
      </c>
      <c r="C3" s="9"/>
      <c r="D3" s="9"/>
      <c r="E3" s="9"/>
      <c r="F3" s="69"/>
      <c r="G3" s="8" t="str">
        <f>CONCATENATE("Heren (",COUNTA(J4:J19),")")</f>
        <v>Heren (11)</v>
      </c>
      <c r="H3" s="9"/>
      <c r="I3" s="9"/>
      <c r="J3" s="9"/>
      <c r="K3" s="69"/>
      <c r="M3" s="8" t="str">
        <f>CONCATENATE("Dames (",COUNTA(P4:P19),")")</f>
        <v>Dames (9)</v>
      </c>
      <c r="N3" s="9"/>
      <c r="O3" s="9"/>
      <c r="P3" s="9"/>
      <c r="Q3" s="69"/>
      <c r="R3" s="8" t="str">
        <f>CONCATENATE("Heren (",COUNTA(U4:U19),")")</f>
        <v>Heren (9)</v>
      </c>
      <c r="S3" s="9"/>
      <c r="T3" s="9"/>
      <c r="U3" s="9"/>
      <c r="V3" s="69"/>
      <c r="X3" s="8" t="str">
        <f>CONCATENATE("Dames (",COUNTA(AA4:AA19),")")</f>
        <v>Dames (10)</v>
      </c>
      <c r="Y3" s="9"/>
      <c r="Z3" s="9"/>
      <c r="AA3" s="9"/>
      <c r="AB3" s="69"/>
      <c r="AC3" s="8" t="str">
        <f>CONCATENATE("Heren (",COUNTA(AF4:AF19),")")</f>
        <v>Heren (8)</v>
      </c>
      <c r="AD3" s="9"/>
      <c r="AE3" s="9"/>
      <c r="AF3" s="9"/>
      <c r="AG3" s="69"/>
      <c r="AI3" s="8" t="str">
        <f>CONCATENATE("Dames (",COUNTA(AL4:AL19),")")</f>
        <v>Dames (1)</v>
      </c>
      <c r="AJ3" s="9"/>
      <c r="AK3" s="9"/>
      <c r="AL3" s="9"/>
      <c r="AM3" s="69"/>
      <c r="AN3" s="8" t="str">
        <f>CONCATENATE("Heren (",COUNTA(AQ4:AQ19),")")</f>
        <v>Heren (1)</v>
      </c>
      <c r="AO3" s="9"/>
      <c r="AP3" s="9"/>
      <c r="AQ3" s="9"/>
      <c r="AR3" s="69"/>
    </row>
    <row r="4" spans="1:44">
      <c r="A4" s="152"/>
      <c r="B4" t="str" cm="1">
        <f t="array" ref="B4:B14">_xlfn._xlws.FILTER(Spelerslijst!$B:$B,Spelerslijst!$F:$F=B$2,"")</f>
        <v>Klooster, C. (Carmen) van der</v>
      </c>
      <c r="C4" s="89" cm="1">
        <f t="array" ref="C4:C14">_xlfn._xlws.FILTER(Spelerslijst!$I:$I,Spelerslijst!$F:$F=B$2,"")</f>
        <v>0</v>
      </c>
      <c r="D4" s="89" cm="1">
        <f t="array" ref="D4:D14">_xlfn._xlws.FILTER(Spelerslijst!$J:$J,Spelerslijst!$F:$F=B$2,"")</f>
        <v>0</v>
      </c>
      <c r="E4" s="4" t="str" cm="1">
        <f t="array" ref="E4:E14">_xlfn._xlws.FILTER(Spelerslijst!$H:$H,Spelerslijst!$F:$F=B$2,"")</f>
        <v>A1</v>
      </c>
      <c r="F4" s="70" cm="1">
        <f t="array" ref="F4:F14">_xlfn._xlws.FILTER(Spelerslijst!$D:$D,Spelerslijst!$F:$F=B$2,"")</f>
        <v>17.14</v>
      </c>
      <c r="G4" s="3" t="str" cm="1">
        <f t="array" ref="G4:G14">_xlfn._xlws.FILTER(Spelerslijst!$M:$M,Spelerslijst!$Q:$Q=B$2,"")</f>
        <v>Strijen, L.A. van (Lars)</v>
      </c>
      <c r="H4" s="89" cm="1">
        <f t="array" ref="H4:H14">_xlfn._xlws.FILTER(Spelerslijst!$T:$T,Spelerslijst!$Q:$Q=B$2,"")</f>
        <v>0</v>
      </c>
      <c r="I4" s="89" cm="1">
        <f t="array" ref="I4:I14">_xlfn._xlws.FILTER(Spelerslijst!$U:$U,Spelerslijst!$Q:$Q=B$2,"")</f>
        <v>0</v>
      </c>
      <c r="J4" s="4" cm="1">
        <f t="array" ref="J4:J14">_xlfn._xlws.FILTER(Spelerslijst!$S:$S,Spelerslijst!$Q:$Q=B$2,"")</f>
        <v>3</v>
      </c>
      <c r="K4" s="70" cm="1">
        <f t="array" ref="K4:K14">_xlfn._xlws.FILTER(Spelerslijst!$O:$O,Spelerslijst!$Q:$Q=B$2,"")</f>
        <v>35</v>
      </c>
      <c r="M4" s="3" t="str" cm="1">
        <f t="array" ref="M4:M12">_xlfn._xlws.FILTER(Spelerslijst!$B:$B,Spelerslijst!$F:$F=M$2,"")</f>
        <v>Klooster, D. (Danique) van der</v>
      </c>
      <c r="N4" s="89" cm="1">
        <f t="array" ref="N4:N12">_xlfn._xlws.FILTER(Spelerslijst!$I:$I,Spelerslijst!$F:$F=M$2,"")</f>
        <v>0</v>
      </c>
      <c r="O4" s="89" cm="1">
        <f t="array" ref="O4:O12">_xlfn._xlws.FILTER(Spelerslijst!$J:$J,Spelerslijst!$F:$F=M$2,"")</f>
        <v>0</v>
      </c>
      <c r="P4" s="4" t="str" cm="1">
        <f t="array" ref="P4:P12">_xlfn._xlws.FILTER(Spelerslijst!$H:$H,Spelerslijst!$F:$F=M$2,"")</f>
        <v>B1</v>
      </c>
      <c r="Q4" s="70" cm="1">
        <f t="array" ref="Q4:Q12">_xlfn._xlws.FILTER(Spelerslijst!$D:$D,Spelerslijst!$F:$F=M$2,"")</f>
        <v>15.83</v>
      </c>
      <c r="R4" s="3" t="str" cm="1">
        <f t="array" ref="R4:R12">_xlfn._xlws.FILTER(Spelerslijst!$M:$M,Spelerslijst!$Q:$Q=M$2,"")</f>
        <v>Dongen, F.P.B. (Freek) van</v>
      </c>
      <c r="S4" s="89" cm="1">
        <f t="array" ref="S4:S12">_xlfn._xlws.FILTER(Spelerslijst!$T:$T,Spelerslijst!$Q:$Q=M$2,"")</f>
        <v>0</v>
      </c>
      <c r="T4" s="89" cm="1">
        <f t="array" ref="T4:T12">_xlfn._xlws.FILTER(Spelerslijst!$U:$U,Spelerslijst!$Q:$Q=M$2,"")</f>
        <v>0</v>
      </c>
      <c r="U4" s="4" t="str" cm="1">
        <f t="array" ref="U4:U12">_xlfn._xlws.FILTER(Spelerslijst!$S:$S,Spelerslijst!$Q:$Q=M$2,"")</f>
        <v>A2</v>
      </c>
      <c r="V4" s="70" cm="1">
        <f t="array" ref="V4:V12">_xlfn._xlws.FILTER(Spelerslijst!$O:$O,Spelerslijst!$Q:$Q=M$2,"")</f>
        <v>18.690000000000001</v>
      </c>
      <c r="X4" s="3" t="str" cm="1">
        <f t="array" ref="X4:X13">_xlfn._xlws.FILTER(Spelerslijst!$B:$B,Spelerslijst!$F:$F=X$2,"")</f>
        <v>Kleingeld, J.N. (Julia)</v>
      </c>
      <c r="Y4" s="89" cm="1">
        <f t="array" ref="Y4:Y13">_xlfn._xlws.FILTER(Spelerslijst!$I:$I,Spelerslijst!$F:$F=X$2,"")</f>
        <v>0</v>
      </c>
      <c r="Z4" s="89" cm="1">
        <f t="array" ref="Z4:Z13">_xlfn._xlws.FILTER(Spelerslijst!$J:$J,Spelerslijst!$F:$F=X$2,"")</f>
        <v>0</v>
      </c>
      <c r="AA4" s="4" t="str" cm="1">
        <f t="array" ref="AA4:AA13">_xlfn._xlws.FILTER(Spelerslijst!$H:$H,Spelerslijst!$F:$F=X$2,"")</f>
        <v>B1</v>
      </c>
      <c r="AB4" s="70" cm="1">
        <f t="array" ref="AB4:AB13">_xlfn._xlws.FILTER(Spelerslijst!$D:$D,Spelerslijst!$F:$F=X$2,"")</f>
        <v>15.27</v>
      </c>
      <c r="AC4" s="3" t="str" cm="1">
        <f t="array" ref="AC4:AC11">_xlfn._xlws.FILTER(Spelerslijst!$M:$M,Spelerslijst!$Q:$Q=X$2,"")</f>
        <v>Pichel, T. (Timo)</v>
      </c>
      <c r="AD4" s="89" cm="1">
        <f t="array" ref="AD4:AD11">_xlfn._xlws.FILTER(Spelerslijst!$T:$T,Spelerslijst!$Q:$Q=X$2,"")</f>
        <v>0</v>
      </c>
      <c r="AE4" s="89" cm="1">
        <f t="array" ref="AE4:AE11">_xlfn._xlws.FILTER(Spelerslijst!$U:$U,Spelerslijst!$Q:$Q=X$2,"")</f>
        <v>0</v>
      </c>
      <c r="AF4" s="4" t="str" cm="1">
        <f t="array" ref="AF4:AF11">_xlfn._xlws.FILTER(Spelerslijst!$S:$S,Spelerslijst!$Q:$Q=X$2,"")</f>
        <v>B2</v>
      </c>
      <c r="AG4" s="70" cm="1">
        <f t="array" ref="AG4:AG11">_xlfn._xlws.FILTER(Spelerslijst!$O:$O,Spelerslijst!$Q:$Q=X$2,"")</f>
        <v>16.5</v>
      </c>
      <c r="AI4" s="3" t="str" cm="1">
        <f t="array" ref="AI4">_xlfn._xlws.FILTER(Spelerslijst!$B:$B,Spelerslijst!$F:$F=AI$2,"")</f>
        <v/>
      </c>
      <c r="AJ4" s="89" t="str" cm="1">
        <f t="array" ref="AJ4">_xlfn._xlws.FILTER(Spelerslijst!$I:$I,Spelerslijst!$F:$F=AI$2,"")</f>
        <v/>
      </c>
      <c r="AK4" s="89" t="str" cm="1">
        <f t="array" ref="AK4">_xlfn._xlws.FILTER(Spelerslijst!$J:$J,Spelerslijst!$F:$F=AI$2,"")</f>
        <v/>
      </c>
      <c r="AL4" s="4" t="str" cm="1">
        <f t="array" ref="AL4">_xlfn._xlws.FILTER(Spelerslijst!$H:$H,Spelerslijst!$F:$F=AI$2,"")</f>
        <v/>
      </c>
      <c r="AM4" s="70" t="str" cm="1">
        <f t="array" ref="AM4">_xlfn._xlws.FILTER(Spelerslijst!$D:$D,Spelerslijst!$F:$F=AI$2,"")</f>
        <v/>
      </c>
      <c r="AN4" s="3" t="str" cm="1">
        <f t="array" ref="AN4">_xlfn._xlws.FILTER(Spelerslijst!$M:$M,Spelerslijst!$Q:$Q=AI$2,"")</f>
        <v/>
      </c>
      <c r="AO4" s="89" t="str" cm="1">
        <f t="array" ref="AO4">_xlfn._xlws.FILTER(Spelerslijst!$T:$T,Spelerslijst!$Q:$Q=AI$2,"")</f>
        <v/>
      </c>
      <c r="AP4" s="89" t="str" cm="1">
        <f t="array" ref="AP4">_xlfn._xlws.FILTER(Spelerslijst!$U:$U,Spelerslijst!$Q:$Q=AI$2,"")</f>
        <v/>
      </c>
      <c r="AQ4" s="4" t="str" cm="1">
        <f t="array" ref="AQ4">_xlfn._xlws.FILTER(Spelerslijst!$S:$S,Spelerslijst!$Q:$Q=AI$2,"")</f>
        <v/>
      </c>
      <c r="AR4" s="70" t="str" cm="1">
        <f t="array" ref="AR4">_xlfn._xlws.FILTER(Spelerslijst!$O:$O,Spelerslijst!$Q:$Q=AI$2,"")</f>
        <v/>
      </c>
    </row>
    <row r="5" spans="1:44">
      <c r="A5" s="152"/>
      <c r="B5" s="6" t="str">
        <v>Fasbender, L. (Lindi)</v>
      </c>
      <c r="C5" s="90">
        <v>0</v>
      </c>
      <c r="D5" s="90">
        <v>0</v>
      </c>
      <c r="E5" s="2" t="str">
        <v>2</v>
      </c>
      <c r="F5" s="71">
        <v>20.170000000000002</v>
      </c>
      <c r="G5" s="6" t="str">
        <v>Klink, M (Marijn)</v>
      </c>
      <c r="H5" s="90">
        <v>0</v>
      </c>
      <c r="I5" s="90">
        <v>0</v>
      </c>
      <c r="J5" s="2" t="str">
        <v>1</v>
      </c>
      <c r="K5" s="71">
        <v>28.67</v>
      </c>
      <c r="M5" s="6" t="str">
        <v>Reuvers, L. (Lisa)</v>
      </c>
      <c r="N5" s="90">
        <v>0</v>
      </c>
      <c r="O5" s="90">
        <v>0</v>
      </c>
      <c r="P5" s="2" t="str">
        <v>A1</v>
      </c>
      <c r="Q5" s="71">
        <v>16.510000000000002</v>
      </c>
      <c r="R5" s="6" t="str">
        <v>Bäcker, C.J. (Tijn)</v>
      </c>
      <c r="S5" s="90">
        <v>0</v>
      </c>
      <c r="T5" s="90">
        <v>0</v>
      </c>
      <c r="U5" s="2" t="str">
        <v>A2</v>
      </c>
      <c r="V5" s="71">
        <v>18.57</v>
      </c>
      <c r="X5" s="6" t="str">
        <v>Stomp, N. (Noa)</v>
      </c>
      <c r="Y5" s="90">
        <v>0</v>
      </c>
      <c r="Z5" s="90">
        <v>0</v>
      </c>
      <c r="AA5" s="2" t="str">
        <v>B1</v>
      </c>
      <c r="AB5" s="71">
        <v>15.29</v>
      </c>
      <c r="AC5" s="6" t="str">
        <v>Vliet, K.M. (Kian)</v>
      </c>
      <c r="AD5" s="90">
        <v>0</v>
      </c>
      <c r="AE5" s="90">
        <v>0</v>
      </c>
      <c r="AF5" s="2" t="str">
        <v>B1</v>
      </c>
      <c r="AG5" s="71">
        <v>16.329999999999998</v>
      </c>
      <c r="AI5" s="6"/>
      <c r="AJ5" s="90"/>
      <c r="AK5" s="90"/>
      <c r="AL5" s="2"/>
      <c r="AM5" s="71"/>
      <c r="AN5" s="6"/>
      <c r="AO5" s="90"/>
      <c r="AP5" s="90"/>
      <c r="AQ5" s="2"/>
      <c r="AR5" s="71"/>
    </row>
    <row r="6" spans="1:44">
      <c r="A6" s="152"/>
      <c r="B6" s="6" t="str">
        <v>Boshoven, S.A.E. (Sara)</v>
      </c>
      <c r="C6" s="90">
        <v>0</v>
      </c>
      <c r="D6" s="90">
        <v>0</v>
      </c>
      <c r="E6" s="2" t="str">
        <v>2</v>
      </c>
      <c r="F6" s="71">
        <v>20.23</v>
      </c>
      <c r="G6" s="6" t="str">
        <v>Driesprong, B. (Bart)</v>
      </c>
      <c r="H6" s="90">
        <v>0</v>
      </c>
      <c r="I6" s="90">
        <v>0</v>
      </c>
      <c r="J6" s="2" t="str">
        <v>1</v>
      </c>
      <c r="K6" s="71">
        <v>27.23</v>
      </c>
      <c r="M6" s="6" t="str">
        <v>Burgt, E. (Elize) van de</v>
      </c>
      <c r="N6" s="90">
        <v>0</v>
      </c>
      <c r="O6" s="90">
        <v>0</v>
      </c>
      <c r="P6" s="2" t="str">
        <v>A2</v>
      </c>
      <c r="Q6" s="71">
        <v>17.02</v>
      </c>
      <c r="R6" s="6" t="str">
        <v>Vliet, T. (Tycho)</v>
      </c>
      <c r="S6" s="90">
        <v>0</v>
      </c>
      <c r="T6" s="90">
        <v>0</v>
      </c>
      <c r="U6" s="2" t="str">
        <v>-</v>
      </c>
      <c r="V6" s="71">
        <v>18.28</v>
      </c>
      <c r="X6" s="6" t="str">
        <v>Burgt, F. (Feline) van de</v>
      </c>
      <c r="Y6" s="90">
        <v>0</v>
      </c>
      <c r="Z6" s="90">
        <v>0</v>
      </c>
      <c r="AA6" s="2" t="str">
        <v>B2</v>
      </c>
      <c r="AB6" s="71">
        <v>15.31</v>
      </c>
      <c r="AC6" s="6" t="str">
        <v>Sempel, J.D. (Jasper)</v>
      </c>
      <c r="AD6" s="90">
        <v>0</v>
      </c>
      <c r="AE6" s="90">
        <v>0</v>
      </c>
      <c r="AF6" s="2" t="str">
        <v>B1</v>
      </c>
      <c r="AG6" s="71">
        <v>16.21</v>
      </c>
      <c r="AI6" s="6"/>
      <c r="AJ6" s="90"/>
      <c r="AK6" s="90"/>
      <c r="AL6" s="2"/>
      <c r="AM6" s="71"/>
      <c r="AN6" s="6"/>
      <c r="AO6" s="90"/>
      <c r="AP6" s="90"/>
      <c r="AQ6" s="2"/>
      <c r="AR6" s="71"/>
    </row>
    <row r="7" spans="1:44">
      <c r="A7" s="152"/>
      <c r="B7" s="6" t="str">
        <v>Groeneweg, R.K. (Roos)</v>
      </c>
      <c r="C7" s="90">
        <v>0</v>
      </c>
      <c r="D7" s="90">
        <v>0</v>
      </c>
      <c r="E7" s="2" t="str">
        <v>2</v>
      </c>
      <c r="F7" s="71">
        <v>20.78</v>
      </c>
      <c r="G7" s="6" t="str">
        <v>Klink, O.C. (Olivier)</v>
      </c>
      <c r="H7" s="90">
        <v>0</v>
      </c>
      <c r="I7" s="90">
        <v>0</v>
      </c>
      <c r="J7" s="2" t="str">
        <v>2</v>
      </c>
      <c r="K7" s="71">
        <v>27.05</v>
      </c>
      <c r="M7" s="6" t="str">
        <v>Voorbij, D.M. (Doeska)</v>
      </c>
      <c r="N7" s="90">
        <v>0</v>
      </c>
      <c r="O7" s="90">
        <v>0</v>
      </c>
      <c r="P7" s="2" t="str">
        <v>A2</v>
      </c>
      <c r="Q7" s="71">
        <v>17.170000000000002</v>
      </c>
      <c r="R7" s="6" t="str">
        <v>Zwanenburg, J. (Jack)</v>
      </c>
      <c r="S7" s="90">
        <v>0</v>
      </c>
      <c r="T7" s="90">
        <v>0</v>
      </c>
      <c r="U7" s="2" t="str">
        <v>A1</v>
      </c>
      <c r="V7" s="71">
        <v>18.25</v>
      </c>
      <c r="X7" s="6" t="str">
        <v>Boer, E.M. (Esmée) de</v>
      </c>
      <c r="Y7" s="90">
        <v>0</v>
      </c>
      <c r="Z7" s="90">
        <v>0</v>
      </c>
      <c r="AA7" s="2" t="str">
        <v>C1</v>
      </c>
      <c r="AB7" s="71">
        <v>15.59</v>
      </c>
      <c r="AC7" s="6" t="str">
        <v>Hovestadt, D. (Diederik)</v>
      </c>
      <c r="AD7" s="90">
        <v>0</v>
      </c>
      <c r="AE7" s="90">
        <v>0</v>
      </c>
      <c r="AF7" s="2" t="str">
        <v>B2</v>
      </c>
      <c r="AG7" s="71">
        <v>16.18</v>
      </c>
      <c r="AI7" s="6"/>
      <c r="AJ7" s="90"/>
      <c r="AK7" s="90"/>
      <c r="AL7" s="2"/>
      <c r="AM7" s="71"/>
      <c r="AN7" s="6"/>
      <c r="AO7" s="90"/>
      <c r="AP7" s="90"/>
      <c r="AQ7" s="2"/>
      <c r="AR7" s="71"/>
    </row>
    <row r="8" spans="1:44">
      <c r="A8" s="152"/>
      <c r="B8" s="6" t="str">
        <v>Driesprong, M. (Meike)</v>
      </c>
      <c r="C8" s="90">
        <v>0</v>
      </c>
      <c r="D8" s="90">
        <v>0</v>
      </c>
      <c r="E8" s="2" t="str">
        <v>1</v>
      </c>
      <c r="F8" s="71">
        <v>21.93</v>
      </c>
      <c r="G8" s="6" t="str">
        <v>Gent, T. (Tim) van</v>
      </c>
      <c r="H8" s="90">
        <v>0</v>
      </c>
      <c r="I8" s="90">
        <v>0</v>
      </c>
      <c r="J8" s="2" t="str">
        <v>1</v>
      </c>
      <c r="K8" s="71">
        <v>25.89</v>
      </c>
      <c r="M8" s="6" t="str">
        <v>Linden, B.S. (Benthe) van der</v>
      </c>
      <c r="N8" s="90">
        <v>0</v>
      </c>
      <c r="O8" s="90">
        <v>0</v>
      </c>
      <c r="P8" s="2" t="str">
        <v>A2</v>
      </c>
      <c r="Q8" s="71">
        <v>17.5</v>
      </c>
      <c r="R8" s="6" t="str">
        <v>Valk, J.B. (Jarno)</v>
      </c>
      <c r="S8" s="90">
        <v>0</v>
      </c>
      <c r="T8" s="90">
        <v>0</v>
      </c>
      <c r="U8" s="2" t="str">
        <v>A1</v>
      </c>
      <c r="V8" s="71">
        <v>18.22</v>
      </c>
      <c r="X8" s="6" t="str">
        <v>Engelfriet, D. (Demi)</v>
      </c>
      <c r="Y8" s="90">
        <v>0</v>
      </c>
      <c r="Z8" s="90">
        <v>0</v>
      </c>
      <c r="AA8" s="2" t="str">
        <v>B1</v>
      </c>
      <c r="AB8" s="71">
        <v>15.59</v>
      </c>
      <c r="AC8" s="6" t="str">
        <v>Bemer, J.L.E. (Jarno)</v>
      </c>
      <c r="AD8" s="90">
        <v>0</v>
      </c>
      <c r="AE8" s="90">
        <v>0</v>
      </c>
      <c r="AF8" s="2" t="str">
        <v>B2</v>
      </c>
      <c r="AG8" s="71">
        <v>16.03</v>
      </c>
      <c r="AI8" s="6"/>
      <c r="AJ8" s="90"/>
      <c r="AK8" s="90"/>
      <c r="AL8" s="2"/>
      <c r="AM8" s="71"/>
      <c r="AN8" s="6"/>
      <c r="AO8" s="90"/>
      <c r="AP8" s="90"/>
      <c r="AQ8" s="2"/>
      <c r="AR8" s="71"/>
    </row>
    <row r="9" spans="1:44">
      <c r="A9" s="152"/>
      <c r="B9" s="6" t="str">
        <v>Fernhout, L. (Loïs)</v>
      </c>
      <c r="C9" s="90">
        <v>0</v>
      </c>
      <c r="D9" s="90">
        <v>0</v>
      </c>
      <c r="E9" s="2" t="str">
        <v>2</v>
      </c>
      <c r="F9" s="71">
        <v>22.83</v>
      </c>
      <c r="G9" s="6" t="str">
        <v>Groeneweg, T. (Tim)</v>
      </c>
      <c r="H9" s="90">
        <v>0</v>
      </c>
      <c r="I9" s="90">
        <v>0</v>
      </c>
      <c r="J9" s="2" t="str">
        <v>-</v>
      </c>
      <c r="K9" s="71">
        <v>24.03</v>
      </c>
      <c r="M9" s="6" t="str">
        <v>Verboom, S. (Stella)</v>
      </c>
      <c r="N9" s="90">
        <v>0</v>
      </c>
      <c r="O9" s="90">
        <v>0</v>
      </c>
      <c r="P9" s="2" t="str">
        <v>A2</v>
      </c>
      <c r="Q9" s="71">
        <v>17.690000000000001</v>
      </c>
      <c r="R9" s="6" t="str">
        <v>Dekker, O.C. (Onno) den</v>
      </c>
      <c r="S9" s="90">
        <v>0</v>
      </c>
      <c r="T9" s="90">
        <v>0</v>
      </c>
      <c r="U9" s="2" t="str">
        <v>B1</v>
      </c>
      <c r="V9" s="71">
        <v>17.52</v>
      </c>
      <c r="X9" s="6" t="str">
        <v>Jongkind, F.W.J. (Floortje)</v>
      </c>
      <c r="Y9" s="90">
        <v>0</v>
      </c>
      <c r="Z9" s="90">
        <v>0</v>
      </c>
      <c r="AA9" s="2" t="str">
        <v>B2</v>
      </c>
      <c r="AB9" s="71">
        <v>15.82</v>
      </c>
      <c r="AC9" s="6" t="str">
        <v>Sas, N. (Niek)</v>
      </c>
      <c r="AD9" s="90">
        <v>0</v>
      </c>
      <c r="AE9" s="90">
        <v>0</v>
      </c>
      <c r="AF9" s="2" t="str">
        <v>B1</v>
      </c>
      <c r="AG9" s="71">
        <v>15.44</v>
      </c>
      <c r="AI9" s="6"/>
      <c r="AJ9" s="90"/>
      <c r="AK9" s="90"/>
      <c r="AL9" s="2"/>
      <c r="AM9" s="71"/>
      <c r="AN9" s="6"/>
      <c r="AO9" s="90"/>
      <c r="AP9" s="90"/>
      <c r="AQ9" s="2"/>
      <c r="AR9" s="71"/>
    </row>
    <row r="10" spans="1:44">
      <c r="A10" s="152"/>
      <c r="B10" s="6" t="str">
        <v>Teerds, E.L. (Eva)</v>
      </c>
      <c r="C10" s="90">
        <v>0</v>
      </c>
      <c r="D10" s="90">
        <v>0</v>
      </c>
      <c r="E10" s="2" t="str">
        <v>2</v>
      </c>
      <c r="F10" s="71">
        <v>23.19</v>
      </c>
      <c r="G10" s="6" t="str">
        <v>Uijl, D. (Daniel) den</v>
      </c>
      <c r="H10" s="90">
        <v>0</v>
      </c>
      <c r="I10" s="90">
        <v>0</v>
      </c>
      <c r="J10" s="2" t="str">
        <v>2</v>
      </c>
      <c r="K10" s="71">
        <v>22.42</v>
      </c>
      <c r="M10" s="6" t="str">
        <v>Kilsdonk, S.A (Sophie)</v>
      </c>
      <c r="N10" s="90">
        <v>0</v>
      </c>
      <c r="O10" s="90">
        <v>0</v>
      </c>
      <c r="P10" s="2" t="str">
        <v>A2</v>
      </c>
      <c r="Q10" s="71">
        <v>17.75</v>
      </c>
      <c r="R10" s="6" t="str">
        <v>Sas, M. (Maarten)</v>
      </c>
      <c r="S10" s="90">
        <v>0</v>
      </c>
      <c r="T10" s="90">
        <v>0</v>
      </c>
      <c r="U10" s="2" t="str">
        <v>A2</v>
      </c>
      <c r="V10" s="71">
        <v>17.350000000000001</v>
      </c>
      <c r="X10" s="6" t="str">
        <v>Volker, T.N. (Tess)</v>
      </c>
      <c r="Y10" s="90">
        <v>0</v>
      </c>
      <c r="Z10" s="90">
        <v>0</v>
      </c>
      <c r="AA10" s="2" t="str">
        <v>C1</v>
      </c>
      <c r="AB10" s="71">
        <v>15.87</v>
      </c>
      <c r="AC10" s="6" t="str">
        <v>Ven, J. (Jonas) van de</v>
      </c>
      <c r="AD10" s="90">
        <v>0</v>
      </c>
      <c r="AE10" s="90">
        <v>0</v>
      </c>
      <c r="AF10" s="2" t="str">
        <v>B2</v>
      </c>
      <c r="AG10" s="71">
        <v>15.36</v>
      </c>
      <c r="AI10" s="6"/>
      <c r="AJ10" s="90"/>
      <c r="AK10" s="90"/>
      <c r="AL10" s="2"/>
      <c r="AM10" s="71"/>
      <c r="AN10" s="6"/>
      <c r="AO10" s="90"/>
      <c r="AP10" s="90"/>
      <c r="AQ10" s="2"/>
      <c r="AR10" s="71"/>
    </row>
    <row r="11" spans="1:44">
      <c r="A11" s="152"/>
      <c r="B11" s="6" t="str">
        <v>Oppe, M. (Milou)</v>
      </c>
      <c r="C11" s="90">
        <v>0</v>
      </c>
      <c r="D11" s="90">
        <v>0</v>
      </c>
      <c r="E11" s="2" t="str">
        <v>1</v>
      </c>
      <c r="F11" s="71">
        <v>23.86</v>
      </c>
      <c r="G11" s="6" t="str">
        <v>Timmer, J. (Jordan)</v>
      </c>
      <c r="H11" s="90">
        <v>0</v>
      </c>
      <c r="I11" s="90">
        <v>0</v>
      </c>
      <c r="J11" s="2" t="str">
        <v>2</v>
      </c>
      <c r="K11" s="71">
        <v>21.93</v>
      </c>
      <c r="M11" s="6" t="str">
        <v>Manduapessy, M. (Merel)</v>
      </c>
      <c r="N11" s="90">
        <v>0</v>
      </c>
      <c r="O11" s="90">
        <v>0</v>
      </c>
      <c r="P11" s="2" t="str">
        <v>A1</v>
      </c>
      <c r="Q11" s="71">
        <v>18.34</v>
      </c>
      <c r="R11" s="6" t="str">
        <v>Camphens, T. (Tijn)</v>
      </c>
      <c r="S11" s="90">
        <v>0</v>
      </c>
      <c r="T11" s="90">
        <v>0</v>
      </c>
      <c r="U11" s="2" t="str">
        <v>A2</v>
      </c>
      <c r="V11" s="71">
        <v>17.190000000000001</v>
      </c>
      <c r="X11" s="6" t="str">
        <v>Lindhout, D. (Demi)</v>
      </c>
      <c r="Y11" s="90">
        <v>0</v>
      </c>
      <c r="Z11" s="90">
        <v>0</v>
      </c>
      <c r="AA11" s="2" t="str">
        <v>B2</v>
      </c>
      <c r="AB11" s="71">
        <v>15.97</v>
      </c>
      <c r="AC11" s="6" t="str">
        <v>Vos, T. (Thomas)</v>
      </c>
      <c r="AD11" s="90">
        <v>0</v>
      </c>
      <c r="AE11" s="90">
        <v>0</v>
      </c>
      <c r="AF11" s="2" t="str">
        <v>B2</v>
      </c>
      <c r="AG11" s="71">
        <v>15.27</v>
      </c>
      <c r="AI11" s="6"/>
      <c r="AJ11" s="90"/>
      <c r="AK11" s="90"/>
      <c r="AL11" s="2"/>
      <c r="AM11" s="71"/>
      <c r="AN11" s="6"/>
      <c r="AO11" s="90"/>
      <c r="AP11" s="90"/>
      <c r="AQ11" s="2"/>
      <c r="AR11" s="71"/>
    </row>
    <row r="12" spans="1:44">
      <c r="A12" s="152"/>
      <c r="B12" s="6" t="str">
        <v>Dijk, D. (Demi) van</v>
      </c>
      <c r="C12" s="90">
        <v>0</v>
      </c>
      <c r="D12" s="90">
        <v>0</v>
      </c>
      <c r="E12" s="2" t="str">
        <v>2</v>
      </c>
      <c r="F12" s="71">
        <v>24.87</v>
      </c>
      <c r="G12" s="6" t="str">
        <v>Koster, S. (Senne)</v>
      </c>
      <c r="H12" s="90">
        <v>0</v>
      </c>
      <c r="I12" s="90">
        <v>0</v>
      </c>
      <c r="J12" s="2" t="str">
        <v>2</v>
      </c>
      <c r="K12" s="71">
        <v>20.16</v>
      </c>
      <c r="M12" s="6" t="str">
        <v>Haas, A. (Amber) de</v>
      </c>
      <c r="N12" s="90">
        <v>0</v>
      </c>
      <c r="O12" s="90">
        <v>0</v>
      </c>
      <c r="P12" s="2" t="str">
        <v>A1</v>
      </c>
      <c r="Q12" s="71">
        <v>18.91</v>
      </c>
      <c r="R12" s="6" t="str">
        <v>Heersping, D.B.A.C. (Dani)</v>
      </c>
      <c r="S12" s="90">
        <v>0</v>
      </c>
      <c r="T12" s="90">
        <v>0</v>
      </c>
      <c r="U12" s="2" t="str">
        <v>A2</v>
      </c>
      <c r="V12" s="71">
        <v>17.16</v>
      </c>
      <c r="X12" s="6" t="str">
        <v>Bemer, G.M.E. (Githa)</v>
      </c>
      <c r="Y12" s="90">
        <v>0</v>
      </c>
      <c r="Z12" s="90">
        <v>0</v>
      </c>
      <c r="AA12" s="2" t="str">
        <v>B2</v>
      </c>
      <c r="AB12" s="71">
        <v>16.03</v>
      </c>
      <c r="AC12" s="6"/>
      <c r="AD12" s="90"/>
      <c r="AE12" s="90"/>
      <c r="AF12" s="2"/>
      <c r="AG12" s="71"/>
      <c r="AI12" s="6"/>
      <c r="AJ12" s="90"/>
      <c r="AK12" s="90"/>
      <c r="AL12" s="2"/>
      <c r="AM12" s="71"/>
      <c r="AN12" s="6"/>
      <c r="AO12" s="90"/>
      <c r="AP12" s="90"/>
      <c r="AQ12" s="2"/>
      <c r="AR12" s="71"/>
    </row>
    <row r="13" spans="1:44">
      <c r="A13" s="152"/>
      <c r="B13" s="6" t="str">
        <v>Dommisse, R. (Robin)</v>
      </c>
      <c r="C13" s="90">
        <v>0</v>
      </c>
      <c r="D13" s="90">
        <v>0</v>
      </c>
      <c r="E13" s="2" t="str">
        <v>-</v>
      </c>
      <c r="F13" s="71">
        <v>27.13</v>
      </c>
      <c r="G13" s="6" t="str">
        <v>Burgt, S. (Seth) van de</v>
      </c>
      <c r="H13" s="90">
        <v>0</v>
      </c>
      <c r="I13" s="90">
        <v>0</v>
      </c>
      <c r="J13" s="2" t="str">
        <v>A2</v>
      </c>
      <c r="K13" s="71">
        <v>19.18</v>
      </c>
      <c r="M13" s="6"/>
      <c r="N13" s="90"/>
      <c r="O13" s="90"/>
      <c r="P13" s="2"/>
      <c r="Q13" s="71"/>
      <c r="R13" s="6"/>
      <c r="S13" s="90"/>
      <c r="T13" s="90"/>
      <c r="U13" s="2"/>
      <c r="V13" s="71"/>
      <c r="X13" s="6" t="str">
        <v>Lohuis, F.A.C. (Floor)</v>
      </c>
      <c r="Y13" s="90">
        <v>0</v>
      </c>
      <c r="Z13" s="90">
        <v>0</v>
      </c>
      <c r="AA13" s="2" t="str">
        <v>B2</v>
      </c>
      <c r="AB13" s="71">
        <v>16.82</v>
      </c>
      <c r="AC13" s="6"/>
      <c r="AD13" s="90"/>
      <c r="AE13" s="90"/>
      <c r="AF13" s="2"/>
      <c r="AG13" s="71"/>
      <c r="AI13" s="6"/>
      <c r="AJ13" s="90"/>
      <c r="AK13" s="90"/>
      <c r="AL13" s="2"/>
      <c r="AM13" s="71"/>
      <c r="AN13" s="6"/>
      <c r="AO13" s="90"/>
      <c r="AP13" s="90"/>
      <c r="AQ13" s="2"/>
      <c r="AR13" s="71"/>
    </row>
    <row r="14" spans="1:44">
      <c r="A14" s="152"/>
      <c r="B14" s="6" t="str">
        <v>Klink, X (Xanne)</v>
      </c>
      <c r="C14" s="90">
        <v>0</v>
      </c>
      <c r="D14" s="90">
        <v>0</v>
      </c>
      <c r="E14" s="2" t="str">
        <v>1</v>
      </c>
      <c r="F14" s="71">
        <v>30.49</v>
      </c>
      <c r="G14" s="6" t="str">
        <v>Vaartmans, J.A. (Jordi)</v>
      </c>
      <c r="H14" s="90">
        <v>0</v>
      </c>
      <c r="I14" s="90">
        <v>0</v>
      </c>
      <c r="J14" s="2" t="str">
        <v>A1</v>
      </c>
      <c r="K14" s="71">
        <v>19.04</v>
      </c>
      <c r="M14" s="6"/>
      <c r="N14" s="90"/>
      <c r="O14" s="90"/>
      <c r="P14" s="2"/>
      <c r="Q14" s="71"/>
      <c r="R14" s="6"/>
      <c r="S14" s="90"/>
      <c r="T14" s="90"/>
      <c r="U14" s="2"/>
      <c r="V14" s="71"/>
      <c r="X14" s="6"/>
      <c r="Y14" s="90"/>
      <c r="Z14" s="90"/>
      <c r="AA14" s="2"/>
      <c r="AB14" s="71"/>
      <c r="AC14" s="6"/>
      <c r="AD14" s="90"/>
      <c r="AE14" s="90"/>
      <c r="AF14" s="2"/>
      <c r="AG14" s="71"/>
      <c r="AI14" s="6"/>
      <c r="AJ14" s="90"/>
      <c r="AK14" s="90"/>
      <c r="AL14" s="2"/>
      <c r="AM14" s="71"/>
      <c r="AN14" s="6"/>
      <c r="AO14" s="90"/>
      <c r="AP14" s="90"/>
      <c r="AQ14" s="2"/>
      <c r="AR14" s="71"/>
    </row>
    <row r="15" spans="1:44">
      <c r="A15" s="152"/>
      <c r="B15" s="6"/>
      <c r="C15" s="90"/>
      <c r="D15" s="90"/>
      <c r="E15" s="2"/>
      <c r="F15" s="71"/>
      <c r="G15" s="6"/>
      <c r="H15" s="90"/>
      <c r="I15" s="90"/>
      <c r="J15" s="2"/>
      <c r="K15" s="71"/>
      <c r="M15" s="6"/>
      <c r="N15" s="90"/>
      <c r="O15" s="90"/>
      <c r="P15" s="2"/>
      <c r="Q15" s="71"/>
      <c r="R15" s="6"/>
      <c r="S15" s="90"/>
      <c r="T15" s="90"/>
      <c r="U15" s="2"/>
      <c r="V15" s="71"/>
      <c r="X15" s="6"/>
      <c r="Y15" s="90"/>
      <c r="Z15" s="90"/>
      <c r="AA15" s="2"/>
      <c r="AB15" s="71"/>
      <c r="AC15" s="6"/>
      <c r="AD15" s="90"/>
      <c r="AE15" s="90"/>
      <c r="AF15" s="2"/>
      <c r="AG15" s="71"/>
      <c r="AI15" s="6"/>
      <c r="AJ15" s="90"/>
      <c r="AK15" s="90"/>
      <c r="AL15" s="2"/>
      <c r="AM15" s="71"/>
      <c r="AN15" s="6"/>
      <c r="AO15" s="90"/>
      <c r="AP15" s="90"/>
      <c r="AQ15" s="2"/>
      <c r="AR15" s="71"/>
    </row>
    <row r="16" spans="1:44">
      <c r="A16" s="152"/>
      <c r="B16" s="6"/>
      <c r="C16" s="90"/>
      <c r="D16" s="90"/>
      <c r="E16" s="2"/>
      <c r="F16" s="71"/>
      <c r="G16" s="6"/>
      <c r="H16" s="90"/>
      <c r="I16" s="90"/>
      <c r="J16" s="2"/>
      <c r="K16" s="71"/>
      <c r="M16" s="6"/>
      <c r="N16" s="90"/>
      <c r="O16" s="90"/>
      <c r="P16" s="2"/>
      <c r="Q16" s="71"/>
      <c r="R16" s="6"/>
      <c r="S16" s="90"/>
      <c r="T16" s="90"/>
      <c r="U16" s="2"/>
      <c r="V16" s="71"/>
      <c r="X16" s="6"/>
      <c r="Y16" s="90"/>
      <c r="Z16" s="90"/>
      <c r="AA16" s="2"/>
      <c r="AB16" s="71"/>
      <c r="AC16" s="6"/>
      <c r="AD16" s="90"/>
      <c r="AE16" s="90"/>
      <c r="AF16" s="2"/>
      <c r="AG16" s="71"/>
      <c r="AI16" s="6"/>
      <c r="AJ16" s="90"/>
      <c r="AK16" s="90"/>
      <c r="AL16" s="2"/>
      <c r="AM16" s="71"/>
      <c r="AN16" s="6"/>
      <c r="AO16" s="90"/>
      <c r="AP16" s="90"/>
      <c r="AQ16" s="2"/>
      <c r="AR16" s="71"/>
    </row>
    <row r="17" spans="1:88">
      <c r="A17" s="152"/>
      <c r="B17" s="6"/>
      <c r="C17" s="90"/>
      <c r="D17" s="90"/>
      <c r="E17" s="2"/>
      <c r="F17" s="71"/>
      <c r="G17" s="6"/>
      <c r="H17" s="90"/>
      <c r="I17" s="90"/>
      <c r="J17" s="2"/>
      <c r="K17" s="71"/>
      <c r="M17" s="6"/>
      <c r="N17" s="90"/>
      <c r="O17" s="90"/>
      <c r="P17" s="2"/>
      <c r="Q17" s="71"/>
      <c r="R17" s="6"/>
      <c r="S17" s="90"/>
      <c r="T17" s="90"/>
      <c r="U17" s="2"/>
      <c r="V17" s="71"/>
      <c r="X17" s="6"/>
      <c r="Y17" s="90"/>
      <c r="Z17" s="90"/>
      <c r="AA17" s="2"/>
      <c r="AB17" s="71"/>
      <c r="AC17" s="6"/>
      <c r="AD17" s="90"/>
      <c r="AE17" s="90"/>
      <c r="AF17" s="2"/>
      <c r="AG17" s="71"/>
      <c r="AI17" s="6"/>
      <c r="AJ17" s="90"/>
      <c r="AK17" s="90"/>
      <c r="AL17" s="2"/>
      <c r="AM17" s="71"/>
      <c r="AN17" s="6"/>
      <c r="AO17" s="90"/>
      <c r="AP17" s="90"/>
      <c r="AQ17" s="2"/>
      <c r="AR17" s="71"/>
    </row>
    <row r="18" spans="1:88">
      <c r="A18" s="152"/>
      <c r="B18" s="6"/>
      <c r="C18" s="90"/>
      <c r="D18" s="90"/>
      <c r="E18" s="2"/>
      <c r="F18" s="71"/>
      <c r="G18" s="6"/>
      <c r="H18" s="90"/>
      <c r="I18" s="90"/>
      <c r="J18" s="2"/>
      <c r="K18" s="71"/>
      <c r="M18" s="6"/>
      <c r="N18" s="90"/>
      <c r="O18" s="90"/>
      <c r="P18" s="2"/>
      <c r="Q18" s="71"/>
      <c r="R18" s="6"/>
      <c r="S18" s="90"/>
      <c r="T18" s="90"/>
      <c r="U18" s="2"/>
      <c r="V18" s="71"/>
      <c r="X18" s="6"/>
      <c r="Y18" s="90"/>
      <c r="Z18" s="90"/>
      <c r="AA18" s="2"/>
      <c r="AB18" s="71"/>
      <c r="AC18" s="6"/>
      <c r="AD18" s="90"/>
      <c r="AE18" s="90"/>
      <c r="AF18" s="2"/>
      <c r="AG18" s="71"/>
      <c r="AI18" s="6"/>
      <c r="AJ18" s="90"/>
      <c r="AK18" s="90"/>
      <c r="AL18" s="2"/>
      <c r="AM18" s="71"/>
      <c r="AN18" s="6"/>
      <c r="AO18" s="90"/>
      <c r="AP18" s="90"/>
      <c r="AQ18" s="2"/>
      <c r="AR18" s="71"/>
    </row>
    <row r="19" spans="1:88" ht="15.75" thickBot="1">
      <c r="A19" s="152"/>
      <c r="B19" s="6"/>
      <c r="C19" s="90"/>
      <c r="D19" s="90"/>
      <c r="E19" s="2"/>
      <c r="F19" s="71"/>
      <c r="G19" s="6"/>
      <c r="H19" s="90"/>
      <c r="I19" s="90"/>
      <c r="J19" s="2"/>
      <c r="K19" s="71"/>
      <c r="M19" s="6"/>
      <c r="N19" s="90"/>
      <c r="O19" s="90"/>
      <c r="P19" s="2"/>
      <c r="Q19" s="71"/>
      <c r="R19" s="6"/>
      <c r="S19" s="90"/>
      <c r="T19" s="90"/>
      <c r="U19" s="2"/>
      <c r="V19" s="71"/>
      <c r="X19" s="6"/>
      <c r="Y19" s="90"/>
      <c r="Z19" s="90"/>
      <c r="AA19" s="2"/>
      <c r="AB19" s="71"/>
      <c r="AC19" s="6"/>
      <c r="AD19" s="90"/>
      <c r="AE19" s="90"/>
      <c r="AF19" s="2"/>
      <c r="AG19" s="71"/>
      <c r="AI19" s="6"/>
      <c r="AJ19" s="90"/>
      <c r="AK19" s="90"/>
      <c r="AL19" s="2"/>
      <c r="AM19" s="71"/>
      <c r="AN19" s="6"/>
      <c r="AO19" s="90"/>
      <c r="AP19" s="90"/>
      <c r="AQ19" s="2"/>
      <c r="AR19" s="71"/>
    </row>
    <row r="20" spans="1:88">
      <c r="A20" s="152"/>
      <c r="B20" s="12" t="str" cm="1">
        <f t="array" ref="B20:B26">_xlfn._xlws.FILTER(Staf!$C:$C,Staf!$B:$B=Teamsamenstelling!B2,"")</f>
        <v>Trainer/Coach S1</v>
      </c>
      <c r="C20" s="13"/>
      <c r="D20" s="13"/>
      <c r="E20" s="13"/>
      <c r="F20" s="72"/>
      <c r="G20" s="13" t="str" cm="1">
        <f t="array" ref="G20:G26">_xlfn._xlws.FILTER(Staf!$A:$A,Staf!$B:$B=Teamsamenstelling!B2,"")</f>
        <v>Menno Kop</v>
      </c>
      <c r="H20" s="13"/>
      <c r="I20" s="13"/>
      <c r="J20" s="13"/>
      <c r="K20" s="76"/>
      <c r="M20" s="12" t="str" cm="1">
        <f t="array" ref="M20:M23">_xlfn._xlws.FILTER(Staf!$C:$C,Staf!$B:$B=Teamsamenstelling!M2,"")</f>
        <v>Trainer/Coach U19-1</v>
      </c>
      <c r="N20" s="13"/>
      <c r="O20" s="13"/>
      <c r="P20" s="13"/>
      <c r="Q20" s="72"/>
      <c r="R20" s="13" t="str" cm="1">
        <f t="array" ref="R20:R23">_xlfn._xlws.FILTER(Staf!$A:$A,Staf!$B:$B=Teamsamenstelling!M2,"")</f>
        <v>Arthyn Muller</v>
      </c>
      <c r="S20" s="13"/>
      <c r="T20" s="13"/>
      <c r="U20" s="13"/>
      <c r="V20" s="76"/>
      <c r="X20" s="12" t="str" cm="1">
        <f t="array" ref="X20:X25">_xlfn._xlws.FILTER(Staf!$C:$C,Staf!$B:$B=Teamsamenstelling!X2,"")</f>
        <v>Trainer/Coach U17-1</v>
      </c>
      <c r="Y20" s="13"/>
      <c r="Z20" s="13"/>
      <c r="AA20" s="13"/>
      <c r="AB20" s="72"/>
      <c r="AC20" s="13" t="str" cm="1">
        <f t="array" ref="AC20:AC25">_xlfn._xlws.FILTER(Staf!$A:$A,Staf!$B:$B=Teamsamenstelling!X2,"")</f>
        <v>Jasper Kleingeld</v>
      </c>
      <c r="AD20" s="13"/>
      <c r="AE20" s="13"/>
      <c r="AF20" s="13"/>
      <c r="AG20" s="76"/>
      <c r="AI20" s="12" t="e" cm="1">
        <f t="array" ref="AI20">_xlfn._xlws.FILTER(Staf!$C:$C,Staf!$B:$B=#REF!,"")</f>
        <v>#REF!</v>
      </c>
      <c r="AJ20" s="13"/>
      <c r="AK20" s="13"/>
      <c r="AL20" s="13" t="e" cm="1">
        <f t="array" ref="AL20">_xlfn._xlws.FILTER(Staf!$A:$A,Staf!$B:$B=#REF!,"")</f>
        <v>#REF!</v>
      </c>
      <c r="AM20" s="72"/>
      <c r="AN20" s="13"/>
      <c r="AO20" s="13"/>
      <c r="AP20" s="13"/>
      <c r="AQ20" s="13"/>
      <c r="AR20" s="76"/>
    </row>
    <row r="21" spans="1:88">
      <c r="A21" s="152"/>
      <c r="B21" s="15" t="str">
        <v>Trainer/Coach S1</v>
      </c>
      <c r="C21" s="16"/>
      <c r="D21" s="16"/>
      <c r="E21" s="16"/>
      <c r="F21" s="73"/>
      <c r="G21" s="16" t="str">
        <v>Niels Mastijn</v>
      </c>
      <c r="H21" s="16"/>
      <c r="I21" s="16"/>
      <c r="J21" s="16"/>
      <c r="K21" s="77"/>
      <c r="M21" s="15" t="str">
        <v>Trainer/Coach U19-1</v>
      </c>
      <c r="N21" s="16"/>
      <c r="O21" s="16"/>
      <c r="P21" s="16"/>
      <c r="Q21" s="73"/>
      <c r="R21" s="16" t="str">
        <v>Lianne Stomp - vd Burgt</v>
      </c>
      <c r="S21" s="16"/>
      <c r="T21" s="16"/>
      <c r="U21" s="16"/>
      <c r="V21" s="77"/>
      <c r="X21" s="15" t="str">
        <v>Trainer/Coach U17-1</v>
      </c>
      <c r="Y21" s="16"/>
      <c r="Z21" s="16"/>
      <c r="AA21" s="16"/>
      <c r="AB21" s="73"/>
      <c r="AC21" s="16" t="str">
        <v>Mees Oppe</v>
      </c>
      <c r="AD21" s="16"/>
      <c r="AE21" s="16"/>
      <c r="AF21" s="16"/>
      <c r="AG21" s="77"/>
      <c r="AI21" s="15"/>
      <c r="AJ21" s="16"/>
      <c r="AK21" s="16"/>
      <c r="AL21" s="16"/>
      <c r="AM21" s="73"/>
      <c r="AN21" s="16"/>
      <c r="AO21" s="16"/>
      <c r="AP21" s="16"/>
      <c r="AQ21" s="16"/>
      <c r="AR21" s="77"/>
    </row>
    <row r="22" spans="1:88">
      <c r="A22" s="152"/>
      <c r="B22" s="15" t="str">
        <v>Trainer/Coach S2</v>
      </c>
      <c r="C22" s="16"/>
      <c r="D22" s="16"/>
      <c r="E22" s="16"/>
      <c r="F22" s="73"/>
      <c r="G22" s="16" t="str">
        <v>Rene te Witt</v>
      </c>
      <c r="H22" s="16"/>
      <c r="I22" s="16"/>
      <c r="J22" s="16"/>
      <c r="K22" s="77"/>
      <c r="M22" s="15" t="str">
        <v>Trainer/Coach U19-2</v>
      </c>
      <c r="N22" s="16"/>
      <c r="O22" s="16"/>
      <c r="P22" s="16"/>
      <c r="Q22" s="73"/>
      <c r="R22" s="16" t="str">
        <v>Jens Lohuis</v>
      </c>
      <c r="S22" s="16"/>
      <c r="T22" s="16"/>
      <c r="U22" s="16"/>
      <c r="V22" s="77"/>
      <c r="X22" s="15" t="str">
        <v>Trainer/Coach U17-2</v>
      </c>
      <c r="Y22" s="16"/>
      <c r="Z22" s="16"/>
      <c r="AA22" s="16"/>
      <c r="AB22" s="73"/>
      <c r="AC22" s="16" t="str">
        <v>Alex de Boer</v>
      </c>
      <c r="AD22" s="16"/>
      <c r="AE22" s="16"/>
      <c r="AF22" s="16"/>
      <c r="AG22" s="77"/>
      <c r="AI22" s="15"/>
      <c r="AJ22" s="16"/>
      <c r="AK22" s="16"/>
      <c r="AL22" s="16"/>
      <c r="AM22" s="73"/>
      <c r="AN22" s="16"/>
      <c r="AO22" s="16"/>
      <c r="AP22" s="16"/>
      <c r="AQ22" s="16"/>
      <c r="AR22" s="77"/>
    </row>
    <row r="23" spans="1:88">
      <c r="A23" s="152"/>
      <c r="B23" s="15" t="str">
        <v>Teammanager S2</v>
      </c>
      <c r="C23" s="16"/>
      <c r="D23" s="16"/>
      <c r="E23" s="16"/>
      <c r="F23" s="73"/>
      <c r="G23" s="16" t="str">
        <v>Fred Lichteveld</v>
      </c>
      <c r="H23" s="16"/>
      <c r="I23" s="16"/>
      <c r="J23" s="16"/>
      <c r="K23" s="77"/>
      <c r="M23" s="15" t="str">
        <v>Trainer/Coach U19-2</v>
      </c>
      <c r="N23" s="16"/>
      <c r="O23" s="16"/>
      <c r="P23" s="16"/>
      <c r="Q23" s="73"/>
      <c r="R23" s="16" t="str">
        <v>Joël Wietses</v>
      </c>
      <c r="S23" s="16"/>
      <c r="T23" s="16"/>
      <c r="U23" s="16"/>
      <c r="V23" s="77"/>
      <c r="X23" s="15" t="str">
        <v>Trainer/Coach U17-2</v>
      </c>
      <c r="Y23" s="16"/>
      <c r="Z23" s="16"/>
      <c r="AA23" s="16"/>
      <c r="AB23" s="73"/>
      <c r="AC23" s="16" t="str">
        <v>Tom van de Ven</v>
      </c>
      <c r="AD23" s="16"/>
      <c r="AE23" s="16"/>
      <c r="AF23" s="16"/>
      <c r="AG23" s="77"/>
      <c r="AI23" s="15"/>
      <c r="AJ23" s="16"/>
      <c r="AK23" s="16"/>
      <c r="AL23" s="16"/>
      <c r="AM23" s="73"/>
      <c r="AN23" s="16"/>
      <c r="AO23" s="16"/>
      <c r="AP23" s="16"/>
      <c r="AQ23" s="16"/>
      <c r="AR23" s="77"/>
    </row>
    <row r="24" spans="1:88">
      <c r="A24" s="152"/>
      <c r="B24" s="15" t="str">
        <v>Fysio</v>
      </c>
      <c r="C24" s="16"/>
      <c r="D24" s="16"/>
      <c r="E24" s="16"/>
      <c r="F24" s="73"/>
      <c r="G24" s="16" t="str">
        <v>Ruben Kamerbeek</v>
      </c>
      <c r="H24" s="16"/>
      <c r="I24" s="16"/>
      <c r="J24" s="16"/>
      <c r="K24" s="77"/>
      <c r="M24" s="15"/>
      <c r="N24" s="16"/>
      <c r="O24" s="16"/>
      <c r="P24" s="16"/>
      <c r="Q24" s="73"/>
      <c r="R24" s="16"/>
      <c r="S24" s="16"/>
      <c r="T24" s="16"/>
      <c r="U24" s="16"/>
      <c r="V24" s="77"/>
      <c r="X24" s="15" t="str">
        <v>Teammanager U17</v>
      </c>
      <c r="Y24" s="16"/>
      <c r="Z24" s="16"/>
      <c r="AA24" s="16"/>
      <c r="AB24" s="73"/>
      <c r="AC24" s="16" t="str">
        <v>Alex van de Klooster</v>
      </c>
      <c r="AD24" s="16"/>
      <c r="AE24" s="16"/>
      <c r="AF24" s="16"/>
      <c r="AG24" s="77"/>
      <c r="AI24" s="15"/>
      <c r="AJ24" s="16"/>
      <c r="AK24" s="16"/>
      <c r="AL24" s="16"/>
      <c r="AM24" s="73"/>
      <c r="AN24" s="16"/>
      <c r="AO24" s="16"/>
      <c r="AP24" s="16"/>
      <c r="AQ24" s="16"/>
      <c r="AR24" s="77"/>
    </row>
    <row r="25" spans="1:88">
      <c r="A25" s="152"/>
      <c r="B25" s="15" t="str">
        <v>Verzorger</v>
      </c>
      <c r="C25" s="16"/>
      <c r="D25" s="16"/>
      <c r="E25" s="16"/>
      <c r="F25" s="73"/>
      <c r="G25" s="16" t="str">
        <v>Anouk de Jongh</v>
      </c>
      <c r="H25" s="16"/>
      <c r="I25" s="16"/>
      <c r="J25" s="16"/>
      <c r="K25" s="77"/>
      <c r="M25" s="15"/>
      <c r="N25" s="16"/>
      <c r="O25" s="16"/>
      <c r="P25" s="16"/>
      <c r="Q25" s="73"/>
      <c r="R25" s="16"/>
      <c r="S25" s="16"/>
      <c r="T25" s="16"/>
      <c r="U25" s="16"/>
      <c r="V25" s="77"/>
      <c r="X25" s="15" t="str">
        <v>Ondersteuning U17</v>
      </c>
      <c r="Y25" s="16"/>
      <c r="Z25" s="16"/>
      <c r="AA25" s="16"/>
      <c r="AB25" s="73"/>
      <c r="AC25" s="16" t="str">
        <v>Bas de Jong</v>
      </c>
      <c r="AD25" s="16"/>
      <c r="AE25" s="16"/>
      <c r="AF25" s="16"/>
      <c r="AG25" s="77"/>
      <c r="AI25" s="15"/>
      <c r="AJ25" s="16"/>
      <c r="AK25" s="16"/>
      <c r="AL25" s="16"/>
      <c r="AM25" s="73"/>
      <c r="AN25" s="16"/>
      <c r="AO25" s="16"/>
      <c r="AP25" s="16"/>
      <c r="AQ25" s="16"/>
      <c r="AR25" s="77"/>
    </row>
    <row r="26" spans="1:88">
      <c r="A26" s="152"/>
      <c r="B26" s="15" t="str">
        <v>Analist S1</v>
      </c>
      <c r="C26" s="16"/>
      <c r="D26" s="16"/>
      <c r="E26" s="16"/>
      <c r="F26" s="73"/>
      <c r="G26" s="16" t="str">
        <v>Joris van den Neucker</v>
      </c>
      <c r="H26" s="16"/>
      <c r="I26" s="16"/>
      <c r="J26" s="16"/>
      <c r="K26" s="77"/>
      <c r="M26" s="15"/>
      <c r="N26" s="16"/>
      <c r="O26" s="16"/>
      <c r="P26" s="16"/>
      <c r="Q26" s="73"/>
      <c r="R26" s="16"/>
      <c r="S26" s="16"/>
      <c r="T26" s="16"/>
      <c r="U26" s="16"/>
      <c r="V26" s="77"/>
      <c r="X26" s="15"/>
      <c r="Y26" s="16"/>
      <c r="Z26" s="16"/>
      <c r="AA26" s="16"/>
      <c r="AB26" s="73"/>
      <c r="AC26" s="16"/>
      <c r="AD26" s="16"/>
      <c r="AE26" s="16"/>
      <c r="AF26" s="16"/>
      <c r="AG26" s="77"/>
      <c r="AI26" s="15"/>
      <c r="AJ26" s="16"/>
      <c r="AK26" s="16"/>
      <c r="AL26" s="16"/>
      <c r="AM26" s="73"/>
      <c r="AN26" s="16"/>
      <c r="AO26" s="16"/>
      <c r="AP26" s="16"/>
      <c r="AQ26" s="16"/>
      <c r="AR26" s="77"/>
    </row>
    <row r="27" spans="1:88" ht="15.75" thickBot="1">
      <c r="A27" s="152"/>
      <c r="B27" s="18"/>
      <c r="C27" s="19"/>
      <c r="D27" s="19"/>
      <c r="E27" s="19"/>
      <c r="F27" s="74"/>
      <c r="G27" s="19"/>
      <c r="H27" s="19"/>
      <c r="I27" s="19"/>
      <c r="J27" s="19"/>
      <c r="K27" s="78"/>
      <c r="M27" s="18"/>
      <c r="N27" s="19"/>
      <c r="O27" s="19"/>
      <c r="P27" s="19"/>
      <c r="Q27" s="74"/>
      <c r="R27" s="19"/>
      <c r="S27" s="19"/>
      <c r="T27" s="19"/>
      <c r="U27" s="19"/>
      <c r="V27" s="78"/>
      <c r="X27" s="18"/>
      <c r="Y27" s="19"/>
      <c r="Z27" s="19"/>
      <c r="AA27" s="19"/>
      <c r="AB27" s="74"/>
      <c r="AC27" s="19"/>
      <c r="AD27" s="19"/>
      <c r="AE27" s="19"/>
      <c r="AF27" s="19"/>
      <c r="AG27" s="78"/>
      <c r="AI27" s="18"/>
      <c r="AJ27" s="19"/>
      <c r="AK27" s="19"/>
      <c r="AL27" s="19"/>
      <c r="AM27" s="74"/>
      <c r="AN27" s="19"/>
      <c r="AO27" s="19"/>
      <c r="AP27" s="19"/>
      <c r="AQ27" s="19"/>
      <c r="AR27" s="78"/>
    </row>
    <row r="28" spans="1:88" ht="15.75" thickBot="1"/>
    <row r="29" spans="1:88" ht="15.75" thickBot="1">
      <c r="A29" s="152" t="s">
        <v>5</v>
      </c>
      <c r="B29" s="21" t="s">
        <v>6</v>
      </c>
      <c r="C29" s="21"/>
      <c r="D29" s="21"/>
      <c r="E29" s="21"/>
      <c r="F29" s="68"/>
      <c r="G29" s="21"/>
      <c r="H29" s="21"/>
      <c r="I29" s="21"/>
      <c r="J29" s="21"/>
      <c r="K29" s="75" t="e">
        <f>AVERAGE(F31:F42,K31:K42)</f>
        <v>#DIV/0!</v>
      </c>
      <c r="M29" s="21" t="s">
        <v>7</v>
      </c>
      <c r="N29" s="21"/>
      <c r="O29" s="21"/>
      <c r="P29" s="21"/>
      <c r="Q29" s="68"/>
      <c r="R29" s="21"/>
      <c r="S29" s="21"/>
      <c r="T29" s="21"/>
      <c r="U29" s="21"/>
      <c r="V29" s="75" t="e">
        <f>AVERAGE(Q31:Q42,V31:V42)</f>
        <v>#DIV/0!</v>
      </c>
      <c r="X29" s="21" t="s">
        <v>8</v>
      </c>
      <c r="Y29" s="21"/>
      <c r="Z29" s="21"/>
      <c r="AA29" s="21"/>
      <c r="AB29" s="68"/>
      <c r="AC29" s="21"/>
      <c r="AD29" s="21"/>
      <c r="AE29" s="21"/>
      <c r="AF29" s="21"/>
      <c r="AG29" s="75">
        <f>AVERAGE(AB31:AB42,AG31:AG42)</f>
        <v>33.376153846153848</v>
      </c>
      <c r="AI29" s="21" t="s">
        <v>9</v>
      </c>
      <c r="AJ29" s="21"/>
      <c r="AK29" s="21"/>
      <c r="AL29" s="21"/>
      <c r="AM29" s="68"/>
      <c r="AN29" s="21"/>
      <c r="AO29" s="21"/>
      <c r="AP29" s="21"/>
      <c r="AQ29" s="21"/>
      <c r="AR29" s="75">
        <f>AVERAGE(AM31:AM42,AR31:AR42)</f>
        <v>28.753571428571426</v>
      </c>
      <c r="AT29" s="21" t="s">
        <v>10</v>
      </c>
      <c r="AU29" s="21"/>
      <c r="AV29" s="21"/>
      <c r="AW29" s="21"/>
      <c r="AX29" s="68"/>
      <c r="AY29" s="21"/>
      <c r="AZ29" s="21"/>
      <c r="BA29" s="21"/>
      <c r="BB29" s="21"/>
      <c r="BC29" s="75">
        <f>AVERAGE(AX31:AX42,BC31:BC42)</f>
        <v>24.497</v>
      </c>
      <c r="BE29" s="21" t="s">
        <v>11</v>
      </c>
      <c r="BF29" s="21"/>
      <c r="BG29" s="21"/>
      <c r="BH29" s="21"/>
      <c r="BI29" s="68"/>
      <c r="BJ29" s="21"/>
      <c r="BK29" s="21"/>
      <c r="BL29" s="21"/>
      <c r="BM29" s="21"/>
      <c r="BN29" s="75">
        <f>AVERAGE(BI31:BI42,BN31:BN42)</f>
        <v>22.101333333333333</v>
      </c>
      <c r="BP29" s="21" t="s">
        <v>12</v>
      </c>
      <c r="BQ29" s="21"/>
      <c r="BR29" s="21"/>
      <c r="BS29" s="21"/>
      <c r="BT29" s="68"/>
      <c r="BU29" s="21"/>
      <c r="BV29" s="21"/>
      <c r="BW29" s="21"/>
      <c r="BX29" s="21"/>
      <c r="BY29" s="75" t="e">
        <f>AVERAGE(BT31:BT42,BY31:BY42)</f>
        <v>#DIV/0!</v>
      </c>
      <c r="CA29" s="21" t="s">
        <v>13</v>
      </c>
      <c r="CB29" s="21"/>
      <c r="CC29" s="21"/>
      <c r="CD29" s="21"/>
      <c r="CE29" s="21"/>
      <c r="CF29" s="21"/>
      <c r="CG29" s="21"/>
      <c r="CH29" s="21"/>
      <c r="CI29" s="21"/>
      <c r="CJ29" s="22">
        <f>AVERAGE(CE31:CE42,CJ31:CJ42)</f>
        <v>40.26</v>
      </c>
    </row>
    <row r="30" spans="1:88" ht="15.75" thickBot="1">
      <c r="A30" s="152"/>
      <c r="B30" s="8" t="str">
        <f>CONCATENATE("Dames (",COUNTA(E31:E40),")")</f>
        <v>Dames (1)</v>
      </c>
      <c r="C30" s="9"/>
      <c r="D30" s="9"/>
      <c r="E30" s="9"/>
      <c r="F30" s="69"/>
      <c r="G30" s="8" t="str">
        <f>CONCATENATE("Heren (",COUNTA(J31:J40),")")</f>
        <v>Heren (1)</v>
      </c>
      <c r="H30" s="9"/>
      <c r="I30" s="9"/>
      <c r="J30" s="9"/>
      <c r="K30" s="69"/>
      <c r="M30" s="8" t="str">
        <f>CONCATENATE("Dames (",COUNTA(P31:P40),")")</f>
        <v>Dames (1)</v>
      </c>
      <c r="N30" s="9"/>
      <c r="O30" s="9"/>
      <c r="P30" s="9"/>
      <c r="Q30" s="69"/>
      <c r="R30" s="8" t="str">
        <f>CONCATENATE("Heren (",COUNTA(U31:U40),")")</f>
        <v>Heren (1)</v>
      </c>
      <c r="S30" s="9"/>
      <c r="T30" s="9"/>
      <c r="U30" s="9"/>
      <c r="V30" s="69"/>
      <c r="X30" s="8" t="str">
        <f>CONCATENATE("Dames (",COUNTA(AA31:AA40),")")</f>
        <v>Dames (7)</v>
      </c>
      <c r="Y30" s="9"/>
      <c r="Z30" s="9"/>
      <c r="AA30" s="9"/>
      <c r="AB30" s="69"/>
      <c r="AC30" s="8" t="str">
        <f>CONCATENATE("Heren (",COUNTA(AF31:AF40),")")</f>
        <v>Heren (6)</v>
      </c>
      <c r="AD30" s="9"/>
      <c r="AE30" s="9"/>
      <c r="AF30" s="9"/>
      <c r="AG30" s="69"/>
      <c r="AI30" s="8" t="str">
        <f>CONCATENATE("Dames (",COUNTA(AL31:AL40),")")</f>
        <v>Dames (9)</v>
      </c>
      <c r="AJ30" s="9"/>
      <c r="AK30" s="9"/>
      <c r="AL30" s="9"/>
      <c r="AM30" s="69"/>
      <c r="AN30" s="8" t="str">
        <f>CONCATENATE("Heren (",COUNTA(AQ31:AQ40),")")</f>
        <v>Heren (5)</v>
      </c>
      <c r="AO30" s="9"/>
      <c r="AP30" s="9"/>
      <c r="AQ30" s="9"/>
      <c r="AR30" s="69"/>
      <c r="AT30" s="8" t="str">
        <f>CONCATENATE("Dames (",COUNTA(AW31:AW40),")")</f>
        <v>Dames (6)</v>
      </c>
      <c r="AU30" s="9"/>
      <c r="AV30" s="9"/>
      <c r="AW30" s="9"/>
      <c r="AX30" s="69"/>
      <c r="AY30" s="8" t="str">
        <f>CONCATENATE("Heren (",COUNTA(BB31:BB40),")")</f>
        <v>Heren (4)</v>
      </c>
      <c r="AZ30" s="9"/>
      <c r="BA30" s="9"/>
      <c r="BB30" s="9"/>
      <c r="BC30" s="69"/>
      <c r="BE30" s="8" t="str">
        <f>CONCATENATE("Dames (",COUNTA(BH31:BH40),")")</f>
        <v>Dames (7)</v>
      </c>
      <c r="BF30" s="9"/>
      <c r="BG30" s="9"/>
      <c r="BH30" s="9"/>
      <c r="BI30" s="69"/>
      <c r="BJ30" s="8" t="str">
        <f>CONCATENATE("Heren (",COUNTA(BM31:BM40),")")</f>
        <v>Heren (8)</v>
      </c>
      <c r="BK30" s="9"/>
      <c r="BL30" s="9"/>
      <c r="BM30" s="9"/>
      <c r="BN30" s="69"/>
      <c r="BP30" s="8" t="str">
        <f>CONCATENATE("Dames (",COUNTA(BS31:BS40),")")</f>
        <v>Dames (1)</v>
      </c>
      <c r="BQ30" s="9"/>
      <c r="BR30" s="9"/>
      <c r="BS30" s="9"/>
      <c r="BT30" s="69"/>
      <c r="BU30" s="8" t="str">
        <f>CONCATENATE("Heren (",COUNTA(BX31:BX40),")")</f>
        <v>Heren (1)</v>
      </c>
      <c r="BV30" s="9"/>
      <c r="BW30" s="9"/>
      <c r="BX30" s="9"/>
      <c r="BY30" s="69"/>
      <c r="CA30" s="8" t="str">
        <f>CONCATENATE("Dames (",COUNTA(CD31:CD40),")")</f>
        <v>Dames (5)</v>
      </c>
      <c r="CB30" s="9"/>
      <c r="CC30" s="9"/>
      <c r="CD30" s="9"/>
      <c r="CE30" s="10"/>
      <c r="CF30" s="8" t="str">
        <f>CONCATENATE("Heren (",COUNTA(CI31:CI40),")")</f>
        <v>Heren (3)</v>
      </c>
      <c r="CG30" s="9"/>
      <c r="CH30" s="9"/>
      <c r="CI30" s="9"/>
      <c r="CJ30" s="10"/>
    </row>
    <row r="31" spans="1:88">
      <c r="A31" s="152"/>
      <c r="B31" s="3" t="str" cm="1">
        <f t="array" ref="B31">_xlfn._xlws.FILTER(Spelerslijst!$B:$B,Spelerslijst!$F:$F=B$29,"")</f>
        <v/>
      </c>
      <c r="C31" s="89" t="str" cm="1">
        <f t="array" ref="C31">_xlfn._xlws.FILTER(Spelerslijst!$I:$I,Spelerslijst!$F:$F=B$29,"")</f>
        <v/>
      </c>
      <c r="D31" s="89" t="str" cm="1">
        <f t="array" ref="D31">_xlfn._xlws.FILTER(Spelerslijst!$J:$J,Spelerslijst!$F:$F=B$29,"")</f>
        <v/>
      </c>
      <c r="E31" s="4" t="str" cm="1">
        <f t="array" ref="E31">_xlfn._xlws.FILTER(Spelerslijst!$H:$H,Spelerslijst!$F:$F=B$29,"")</f>
        <v/>
      </c>
      <c r="F31" s="70" t="str" cm="1">
        <f t="array" ref="F31">_xlfn._xlws.FILTER(Spelerslijst!$D:$D,Spelerslijst!$F:$F=B$29,"")</f>
        <v/>
      </c>
      <c r="G31" s="3" t="str" cm="1">
        <f t="array" ref="G31">_xlfn._xlws.FILTER(Spelerslijst!$M:$M,Spelerslijst!$Q:$Q=B$29,"")</f>
        <v/>
      </c>
      <c r="H31" s="89" t="str" cm="1">
        <f t="array" ref="H31">_xlfn._xlws.FILTER(Spelerslijst!$T:$T,Spelerslijst!$Q:$Q=B$29,"")</f>
        <v/>
      </c>
      <c r="I31" s="89" t="str" cm="1">
        <f t="array" ref="I31">_xlfn._xlws.FILTER(Spelerslijst!$U:$U,Spelerslijst!$Q:$Q=B$29,"")</f>
        <v/>
      </c>
      <c r="J31" s="4" t="str" cm="1">
        <f t="array" ref="J31">_xlfn._xlws.FILTER(Spelerslijst!$S:$S,Spelerslijst!$Q:$Q=B$29,"")</f>
        <v/>
      </c>
      <c r="K31" s="70" t="str" cm="1">
        <f t="array" ref="K31">_xlfn._xlws.FILTER(Spelerslijst!$O:$O,Spelerslijst!$Q:$Q=B$29,"")</f>
        <v/>
      </c>
      <c r="M31" s="3" t="str" cm="1">
        <f t="array" ref="M31">_xlfn._xlws.FILTER(Spelerslijst!$B:$B,Spelerslijst!$F:$F=M$29,"")</f>
        <v/>
      </c>
      <c r="N31" s="89" t="str" cm="1">
        <f t="array" ref="N31">_xlfn._xlws.FILTER(Spelerslijst!$I:$I,Spelerslijst!$F:$F=M$29,"")</f>
        <v/>
      </c>
      <c r="O31" s="89" t="str" cm="1">
        <f t="array" ref="O31">_xlfn._xlws.FILTER(Spelerslijst!$J:$J,Spelerslijst!$F:$F=M$29,"")</f>
        <v/>
      </c>
      <c r="P31" s="4" t="str" cm="1">
        <f t="array" ref="P31">_xlfn._xlws.FILTER(Spelerslijst!$H:$H,Spelerslijst!$F:$F=M$29,"")</f>
        <v/>
      </c>
      <c r="Q31" s="70" t="str" cm="1">
        <f t="array" ref="Q31">_xlfn._xlws.FILTER(Spelerslijst!$D:$D,Spelerslijst!$F:$F=M$29,"")</f>
        <v/>
      </c>
      <c r="R31" s="3" t="str" cm="1">
        <f t="array" ref="R31">_xlfn._xlws.FILTER(Spelerslijst!$M:$M,Spelerslijst!$Q:$Q=M$29,"")</f>
        <v/>
      </c>
      <c r="S31" s="89" t="str" cm="1">
        <f t="array" ref="S31">_xlfn._xlws.FILTER(Spelerslijst!$T:$T,Spelerslijst!$Q:$Q=M$29,"")</f>
        <v/>
      </c>
      <c r="T31" s="89" t="str" cm="1">
        <f t="array" ref="T31">_xlfn._xlws.FILTER(Spelerslijst!$U:$U,Spelerslijst!$Q:$Q=M$29,"")</f>
        <v/>
      </c>
      <c r="U31" s="4" t="str" cm="1">
        <f t="array" ref="U31">_xlfn._xlws.FILTER(Spelerslijst!$S:$S,Spelerslijst!$Q:$Q=M$29,"")</f>
        <v/>
      </c>
      <c r="V31" s="70" t="str" cm="1">
        <f t="array" ref="V31">_xlfn._xlws.FILTER(Spelerslijst!$O:$O,Spelerslijst!$Q:$Q=M$29,"")</f>
        <v/>
      </c>
      <c r="X31" s="3" t="str" cm="1">
        <f t="array" ref="X31:X37">_xlfn._xlws.FILTER(Spelerslijst!$B:$B,Spelerslijst!$F:$F=X$29,"")</f>
        <v xml:space="preserve">Visser, R. (Renske) </v>
      </c>
      <c r="Y31" s="89" cm="1">
        <f t="array" ref="Y31:Y37">_xlfn._xlws.FILTER(Spelerslijst!$I:$I,Spelerslijst!$F:$F=X$29,"")</f>
        <v>0</v>
      </c>
      <c r="Z31" s="89" cm="1">
        <f t="array" ref="Z31:Z37">_xlfn._xlws.FILTER(Spelerslijst!$J:$J,Spelerslijst!$F:$F=X$29,"")</f>
        <v>0</v>
      </c>
      <c r="AA31" s="4" cm="1">
        <f t="array" ref="AA31:AA37">_xlfn._xlws.FILTER(Spelerslijst!$H:$H,Spelerslijst!$F:$F=X$29,"")</f>
        <v>0</v>
      </c>
      <c r="AB31" s="70" cm="1">
        <f t="array" ref="AB31:AB37">_xlfn._xlws.FILTER(Spelerslijst!$D:$D,Spelerslijst!$F:$F=X$29,"")</f>
        <v>27.32</v>
      </c>
      <c r="AC31" s="3" t="str" cm="1">
        <f t="array" ref="AC31:AC36">_xlfn._xlws.FILTER(Spelerslijst!$M:$M,Spelerslijst!$Q:$Q=X$29,"")</f>
        <v>Vlaming, R. (Roy) de</v>
      </c>
      <c r="AD31" s="89" cm="1">
        <f t="array" ref="AD31:AD36">_xlfn._xlws.FILTER(Spelerslijst!$T:$T,Spelerslijst!$Q:$Q=X$29,"")</f>
        <v>0</v>
      </c>
      <c r="AE31" s="89" cm="1">
        <f t="array" ref="AE31:AE36">_xlfn._xlws.FILTER(Spelerslijst!$U:$U,Spelerslijst!$Q:$Q=X$29,"")</f>
        <v>0</v>
      </c>
      <c r="AF31" s="4" t="str" cm="1">
        <f t="array" ref="AF31:AF36">_xlfn._xlws.FILTER(Spelerslijst!$S:$S,Spelerslijst!$Q:$Q=X$29,"")</f>
        <v>3</v>
      </c>
      <c r="AG31" s="70" cm="1">
        <f t="array" ref="AG31:AG36">_xlfn._xlws.FILTER(Spelerslijst!$O:$O,Spelerslijst!$Q:$Q=X$29,"")</f>
        <v>41.14</v>
      </c>
      <c r="AI31" s="3" t="str" cm="1">
        <f t="array" ref="AI31:AI39">_xlfn._xlws.FILTER(Spelerslijst!$B:$B,Spelerslijst!$F:$F=AI$29,"")</f>
        <v>Jongh, A. (Anouk) de</v>
      </c>
      <c r="AJ31" s="89" cm="1">
        <f t="array" ref="AJ31:AJ39">_xlfn._xlws.FILTER(Spelerslijst!$I:$I,Spelerslijst!$F:$F=AI$29,"")</f>
        <v>0</v>
      </c>
      <c r="AK31" s="89" cm="1">
        <f t="array" ref="AK31:AK39">_xlfn._xlws.FILTER(Spelerslijst!$J:$J,Spelerslijst!$F:$F=AI$29,"")</f>
        <v>0</v>
      </c>
      <c r="AL31" s="4" t="str" cm="1">
        <f t="array" ref="AL31:AL39">_xlfn._xlws.FILTER(Spelerslijst!$H:$H,Spelerslijst!$F:$F=AI$29,"")</f>
        <v>4</v>
      </c>
      <c r="AM31" s="70" cm="1">
        <f t="array" ref="AM31:AM39">_xlfn._xlws.FILTER(Spelerslijst!$D:$D,Spelerslijst!$F:$F=AI$29,"")</f>
        <v>20.329999999999998</v>
      </c>
      <c r="AN31" s="3" t="str" cm="1">
        <f t="array" ref="AN31:AN35">_xlfn._xlws.FILTER(Spelerslijst!$M:$M,Spelerslijst!$Q:$Q=AI$29,"")</f>
        <v>Baars, L.A. (Luuk)</v>
      </c>
      <c r="AO31" s="89" cm="1">
        <f t="array" ref="AO31:AO35">_xlfn._xlws.FILTER(Spelerslijst!$T:$T,Spelerslijst!$Q:$Q=AI$29,"")</f>
        <v>0</v>
      </c>
      <c r="AP31" s="89" cm="1">
        <f t="array" ref="AP31:AP35">_xlfn._xlws.FILTER(Spelerslijst!$U:$U,Spelerslijst!$Q:$Q=AI$29,"")</f>
        <v>0</v>
      </c>
      <c r="AQ31" s="4" t="str" cm="1">
        <f t="array" ref="AQ31:AQ35">_xlfn._xlws.FILTER(Spelerslijst!$S:$S,Spelerslijst!$Q:$Q=AI$29,"")</f>
        <v>4</v>
      </c>
      <c r="AR31" s="70" cm="1">
        <f t="array" ref="AR31:AR35">_xlfn._xlws.FILTER(Spelerslijst!$O:$O,Spelerslijst!$Q:$Q=AI$29,"")</f>
        <v>24.9</v>
      </c>
      <c r="AT31" s="3" t="str" cm="1">
        <f t="array" ref="AT31:AT36">_xlfn._xlws.FILTER(Spelerslijst!$B:$B,Spelerslijst!$F:$F=AT$29,"")</f>
        <v>Valk, M.E. (Marlies)</v>
      </c>
      <c r="AU31" s="89" cm="1">
        <f t="array" ref="AU31:AU36">_xlfn._xlws.FILTER(Spelerslijst!$I:$I,Spelerslijst!$F:$F=AT$29,"")</f>
        <v>0</v>
      </c>
      <c r="AV31" s="89" cm="1">
        <f t="array" ref="AV31:AV36">_xlfn._xlws.FILTER(Spelerslijst!$J:$J,Spelerslijst!$F:$F=AT$29,"")</f>
        <v>0</v>
      </c>
      <c r="AW31" s="4" t="str" cm="1">
        <f t="array" ref="AW31:AW36">_xlfn._xlws.FILTER(Spelerslijst!$H:$H,Spelerslijst!$F:$F=AT$29,"")</f>
        <v>5</v>
      </c>
      <c r="AX31" s="70" cm="1">
        <f t="array" ref="AX31:AX36">_xlfn._xlws.FILTER(Spelerslijst!$D:$D,Spelerslijst!$F:$F=AT$29,"")</f>
        <v>22.78</v>
      </c>
      <c r="AY31" s="3" t="str" cm="1">
        <f t="array" ref="AY31:AY34">_xlfn._xlws.FILTER(Spelerslijst!$M:$M,Spelerslijst!$Q:$Q=AT$29,"")</f>
        <v>Schindler, M. (Mark)</v>
      </c>
      <c r="AZ31" s="89" cm="1">
        <f t="array" ref="AZ31:AZ34">_xlfn._xlws.FILTER(Spelerslijst!$T:$T,Spelerslijst!$Q:$Q=AT$29,"")</f>
        <v>0</v>
      </c>
      <c r="BA31" s="89" cm="1">
        <f t="array" ref="BA31:BA34">_xlfn._xlws.FILTER(Spelerslijst!$U:$U,Spelerslijst!$Q:$Q=AT$29,"")</f>
        <v>0</v>
      </c>
      <c r="BB31" s="4" t="str" cm="1">
        <f t="array" ref="BB31:BB34">_xlfn._xlws.FILTER(Spelerslijst!$S:$S,Spelerslijst!$Q:$Q=AT$29,"")</f>
        <v>5</v>
      </c>
      <c r="BC31" s="70" cm="1">
        <f t="array" ref="BC31:BC34">_xlfn._xlws.FILTER(Spelerslijst!$O:$O,Spelerslijst!$Q:$Q=AT$29,"")</f>
        <v>26.59</v>
      </c>
      <c r="BE31" s="3" t="str" cm="1">
        <f t="array" ref="BE31:BE37">_xlfn._xlws.FILTER(Spelerslijst!$B:$B,Spelerslijst!$F:$F=BE$29,"")</f>
        <v>Bozuwa, J. (Julia)</v>
      </c>
      <c r="BF31" s="89" cm="1">
        <f t="array" ref="BF31:BF37">_xlfn._xlws.FILTER(Spelerslijst!$I:$I,Spelerslijst!$F:$F=BE$29,"")</f>
        <v>0</v>
      </c>
      <c r="BG31" s="89" cm="1">
        <f t="array" ref="BG31:BG37">_xlfn._xlws.FILTER(Spelerslijst!$J:$J,Spelerslijst!$F:$F=BE$29,"")</f>
        <v>0</v>
      </c>
      <c r="BH31" s="4" t="str" cm="1">
        <f t="array" ref="BH31:BH37">_xlfn._xlws.FILTER(Spelerslijst!$H:$H,Spelerslijst!$F:$F=BE$29,"")</f>
        <v>A3</v>
      </c>
      <c r="BI31" s="70" cm="1">
        <f t="array" ref="BI31:BI37">_xlfn._xlws.FILTER(Spelerslijst!$D:$D,Spelerslijst!$F:$F=BE$29,"")</f>
        <v>18.47</v>
      </c>
      <c r="BJ31" s="3" t="str" cm="1">
        <f t="array" ref="BJ31:BJ38">_xlfn._xlws.FILTER(Spelerslijst!$M:$M,Spelerslijst!$Q:$Q=BE$29,"")</f>
        <v>Dubbeld, R. (Ruben)</v>
      </c>
      <c r="BK31" s="89" cm="1">
        <f t="array" ref="BK31:BK38">_xlfn._xlws.FILTER(Spelerslijst!$T:$T,Spelerslijst!$Q:$Q=BE$29,"")</f>
        <v>0</v>
      </c>
      <c r="BL31" s="89" cm="1">
        <f t="array" ref="BL31:BL38">_xlfn._xlws.FILTER(Spelerslijst!$U:$U,Spelerslijst!$Q:$Q=BE$29,"")</f>
        <v>0</v>
      </c>
      <c r="BM31" s="4" t="str" cm="1">
        <f t="array" ref="BM31:BM38">_xlfn._xlws.FILTER(Spelerslijst!$S:$S,Spelerslijst!$Q:$Q=BE$29,"")</f>
        <v>6</v>
      </c>
      <c r="BN31" s="70" cm="1">
        <f t="array" ref="BN31:BN38">_xlfn._xlws.FILTER(Spelerslijst!$O:$O,Spelerslijst!$Q:$Q=BE$29,"")</f>
        <v>25.07</v>
      </c>
      <c r="BP31" s="3" t="str" cm="1">
        <f t="array" ref="BP31">_xlfn._xlws.FILTER(Spelerslijst!$B:$B,Spelerslijst!$F:$F=BP$29,"")</f>
        <v/>
      </c>
      <c r="BQ31" s="89" t="str" cm="1">
        <f t="array" ref="BQ31">_xlfn._xlws.FILTER(Spelerslijst!$I:$I,Spelerslijst!$F:$F=BP$29,"")</f>
        <v/>
      </c>
      <c r="BR31" s="89" t="str" cm="1">
        <f t="array" ref="BR31">_xlfn._xlws.FILTER(Spelerslijst!$J:$J,Spelerslijst!$F:$F=BP$29,"")</f>
        <v/>
      </c>
      <c r="BS31" s="4" t="str" cm="1">
        <f t="array" ref="BS31">_xlfn._xlws.FILTER(Spelerslijst!$H:$H,Spelerslijst!$F:$F=BP$29,"")</f>
        <v/>
      </c>
      <c r="BT31" s="70" t="str" cm="1">
        <f t="array" ref="BT31">_xlfn._xlws.FILTER(Spelerslijst!$D:$D,Spelerslijst!$F:$F=BP$29,"")</f>
        <v/>
      </c>
      <c r="BU31" s="3" t="str" cm="1">
        <f t="array" ref="BU31">_xlfn._xlws.FILTER(Spelerslijst!$M:$M,Spelerslijst!$Q:$Q=BP$29,"")</f>
        <v/>
      </c>
      <c r="BV31" s="89" t="str" cm="1">
        <f t="array" ref="BV31">_xlfn._xlws.FILTER(Spelerslijst!$T:$T,Spelerslijst!$Q:$Q=BP$29,"")</f>
        <v/>
      </c>
      <c r="BW31" s="89" t="str" cm="1">
        <f t="array" ref="BW31">_xlfn._xlws.FILTER(Spelerslijst!$U:$U,Spelerslijst!$Q:$Q=BP$29,"")</f>
        <v/>
      </c>
      <c r="BX31" s="4" t="str" cm="1">
        <f t="array" ref="BX31">_xlfn._xlws.FILTER(Spelerslijst!$S:$S,Spelerslijst!$Q:$Q=BP$29,"")</f>
        <v/>
      </c>
      <c r="BY31" s="70" t="str" cm="1">
        <f t="array" ref="BY31">_xlfn._xlws.FILTER(Spelerslijst!$O:$O,Spelerslijst!$Q:$Q=BP$29,"")</f>
        <v/>
      </c>
      <c r="CA31" s="3" t="str" cm="1">
        <f t="array" ref="CA31:CA35">_xlfn._xlws.FILTER(Spelerslijst!$B:$B,Spelerslijst!$F:$F=CA$29,"")</f>
        <v>Brand, L (Liesbeth)</v>
      </c>
      <c r="CB31" s="89" cm="1">
        <f t="array" ref="CB31:CB35">_xlfn._xlws.FILTER(Spelerslijst!$I:$I,Spelerslijst!$F:$F=CA$29,"")</f>
        <v>0</v>
      </c>
      <c r="CC31" s="89" cm="1">
        <f t="array" ref="CC31:CC35">_xlfn._xlws.FILTER(Spelerslijst!$J:$J,Spelerslijst!$F:$F=CA$29,"")</f>
        <v>0</v>
      </c>
      <c r="CD31" s="4" t="str" cm="1">
        <f t="array" ref="CD31:CD35">_xlfn._xlws.FILTER(Spelerslijst!$H:$H,Spelerslijst!$F:$F=CA$29,"")</f>
        <v>MW1</v>
      </c>
      <c r="CE31" s="5" cm="1">
        <f t="array" ref="CE31:CE35">_xlfn._xlws.FILTER(Spelerslijst!$D:$D,Spelerslijst!$F:$F=CA$29,"")</f>
        <v>35.42</v>
      </c>
      <c r="CF31" s="3" t="str" cm="1">
        <f t="array" ref="CF31:CF33">_xlfn._xlws.FILTER(Spelerslijst!$M:$M,Spelerslijst!$Q:$Q=CA$29,"")</f>
        <v>Kooij, C.W. (Wilco)</v>
      </c>
      <c r="CG31" s="89" cm="1">
        <f t="array" ref="CG31:CG33">_xlfn._xlws.FILTER(Spelerslijst!$T:$T,Spelerslijst!$Q:$Q=CA$29,"")</f>
        <v>0</v>
      </c>
      <c r="CH31" s="89" cm="1">
        <f t="array" ref="CH31:CH33">_xlfn._xlws.FILTER(Spelerslijst!$U:$U,Spelerslijst!$Q:$Q=CA$29,"")</f>
        <v>0</v>
      </c>
      <c r="CI31" s="4" t="str" cm="1">
        <f t="array" ref="CI31:CI33">_xlfn._xlws.FILTER(Spelerslijst!$S:$S,Spelerslijst!$Q:$Q=CA$29,"")</f>
        <v>MW1</v>
      </c>
      <c r="CJ31" s="5" cm="1">
        <f t="array" ref="CJ31:CJ33">_xlfn._xlws.FILTER(Spelerslijst!$O:$O,Spelerslijst!$Q:$Q=CA$29,"")</f>
        <v>50.32</v>
      </c>
    </row>
    <row r="32" spans="1:88">
      <c r="A32" s="152"/>
      <c r="B32" s="6"/>
      <c r="C32" s="90"/>
      <c r="D32" s="90"/>
      <c r="E32" s="2"/>
      <c r="F32" s="71"/>
      <c r="G32" s="6"/>
      <c r="H32" s="90"/>
      <c r="I32" s="90"/>
      <c r="J32" s="2"/>
      <c r="K32" s="71"/>
      <c r="M32" s="6"/>
      <c r="N32" s="90"/>
      <c r="O32" s="90"/>
      <c r="P32" s="2"/>
      <c r="Q32" s="71"/>
      <c r="R32" s="6"/>
      <c r="S32" s="90"/>
      <c r="T32" s="90"/>
      <c r="U32" s="2"/>
      <c r="V32" s="71"/>
      <c r="X32" s="6" t="str">
        <v>Leijdsman, R. (Robin)</v>
      </c>
      <c r="Y32" s="90">
        <v>0</v>
      </c>
      <c r="Z32" s="90">
        <v>0</v>
      </c>
      <c r="AA32" s="2" t="str">
        <v>3</v>
      </c>
      <c r="AB32" s="71">
        <v>29.64</v>
      </c>
      <c r="AC32" s="6" t="str">
        <v>Isarin, T P (Thomas)</v>
      </c>
      <c r="AD32" s="90">
        <v>0</v>
      </c>
      <c r="AE32" s="90">
        <v>0</v>
      </c>
      <c r="AF32" s="2" t="str">
        <v>3</v>
      </c>
      <c r="AG32" s="71">
        <v>37.409999999999997</v>
      </c>
      <c r="AI32" s="6" t="str">
        <v>Quarré, E.A. (Elena)</v>
      </c>
      <c r="AJ32" s="90">
        <v>0</v>
      </c>
      <c r="AK32" s="90">
        <v>0</v>
      </c>
      <c r="AL32" s="2" t="str">
        <v>4</v>
      </c>
      <c r="AM32" s="71">
        <v>20.57</v>
      </c>
      <c r="AN32" s="6" t="str">
        <v>Fasbender, T. (Tijmen)</v>
      </c>
      <c r="AO32" s="90">
        <v>0</v>
      </c>
      <c r="AP32" s="90">
        <v>0</v>
      </c>
      <c r="AQ32" s="2" t="str">
        <v>4</v>
      </c>
      <c r="AR32" s="71">
        <v>22.48</v>
      </c>
      <c r="AT32" s="6" t="str">
        <v>Pierse, A.W. (Anniek)</v>
      </c>
      <c r="AU32" s="90">
        <v>0</v>
      </c>
      <c r="AV32" s="90">
        <v>0</v>
      </c>
      <c r="AW32" s="2" t="str">
        <v>5</v>
      </c>
      <c r="AX32" s="71">
        <v>23.81</v>
      </c>
      <c r="AY32" s="6" t="str">
        <v>Flach, J.H. (Joram)</v>
      </c>
      <c r="AZ32" s="90">
        <v>0</v>
      </c>
      <c r="BA32" s="90">
        <v>0</v>
      </c>
      <c r="BB32" s="2" t="str">
        <v>5</v>
      </c>
      <c r="BC32" s="71">
        <v>26.16</v>
      </c>
      <c r="BE32" s="6" t="str">
        <v>Versnel, V. (Vivienne)</v>
      </c>
      <c r="BF32" s="90">
        <v>0</v>
      </c>
      <c r="BG32" s="90">
        <v>0</v>
      </c>
      <c r="BH32" s="2" t="str">
        <v>A3</v>
      </c>
      <c r="BI32" s="71">
        <v>20.46</v>
      </c>
      <c r="BJ32" s="6" t="str">
        <v>Kooper, C. (Ché)</v>
      </c>
      <c r="BK32" s="90">
        <v>0</v>
      </c>
      <c r="BL32" s="90">
        <v>0</v>
      </c>
      <c r="BM32" s="2" t="str">
        <v>6</v>
      </c>
      <c r="BN32" s="71">
        <v>23.15</v>
      </c>
      <c r="BP32" s="6"/>
      <c r="BQ32" s="90"/>
      <c r="BR32" s="90"/>
      <c r="BS32" s="2"/>
      <c r="BT32" s="71"/>
      <c r="BU32" s="6"/>
      <c r="BV32" s="90"/>
      <c r="BW32" s="90"/>
      <c r="BX32" s="2"/>
      <c r="BY32" s="71"/>
      <c r="CA32" s="6" t="str">
        <v>Starre-Scheurwater, K. (Kim) van der</v>
      </c>
      <c r="CB32" s="90">
        <v>0</v>
      </c>
      <c r="CC32" s="90">
        <v>0</v>
      </c>
      <c r="CD32" s="2" t="str">
        <v>MW1</v>
      </c>
      <c r="CE32" s="7">
        <v>36.08</v>
      </c>
      <c r="CF32" s="6" t="str">
        <v>Jong, M. (Michiel) 't</v>
      </c>
      <c r="CG32" s="90">
        <v>0</v>
      </c>
      <c r="CH32" s="90">
        <v>0</v>
      </c>
      <c r="CI32" s="2" t="str">
        <v>MW1</v>
      </c>
      <c r="CJ32" s="7">
        <v>44.64</v>
      </c>
    </row>
    <row r="33" spans="1:88">
      <c r="A33" s="152"/>
      <c r="B33" s="6"/>
      <c r="C33" s="90"/>
      <c r="D33" s="90"/>
      <c r="E33" s="2"/>
      <c r="F33" s="71"/>
      <c r="G33" s="6"/>
      <c r="H33" s="90"/>
      <c r="I33" s="90"/>
      <c r="J33" s="2"/>
      <c r="K33" s="71"/>
      <c r="M33" s="6"/>
      <c r="N33" s="90"/>
      <c r="O33" s="90"/>
      <c r="P33" s="2"/>
      <c r="Q33" s="71"/>
      <c r="R33" s="6"/>
      <c r="S33" s="90"/>
      <c r="T33" s="90"/>
      <c r="U33" s="2"/>
      <c r="V33" s="71"/>
      <c r="X33" s="6" t="str">
        <v>Kalkeren-Verweij, M. (Mirthe) van</v>
      </c>
      <c r="Y33" s="90">
        <v>0</v>
      </c>
      <c r="Z33" s="90">
        <v>0</v>
      </c>
      <c r="AA33" s="2" t="str">
        <v>3</v>
      </c>
      <c r="AB33" s="71">
        <v>31.13</v>
      </c>
      <c r="AC33" s="6" t="str">
        <v>Houwerzijl, E. (Emiel)</v>
      </c>
      <c r="AD33" s="90">
        <v>0</v>
      </c>
      <c r="AE33" s="90">
        <v>0</v>
      </c>
      <c r="AF33" s="2" t="str">
        <v>3</v>
      </c>
      <c r="AG33" s="71">
        <v>31.64</v>
      </c>
      <c r="AI33" s="6" t="str">
        <v>Wensen, M. (Maud)</v>
      </c>
      <c r="AJ33" s="90">
        <v>0</v>
      </c>
      <c r="AK33" s="90">
        <v>0</v>
      </c>
      <c r="AL33" s="2">
        <v>0</v>
      </c>
      <c r="AM33" s="71">
        <v>20.73</v>
      </c>
      <c r="AN33" s="6" t="str">
        <v>Wietses, J. (Joël)</v>
      </c>
      <c r="AO33" s="90">
        <v>0</v>
      </c>
      <c r="AP33" s="90">
        <v>0</v>
      </c>
      <c r="AQ33" s="2" t="str">
        <v>4</v>
      </c>
      <c r="AR33" s="71">
        <v>20.59</v>
      </c>
      <c r="AT33" s="6" t="str">
        <v>Koote, L.D. (Laura)</v>
      </c>
      <c r="AU33" s="90">
        <v>0</v>
      </c>
      <c r="AV33" s="90">
        <v>0</v>
      </c>
      <c r="AW33" s="2" t="str">
        <v>5</v>
      </c>
      <c r="AX33" s="71">
        <v>23.96</v>
      </c>
      <c r="AY33" s="6" t="str">
        <v>Driel, Q. (Quinten) van</v>
      </c>
      <c r="AZ33" s="90">
        <v>0</v>
      </c>
      <c r="BA33" s="90">
        <v>0</v>
      </c>
      <c r="BB33" s="2" t="str">
        <v>5</v>
      </c>
      <c r="BC33" s="71">
        <v>25.61</v>
      </c>
      <c r="BE33" s="6" t="str">
        <v>Witman, K. (Kimberley)</v>
      </c>
      <c r="BF33" s="90">
        <v>0</v>
      </c>
      <c r="BG33" s="90">
        <v>0</v>
      </c>
      <c r="BH33" s="2" t="str">
        <v>6</v>
      </c>
      <c r="BI33" s="71">
        <v>21.52</v>
      </c>
      <c r="BJ33" s="6" t="str">
        <v>Boon, T. (Thijs)</v>
      </c>
      <c r="BK33" s="90">
        <v>0</v>
      </c>
      <c r="BL33" s="90">
        <v>0</v>
      </c>
      <c r="BM33" s="2" t="str">
        <v>6</v>
      </c>
      <c r="BN33" s="71">
        <v>22.07</v>
      </c>
      <c r="BP33" s="6"/>
      <c r="BQ33" s="90"/>
      <c r="BR33" s="90"/>
      <c r="BS33" s="2"/>
      <c r="BT33" s="71"/>
      <c r="BU33" s="6"/>
      <c r="BV33" s="90"/>
      <c r="BW33" s="90"/>
      <c r="BX33" s="2"/>
      <c r="BY33" s="71"/>
      <c r="CA33" s="6" t="str">
        <v>Opstal-Haksteen, T.K. (Tamara) van</v>
      </c>
      <c r="CB33" s="90">
        <v>0</v>
      </c>
      <c r="CC33" s="90">
        <v>0</v>
      </c>
      <c r="CD33" s="2" t="str">
        <v>MW1</v>
      </c>
      <c r="CE33" s="7">
        <v>37.85</v>
      </c>
      <c r="CF33" s="6" t="str">
        <v>Ploeg, H (Hans)</v>
      </c>
      <c r="CG33" s="90">
        <v>0</v>
      </c>
      <c r="CH33" s="90">
        <v>0</v>
      </c>
      <c r="CI33" s="2" t="str">
        <v>MW1</v>
      </c>
      <c r="CJ33" s="7">
        <v>37.92</v>
      </c>
    </row>
    <row r="34" spans="1:88">
      <c r="A34" s="152"/>
      <c r="B34" s="6"/>
      <c r="C34" s="90"/>
      <c r="D34" s="90"/>
      <c r="E34" s="2"/>
      <c r="F34" s="71"/>
      <c r="G34" s="6"/>
      <c r="H34" s="90"/>
      <c r="I34" s="90"/>
      <c r="J34" s="2"/>
      <c r="K34" s="71"/>
      <c r="M34" s="6"/>
      <c r="N34" s="90"/>
      <c r="O34" s="90"/>
      <c r="P34" s="2"/>
      <c r="Q34" s="71"/>
      <c r="R34" s="6"/>
      <c r="S34" s="90"/>
      <c r="T34" s="90"/>
      <c r="U34" s="2"/>
      <c r="V34" s="71"/>
      <c r="X34" s="6" t="str">
        <v>Gurp, M (Merel) van</v>
      </c>
      <c r="Y34" s="90">
        <v>0</v>
      </c>
      <c r="Z34" s="90">
        <v>0</v>
      </c>
      <c r="AA34" s="2" t="str">
        <v>3</v>
      </c>
      <c r="AB34" s="71">
        <v>33.380000000000003</v>
      </c>
      <c r="AC34" s="6" t="str">
        <v>Gent, L (Lex) van</v>
      </c>
      <c r="AD34" s="90">
        <v>0</v>
      </c>
      <c r="AE34" s="90">
        <v>0</v>
      </c>
      <c r="AF34" s="2" t="str">
        <v>3</v>
      </c>
      <c r="AG34" s="71">
        <v>30.97</v>
      </c>
      <c r="AI34" s="6" t="str">
        <v>Lievaart, C.A. (Carlijn)</v>
      </c>
      <c r="AJ34" s="90">
        <v>0</v>
      </c>
      <c r="AK34" s="90">
        <v>0</v>
      </c>
      <c r="AL34" s="2" t="str">
        <v>4</v>
      </c>
      <c r="AM34" s="71">
        <v>21.23</v>
      </c>
      <c r="AN34" s="6" t="str">
        <v>Lohuis, J.A. (Jens)</v>
      </c>
      <c r="AO34" s="90">
        <v>0</v>
      </c>
      <c r="AP34" s="90">
        <v>0</v>
      </c>
      <c r="AQ34" s="2" t="str">
        <v>4</v>
      </c>
      <c r="AR34" s="71">
        <v>20.38</v>
      </c>
      <c r="AT34" s="6" t="str">
        <v>Wit, N.M.T. (Nadia) de</v>
      </c>
      <c r="AU34" s="90">
        <v>0</v>
      </c>
      <c r="AV34" s="90">
        <v>0</v>
      </c>
      <c r="AW34" s="2" t="str">
        <v>5</v>
      </c>
      <c r="AX34" s="71">
        <v>24.42</v>
      </c>
      <c r="AY34" s="6" t="str">
        <v>Wijgaart, R.L.H. (Rick) van de</v>
      </c>
      <c r="AZ34" s="90">
        <v>0</v>
      </c>
      <c r="BA34" s="90">
        <v>0</v>
      </c>
      <c r="BB34" s="2" t="str">
        <v>5</v>
      </c>
      <c r="BC34" s="71">
        <v>22.21</v>
      </c>
      <c r="BE34" s="6" t="str">
        <v>Friebel, A. (Angela)</v>
      </c>
      <c r="BF34" s="90">
        <v>0</v>
      </c>
      <c r="BG34" s="90">
        <v>0</v>
      </c>
      <c r="BH34" s="2" t="str">
        <v>6</v>
      </c>
      <c r="BI34" s="71">
        <v>23.22</v>
      </c>
      <c r="BJ34" s="6" t="str">
        <v>Kuijper, D.V. (David)</v>
      </c>
      <c r="BK34" s="90">
        <v>0</v>
      </c>
      <c r="BL34" s="90">
        <v>0</v>
      </c>
      <c r="BM34" s="2" t="str">
        <v>6</v>
      </c>
      <c r="BN34" s="71">
        <v>22.04</v>
      </c>
      <c r="BP34" s="6"/>
      <c r="BQ34" s="90"/>
      <c r="BR34" s="90"/>
      <c r="BS34" s="2"/>
      <c r="BT34" s="71"/>
      <c r="BU34" s="6"/>
      <c r="BV34" s="90"/>
      <c r="BW34" s="90"/>
      <c r="BX34" s="2"/>
      <c r="BY34" s="71"/>
      <c r="CA34" s="6" t="str">
        <v>Heesterbeek, K. (Kim)</v>
      </c>
      <c r="CB34" s="90">
        <v>0</v>
      </c>
      <c r="CC34" s="90">
        <v>0</v>
      </c>
      <c r="CD34" s="2" t="str">
        <v>MW1</v>
      </c>
      <c r="CE34" s="7">
        <v>38.96</v>
      </c>
      <c r="CF34" s="6"/>
      <c r="CG34" s="90"/>
      <c r="CH34" s="90"/>
      <c r="CI34" s="2"/>
      <c r="CJ34" s="7"/>
    </row>
    <row r="35" spans="1:88">
      <c r="A35" s="152"/>
      <c r="B35" s="6"/>
      <c r="C35" s="90"/>
      <c r="D35" s="90"/>
      <c r="E35" s="2"/>
      <c r="F35" s="71"/>
      <c r="G35" s="6"/>
      <c r="H35" s="90"/>
      <c r="I35" s="90"/>
      <c r="J35" s="2"/>
      <c r="K35" s="71"/>
      <c r="M35" s="6"/>
      <c r="N35" s="90"/>
      <c r="O35" s="90"/>
      <c r="P35" s="2"/>
      <c r="Q35" s="71"/>
      <c r="R35" s="6"/>
      <c r="S35" s="90"/>
      <c r="T35" s="90"/>
      <c r="U35" s="2"/>
      <c r="V35" s="71"/>
      <c r="X35" s="6" t="str">
        <v>Ardon, L (Linda)</v>
      </c>
      <c r="Y35" s="90">
        <v>0</v>
      </c>
      <c r="Z35" s="90">
        <v>0</v>
      </c>
      <c r="AA35" s="2" t="str">
        <v>3</v>
      </c>
      <c r="AB35" s="71">
        <v>33.75</v>
      </c>
      <c r="AC35" s="6" t="str">
        <v>Brugge, B.R. (Bart) van der</v>
      </c>
      <c r="AD35" s="90">
        <v>0</v>
      </c>
      <c r="AE35" s="90">
        <v>0</v>
      </c>
      <c r="AF35" s="2">
        <v>0</v>
      </c>
      <c r="AG35" s="71">
        <v>30.45</v>
      </c>
      <c r="AI35" s="6" t="str">
        <v>Mol, L.N.A. (Laura)</v>
      </c>
      <c r="AJ35" s="90">
        <v>0</v>
      </c>
      <c r="AK35" s="90">
        <v>0</v>
      </c>
      <c r="AL35" s="2" t="str">
        <v>4</v>
      </c>
      <c r="AM35" s="71">
        <v>21.75</v>
      </c>
      <c r="AN35" s="6" t="str">
        <v>- Heer S1/S2</v>
      </c>
      <c r="AO35" s="90">
        <v>0</v>
      </c>
      <c r="AP35" s="90">
        <v>0</v>
      </c>
      <c r="AQ35" s="2">
        <v>0</v>
      </c>
      <c r="AR35" s="71">
        <v>6</v>
      </c>
      <c r="AT35" s="6" t="str">
        <v>Wit, S.E.E. (Syrah) de</v>
      </c>
      <c r="AU35" s="90">
        <v>0</v>
      </c>
      <c r="AV35" s="90">
        <v>0</v>
      </c>
      <c r="AW35" s="2" t="str">
        <v>5</v>
      </c>
      <c r="AX35" s="71">
        <v>24.42</v>
      </c>
      <c r="AY35" s="6"/>
      <c r="AZ35" s="90"/>
      <c r="BA35" s="90"/>
      <c r="BB35" s="2"/>
      <c r="BC35" s="71"/>
      <c r="BE35" s="6" t="str">
        <v>Dubbeld, S. (Sanne)</v>
      </c>
      <c r="BF35" s="90">
        <v>0</v>
      </c>
      <c r="BG35" s="90">
        <v>0</v>
      </c>
      <c r="BH35" s="2" t="str">
        <v>6</v>
      </c>
      <c r="BI35" s="71">
        <v>23.89</v>
      </c>
      <c r="BJ35" s="6" t="str">
        <v>Vlaming, J.C. (Jens) de</v>
      </c>
      <c r="BK35" s="90">
        <v>0</v>
      </c>
      <c r="BL35" s="90">
        <v>0</v>
      </c>
      <c r="BM35" s="2" t="str">
        <v>6</v>
      </c>
      <c r="BN35" s="71">
        <v>22.03</v>
      </c>
      <c r="BP35" s="6"/>
      <c r="BQ35" s="90"/>
      <c r="BR35" s="90"/>
      <c r="BS35" s="2"/>
      <c r="BT35" s="71"/>
      <c r="BU35" s="6"/>
      <c r="BV35" s="90"/>
      <c r="BW35" s="90"/>
      <c r="BX35" s="2"/>
      <c r="BY35" s="71"/>
      <c r="CA35" s="6" t="str">
        <v>Veld, D. (Dorien) in 't</v>
      </c>
      <c r="CB35" s="90">
        <v>0</v>
      </c>
      <c r="CC35" s="90">
        <v>0</v>
      </c>
      <c r="CD35" s="2" t="str">
        <v>MW1</v>
      </c>
      <c r="CE35" s="7">
        <v>40.89</v>
      </c>
      <c r="CF35" s="6"/>
      <c r="CG35" s="90"/>
      <c r="CH35" s="90"/>
      <c r="CI35" s="2"/>
      <c r="CJ35" s="7"/>
    </row>
    <row r="36" spans="1:88">
      <c r="A36" s="152"/>
      <c r="B36" s="6"/>
      <c r="C36" s="90"/>
      <c r="D36" s="90"/>
      <c r="E36" s="2"/>
      <c r="F36" s="71"/>
      <c r="G36" s="6"/>
      <c r="H36" s="90"/>
      <c r="I36" s="90"/>
      <c r="J36" s="2"/>
      <c r="K36" s="71"/>
      <c r="M36" s="6"/>
      <c r="N36" s="90"/>
      <c r="O36" s="90"/>
      <c r="P36" s="2"/>
      <c r="Q36" s="71"/>
      <c r="R36" s="6"/>
      <c r="S36" s="90"/>
      <c r="T36" s="90"/>
      <c r="U36" s="2"/>
      <c r="V36" s="71"/>
      <c r="X36" s="6" t="str">
        <v>Batenburg, H. (Hanneke)</v>
      </c>
      <c r="Y36" s="90">
        <v>0</v>
      </c>
      <c r="Z36" s="90">
        <v>0</v>
      </c>
      <c r="AA36" s="2">
        <v>0</v>
      </c>
      <c r="AB36" s="71">
        <v>38.25</v>
      </c>
      <c r="AC36" s="6" t="str">
        <v>Peuter, F. (Freek)</v>
      </c>
      <c r="AD36" s="90">
        <v>0</v>
      </c>
      <c r="AE36" s="90">
        <v>0</v>
      </c>
      <c r="AF36" s="2">
        <v>0</v>
      </c>
      <c r="AG36" s="71">
        <v>29.69</v>
      </c>
      <c r="AI36" s="6" t="str">
        <v>Dommisse, K. (Kim)</v>
      </c>
      <c r="AJ36" s="90">
        <v>0</v>
      </c>
      <c r="AK36" s="90">
        <v>0</v>
      </c>
      <c r="AL36" s="2" t="str">
        <v>4</v>
      </c>
      <c r="AM36" s="71">
        <v>24.72</v>
      </c>
      <c r="AN36" s="6"/>
      <c r="AO36" s="90"/>
      <c r="AP36" s="90"/>
      <c r="AQ36" s="2"/>
      <c r="AR36" s="71"/>
      <c r="AT36" s="6" t="str">
        <v>Schram, L.J. (Lara)</v>
      </c>
      <c r="AU36" s="90">
        <v>0</v>
      </c>
      <c r="AV36" s="90">
        <v>0</v>
      </c>
      <c r="AW36" s="2" t="str">
        <v>5</v>
      </c>
      <c r="AX36" s="71">
        <v>25.01</v>
      </c>
      <c r="AY36" s="6"/>
      <c r="AZ36" s="90"/>
      <c r="BA36" s="90"/>
      <c r="BB36" s="2"/>
      <c r="BC36" s="71"/>
      <c r="BE36" s="6" t="str">
        <v>Dubbeld, T. (Tessa)</v>
      </c>
      <c r="BF36" s="90">
        <v>0</v>
      </c>
      <c r="BG36" s="90">
        <v>0</v>
      </c>
      <c r="BH36" s="2" t="str">
        <v>6</v>
      </c>
      <c r="BI36" s="71">
        <v>25.07</v>
      </c>
      <c r="BJ36" s="6" t="str">
        <v>Koornneef, W.J. (Wouter)</v>
      </c>
      <c r="BK36" s="90">
        <v>0</v>
      </c>
      <c r="BL36" s="90">
        <v>0</v>
      </c>
      <c r="BM36" s="2" t="str">
        <v>6</v>
      </c>
      <c r="BN36" s="71">
        <v>20.55</v>
      </c>
      <c r="BP36" s="6"/>
      <c r="BQ36" s="90"/>
      <c r="BR36" s="90"/>
      <c r="BS36" s="2"/>
      <c r="BT36" s="71"/>
      <c r="BU36" s="6"/>
      <c r="BV36" s="90"/>
      <c r="BW36" s="90"/>
      <c r="BX36" s="2"/>
      <c r="BY36" s="71"/>
      <c r="CA36" s="6"/>
      <c r="CB36" s="90"/>
      <c r="CC36" s="90"/>
      <c r="CD36" s="2"/>
      <c r="CE36" s="7"/>
      <c r="CF36" s="6"/>
      <c r="CG36" s="90"/>
      <c r="CH36" s="90"/>
      <c r="CI36" s="2"/>
      <c r="CJ36" s="7"/>
    </row>
    <row r="37" spans="1:88">
      <c r="A37" s="152"/>
      <c r="B37" s="6"/>
      <c r="C37" s="90"/>
      <c r="D37" s="90"/>
      <c r="E37" s="2"/>
      <c r="F37" s="71"/>
      <c r="G37" s="6"/>
      <c r="H37" s="90"/>
      <c r="I37" s="90"/>
      <c r="J37" s="2"/>
      <c r="K37" s="71"/>
      <c r="M37" s="6"/>
      <c r="N37" s="90"/>
      <c r="O37" s="90"/>
      <c r="P37" s="2"/>
      <c r="Q37" s="71"/>
      <c r="R37" s="6"/>
      <c r="S37" s="90"/>
      <c r="T37" s="90"/>
      <c r="U37" s="2"/>
      <c r="V37" s="71"/>
      <c r="X37" s="6" t="str">
        <v>Ploeg, L (Lieke)</v>
      </c>
      <c r="Y37" s="90">
        <v>0</v>
      </c>
      <c r="Z37" s="90">
        <v>0</v>
      </c>
      <c r="AA37" s="2" t="str">
        <v>3</v>
      </c>
      <c r="AB37" s="71">
        <v>39.119999999999997</v>
      </c>
      <c r="AC37" s="6"/>
      <c r="AD37" s="90"/>
      <c r="AE37" s="90"/>
      <c r="AF37" s="2"/>
      <c r="AG37" s="71"/>
      <c r="AI37" s="6" t="str">
        <v>- Dame S1/S2</v>
      </c>
      <c r="AJ37" s="90">
        <v>0</v>
      </c>
      <c r="AK37" s="90">
        <v>0</v>
      </c>
      <c r="AL37" s="2">
        <v>0</v>
      </c>
      <c r="AM37" s="71">
        <v>26</v>
      </c>
      <c r="AN37" s="6"/>
      <c r="AO37" s="90"/>
      <c r="AP37" s="90"/>
      <c r="AQ37" s="2"/>
      <c r="AR37" s="71"/>
      <c r="AT37" s="6"/>
      <c r="AU37" s="90"/>
      <c r="AV37" s="90"/>
      <c r="AW37" s="2"/>
      <c r="AX37" s="71"/>
      <c r="AY37" s="6"/>
      <c r="AZ37" s="90"/>
      <c r="BA37" s="90"/>
      <c r="BB37" s="2"/>
      <c r="BC37" s="71"/>
      <c r="BE37" s="6" t="str">
        <v>Hulsker, N.M. (Nina)</v>
      </c>
      <c r="BF37" s="90">
        <v>0</v>
      </c>
      <c r="BG37" s="90">
        <v>0</v>
      </c>
      <c r="BH37" s="2" t="str">
        <v>S4</v>
      </c>
      <c r="BI37" s="71">
        <v>26.38</v>
      </c>
      <c r="BJ37" s="6" t="str">
        <v>Koornneef, T.J. (Tommie)</v>
      </c>
      <c r="BK37" s="90">
        <v>0</v>
      </c>
      <c r="BL37" s="90">
        <v>0</v>
      </c>
      <c r="BM37" s="2" t="str">
        <v>A3</v>
      </c>
      <c r="BN37" s="71">
        <v>18.89</v>
      </c>
      <c r="BP37" s="6"/>
      <c r="BQ37" s="90"/>
      <c r="BR37" s="90"/>
      <c r="BS37" s="2"/>
      <c r="BT37" s="71"/>
      <c r="BU37" s="6"/>
      <c r="BV37" s="90"/>
      <c r="BW37" s="90"/>
      <c r="BX37" s="2"/>
      <c r="BY37" s="71"/>
      <c r="CA37" s="6"/>
      <c r="CB37" s="90"/>
      <c r="CC37" s="90"/>
      <c r="CD37" s="2"/>
      <c r="CE37" s="7"/>
      <c r="CF37" s="6"/>
      <c r="CG37" s="90"/>
      <c r="CH37" s="90"/>
      <c r="CI37" s="2"/>
      <c r="CJ37" s="7"/>
    </row>
    <row r="38" spans="1:88">
      <c r="A38" s="152"/>
      <c r="B38" s="6"/>
      <c r="C38" s="90"/>
      <c r="D38" s="90"/>
      <c r="E38" s="2"/>
      <c r="F38" s="71"/>
      <c r="G38" s="6"/>
      <c r="H38" s="90"/>
      <c r="I38" s="90"/>
      <c r="J38" s="2"/>
      <c r="K38" s="71"/>
      <c r="M38" s="6"/>
      <c r="N38" s="90"/>
      <c r="O38" s="90"/>
      <c r="P38" s="2"/>
      <c r="Q38" s="71"/>
      <c r="R38" s="6"/>
      <c r="S38" s="90"/>
      <c r="T38" s="90"/>
      <c r="U38" s="2"/>
      <c r="V38" s="71"/>
      <c r="X38" s="6"/>
      <c r="Y38" s="90"/>
      <c r="Z38" s="90"/>
      <c r="AA38" s="2"/>
      <c r="AB38" s="71"/>
      <c r="AC38" s="6"/>
      <c r="AD38" s="90"/>
      <c r="AE38" s="90"/>
      <c r="AF38" s="2"/>
      <c r="AG38" s="71"/>
      <c r="AI38" s="6" t="str">
        <v>Knippenberg, R. (Rachel)</v>
      </c>
      <c r="AJ38" s="90">
        <v>0</v>
      </c>
      <c r="AK38" s="90">
        <v>0</v>
      </c>
      <c r="AL38" s="2">
        <v>0</v>
      </c>
      <c r="AM38" s="71">
        <v>26.87</v>
      </c>
      <c r="AN38" s="6"/>
      <c r="AO38" s="90"/>
      <c r="AP38" s="90"/>
      <c r="AQ38" s="2"/>
      <c r="AR38" s="71"/>
      <c r="AT38" s="6"/>
      <c r="AU38" s="90"/>
      <c r="AV38" s="90"/>
      <c r="AW38" s="2"/>
      <c r="AX38" s="71"/>
      <c r="AY38" s="6"/>
      <c r="AZ38" s="90"/>
      <c r="BA38" s="90"/>
      <c r="BB38" s="2"/>
      <c r="BC38" s="71"/>
      <c r="BE38" s="6"/>
      <c r="BF38" s="90"/>
      <c r="BG38" s="90"/>
      <c r="BH38" s="2"/>
      <c r="BI38" s="71"/>
      <c r="BJ38" s="6" t="str">
        <v>Pille, M.A. (Menno)</v>
      </c>
      <c r="BK38" s="90">
        <v>0</v>
      </c>
      <c r="BL38" s="90">
        <v>0</v>
      </c>
      <c r="BM38" s="2" t="str">
        <v>A3</v>
      </c>
      <c r="BN38" s="71">
        <v>18.71</v>
      </c>
      <c r="BP38" s="6"/>
      <c r="BQ38" s="90"/>
      <c r="BR38" s="90"/>
      <c r="BS38" s="2"/>
      <c r="BT38" s="71"/>
      <c r="BU38" s="6"/>
      <c r="BV38" s="90"/>
      <c r="BW38" s="90"/>
      <c r="BX38" s="2"/>
      <c r="BY38" s="71"/>
      <c r="CA38" s="6"/>
      <c r="CB38" s="90"/>
      <c r="CC38" s="90"/>
      <c r="CD38" s="2"/>
      <c r="CE38" s="7"/>
      <c r="CF38" s="6"/>
      <c r="CG38" s="90"/>
      <c r="CH38" s="90"/>
      <c r="CI38" s="2"/>
      <c r="CJ38" s="7"/>
    </row>
    <row r="39" spans="1:88">
      <c r="A39" s="152"/>
      <c r="B39" s="6"/>
      <c r="C39" s="90"/>
      <c r="D39" s="90"/>
      <c r="E39" s="2"/>
      <c r="F39" s="71"/>
      <c r="G39" s="6"/>
      <c r="H39" s="90"/>
      <c r="I39" s="90"/>
      <c r="J39" s="2"/>
      <c r="K39" s="71"/>
      <c r="M39" s="6"/>
      <c r="N39" s="90"/>
      <c r="O39" s="90"/>
      <c r="P39" s="2"/>
      <c r="Q39" s="71"/>
      <c r="R39" s="6"/>
      <c r="S39" s="90"/>
      <c r="T39" s="90"/>
      <c r="U39" s="2"/>
      <c r="V39" s="71"/>
      <c r="X39" s="6"/>
      <c r="Y39" s="90"/>
      <c r="Z39" s="90"/>
      <c r="AA39" s="2"/>
      <c r="AB39" s="71"/>
      <c r="AC39" s="6"/>
      <c r="AD39" s="90"/>
      <c r="AE39" s="90"/>
      <c r="AF39" s="2"/>
      <c r="AG39" s="71"/>
      <c r="AI39" s="6" t="str">
        <v>Hoffman, M. (Merel)</v>
      </c>
      <c r="AJ39" s="90">
        <v>0</v>
      </c>
      <c r="AK39" s="90">
        <v>0</v>
      </c>
      <c r="AL39" s="2">
        <v>0</v>
      </c>
      <c r="AM39" s="71">
        <v>126</v>
      </c>
      <c r="AN39" s="6"/>
      <c r="AO39" s="90"/>
      <c r="AP39" s="90"/>
      <c r="AQ39" s="2"/>
      <c r="AR39" s="71"/>
      <c r="AT39" s="6"/>
      <c r="AU39" s="90"/>
      <c r="AV39" s="90"/>
      <c r="AW39" s="2"/>
      <c r="AX39" s="71"/>
      <c r="AY39" s="6"/>
      <c r="AZ39" s="90"/>
      <c r="BA39" s="90"/>
      <c r="BB39" s="2"/>
      <c r="BC39" s="71"/>
      <c r="BE39" s="6"/>
      <c r="BF39" s="90"/>
      <c r="BG39" s="90"/>
      <c r="BH39" s="2"/>
      <c r="BI39" s="71"/>
      <c r="BJ39" s="6"/>
      <c r="BK39" s="90"/>
      <c r="BL39" s="90"/>
      <c r="BM39" s="2"/>
      <c r="BN39" s="71"/>
      <c r="BP39" s="6"/>
      <c r="BQ39" s="90"/>
      <c r="BR39" s="90"/>
      <c r="BS39" s="2"/>
      <c r="BT39" s="71"/>
      <c r="BU39" s="6"/>
      <c r="BV39" s="90"/>
      <c r="BW39" s="90"/>
      <c r="BX39" s="2"/>
      <c r="BY39" s="71"/>
      <c r="CA39" s="6"/>
      <c r="CB39" s="90"/>
      <c r="CC39" s="90"/>
      <c r="CD39" s="2"/>
      <c r="CE39" s="7"/>
      <c r="CF39" s="6"/>
      <c r="CG39" s="90"/>
      <c r="CH39" s="90"/>
      <c r="CI39" s="2"/>
      <c r="CJ39" s="7"/>
    </row>
    <row r="40" spans="1:88" ht="15.75" thickBot="1">
      <c r="A40" s="152"/>
      <c r="B40" s="6"/>
      <c r="C40" s="90"/>
      <c r="D40" s="90"/>
      <c r="E40" s="2"/>
      <c r="F40" s="71"/>
      <c r="G40" s="6"/>
      <c r="H40" s="90"/>
      <c r="I40" s="90"/>
      <c r="J40" s="2"/>
      <c r="K40" s="71"/>
      <c r="M40" s="6"/>
      <c r="N40" s="90"/>
      <c r="O40" s="90"/>
      <c r="P40" s="2"/>
      <c r="Q40" s="71"/>
      <c r="R40" s="6"/>
      <c r="S40" s="90"/>
      <c r="T40" s="90"/>
      <c r="U40" s="2"/>
      <c r="V40" s="71"/>
      <c r="X40" s="6"/>
      <c r="Y40" s="90"/>
      <c r="Z40" s="90"/>
      <c r="AA40" s="2"/>
      <c r="AB40" s="71"/>
      <c r="AC40" s="6"/>
      <c r="AD40" s="90"/>
      <c r="AE40" s="90"/>
      <c r="AF40" s="2"/>
      <c r="AG40" s="71"/>
      <c r="AI40" s="6"/>
      <c r="AJ40" s="90"/>
      <c r="AK40" s="90"/>
      <c r="AL40" s="2"/>
      <c r="AM40" s="71"/>
      <c r="AN40" s="6"/>
      <c r="AO40" s="90"/>
      <c r="AP40" s="90"/>
      <c r="AQ40" s="2"/>
      <c r="AR40" s="71"/>
      <c r="AT40" s="6"/>
      <c r="AU40" s="90"/>
      <c r="AV40" s="90"/>
      <c r="AW40" s="2"/>
      <c r="AX40" s="71"/>
      <c r="AY40" s="6"/>
      <c r="AZ40" s="90"/>
      <c r="BA40" s="90"/>
      <c r="BB40" s="2"/>
      <c r="BC40" s="71"/>
      <c r="BE40" s="6"/>
      <c r="BF40" s="90"/>
      <c r="BG40" s="90"/>
      <c r="BH40" s="2"/>
      <c r="BI40" s="71"/>
      <c r="BJ40" s="6"/>
      <c r="BK40" s="90"/>
      <c r="BL40" s="90"/>
      <c r="BM40" s="2"/>
      <c r="BN40" s="71"/>
      <c r="BP40" s="6"/>
      <c r="BQ40" s="90"/>
      <c r="BR40" s="90"/>
      <c r="BS40" s="2"/>
      <c r="BT40" s="71"/>
      <c r="BU40" s="6"/>
      <c r="BV40" s="90"/>
      <c r="BW40" s="90"/>
      <c r="BX40" s="2"/>
      <c r="BY40" s="71"/>
      <c r="CA40" s="6"/>
      <c r="CB40" s="90"/>
      <c r="CC40" s="90"/>
      <c r="CD40" s="2"/>
      <c r="CE40" s="7"/>
      <c r="CF40" s="6"/>
      <c r="CG40" s="90"/>
      <c r="CH40" s="90"/>
      <c r="CI40" s="2"/>
      <c r="CJ40" s="7"/>
    </row>
    <row r="41" spans="1:88">
      <c r="A41" s="152"/>
      <c r="B41" s="12" t="str" cm="1">
        <f t="array" ref="B41">_xlfn._xlws.FILTER(Staf!$C:$C,Staf!$B:$B=Teamsamenstelling!B29,"")</f>
        <v/>
      </c>
      <c r="C41" s="13"/>
      <c r="D41" s="13"/>
      <c r="E41" s="13" t="str" cm="1">
        <f t="array" ref="E41">_xlfn._xlws.FILTER(Staf!$A:$A,Staf!$B:$B=Teamsamenstelling!B29,"")</f>
        <v/>
      </c>
      <c r="F41" s="72"/>
      <c r="G41" s="13"/>
      <c r="H41" s="13"/>
      <c r="I41" s="13"/>
      <c r="J41" s="13"/>
      <c r="K41" s="76"/>
      <c r="M41" s="12" t="str" cm="1">
        <f t="array" ref="M41">_xlfn._xlws.FILTER(Staf!$C:$C,Staf!$B:$B=Teamsamenstelling!M29,"")</f>
        <v/>
      </c>
      <c r="N41" s="13"/>
      <c r="O41" s="13"/>
      <c r="P41" s="13" t="str" cm="1">
        <f t="array" ref="P41">_xlfn._xlws.FILTER(Staf!$A:$A,Staf!$B:$B=Teamsamenstelling!M29,"")</f>
        <v/>
      </c>
      <c r="Q41" s="72"/>
      <c r="R41" s="13"/>
      <c r="S41" s="13"/>
      <c r="T41" s="13"/>
      <c r="U41" s="13"/>
      <c r="V41" s="76"/>
      <c r="X41" s="12" t="str" cm="1">
        <f t="array" ref="X41">_xlfn._xlws.FILTER(Staf!$C:$C,Staf!$B:$B=Teamsamenstelling!X29,"")</f>
        <v>Begeleider</v>
      </c>
      <c r="Y41" s="13"/>
      <c r="Z41" s="13"/>
      <c r="AA41" s="13"/>
      <c r="AB41" s="72"/>
      <c r="AC41" s="13" t="str" cm="1">
        <f t="array" ref="AC41">_xlfn._xlws.FILTER(Staf!$A:$A,Staf!$B:$B=Teamsamenstelling!X29,"")</f>
        <v>Kim Ardon</v>
      </c>
      <c r="AD41" s="13"/>
      <c r="AE41" s="13"/>
      <c r="AF41" s="13"/>
      <c r="AG41" s="76"/>
      <c r="AI41" s="12" t="str" cm="1">
        <f t="array" ref="AI41">_xlfn._xlws.FILTER(Staf!$C:$C,Staf!$B:$B=Teamsamenstelling!AI29,"")</f>
        <v>Trainer/Coach</v>
      </c>
      <c r="AJ41" s="13"/>
      <c r="AK41" s="13"/>
      <c r="AL41" s="13"/>
      <c r="AM41" s="72"/>
      <c r="AN41" s="13" t="str" cm="1">
        <f t="array" ref="AN41">_xlfn._xlws.FILTER(Staf!$A:$A,Staf!$B:$B=Teamsamenstelling!AI29,"")</f>
        <v>Dio Naaktgeboren</v>
      </c>
      <c r="AO41" s="13"/>
      <c r="AP41" s="13"/>
      <c r="AQ41" s="13"/>
      <c r="AR41" s="76"/>
      <c r="AT41" s="12" t="str" cm="1">
        <f t="array" ref="AT41">_xlfn._xlws.FILTER(Staf!$C:$C,Staf!$B:$B=Teamsamenstelling!AT29,"")</f>
        <v/>
      </c>
      <c r="AU41" s="13"/>
      <c r="AV41" s="13"/>
      <c r="AW41" s="13"/>
      <c r="AX41" s="72"/>
      <c r="AY41" s="13" t="str" cm="1">
        <f t="array" ref="AY41">_xlfn._xlws.FILTER(Staf!$A:$A,Staf!$B:$B=Teamsamenstelling!AT29,"")</f>
        <v/>
      </c>
      <c r="AZ41" s="13"/>
      <c r="BA41" s="13"/>
      <c r="BB41" s="13"/>
      <c r="BC41" s="76"/>
      <c r="BE41" s="12" t="str" cm="1">
        <f t="array" ref="BE41">_xlfn._xlws.FILTER(Staf!$C:$C,Staf!$B:$B=Teamsamenstelling!BE29,"")</f>
        <v/>
      </c>
      <c r="BF41" s="13"/>
      <c r="BG41" s="13"/>
      <c r="BH41" s="13"/>
      <c r="BI41" s="72"/>
      <c r="BJ41" s="13" t="str" cm="1">
        <f t="array" ref="BJ41">_xlfn._xlws.FILTER(Staf!$A:$A,Staf!$B:$B=Teamsamenstelling!BE29,"")</f>
        <v/>
      </c>
      <c r="BK41" s="13"/>
      <c r="BL41" s="13"/>
      <c r="BM41" s="13"/>
      <c r="BN41" s="76"/>
      <c r="BP41" s="12" t="str" cm="1">
        <f t="array" ref="BP41">_xlfn._xlws.FILTER(Staf!$C:$C,Staf!$B:$B=Teamsamenstelling!BP29,"")</f>
        <v/>
      </c>
      <c r="BQ41" s="13"/>
      <c r="BR41" s="13"/>
      <c r="BS41" s="13" t="str" cm="1">
        <f t="array" ref="BS41">_xlfn._xlws.FILTER(Staf!$A:$A,Staf!$B:$B=Teamsamenstelling!BP29,"")</f>
        <v/>
      </c>
      <c r="BT41" s="72"/>
      <c r="BU41" s="13"/>
      <c r="BV41" s="13"/>
      <c r="BW41" s="13"/>
      <c r="BX41" s="13"/>
      <c r="BY41" s="76"/>
      <c r="CA41" s="12" t="str" cm="1">
        <f t="array" ref="CA41">_xlfn._xlws.FILTER(Staf!$C:$C,Staf!$B:$B=Teamsamenstelling!CA29,"")</f>
        <v/>
      </c>
      <c r="CB41" s="13"/>
      <c r="CC41" s="13"/>
      <c r="CD41" s="13" t="str" cm="1">
        <f t="array" ref="CD41">_xlfn._xlws.FILTER(Staf!$A:$A,Staf!$B:$B=Teamsamenstelling!CA29,"")</f>
        <v/>
      </c>
      <c r="CE41" s="13"/>
      <c r="CF41" s="13"/>
      <c r="CG41" s="13"/>
      <c r="CH41" s="13"/>
      <c r="CI41" s="13"/>
      <c r="CJ41" s="14"/>
    </row>
    <row r="42" spans="1:88">
      <c r="A42" s="152"/>
      <c r="B42" s="15"/>
      <c r="C42" s="16"/>
      <c r="D42" s="16"/>
      <c r="E42" s="16"/>
      <c r="F42" s="73"/>
      <c r="G42" s="16"/>
      <c r="H42" s="16"/>
      <c r="I42" s="16"/>
      <c r="J42" s="16"/>
      <c r="K42" s="77"/>
      <c r="M42" s="15"/>
      <c r="N42" s="16"/>
      <c r="O42" s="16"/>
      <c r="P42" s="16"/>
      <c r="Q42" s="73"/>
      <c r="R42" s="16"/>
      <c r="S42" s="16"/>
      <c r="T42" s="16"/>
      <c r="U42" s="16"/>
      <c r="V42" s="77"/>
      <c r="X42" s="15"/>
      <c r="Y42" s="16"/>
      <c r="Z42" s="16"/>
      <c r="AA42" s="16"/>
      <c r="AB42" s="73"/>
      <c r="AC42" s="16"/>
      <c r="AD42" s="16"/>
      <c r="AE42" s="16"/>
      <c r="AF42" s="16"/>
      <c r="AG42" s="77"/>
      <c r="AI42" s="15"/>
      <c r="AJ42" s="16"/>
      <c r="AK42" s="16"/>
      <c r="AL42" s="16"/>
      <c r="AM42" s="73"/>
      <c r="AN42" s="16"/>
      <c r="AO42" s="16"/>
      <c r="AP42" s="16"/>
      <c r="AQ42" s="16"/>
      <c r="AR42" s="77"/>
      <c r="AT42" s="15"/>
      <c r="AU42" s="16"/>
      <c r="AV42" s="16"/>
      <c r="AW42" s="16"/>
      <c r="AX42" s="73"/>
      <c r="AY42" s="16"/>
      <c r="AZ42" s="16"/>
      <c r="BA42" s="16"/>
      <c r="BB42" s="16"/>
      <c r="BC42" s="77"/>
      <c r="BE42" s="15"/>
      <c r="BF42" s="16"/>
      <c r="BG42" s="16"/>
      <c r="BH42" s="16"/>
      <c r="BI42" s="73"/>
      <c r="BJ42" s="16"/>
      <c r="BK42" s="16"/>
      <c r="BL42" s="16"/>
      <c r="BM42" s="16"/>
      <c r="BN42" s="77"/>
      <c r="BP42" s="15"/>
      <c r="BQ42" s="16"/>
      <c r="BR42" s="16"/>
      <c r="BS42" s="16"/>
      <c r="BT42" s="73"/>
      <c r="BU42" s="16"/>
      <c r="BV42" s="16"/>
      <c r="BW42" s="16"/>
      <c r="BX42" s="16"/>
      <c r="BY42" s="77"/>
      <c r="CA42" s="15"/>
      <c r="CB42" s="16"/>
      <c r="CC42" s="16"/>
      <c r="CD42" s="16"/>
      <c r="CE42" s="16"/>
      <c r="CF42" s="16"/>
      <c r="CG42" s="16"/>
      <c r="CH42" s="16"/>
      <c r="CI42" s="16"/>
      <c r="CJ42" s="17"/>
    </row>
    <row r="43" spans="1:88" ht="15.75" thickBot="1">
      <c r="A43" s="152"/>
      <c r="B43" s="18"/>
      <c r="C43" s="19"/>
      <c r="D43" s="19"/>
      <c r="E43" s="19"/>
      <c r="F43" s="74"/>
      <c r="G43" s="19"/>
      <c r="H43" s="19"/>
      <c r="I43" s="19"/>
      <c r="J43" s="19"/>
      <c r="K43" s="78"/>
      <c r="M43" s="18"/>
      <c r="N43" s="19"/>
      <c r="O43" s="19"/>
      <c r="P43" s="19"/>
      <c r="Q43" s="74"/>
      <c r="R43" s="19"/>
      <c r="S43" s="19"/>
      <c r="T43" s="19"/>
      <c r="U43" s="19"/>
      <c r="V43" s="78"/>
      <c r="X43" s="18"/>
      <c r="Y43" s="19"/>
      <c r="Z43" s="19"/>
      <c r="AA43" s="19"/>
      <c r="AB43" s="74"/>
      <c r="AC43" s="19"/>
      <c r="AD43" s="19"/>
      <c r="AE43" s="19"/>
      <c r="AF43" s="19"/>
      <c r="AG43" s="78"/>
      <c r="AI43" s="18"/>
      <c r="AJ43" s="19"/>
      <c r="AK43" s="19"/>
      <c r="AL43" s="19"/>
      <c r="AM43" s="74"/>
      <c r="AN43" s="19"/>
      <c r="AO43" s="19"/>
      <c r="AP43" s="19"/>
      <c r="AQ43" s="19"/>
      <c r="AR43" s="78"/>
      <c r="AT43" s="18"/>
      <c r="AU43" s="19"/>
      <c r="AV43" s="19"/>
      <c r="AW43" s="19"/>
      <c r="AX43" s="74"/>
      <c r="AY43" s="19"/>
      <c r="AZ43" s="19"/>
      <c r="BA43" s="19"/>
      <c r="BB43" s="19"/>
      <c r="BC43" s="78"/>
      <c r="BE43" s="18"/>
      <c r="BF43" s="19"/>
      <c r="BG43" s="19"/>
      <c r="BH43" s="19"/>
      <c r="BI43" s="74"/>
      <c r="BJ43" s="19"/>
      <c r="BK43" s="19"/>
      <c r="BL43" s="19"/>
      <c r="BM43" s="19"/>
      <c r="BN43" s="78"/>
      <c r="BP43" s="18"/>
      <c r="BQ43" s="19"/>
      <c r="BR43" s="19"/>
      <c r="BS43" s="19"/>
      <c r="BT43" s="74"/>
      <c r="BU43" s="19"/>
      <c r="BV43" s="19"/>
      <c r="BW43" s="19"/>
      <c r="BX43" s="19"/>
      <c r="BY43" s="78"/>
      <c r="CA43" s="18"/>
      <c r="CB43" s="19"/>
      <c r="CC43" s="19"/>
      <c r="CD43" s="19"/>
      <c r="CE43" s="19"/>
      <c r="CF43" s="19"/>
      <c r="CG43" s="19"/>
      <c r="CH43" s="19"/>
      <c r="CI43" s="19"/>
      <c r="CJ43" s="20"/>
    </row>
    <row r="44" spans="1:88" ht="15.75" thickBot="1"/>
    <row r="45" spans="1:88" ht="15.75" thickBot="1">
      <c r="A45" s="152" t="s">
        <v>14</v>
      </c>
      <c r="B45" s="21" t="s">
        <v>15</v>
      </c>
      <c r="C45" s="21"/>
      <c r="D45" s="21"/>
      <c r="E45" s="21"/>
      <c r="F45" s="68"/>
      <c r="G45" s="21"/>
      <c r="H45" s="21"/>
      <c r="I45" s="21"/>
      <c r="J45" s="21"/>
      <c r="K45" s="75" t="e">
        <f>AVERAGE(F47:F57,K47:K57)</f>
        <v>#DIV/0!</v>
      </c>
      <c r="M45" s="21" t="s">
        <v>16</v>
      </c>
      <c r="N45" s="21"/>
      <c r="O45" s="21"/>
      <c r="P45" s="21"/>
      <c r="Q45" s="68"/>
      <c r="R45" s="21"/>
      <c r="S45" s="21"/>
      <c r="T45" s="21"/>
      <c r="U45" s="21"/>
      <c r="V45" s="75" t="e">
        <f>AVERAGE(Q47:Q57,V47:V57)</f>
        <v>#DIV/0!</v>
      </c>
      <c r="X45" s="21" t="s">
        <v>17</v>
      </c>
      <c r="Y45" s="21"/>
      <c r="Z45" s="21"/>
      <c r="AA45" s="21"/>
      <c r="AB45" s="68"/>
      <c r="AC45" s="21"/>
      <c r="AD45" s="21"/>
      <c r="AE45" s="21"/>
      <c r="AF45" s="21"/>
      <c r="AG45" s="75">
        <f>AVERAGE(AB47:AB57,AG47:AG57)</f>
        <v>16.41</v>
      </c>
      <c r="AI45" s="21" t="s">
        <v>18</v>
      </c>
      <c r="AJ45" s="21"/>
      <c r="AK45" s="21"/>
      <c r="AL45" s="21"/>
      <c r="AM45" s="68"/>
      <c r="AN45" s="21"/>
      <c r="AO45" s="21"/>
      <c r="AP45" s="21"/>
      <c r="AQ45" s="21"/>
      <c r="AR45" s="75">
        <f>AVERAGE(AM47:AM57,AR47:AR57)</f>
        <v>15.423636363636366</v>
      </c>
      <c r="AT45" s="139" t="s">
        <v>19</v>
      </c>
      <c r="AU45" s="21"/>
      <c r="AV45" s="21"/>
      <c r="AW45" s="21"/>
      <c r="AX45" s="68"/>
      <c r="AY45" s="21"/>
      <c r="AZ45" s="21"/>
      <c r="BA45" s="21"/>
      <c r="BB45" s="21"/>
      <c r="BC45" s="75" t="e">
        <f>AVERAGE(AX47:AX57,BC47:BC57)</f>
        <v>#DIV/0!</v>
      </c>
    </row>
    <row r="46" spans="1:88" ht="15.75" thickBot="1">
      <c r="A46" s="152"/>
      <c r="B46" s="8" t="str">
        <f>CONCATENATE("Dames (",COUNTA(E47:E55),")")</f>
        <v>Dames (1)</v>
      </c>
      <c r="C46" s="9"/>
      <c r="D46" s="9"/>
      <c r="E46" s="9"/>
      <c r="F46" s="69"/>
      <c r="G46" s="8" t="str">
        <f>CONCATENATE("Heren (",COUNTA(J47:J55),")")</f>
        <v>Heren (1)</v>
      </c>
      <c r="H46" s="9"/>
      <c r="I46" s="9"/>
      <c r="J46" s="9"/>
      <c r="K46" s="69"/>
      <c r="M46" s="8" t="str">
        <f>CONCATENATE("Dames (",COUNTA(P47:P55),")")</f>
        <v>Dames (1)</v>
      </c>
      <c r="N46" s="9"/>
      <c r="O46" s="9"/>
      <c r="P46" s="9"/>
      <c r="Q46" s="69"/>
      <c r="R46" s="8" t="str">
        <f>CONCATENATE("Heren (",COUNTA(U47:U55),")")</f>
        <v>Heren (1)</v>
      </c>
      <c r="S46" s="9"/>
      <c r="T46" s="9"/>
      <c r="U46" s="9"/>
      <c r="V46" s="69"/>
      <c r="X46" s="8" t="str">
        <f>CONCATENATE("Dames (",COUNTA(AA47:AA55),")")</f>
        <v>Dames (6)</v>
      </c>
      <c r="Y46" s="9"/>
      <c r="Z46" s="9"/>
      <c r="AA46" s="9"/>
      <c r="AB46" s="69"/>
      <c r="AC46" s="8" t="str">
        <f>CONCATENATE("Heren (",COUNTA(AF47:AF55),")")</f>
        <v>Heren (4)</v>
      </c>
      <c r="AD46" s="9"/>
      <c r="AE46" s="9"/>
      <c r="AF46" s="9"/>
      <c r="AG46" s="69"/>
      <c r="AI46" s="8" t="str">
        <f>CONCATENATE("Dames (",COUNTA(AL47:AL55),")")</f>
        <v>Dames (8)</v>
      </c>
      <c r="AJ46" s="9"/>
      <c r="AK46" s="9"/>
      <c r="AL46" s="9"/>
      <c r="AM46" s="69"/>
      <c r="AN46" s="8" t="str">
        <f>CONCATENATE("Heren (",COUNTA(AQ47:AQ55),")")</f>
        <v>Heren (3)</v>
      </c>
      <c r="AO46" s="9"/>
      <c r="AP46" s="9"/>
      <c r="AQ46" s="9"/>
      <c r="AR46" s="69"/>
      <c r="AT46" s="8" t="str">
        <f>CONCATENATE("Dames (",COUNTA(AW47:AW55),")")</f>
        <v>Dames (1)</v>
      </c>
      <c r="AU46" s="9"/>
      <c r="AV46" s="9"/>
      <c r="AW46" s="9"/>
      <c r="AX46" s="69"/>
      <c r="AY46" s="8" t="str">
        <f>CONCATENATE("Heren (",COUNTA(BB47:BB55),")")</f>
        <v>Heren (1)</v>
      </c>
      <c r="AZ46" s="9"/>
      <c r="BA46" s="9"/>
      <c r="BB46" s="9"/>
      <c r="BC46" s="69"/>
    </row>
    <row r="47" spans="1:88">
      <c r="A47" s="152"/>
      <c r="B47" s="3" t="str" cm="1">
        <f t="array" ref="B47">_xlfn._xlws.FILTER(Spelerslijst!$B:$B,Spelerslijst!$F:$F=B$45,"")</f>
        <v/>
      </c>
      <c r="C47" s="89" t="str" cm="1">
        <f t="array" ref="C47">_xlfn._xlws.FILTER(Spelerslijst!$I:$I,Spelerslijst!$F:$F=B$45,"")</f>
        <v/>
      </c>
      <c r="D47" s="89" t="str" cm="1">
        <f t="array" ref="D47">_xlfn._xlws.FILTER(Spelerslijst!$J:$J,Spelerslijst!$F:$F=B$45,"")</f>
        <v/>
      </c>
      <c r="E47" s="4" t="str" cm="1">
        <f t="array" ref="E47">_xlfn._xlws.FILTER(Spelerslijst!$H:$H,Spelerslijst!$F:$F=B$45,"")</f>
        <v/>
      </c>
      <c r="F47" s="70" t="str" cm="1">
        <f t="array" ref="F47">_xlfn._xlws.FILTER(Spelerslijst!$D:$D,Spelerslijst!$F:$F=B$45,"")</f>
        <v/>
      </c>
      <c r="G47" s="3" t="str" cm="1">
        <f t="array" ref="G47">_xlfn._xlws.FILTER(Spelerslijst!$M:$M,Spelerslijst!$Q:$Q=B$45,"")</f>
        <v/>
      </c>
      <c r="H47" s="89" t="str" cm="1">
        <f t="array" ref="H47">_xlfn._xlws.FILTER(Spelerslijst!$T:$T,Spelerslijst!$Q:$Q=B$45,"")</f>
        <v/>
      </c>
      <c r="I47" s="89" t="str" cm="1">
        <f t="array" ref="I47">_xlfn._xlws.FILTER(Spelerslijst!$U:$U,Spelerslijst!$Q:$Q=B$45,"")</f>
        <v/>
      </c>
      <c r="J47" s="4" t="str" cm="1">
        <f t="array" ref="J47">_xlfn._xlws.FILTER(Spelerslijst!$S:$S,Spelerslijst!$Q:$Q=B$45,"")</f>
        <v/>
      </c>
      <c r="K47" s="70" t="str" cm="1">
        <f t="array" ref="K47">_xlfn._xlws.FILTER(Spelerslijst!$O:$O,Spelerslijst!$Q:$Q=B$45,"")</f>
        <v/>
      </c>
      <c r="M47" s="3" t="str" cm="1">
        <f t="array" ref="M47">_xlfn._xlws.FILTER(Spelerslijst!$B:$B,Spelerslijst!$F:$F=M$45,"")</f>
        <v/>
      </c>
      <c r="N47" s="89" t="str" cm="1">
        <f t="array" ref="N47">_xlfn._xlws.FILTER(Spelerslijst!$I:$I,Spelerslijst!$F:$F=M$45,"")</f>
        <v/>
      </c>
      <c r="O47" s="89" t="str" cm="1">
        <f t="array" ref="O47">_xlfn._xlws.FILTER(Spelerslijst!$J:$J,Spelerslijst!$F:$F=M$45,"")</f>
        <v/>
      </c>
      <c r="P47" s="4" t="str" cm="1">
        <f t="array" ref="P47">_xlfn._xlws.FILTER(Spelerslijst!$H:$H,Spelerslijst!$F:$F=M$45,"")</f>
        <v/>
      </c>
      <c r="Q47" s="70" t="str" cm="1">
        <f t="array" ref="Q47">_xlfn._xlws.FILTER(Spelerslijst!$D:$D,Spelerslijst!$F:$F=M$45,"")</f>
        <v/>
      </c>
      <c r="R47" s="3" t="str" cm="1">
        <f t="array" ref="R47">_xlfn._xlws.FILTER(Spelerslijst!$M:$M,Spelerslijst!$Q:$Q=M$45,"")</f>
        <v/>
      </c>
      <c r="S47" s="89" t="str" cm="1">
        <f t="array" ref="S47">_xlfn._xlws.FILTER(Spelerslijst!$T:$T,Spelerslijst!$Q:$Q=M$45,"")</f>
        <v/>
      </c>
      <c r="T47" s="89" t="str" cm="1">
        <f t="array" ref="T47">_xlfn._xlws.FILTER(Spelerslijst!$U:$U,Spelerslijst!$Q:$Q=M$45,"")</f>
        <v/>
      </c>
      <c r="U47" s="4" t="str" cm="1">
        <f t="array" ref="U47">_xlfn._xlws.FILTER(Spelerslijst!$S:$S,Spelerslijst!$Q:$Q=M$45,"")</f>
        <v/>
      </c>
      <c r="V47" s="70" t="str" cm="1">
        <f t="array" ref="V47">_xlfn._xlws.FILTER(Spelerslijst!$O:$O,Spelerslijst!$Q:$Q=M$45,"")</f>
        <v/>
      </c>
      <c r="X47" s="3" t="str" cm="1">
        <f t="array" ref="X47:X52">_xlfn._xlws.FILTER(Spelerslijst!$B:$B,Spelerslijst!$F:$F=X$45,"")</f>
        <v>Dekker, J. (Jordan)</v>
      </c>
      <c r="Y47" s="89" cm="1">
        <f t="array" ref="Y47:Y52">_xlfn._xlws.FILTER(Spelerslijst!$I:$I,Spelerslijst!$F:$F=X$45,"")</f>
        <v>0</v>
      </c>
      <c r="Z47" s="89" cm="1">
        <f t="array" ref="Z47:Z52">_xlfn._xlws.FILTER(Spelerslijst!$J:$J,Spelerslijst!$F:$F=X$45,"")</f>
        <v>0</v>
      </c>
      <c r="AA47" s="4" t="str" cm="1">
        <f t="array" ref="AA47:AA52">_xlfn._xlws.FILTER(Spelerslijst!$H:$H,Spelerslijst!$F:$F=X$45,"")</f>
        <v>-</v>
      </c>
      <c r="AB47" s="70" cm="1">
        <f t="array" ref="AB47:AB52">_xlfn._xlws.FILTER(Spelerslijst!$D:$D,Spelerslijst!$F:$F=X$45,"")</f>
        <v>15.56</v>
      </c>
      <c r="AC47" s="3" t="str" cm="1">
        <f t="array" ref="AC47:AC50">_xlfn._xlws.FILTER(Spelerslijst!$M:$M,Spelerslijst!$Q:$Q=X$45,"")</f>
        <v>Jongh, M. (Matthijs) de</v>
      </c>
      <c r="AD47" s="89" cm="1">
        <f t="array" ref="AD47:AD50">_xlfn._xlws.FILTER(Spelerslijst!$T:$T,Spelerslijst!$Q:$Q=X$45,"")</f>
        <v>0</v>
      </c>
      <c r="AE47" s="89" cm="1">
        <f t="array" ref="AE47:AE50">_xlfn._xlws.FILTER(Spelerslijst!$U:$U,Spelerslijst!$Q:$Q=X$45,"")</f>
        <v>0</v>
      </c>
      <c r="AF47" s="4" t="str" cm="1">
        <f t="array" ref="AF47:AF50">_xlfn._xlws.FILTER(Spelerslijst!$S:$S,Spelerslijst!$Q:$Q=X$45,"")</f>
        <v>A3</v>
      </c>
      <c r="AG47" s="70" cm="1">
        <f t="array" ref="AG47:AG50">_xlfn._xlws.FILTER(Spelerslijst!$O:$O,Spelerslijst!$Q:$Q=X$45,"")</f>
        <v>18.23</v>
      </c>
      <c r="AI47" s="3" t="str" cm="1">
        <f t="array" ref="AI47:AI54">_xlfn._xlws.FILTER(Spelerslijst!$B:$B,Spelerslijst!$F:$F=AI$45,"")</f>
        <v>Jongkind, P. (Pippa)</v>
      </c>
      <c r="AJ47" s="89" cm="1">
        <f t="array" ref="AJ47:AJ54">_xlfn._xlws.FILTER(Spelerslijst!$I:$I,Spelerslijst!$F:$F=AI$45,"")</f>
        <v>0</v>
      </c>
      <c r="AK47" s="89" cm="1">
        <f t="array" ref="AK47:AK54">_xlfn._xlws.FILTER(Spelerslijst!$J:$J,Spelerslijst!$F:$F=AI$45,"")</f>
        <v>0</v>
      </c>
      <c r="AL47" s="4" t="str" cm="1">
        <f t="array" ref="AL47:AL54">_xlfn._xlws.FILTER(Spelerslijst!$H:$H,Spelerslijst!$F:$F=AI$45,"")</f>
        <v>B4</v>
      </c>
      <c r="AM47" s="70" cm="1">
        <f t="array" ref="AM47:AM54">_xlfn._xlws.FILTER(Spelerslijst!$D:$D,Spelerslijst!$F:$F=AI$45,"")</f>
        <v>14.31</v>
      </c>
      <c r="AN47" s="3" t="str" cm="1">
        <f t="array" ref="AN47:AN49">_xlfn._xlws.FILTER(Spelerslijst!$M:$M,Spelerslijst!$Q:$Q=AI$45,"")</f>
        <v>Quarre, S.M. (Stephan)</v>
      </c>
      <c r="AO47" s="89" cm="1">
        <f t="array" ref="AO47:AO49">_xlfn._xlws.FILTER(Spelerslijst!$T:$T,Spelerslijst!$Q:$Q=AI$45,"")</f>
        <v>0</v>
      </c>
      <c r="AP47" s="89" cm="1">
        <f t="array" ref="AP47:AP49">_xlfn._xlws.FILTER(Spelerslijst!$U:$U,Spelerslijst!$Q:$Q=AI$45,"")</f>
        <v>0</v>
      </c>
      <c r="AQ47" s="4" t="str" cm="1">
        <f t="array" ref="AQ47:AQ49">_xlfn._xlws.FILTER(Spelerslijst!$S:$S,Spelerslijst!$Q:$Q=AI$45,"")</f>
        <v>B3</v>
      </c>
      <c r="AR47" s="70" cm="1">
        <f t="array" ref="AR47:AR49">_xlfn._xlws.FILTER(Spelerslijst!$O:$O,Spelerslijst!$Q:$Q=AI$45,"")</f>
        <v>16.82</v>
      </c>
      <c r="AT47" s="3" t="str" cm="1">
        <f t="array" ref="AT47">_xlfn._xlws.FILTER(Spelerslijst!$B:$B,Spelerslijst!$F:$F=AT45,"")</f>
        <v/>
      </c>
      <c r="AU47" s="89" t="str" cm="1">
        <f t="array" ref="AU47">_xlfn._xlws.FILTER(Spelerslijst!$I:$I,Spelerslijst!$F:$F=AT$45,"")</f>
        <v/>
      </c>
      <c r="AV47" s="89" t="str" cm="1">
        <f t="array" ref="AV47">_xlfn._xlws.FILTER(Spelerslijst!$J:$J,Spelerslijst!$F:$F=AT$45,"")</f>
        <v/>
      </c>
      <c r="AW47" s="4" t="str" cm="1">
        <f t="array" ref="AW47">_xlfn._xlws.FILTER(Spelerslijst!$H:$H,Spelerslijst!$F:$F=AT45,"")</f>
        <v/>
      </c>
      <c r="AX47" s="70" t="str" cm="1">
        <f t="array" ref="AX47">_xlfn._xlws.FILTER(Spelerslijst!$D:$D,Spelerslijst!$F:$F=AT45,"")</f>
        <v/>
      </c>
      <c r="AY47" s="3" t="str" cm="1">
        <f t="array" ref="AY47">_xlfn._xlws.FILTER(Spelerslijst!$M:$M,Spelerslijst!$Q:$Q=AT45,"")</f>
        <v/>
      </c>
      <c r="AZ47" s="89" t="str" cm="1">
        <f t="array" ref="AZ47">_xlfn._xlws.FILTER(Spelerslijst!$T:$T,Spelerslijst!$Q:$Q=AT$45,"")</f>
        <v/>
      </c>
      <c r="BA47" s="89" t="str" cm="1">
        <f t="array" ref="BA47">_xlfn._xlws.FILTER(Spelerslijst!$U:$U,Spelerslijst!$Q:$Q=AT$45,"")</f>
        <v/>
      </c>
      <c r="BB47" s="4" t="str" cm="1">
        <f t="array" ref="BB47">_xlfn._xlws.FILTER(Spelerslijst!$S:$S,Spelerslijst!$Q:$Q=AT45,"")</f>
        <v/>
      </c>
      <c r="BC47" s="70" t="str" cm="1">
        <f t="array" ref="BC47">_xlfn._xlws.FILTER(Spelerslijst!$O:$O,Spelerslijst!$Q:$Q=AT45,"")</f>
        <v/>
      </c>
    </row>
    <row r="48" spans="1:88">
      <c r="A48" s="152"/>
      <c r="B48" s="6"/>
      <c r="C48" s="90"/>
      <c r="D48" s="90"/>
      <c r="E48" s="2"/>
      <c r="F48" s="71"/>
      <c r="G48" s="6"/>
      <c r="H48" s="90"/>
      <c r="I48" s="90"/>
      <c r="J48" s="2"/>
      <c r="K48" s="71"/>
      <c r="M48" s="6"/>
      <c r="N48" s="90"/>
      <c r="O48" s="90"/>
      <c r="P48" s="2"/>
      <c r="Q48" s="71"/>
      <c r="R48" s="6"/>
      <c r="S48" s="90"/>
      <c r="T48" s="90"/>
      <c r="U48" s="2"/>
      <c r="V48" s="71"/>
      <c r="X48" s="6" t="str">
        <v>Peters, S.N. (Sanne)</v>
      </c>
      <c r="Y48" s="90">
        <v>0</v>
      </c>
      <c r="Z48" s="90">
        <v>0</v>
      </c>
      <c r="AA48" s="2" t="str">
        <v>B4</v>
      </c>
      <c r="AB48" s="71">
        <v>15.74</v>
      </c>
      <c r="AC48" s="6" t="str">
        <v>Kuijper, R.A. (Raoul)</v>
      </c>
      <c r="AD48" s="90">
        <v>0</v>
      </c>
      <c r="AE48" s="90">
        <v>0</v>
      </c>
      <c r="AF48" s="2" t="str">
        <v>A3</v>
      </c>
      <c r="AG48" s="71">
        <v>17.5</v>
      </c>
      <c r="AI48" s="6" t="str">
        <v>Bergh, M.J. (Marit) van den</v>
      </c>
      <c r="AJ48" s="90">
        <v>0</v>
      </c>
      <c r="AK48" s="90">
        <v>0</v>
      </c>
      <c r="AL48" s="2" t="str">
        <v>B3</v>
      </c>
      <c r="AM48" s="71">
        <v>15.01</v>
      </c>
      <c r="AN48" s="6" t="str">
        <v>Linden, J.W.P. (Jurre) van der</v>
      </c>
      <c r="AO48" s="90">
        <v>0</v>
      </c>
      <c r="AP48" s="90">
        <v>0</v>
      </c>
      <c r="AQ48" s="2" t="str">
        <v>B4</v>
      </c>
      <c r="AR48" s="71">
        <v>15.65</v>
      </c>
      <c r="AT48" s="6"/>
      <c r="AU48" s="90"/>
      <c r="AV48" s="90"/>
      <c r="AW48" s="2"/>
      <c r="AX48" s="71"/>
      <c r="AY48" s="6"/>
      <c r="AZ48" s="90"/>
      <c r="BA48" s="90"/>
      <c r="BB48" s="2"/>
      <c r="BC48" s="71"/>
    </row>
    <row r="49" spans="1:55">
      <c r="A49" s="152"/>
      <c r="B49" s="6"/>
      <c r="C49" s="90"/>
      <c r="D49" s="90"/>
      <c r="E49" s="2"/>
      <c r="F49" s="71"/>
      <c r="G49" s="6"/>
      <c r="H49" s="90"/>
      <c r="I49" s="90"/>
      <c r="J49" s="2"/>
      <c r="K49" s="71"/>
      <c r="M49" s="6"/>
      <c r="N49" s="90"/>
      <c r="O49" s="90"/>
      <c r="P49" s="2"/>
      <c r="Q49" s="71"/>
      <c r="R49" s="6"/>
      <c r="S49" s="90"/>
      <c r="T49" s="90"/>
      <c r="U49" s="2"/>
      <c r="V49" s="71"/>
      <c r="X49" s="6" t="str">
        <v>Dongen, M.J. (Madelief) van</v>
      </c>
      <c r="Y49" s="90">
        <v>0</v>
      </c>
      <c r="Z49" s="90">
        <v>0</v>
      </c>
      <c r="AA49" s="2" t="str">
        <v>B3</v>
      </c>
      <c r="AB49" s="71">
        <v>16.100000000000001</v>
      </c>
      <c r="AC49" s="6" t="str">
        <v>Afsharbegloe, P. (Parham)</v>
      </c>
      <c r="AD49" s="90">
        <v>0</v>
      </c>
      <c r="AE49" s="90">
        <v>0</v>
      </c>
      <c r="AF49" s="2" t="str">
        <v>B4</v>
      </c>
      <c r="AG49" s="71">
        <v>16.23</v>
      </c>
      <c r="AI49" s="6" t="str">
        <v>Wiel, D.N. (Danique) van der</v>
      </c>
      <c r="AJ49" s="90">
        <v>0</v>
      </c>
      <c r="AK49" s="90">
        <v>0</v>
      </c>
      <c r="AL49" s="2" t="str">
        <v>B3</v>
      </c>
      <c r="AM49" s="71">
        <v>15.01</v>
      </c>
      <c r="AN49" s="6" t="str">
        <v>Post, J.M. (Joaz)</v>
      </c>
      <c r="AO49" s="90">
        <v>0</v>
      </c>
      <c r="AP49" s="90">
        <v>0</v>
      </c>
      <c r="AQ49" s="2" t="str">
        <v>B3</v>
      </c>
      <c r="AR49" s="71">
        <v>15.64</v>
      </c>
      <c r="AT49" s="6"/>
      <c r="AU49" s="90"/>
      <c r="AV49" s="90"/>
      <c r="AW49" s="2"/>
      <c r="AX49" s="71"/>
      <c r="AY49" s="6"/>
      <c r="AZ49" s="90"/>
      <c r="BA49" s="90"/>
      <c r="BB49" s="2"/>
      <c r="BC49" s="71"/>
    </row>
    <row r="50" spans="1:55">
      <c r="A50" s="152"/>
      <c r="B50" s="6"/>
      <c r="C50" s="90"/>
      <c r="D50" s="90"/>
      <c r="E50" s="2"/>
      <c r="F50" s="71"/>
      <c r="G50" s="6"/>
      <c r="H50" s="90"/>
      <c r="I50" s="90"/>
      <c r="J50" s="2"/>
      <c r="K50" s="71"/>
      <c r="M50" s="6"/>
      <c r="N50" s="90"/>
      <c r="O50" s="90"/>
      <c r="P50" s="2"/>
      <c r="Q50" s="71"/>
      <c r="R50" s="6"/>
      <c r="S50" s="90"/>
      <c r="T50" s="90"/>
      <c r="U50" s="2"/>
      <c r="V50" s="71"/>
      <c r="X50" s="6" t="str">
        <v>Zwanenburg, R.J. (Robin)</v>
      </c>
      <c r="Y50" s="90">
        <v>0</v>
      </c>
      <c r="Z50" s="90">
        <v>0</v>
      </c>
      <c r="AA50" s="2" t="str">
        <v>A3</v>
      </c>
      <c r="AB50" s="71">
        <v>16.22</v>
      </c>
      <c r="AC50" s="6" t="str">
        <v>Heeren, D. (Djess) van</v>
      </c>
      <c r="AD50" s="90">
        <v>0</v>
      </c>
      <c r="AE50" s="90">
        <v>0</v>
      </c>
      <c r="AF50" s="2" t="str">
        <v>B4</v>
      </c>
      <c r="AG50" s="71">
        <v>15.79</v>
      </c>
      <c r="AI50" s="6" t="str">
        <v>Bouwknegt, E.L. (Enora)</v>
      </c>
      <c r="AJ50" s="90">
        <v>0</v>
      </c>
      <c r="AK50" s="90">
        <v>0</v>
      </c>
      <c r="AL50" s="2" t="str">
        <v>B3</v>
      </c>
      <c r="AM50" s="71">
        <v>15.09</v>
      </c>
      <c r="AN50" s="6"/>
      <c r="AO50" s="90"/>
      <c r="AP50" s="90"/>
      <c r="AQ50" s="2"/>
      <c r="AR50" s="71"/>
      <c r="AT50" s="6"/>
      <c r="AU50" s="90"/>
      <c r="AV50" s="90"/>
      <c r="AW50" s="2"/>
      <c r="AX50" s="71"/>
      <c r="AY50" s="6"/>
      <c r="AZ50" s="90"/>
      <c r="BA50" s="90"/>
      <c r="BB50" s="2"/>
      <c r="BC50" s="71"/>
    </row>
    <row r="51" spans="1:55">
      <c r="A51" s="152"/>
      <c r="B51" s="6"/>
      <c r="C51" s="90"/>
      <c r="D51" s="90"/>
      <c r="E51" s="2"/>
      <c r="F51" s="71"/>
      <c r="G51" s="6"/>
      <c r="H51" s="90"/>
      <c r="I51" s="90"/>
      <c r="J51" s="2"/>
      <c r="K51" s="71"/>
      <c r="M51" s="6"/>
      <c r="N51" s="90"/>
      <c r="O51" s="90"/>
      <c r="P51" s="2"/>
      <c r="Q51" s="71"/>
      <c r="R51" s="6"/>
      <c r="S51" s="90"/>
      <c r="T51" s="90"/>
      <c r="U51" s="2"/>
      <c r="V51" s="71"/>
      <c r="X51" s="6" t="str">
        <v>Veenendaal, E. (Eline)</v>
      </c>
      <c r="Y51" s="90">
        <v>0</v>
      </c>
      <c r="Z51" s="90">
        <v>0</v>
      </c>
      <c r="AA51" s="2" t="str">
        <v>B4</v>
      </c>
      <c r="AB51" s="71">
        <v>16.28</v>
      </c>
      <c r="AC51" s="6"/>
      <c r="AD51" s="90"/>
      <c r="AE51" s="90"/>
      <c r="AF51" s="2"/>
      <c r="AG51" s="71"/>
      <c r="AI51" s="6" t="str">
        <v>Baas, N.J. (Nikki)</v>
      </c>
      <c r="AJ51" s="90">
        <v>0</v>
      </c>
      <c r="AK51" s="90">
        <v>0</v>
      </c>
      <c r="AL51" s="2" t="str">
        <v>B3</v>
      </c>
      <c r="AM51" s="71">
        <v>15.12</v>
      </c>
      <c r="AN51" s="6"/>
      <c r="AO51" s="90"/>
      <c r="AP51" s="90"/>
      <c r="AQ51" s="2"/>
      <c r="AR51" s="71"/>
      <c r="AT51" s="6"/>
      <c r="AU51" s="90"/>
      <c r="AV51" s="90"/>
      <c r="AW51" s="2"/>
      <c r="AX51" s="71"/>
      <c r="AY51" s="6"/>
      <c r="AZ51" s="90"/>
      <c r="BA51" s="90"/>
      <c r="BB51" s="2"/>
      <c r="BC51" s="71"/>
    </row>
    <row r="52" spans="1:55">
      <c r="A52" s="152"/>
      <c r="B52" s="6"/>
      <c r="C52" s="90"/>
      <c r="D52" s="90"/>
      <c r="E52" s="2"/>
      <c r="F52" s="71"/>
      <c r="G52" s="6"/>
      <c r="H52" s="90"/>
      <c r="I52" s="90"/>
      <c r="J52" s="2"/>
      <c r="K52" s="71"/>
      <c r="M52" s="6"/>
      <c r="N52" s="90"/>
      <c r="O52" s="90"/>
      <c r="P52" s="2"/>
      <c r="Q52" s="71"/>
      <c r="R52" s="6"/>
      <c r="S52" s="90"/>
      <c r="T52" s="90"/>
      <c r="U52" s="2"/>
      <c r="V52" s="71"/>
      <c r="X52" s="6" t="str">
        <v>Kamerman, Z. (Zoë)</v>
      </c>
      <c r="Y52" s="90">
        <v>0</v>
      </c>
      <c r="Z52" s="90">
        <v>0</v>
      </c>
      <c r="AA52" s="2" t="str">
        <v>A3</v>
      </c>
      <c r="AB52" s="71">
        <v>16.45</v>
      </c>
      <c r="AC52" s="6"/>
      <c r="AD52" s="90"/>
      <c r="AE52" s="90"/>
      <c r="AF52" s="2"/>
      <c r="AG52" s="71"/>
      <c r="AI52" s="6" t="str">
        <v>Bakker, F. (Femke)</v>
      </c>
      <c r="AJ52" s="90">
        <v>0</v>
      </c>
      <c r="AK52" s="90">
        <v>0</v>
      </c>
      <c r="AL52" s="2" t="str">
        <v>B3</v>
      </c>
      <c r="AM52" s="71">
        <v>15.55</v>
      </c>
      <c r="AN52" s="6"/>
      <c r="AO52" s="90"/>
      <c r="AP52" s="90"/>
      <c r="AQ52" s="2"/>
      <c r="AR52" s="71"/>
      <c r="AT52" s="6"/>
      <c r="AU52" s="90"/>
      <c r="AV52" s="90"/>
      <c r="AW52" s="2"/>
      <c r="AX52" s="71"/>
      <c r="AY52" s="6"/>
      <c r="AZ52" s="90"/>
      <c r="BA52" s="90"/>
      <c r="BB52" s="2"/>
      <c r="BC52" s="71"/>
    </row>
    <row r="53" spans="1:55">
      <c r="A53" s="152"/>
      <c r="B53" s="6"/>
      <c r="C53" s="90"/>
      <c r="D53" s="90"/>
      <c r="E53" s="2"/>
      <c r="F53" s="71"/>
      <c r="G53" s="6"/>
      <c r="H53" s="90"/>
      <c r="I53" s="90"/>
      <c r="J53" s="2"/>
      <c r="K53" s="71"/>
      <c r="M53" s="6"/>
      <c r="N53" s="90"/>
      <c r="O53" s="90"/>
      <c r="P53" s="2"/>
      <c r="Q53" s="71"/>
      <c r="R53" s="6"/>
      <c r="S53" s="90"/>
      <c r="T53" s="90"/>
      <c r="U53" s="2"/>
      <c r="V53" s="71"/>
      <c r="X53" s="6"/>
      <c r="Y53" s="90"/>
      <c r="Z53" s="90"/>
      <c r="AA53" s="2"/>
      <c r="AB53" s="71"/>
      <c r="AC53" s="6"/>
      <c r="AD53" s="90"/>
      <c r="AE53" s="90"/>
      <c r="AF53" s="2"/>
      <c r="AG53" s="71"/>
      <c r="AI53" s="6" t="str">
        <v>Groen, E. (Evie)</v>
      </c>
      <c r="AJ53" s="90">
        <v>0</v>
      </c>
      <c r="AK53" s="90">
        <v>0</v>
      </c>
      <c r="AL53" s="2" t="str">
        <v>B4</v>
      </c>
      <c r="AM53" s="71">
        <v>15.59</v>
      </c>
      <c r="AN53" s="6"/>
      <c r="AO53" s="90"/>
      <c r="AP53" s="90"/>
      <c r="AQ53" s="2"/>
      <c r="AR53" s="71"/>
      <c r="AT53" s="6"/>
      <c r="AU53" s="90"/>
      <c r="AV53" s="90"/>
      <c r="AW53" s="2"/>
      <c r="AX53" s="71"/>
      <c r="AY53" s="6"/>
      <c r="AZ53" s="90"/>
      <c r="BA53" s="90"/>
      <c r="BB53" s="2"/>
      <c r="BC53" s="71"/>
    </row>
    <row r="54" spans="1:55">
      <c r="A54" s="152"/>
      <c r="B54" s="6"/>
      <c r="C54" s="90"/>
      <c r="D54" s="90"/>
      <c r="E54" s="2"/>
      <c r="F54" s="71"/>
      <c r="G54" s="6"/>
      <c r="H54" s="90"/>
      <c r="I54" s="90"/>
      <c r="J54" s="2"/>
      <c r="K54" s="71"/>
      <c r="M54" s="6"/>
      <c r="N54" s="90"/>
      <c r="O54" s="90"/>
      <c r="P54" s="2"/>
      <c r="Q54" s="71"/>
      <c r="R54" s="6"/>
      <c r="S54" s="90"/>
      <c r="T54" s="90"/>
      <c r="U54" s="2"/>
      <c r="V54" s="71"/>
      <c r="X54" s="6"/>
      <c r="Y54" s="90"/>
      <c r="Z54" s="90"/>
      <c r="AA54" s="2"/>
      <c r="AB54" s="71"/>
      <c r="AC54" s="6"/>
      <c r="AD54" s="90"/>
      <c r="AE54" s="90"/>
      <c r="AF54" s="2"/>
      <c r="AG54" s="71"/>
      <c r="AI54" s="6" t="str">
        <v>Vercouteren, N. (Noortje)</v>
      </c>
      <c r="AJ54" s="90">
        <v>0</v>
      </c>
      <c r="AK54" s="90">
        <v>0</v>
      </c>
      <c r="AL54" s="2" t="str">
        <v>B4</v>
      </c>
      <c r="AM54" s="71">
        <v>15.87</v>
      </c>
      <c r="AN54" s="6"/>
      <c r="AO54" s="90"/>
      <c r="AP54" s="90"/>
      <c r="AQ54" s="2"/>
      <c r="AR54" s="71"/>
      <c r="AT54" s="6"/>
      <c r="AU54" s="90"/>
      <c r="AV54" s="90"/>
      <c r="AW54" s="2"/>
      <c r="AX54" s="71"/>
      <c r="AY54" s="6"/>
      <c r="AZ54" s="90"/>
      <c r="BA54" s="90"/>
      <c r="BB54" s="2"/>
      <c r="BC54" s="71"/>
    </row>
    <row r="55" spans="1:55" ht="15.75" thickBot="1">
      <c r="A55" s="152"/>
      <c r="B55" s="6"/>
      <c r="C55" s="90"/>
      <c r="D55" s="90"/>
      <c r="E55" s="2"/>
      <c r="F55" s="71"/>
      <c r="G55" s="6"/>
      <c r="H55" s="90"/>
      <c r="I55" s="90"/>
      <c r="J55" s="2"/>
      <c r="K55" s="71"/>
      <c r="M55" s="6"/>
      <c r="N55" s="90"/>
      <c r="O55" s="90"/>
      <c r="P55" s="2"/>
      <c r="Q55" s="71"/>
      <c r="R55" s="6"/>
      <c r="S55" s="90"/>
      <c r="T55" s="90"/>
      <c r="U55" s="2"/>
      <c r="V55" s="71"/>
      <c r="X55" s="6"/>
      <c r="Y55" s="90"/>
      <c r="Z55" s="90"/>
      <c r="AA55" s="2"/>
      <c r="AB55" s="71"/>
      <c r="AC55" s="6"/>
      <c r="AD55" s="90"/>
      <c r="AE55" s="90"/>
      <c r="AF55" s="2"/>
      <c r="AG55" s="71"/>
      <c r="AI55" s="6"/>
      <c r="AJ55" s="90"/>
      <c r="AK55" s="90"/>
      <c r="AL55" s="2"/>
      <c r="AM55" s="71"/>
      <c r="AN55" s="6"/>
      <c r="AO55" s="90"/>
      <c r="AP55" s="90"/>
      <c r="AQ55" s="2"/>
      <c r="AR55" s="71"/>
      <c r="AT55" s="6"/>
      <c r="AU55" s="90"/>
      <c r="AV55" s="90"/>
      <c r="AW55" s="2"/>
      <c r="AX55" s="71"/>
      <c r="AY55" s="6"/>
      <c r="AZ55" s="90"/>
      <c r="BA55" s="90"/>
      <c r="BB55" s="2"/>
      <c r="BC55" s="71"/>
    </row>
    <row r="56" spans="1:55">
      <c r="A56" s="152"/>
      <c r="B56" s="12" t="str" cm="1">
        <f t="array" ref="B56">_xlfn._xlws.FILTER(Staf!$C:$C,Staf!$B:$B=Teamsamenstelling!B45,"")</f>
        <v/>
      </c>
      <c r="C56" s="13"/>
      <c r="D56" s="13"/>
      <c r="E56" s="13"/>
      <c r="F56" s="72"/>
      <c r="G56" s="13" t="str" cm="1">
        <f t="array" ref="G56">_xlfn._xlws.FILTER(Staf!$A:$A,Staf!$B:$B=Teamsamenstelling!B45,"")</f>
        <v/>
      </c>
      <c r="H56" s="13"/>
      <c r="I56" s="13"/>
      <c r="J56" s="13"/>
      <c r="K56" s="76"/>
      <c r="M56" s="12" t="str" cm="1">
        <f t="array" ref="M56">_xlfn._xlws.FILTER(Staf!$C:$C,Staf!$B:$B=Teamsamenstelling!M45,"")</f>
        <v/>
      </c>
      <c r="N56" s="13"/>
      <c r="O56" s="13"/>
      <c r="P56" s="13"/>
      <c r="Q56" s="72"/>
      <c r="R56" s="13" t="str" cm="1">
        <f t="array" ref="R56">_xlfn._xlws.FILTER(Staf!$A:$A,Staf!$B:$B=Teamsamenstelling!M45,"")</f>
        <v/>
      </c>
      <c r="S56" s="13"/>
      <c r="T56" s="13"/>
      <c r="U56" s="13"/>
      <c r="V56" s="76"/>
      <c r="X56" s="12" t="str" cm="1">
        <f t="array" ref="X56:X57">_xlfn._xlws.FILTER(Staf!$C:$C,Staf!$B:$B=Teamsamenstelling!X45,"")</f>
        <v>Trainer/Coach</v>
      </c>
      <c r="Y56" s="13"/>
      <c r="Z56" s="13"/>
      <c r="AA56" s="13"/>
      <c r="AB56" s="72"/>
      <c r="AC56" s="13" t="str" cm="1">
        <f t="array" ref="AC56:AC57">_xlfn._xlws.FILTER(Staf!$A:$A,Staf!$B:$B=Teamsamenstelling!X45,"")</f>
        <v>Luuk Baars</v>
      </c>
      <c r="AD56" s="13"/>
      <c r="AE56" s="13"/>
      <c r="AF56" s="13"/>
      <c r="AG56" s="76"/>
      <c r="AI56" s="12" t="str" cm="1">
        <f t="array" ref="AI56">_xlfn._xlws.FILTER(Staf!$C:$C,Staf!$B:$B=Teamsamenstelling!AI45,"")</f>
        <v>Trainer/Coach</v>
      </c>
      <c r="AJ56" s="13"/>
      <c r="AK56" s="13"/>
      <c r="AL56" s="13"/>
      <c r="AM56" s="72"/>
      <c r="AN56" s="13" t="str" cm="1">
        <f t="array" ref="AN56">_xlfn._xlws.FILTER(Staf!$A:$A,Staf!$B:$B=Teamsamenstelling!AI45,"")</f>
        <v>Martijn van der Wiel</v>
      </c>
      <c r="AO56" s="13"/>
      <c r="AP56" s="13"/>
      <c r="AQ56" s="13"/>
      <c r="AR56" s="76"/>
      <c r="AT56" s="12" t="str" cm="1">
        <f t="array" ref="AT56">_xlfn._xlws.FILTER(Staf!$C:$C,Staf!$B:$B=Teamsamenstelling!AT45,"")</f>
        <v/>
      </c>
      <c r="AU56" s="13"/>
      <c r="AV56" s="13"/>
      <c r="AW56" s="13"/>
      <c r="AX56" s="72"/>
      <c r="AY56" s="13" t="str" cm="1">
        <f t="array" ref="AY56">_xlfn._xlws.FILTER(Staf!$A:$A,Staf!$B:$B=Teamsamenstelling!AT45,"")</f>
        <v/>
      </c>
      <c r="AZ56" s="13"/>
      <c r="BA56" s="13"/>
      <c r="BB56" s="13"/>
      <c r="BC56" s="76"/>
    </row>
    <row r="57" spans="1:55">
      <c r="A57" s="152"/>
      <c r="B57" s="15"/>
      <c r="C57" s="16"/>
      <c r="D57" s="16"/>
      <c r="E57" s="16"/>
      <c r="F57" s="73"/>
      <c r="G57" s="16"/>
      <c r="H57" s="16"/>
      <c r="I57" s="16"/>
      <c r="J57" s="16"/>
      <c r="K57" s="77"/>
      <c r="M57" s="15"/>
      <c r="N57" s="16"/>
      <c r="O57" s="16"/>
      <c r="P57" s="16"/>
      <c r="Q57" s="73"/>
      <c r="R57" s="16"/>
      <c r="S57" s="16"/>
      <c r="T57" s="16"/>
      <c r="U57" s="16"/>
      <c r="V57" s="77"/>
      <c r="X57" s="15" t="str">
        <v>Trainer/Coach</v>
      </c>
      <c r="Y57" s="16"/>
      <c r="Z57" s="16"/>
      <c r="AA57" s="16"/>
      <c r="AB57" s="73"/>
      <c r="AC57" s="16" t="str">
        <v>Maud van Wensen</v>
      </c>
      <c r="AD57" s="16"/>
      <c r="AE57" s="16"/>
      <c r="AF57" s="16"/>
      <c r="AG57" s="77"/>
      <c r="AI57" s="15"/>
      <c r="AJ57" s="16"/>
      <c r="AK57" s="16"/>
      <c r="AL57" s="16"/>
      <c r="AM57" s="73"/>
      <c r="AN57" s="16"/>
      <c r="AO57" s="16"/>
      <c r="AP57" s="16"/>
      <c r="AQ57" s="16"/>
      <c r="AR57" s="77"/>
      <c r="AT57" s="15"/>
      <c r="AU57" s="16"/>
      <c r="AV57" s="16"/>
      <c r="AW57" s="16"/>
      <c r="AX57" s="73"/>
      <c r="AY57" s="16"/>
      <c r="AZ57" s="16"/>
      <c r="BA57" s="16"/>
      <c r="BB57" s="16"/>
      <c r="BC57" s="77"/>
    </row>
    <row r="58" spans="1:55" ht="15.75" thickBot="1">
      <c r="A58" s="152"/>
      <c r="B58" s="18"/>
      <c r="C58" s="19"/>
      <c r="D58" s="19"/>
      <c r="E58" s="19"/>
      <c r="F58" s="74"/>
      <c r="G58" s="19"/>
      <c r="H58" s="19"/>
      <c r="I58" s="19"/>
      <c r="J58" s="19"/>
      <c r="K58" s="78"/>
      <c r="M58" s="18"/>
      <c r="N58" s="19"/>
      <c r="O58" s="19"/>
      <c r="P58" s="19"/>
      <c r="Q58" s="74"/>
      <c r="R58" s="19"/>
      <c r="S58" s="19"/>
      <c r="T58" s="19"/>
      <c r="U58" s="19"/>
      <c r="V58" s="78"/>
      <c r="X58" s="18"/>
      <c r="Y58" s="19"/>
      <c r="Z58" s="19"/>
      <c r="AA58" s="19"/>
      <c r="AB58" s="74"/>
      <c r="AC58" s="19"/>
      <c r="AD58" s="19"/>
      <c r="AE58" s="19"/>
      <c r="AF58" s="19"/>
      <c r="AG58" s="78"/>
      <c r="AI58" s="18"/>
      <c r="AJ58" s="19"/>
      <c r="AK58" s="19"/>
      <c r="AL58" s="19"/>
      <c r="AM58" s="74"/>
      <c r="AN58" s="19"/>
      <c r="AO58" s="19"/>
      <c r="AP58" s="19"/>
      <c r="AQ58" s="19"/>
      <c r="AR58" s="78"/>
      <c r="AT58" s="18"/>
      <c r="AU58" s="19"/>
      <c r="AV58" s="19"/>
      <c r="AW58" s="19"/>
      <c r="AX58" s="74"/>
      <c r="AY58" s="19"/>
      <c r="AZ58" s="19"/>
      <c r="BA58" s="19"/>
      <c r="BB58" s="19"/>
      <c r="BC58" s="78"/>
    </row>
    <row r="59" spans="1:55" ht="15.75" thickBot="1"/>
    <row r="60" spans="1:55" ht="15.75" thickBot="1">
      <c r="A60" s="152" t="s">
        <v>20</v>
      </c>
      <c r="B60" s="21" t="s">
        <v>21</v>
      </c>
      <c r="C60" s="21"/>
      <c r="D60" s="21"/>
      <c r="E60" s="21"/>
      <c r="F60" s="68"/>
      <c r="G60" s="21"/>
      <c r="H60" s="21"/>
      <c r="I60" s="21"/>
      <c r="J60" s="21"/>
      <c r="K60" s="75">
        <f>AVERAGE(F62:F73,K62:K73)</f>
        <v>14.205555555555554</v>
      </c>
      <c r="M60" s="21" t="s">
        <v>22</v>
      </c>
      <c r="N60" s="21"/>
      <c r="O60" s="21"/>
      <c r="P60" s="21"/>
      <c r="Q60" s="68"/>
      <c r="R60" s="21"/>
      <c r="S60" s="21"/>
      <c r="T60" s="21"/>
      <c r="U60" s="21"/>
      <c r="V60" s="75">
        <f>AVERAGE(Q62:Q73,V62:V73)</f>
        <v>14.140909090909089</v>
      </c>
      <c r="X60" s="21" t="s">
        <v>23</v>
      </c>
      <c r="Y60" s="21"/>
      <c r="Z60" s="21"/>
      <c r="AA60" s="21"/>
      <c r="AB60" s="68"/>
      <c r="AC60" s="21"/>
      <c r="AD60" s="21"/>
      <c r="AE60" s="21"/>
      <c r="AF60" s="21"/>
      <c r="AG60" s="75">
        <f>AVERAGE(AB62:AB73,AG62:AG73)</f>
        <v>13.863999999999999</v>
      </c>
      <c r="AI60" s="59" t="s">
        <v>24</v>
      </c>
      <c r="AJ60" s="21"/>
      <c r="AK60" s="21"/>
      <c r="AL60" s="21"/>
      <c r="AM60" s="68"/>
      <c r="AN60" s="21"/>
      <c r="AO60" s="21"/>
      <c r="AP60" s="21"/>
      <c r="AQ60" s="21"/>
      <c r="AR60" s="75">
        <f>AVERAGE(AM62:AM73,AR62:AR73)</f>
        <v>12.633636363636363</v>
      </c>
      <c r="AT60" s="21" t="s">
        <v>25</v>
      </c>
      <c r="AU60" s="21"/>
      <c r="AV60" s="21"/>
      <c r="AW60" s="21"/>
      <c r="AX60" s="68"/>
      <c r="AY60" s="21"/>
      <c r="AZ60" s="21"/>
      <c r="BA60" s="21"/>
      <c r="BB60" s="21"/>
      <c r="BC60" s="75">
        <f>AVERAGE(AX62:AX73,BC62:BC73)</f>
        <v>12.615000000000002</v>
      </c>
    </row>
    <row r="61" spans="1:55" ht="15.75" thickBot="1">
      <c r="A61" s="152"/>
      <c r="B61" s="8" t="str">
        <f>CONCATENATE("Dames (",COUNTA(E62:E71),")")</f>
        <v>Dames (4)</v>
      </c>
      <c r="C61" s="9"/>
      <c r="D61" s="9"/>
      <c r="E61" s="9"/>
      <c r="F61" s="69"/>
      <c r="G61" s="8" t="str">
        <f>CONCATENATE("Heren (",COUNTA(J62:J71),")")</f>
        <v>Heren (5)</v>
      </c>
      <c r="H61" s="9"/>
      <c r="I61" s="9"/>
      <c r="J61" s="9"/>
      <c r="K61" s="69"/>
      <c r="M61" s="8" t="str">
        <f>CONCATENATE("Dames (",COUNTA(P62:P71),")")</f>
        <v>Dames (6)</v>
      </c>
      <c r="N61" s="9"/>
      <c r="O61" s="9"/>
      <c r="P61" s="9"/>
      <c r="Q61" s="69"/>
      <c r="R61" s="8" t="str">
        <f>CONCATENATE("Heren (",COUNTA(U62:U71),")")</f>
        <v>Heren (5)</v>
      </c>
      <c r="S61" s="9"/>
      <c r="T61" s="9"/>
      <c r="U61" s="9"/>
      <c r="V61" s="69"/>
      <c r="X61" s="8" t="str">
        <f>CONCATENATE("Dames (",COUNTA(AA62:AA71),")")</f>
        <v>Dames (7)</v>
      </c>
      <c r="Y61" s="9"/>
      <c r="Z61" s="9"/>
      <c r="AA61" s="9"/>
      <c r="AB61" s="69"/>
      <c r="AC61" s="8" t="str">
        <f>CONCATENATE("Heren (",COUNTA(AF62:AF71),")")</f>
        <v>Heren (3)</v>
      </c>
      <c r="AD61" s="9"/>
      <c r="AE61" s="9"/>
      <c r="AF61" s="9"/>
      <c r="AG61" s="69"/>
      <c r="AI61" s="8" t="str">
        <f>CONCATENATE("Dames (",COUNTA(AL62:AL71),")")</f>
        <v>Dames (8)</v>
      </c>
      <c r="AJ61" s="9"/>
      <c r="AK61" s="9"/>
      <c r="AL61" s="9"/>
      <c r="AM61" s="69"/>
      <c r="AN61" s="8" t="str">
        <f>CONCATENATE("Heren (",COUNTA(AQ62:AQ71),")")</f>
        <v>Heren (3)</v>
      </c>
      <c r="AO61" s="9"/>
      <c r="AP61" s="9"/>
      <c r="AQ61" s="9"/>
      <c r="AR61" s="69"/>
      <c r="AT61" s="8" t="str">
        <f>CONCATENATE("Dames (",COUNTA(AW62:AW71),")")</f>
        <v>Dames (6)</v>
      </c>
      <c r="AU61" s="9"/>
      <c r="AV61" s="9"/>
      <c r="AW61" s="9"/>
      <c r="AX61" s="69"/>
      <c r="AY61" s="8" t="str">
        <f>CONCATENATE("Heren (",COUNTA(BB62:BB71),")")</f>
        <v>Heren (4)</v>
      </c>
      <c r="AZ61" s="9"/>
      <c r="BA61" s="9"/>
      <c r="BB61" s="9"/>
      <c r="BC61" s="69"/>
    </row>
    <row r="62" spans="1:55">
      <c r="A62" s="152"/>
      <c r="B62" s="3" t="str" cm="1">
        <f t="array" ref="B62:B65">_xlfn._xlws.FILTER(Spelerslijst!$B:$B,Spelerslijst!$F:$F=B$60,"")</f>
        <v>Rooij, E.J. (Eva) van</v>
      </c>
      <c r="C62" s="89" cm="1">
        <f t="array" ref="C62:C65">_xlfn._xlws.FILTER(Spelerslijst!$I:$I,Spelerslijst!$F:$F=B$60,"")</f>
        <v>0</v>
      </c>
      <c r="D62" s="89" cm="1">
        <f t="array" ref="D62:D65">_xlfn._xlws.FILTER(Spelerslijst!$J:$J,Spelerslijst!$F:$F=B$60,"")</f>
        <v>0</v>
      </c>
      <c r="E62" s="4" t="str" cm="1">
        <f t="array" ref="E62:E65">_xlfn._xlws.FILTER(Spelerslijst!$H:$H,Spelerslijst!$F:$F=B$60,"")</f>
        <v>C1</v>
      </c>
      <c r="F62" s="70" cm="1">
        <f t="array" ref="F62:F65">_xlfn._xlws.FILTER(Spelerslijst!$D:$D,Spelerslijst!$F:$F=B$60,"")</f>
        <v>13.29</v>
      </c>
      <c r="G62" s="3" t="str" cm="1">
        <f t="array" ref="G62:G66">_xlfn._xlws.FILTER(Spelerslijst!$M:$M,Spelerslijst!$Q:$Q=B$60,"")</f>
        <v>Belder, L. (Lenn)</v>
      </c>
      <c r="H62" s="89" cm="1">
        <f t="array" ref="H62:H66">_xlfn._xlws.FILTER(Spelerslijst!$T:$T,Spelerslijst!$Q:$Q=B$60,"")</f>
        <v>0</v>
      </c>
      <c r="I62" s="89" cm="1">
        <f t="array" ref="I62:I66">_xlfn._xlws.FILTER(Spelerslijst!$U:$U,Spelerslijst!$Q:$Q=B$60,"")</f>
        <v>0</v>
      </c>
      <c r="J62" s="4" t="str" cm="1">
        <f t="array" ref="J62:J66">_xlfn._xlws.FILTER(Spelerslijst!$S:$S,Spelerslijst!$Q:$Q=B$60,"")</f>
        <v>C1</v>
      </c>
      <c r="K62" s="70" cm="1">
        <f t="array" ref="K62:K66">_xlfn._xlws.FILTER(Spelerslijst!$O:$O,Spelerslijst!$Q:$Q=B$60,"")</f>
        <v>14.96</v>
      </c>
      <c r="M62" s="3" t="str" cm="1">
        <f t="array" ref="M62:M67">_xlfn._xlws.FILTER(Spelerslijst!$B:$B,Spelerslijst!$F:$F=M$60,"")</f>
        <v>Littooij, F.R. (Feline)</v>
      </c>
      <c r="N62" s="89" cm="1">
        <f t="array" ref="N62:N67">_xlfn._xlws.FILTER(Spelerslijst!$I:$I,Spelerslijst!$F:$F=M$60,"")</f>
        <v>0</v>
      </c>
      <c r="O62" s="89" cm="1">
        <f t="array" ref="O62:O67">_xlfn._xlws.FILTER(Spelerslijst!$J:$J,Spelerslijst!$F:$F=M$60,"")</f>
        <v>0</v>
      </c>
      <c r="P62" s="4" t="str" cm="1">
        <f t="array" ref="P62:P67">_xlfn._xlws.FILTER(Spelerslijst!$H:$H,Spelerslijst!$F:$F=M$60,"")</f>
        <v>C3</v>
      </c>
      <c r="Q62" s="70" cm="1">
        <f t="array" ref="Q62:Q67">_xlfn._xlws.FILTER(Spelerslijst!$D:$D,Spelerslijst!$F:$F=M$60,"")</f>
        <v>13.31</v>
      </c>
      <c r="R62" s="3" t="str" cm="1">
        <f t="array" ref="R62:R66">_xlfn._xlws.FILTER(Spelerslijst!$M:$M,Spelerslijst!$Q:$Q=M$60,"")</f>
        <v>Kerschkamp, M. (Mika)</v>
      </c>
      <c r="S62" s="89" cm="1">
        <f t="array" ref="S62:S66">_xlfn._xlws.FILTER(Spelerslijst!$T:$T,Spelerslijst!$Q:$Q=M$60,"")</f>
        <v>0</v>
      </c>
      <c r="T62" s="89" cm="1">
        <f t="array" ref="T62:T66">_xlfn._xlws.FILTER(Spelerslijst!$U:$U,Spelerslijst!$Q:$Q=M$60,"")</f>
        <v>0</v>
      </c>
      <c r="U62" s="4" t="str" cm="1">
        <f t="array" ref="U62:U66">_xlfn._xlws.FILTER(Spelerslijst!$S:$S,Spelerslijst!$Q:$Q=M$60,"")</f>
        <v>C3</v>
      </c>
      <c r="V62" s="70" cm="1">
        <f t="array" ref="V62:V66">_xlfn._xlws.FILTER(Spelerslijst!$O:$O,Spelerslijst!$Q:$Q=M$60,"")</f>
        <v>14.99</v>
      </c>
      <c r="X62" s="3" t="str" cm="1">
        <f t="array" ref="X62:X68">_xlfn._xlws.FILTER(Spelerslijst!$B:$B,Spelerslijst!$F:$F=X$60,"")</f>
        <v>Bakker, A. (Anouk)</v>
      </c>
      <c r="Y62" s="89" cm="1">
        <f t="array" ref="Y62:Y68">_xlfn._xlws.FILTER(Spelerslijst!$I:$I,Spelerslijst!$F:$F=X$60,"")</f>
        <v>0</v>
      </c>
      <c r="Z62" s="89" cm="1">
        <f t="array" ref="Z62:Z68">_xlfn._xlws.FILTER(Spelerslijst!$J:$J,Spelerslijst!$F:$F=X$60,"")</f>
        <v>0</v>
      </c>
      <c r="AA62" s="4" t="str" cm="1">
        <f t="array" ref="AA62:AA68">_xlfn._xlws.FILTER(Spelerslijst!$H:$H,Spelerslijst!$F:$F=X$60,"")</f>
        <v>C2</v>
      </c>
      <c r="AB62" s="70" cm="1">
        <f t="array" ref="AB62:AB68">_xlfn._xlws.FILTER(Spelerslijst!$D:$D,Spelerslijst!$F:$F=X$60,"")</f>
        <v>13.16</v>
      </c>
      <c r="AC62" s="3" t="str" cm="1">
        <f t="array" ref="AC62:AC64">_xlfn._xlws.FILTER(Spelerslijst!$M:$M,Spelerslijst!$Q:$Q=X$60,"")</f>
        <v>Vos, T. (Thijs)</v>
      </c>
      <c r="AD62" s="89" cm="1">
        <f t="array" ref="AD62:AD64">_xlfn._xlws.FILTER(Spelerslijst!$T:$T,Spelerslijst!$Q:$Q=X$60,"")</f>
        <v>0</v>
      </c>
      <c r="AE62" s="89" cm="1">
        <f t="array" ref="AE62:AE64">_xlfn._xlws.FILTER(Spelerslijst!$U:$U,Spelerslijst!$Q:$Q=X$60,"")</f>
        <v>0</v>
      </c>
      <c r="AF62" s="4" t="str" cm="1">
        <f t="array" ref="AF62:AF64">_xlfn._xlws.FILTER(Spelerslijst!$S:$S,Spelerslijst!$Q:$Q=X$60,"")</f>
        <v>C2</v>
      </c>
      <c r="AG62" s="70" cm="1">
        <f t="array" ref="AG62:AG64">_xlfn._xlws.FILTER(Spelerslijst!$O:$O,Spelerslijst!$Q:$Q=X$60,"")</f>
        <v>14.32</v>
      </c>
      <c r="AI62" s="3" t="str" cm="1">
        <f t="array" ref="AI62:AI69">_xlfn._xlws.FILTER(Spelerslijst!$B:$B,Spelerslijst!$F:$F=AI$60,"")</f>
        <v>Exalto, L.B.C. (Lisa)</v>
      </c>
      <c r="AJ62" s="89" cm="1">
        <f t="array" ref="AJ62:AJ69">_xlfn._xlws.FILTER(Spelerslijst!$I:$I,Spelerslijst!$F:$F=AI$60,"")</f>
        <v>0</v>
      </c>
      <c r="AK62" s="89" cm="1">
        <f t="array" ref="AK62:AK69">_xlfn._xlws.FILTER(Spelerslijst!$J:$J,Spelerslijst!$F:$F=AI$60,"")</f>
        <v>0</v>
      </c>
      <c r="AL62" s="4" t="str" cm="1">
        <f t="array" ref="AL62:AL69">_xlfn._xlws.FILTER(Spelerslijst!$H:$H,Spelerslijst!$F:$F=AI$60,"")</f>
        <v>D2</v>
      </c>
      <c r="AM62" s="70" cm="1">
        <f t="array" ref="AM62:AM69">_xlfn._xlws.FILTER(Spelerslijst!$D:$D,Spelerslijst!$F:$F=AI$60,"")</f>
        <v>11.54</v>
      </c>
      <c r="AN62" s="3" t="str" cm="1">
        <f t="array" ref="AN62:AN64">_xlfn._xlws.FILTER(Spelerslijst!$M:$M,Spelerslijst!$Q:$Q=AI$60,"")</f>
        <v>Uljee, C. (Cas)</v>
      </c>
      <c r="AO62" s="89" cm="1">
        <f t="array" ref="AO62:AO64">_xlfn._xlws.FILTER(Spelerslijst!$T:$T,Spelerslijst!$Q:$Q=AI$60,"")</f>
        <v>0</v>
      </c>
      <c r="AP62" s="89" cm="1">
        <f t="array" ref="AP62:AP64">_xlfn._xlws.FILTER(Spelerslijst!$U:$U,Spelerslijst!$Q:$Q=AI$60,"")</f>
        <v>0</v>
      </c>
      <c r="AQ62" s="4" t="str" cm="1">
        <f t="array" ref="AQ62:AQ64">_xlfn._xlws.FILTER(Spelerslijst!$S:$S,Spelerslijst!$Q:$Q=AI$60,"")</f>
        <v>D2</v>
      </c>
      <c r="AR62" s="70" cm="1">
        <f t="array" ref="AR62:AR64">_xlfn._xlws.FILTER(Spelerslijst!$O:$O,Spelerslijst!$Q:$Q=AI$60,"")</f>
        <v>12.99</v>
      </c>
      <c r="AT62" s="3" t="str" cm="1">
        <f t="array" ref="AT62:AT67">_xlfn._xlws.FILTER(Spelerslijst!$B:$B,Spelerslijst!$F:$F=AT$60,"")</f>
        <v>Wiel, Y.J. (Yara) van der</v>
      </c>
      <c r="AU62" s="89" cm="1">
        <f t="array" ref="AU62:AU67">_xlfn._xlws.FILTER(Spelerslijst!$I:$I,Spelerslijst!$F:$F=AT$60,"")</f>
        <v>0</v>
      </c>
      <c r="AV62" s="89" cm="1">
        <f t="array" ref="AV62:AV67">_xlfn._xlws.FILTER(Spelerslijst!$J:$J,Spelerslijst!$F:$F=AT$60,"")</f>
        <v>0</v>
      </c>
      <c r="AW62" s="4" t="str" cm="1">
        <f t="array" ref="AW62:AW67">_xlfn._xlws.FILTER(Spelerslijst!$H:$H,Spelerslijst!$F:$F=AT$60,"")</f>
        <v>D1</v>
      </c>
      <c r="AX62" s="70" cm="1">
        <f t="array" ref="AX62:AX67">_xlfn._xlws.FILTER(Spelerslijst!$D:$D,Spelerslijst!$F:$F=AT$60,"")</f>
        <v>12.28</v>
      </c>
      <c r="AY62" s="3" t="str" cm="1">
        <f t="array" ref="AY62:AY65">_xlfn._xlws.FILTER(Spelerslijst!$M:$M,Spelerslijst!$Q:$Q=AT$60,"")</f>
        <v>Verberkt, N. (Nathan)</v>
      </c>
      <c r="AZ62" s="89" cm="1">
        <f t="array" ref="AZ62:AZ65">_xlfn._xlws.FILTER(Spelerslijst!$T:$T,Spelerslijst!$Q:$Q=AT$60,"")</f>
        <v>0</v>
      </c>
      <c r="BA62" s="89" cm="1">
        <f t="array" ref="BA62:BA65">_xlfn._xlws.FILTER(Spelerslijst!$U:$U,Spelerslijst!$Q:$Q=AT$60,"")</f>
        <v>0</v>
      </c>
      <c r="BB62" s="4" t="str" cm="1">
        <f t="array" ref="BB62:BB65">_xlfn._xlws.FILTER(Spelerslijst!$S:$S,Spelerslijst!$Q:$Q=AT$60,"")</f>
        <v>D1</v>
      </c>
      <c r="BC62" s="70" cm="1">
        <f t="array" ref="BC62:BC65">_xlfn._xlws.FILTER(Spelerslijst!$O:$O,Spelerslijst!$Q:$Q=AT$60,"")</f>
        <v>12.98</v>
      </c>
    </row>
    <row r="63" spans="1:55">
      <c r="A63" s="152"/>
      <c r="B63" s="6" t="str">
        <v>Waard, O.J. (Olivia) de</v>
      </c>
      <c r="C63" s="90">
        <v>0</v>
      </c>
      <c r="D63" s="90">
        <v>0</v>
      </c>
      <c r="E63" s="2" t="str">
        <v>C1</v>
      </c>
      <c r="F63" s="71">
        <v>13.92</v>
      </c>
      <c r="G63" s="6" t="str">
        <v>Dekker, T.J. (Tiemen) den</v>
      </c>
      <c r="H63" s="90">
        <v>0</v>
      </c>
      <c r="I63" s="90">
        <v>0</v>
      </c>
      <c r="J63" s="2" t="str">
        <v>C1</v>
      </c>
      <c r="K63" s="71">
        <v>14.77</v>
      </c>
      <c r="M63" s="6" t="str">
        <v>Gerritsen, K. (Kayleigh)</v>
      </c>
      <c r="N63" s="90">
        <v>0</v>
      </c>
      <c r="O63" s="90">
        <v>0</v>
      </c>
      <c r="P63" s="2" t="str">
        <v>C3</v>
      </c>
      <c r="Q63" s="71">
        <v>13.78</v>
      </c>
      <c r="R63" s="6" t="str">
        <v>Molendijk, L. (Levi)</v>
      </c>
      <c r="S63" s="90">
        <v>0</v>
      </c>
      <c r="T63" s="90">
        <v>0</v>
      </c>
      <c r="U63" s="2" t="str">
        <v>C3</v>
      </c>
      <c r="V63" s="71">
        <v>14.46</v>
      </c>
      <c r="X63" s="6" t="str">
        <v>Dekker, J. (Jodie)</v>
      </c>
      <c r="Y63" s="90">
        <v>0</v>
      </c>
      <c r="Z63" s="90">
        <v>0</v>
      </c>
      <c r="AA63" s="2" t="str">
        <v>-</v>
      </c>
      <c r="AB63" s="71">
        <v>13.39</v>
      </c>
      <c r="AC63" s="6" t="str">
        <v>Ameijden, J. (Joep) van</v>
      </c>
      <c r="AD63" s="90">
        <v>0</v>
      </c>
      <c r="AE63" s="90">
        <v>0</v>
      </c>
      <c r="AF63" s="2" t="str">
        <v>C2</v>
      </c>
      <c r="AG63" s="71">
        <v>13.94</v>
      </c>
      <c r="AI63" s="6" t="str">
        <v>Brouwer, E.N. (Noor)</v>
      </c>
      <c r="AJ63" s="90">
        <v>0</v>
      </c>
      <c r="AK63" s="90">
        <v>0</v>
      </c>
      <c r="AL63" s="2" t="str">
        <v>D2</v>
      </c>
      <c r="AM63" s="71">
        <v>12.18</v>
      </c>
      <c r="AN63" s="6" t="str">
        <v>Kuling, F. (Fynn)</v>
      </c>
      <c r="AO63" s="90">
        <v>0</v>
      </c>
      <c r="AP63" s="90">
        <v>0</v>
      </c>
      <c r="AQ63" s="2" t="str">
        <v>D2</v>
      </c>
      <c r="AR63" s="71">
        <v>12.72</v>
      </c>
      <c r="AT63" s="6" t="str">
        <v>Tims, F. (Fay)</v>
      </c>
      <c r="AU63" s="90">
        <v>0</v>
      </c>
      <c r="AV63" s="90">
        <v>0</v>
      </c>
      <c r="AW63" s="2" t="str">
        <v>D1</v>
      </c>
      <c r="AX63" s="71">
        <v>12.44</v>
      </c>
      <c r="AY63" s="6" t="str">
        <v>Bemer, F.G.L. (Falco)</v>
      </c>
      <c r="AZ63" s="90">
        <v>0</v>
      </c>
      <c r="BA63" s="90">
        <v>0</v>
      </c>
      <c r="BB63" s="2" t="str">
        <v>D1</v>
      </c>
      <c r="BC63" s="71">
        <v>12.93</v>
      </c>
    </row>
    <row r="64" spans="1:55">
      <c r="A64" s="152"/>
      <c r="B64" s="6" t="str">
        <v>Camphens, S. (Saar)</v>
      </c>
      <c r="C64" s="90">
        <v>0</v>
      </c>
      <c r="D64" s="90">
        <v>0</v>
      </c>
      <c r="E64" s="2" t="str">
        <v>C1</v>
      </c>
      <c r="F64" s="71">
        <v>14.33</v>
      </c>
      <c r="G64" s="6" t="str">
        <v>Heersping, S. (Sander)</v>
      </c>
      <c r="H64" s="90">
        <v>0</v>
      </c>
      <c r="I64" s="90">
        <v>0</v>
      </c>
      <c r="J64" s="2" t="str">
        <v>C1</v>
      </c>
      <c r="K64" s="71">
        <v>14.28</v>
      </c>
      <c r="M64" s="6" t="str">
        <v>Wietses, E.A.E. (Ester)</v>
      </c>
      <c r="N64" s="90">
        <v>0</v>
      </c>
      <c r="O64" s="90">
        <v>0</v>
      </c>
      <c r="P64" s="2">
        <v>0</v>
      </c>
      <c r="Q64" s="71">
        <v>13.97</v>
      </c>
      <c r="R64" s="6" t="str">
        <v>Croes, A.A. (Aidric)</v>
      </c>
      <c r="S64" s="90">
        <v>0</v>
      </c>
      <c r="T64" s="90">
        <v>0</v>
      </c>
      <c r="U64" s="2" t="str">
        <v>C3</v>
      </c>
      <c r="V64" s="71">
        <v>14.25</v>
      </c>
      <c r="X64" s="6" t="str">
        <v>Rijswijk, F. (Fenna) van</v>
      </c>
      <c r="Y64" s="90">
        <v>0</v>
      </c>
      <c r="Z64" s="90">
        <v>0</v>
      </c>
      <c r="AA64" s="2" t="str">
        <v>C2</v>
      </c>
      <c r="AB64" s="71">
        <v>13.56</v>
      </c>
      <c r="AC64" s="6" t="str">
        <v>Vos, J. (Juda)</v>
      </c>
      <c r="AD64" s="90">
        <v>0</v>
      </c>
      <c r="AE64" s="90">
        <v>0</v>
      </c>
      <c r="AF64" s="2" t="str">
        <v>C2</v>
      </c>
      <c r="AG64" s="71">
        <v>13.42</v>
      </c>
      <c r="AI64" s="6" t="str">
        <v>Bergh, L.J. (Jolijn) van den</v>
      </c>
      <c r="AJ64" s="90">
        <v>0</v>
      </c>
      <c r="AK64" s="90">
        <v>0</v>
      </c>
      <c r="AL64" s="2" t="str">
        <v>D2</v>
      </c>
      <c r="AM64" s="71">
        <v>12.19</v>
      </c>
      <c r="AN64" s="6" t="str">
        <v>Veenendaal, M. (Martijn)</v>
      </c>
      <c r="AO64" s="90">
        <v>0</v>
      </c>
      <c r="AP64" s="90">
        <v>0</v>
      </c>
      <c r="AQ64" s="2" t="str">
        <v>D2</v>
      </c>
      <c r="AR64" s="71">
        <v>12.08</v>
      </c>
      <c r="AT64" s="6" t="str">
        <v>Boer, L. (Layla) de</v>
      </c>
      <c r="AU64" s="90">
        <v>0</v>
      </c>
      <c r="AV64" s="90">
        <v>0</v>
      </c>
      <c r="AW64" s="2" t="str">
        <v>D1</v>
      </c>
      <c r="AX64" s="71">
        <v>12.45</v>
      </c>
      <c r="AY64" s="6" t="str">
        <v>Bemer, T.R.S (Tygo)</v>
      </c>
      <c r="AZ64" s="90">
        <v>0</v>
      </c>
      <c r="BA64" s="90">
        <v>0</v>
      </c>
      <c r="BB64" s="2" t="str">
        <v>D1</v>
      </c>
      <c r="BC64" s="71">
        <v>12.93</v>
      </c>
    </row>
    <row r="65" spans="1:55">
      <c r="A65" s="152"/>
      <c r="B65" s="6" t="str">
        <v>Nijman, F.J.J. (Famke)</v>
      </c>
      <c r="C65" s="90">
        <v>0</v>
      </c>
      <c r="D65" s="90">
        <v>0</v>
      </c>
      <c r="E65" s="2" t="str">
        <v>C2</v>
      </c>
      <c r="F65" s="71">
        <v>14.51</v>
      </c>
      <c r="G65" s="6" t="str">
        <v>Reus, M.F. (Matthijs) de</v>
      </c>
      <c r="H65" s="90">
        <v>0</v>
      </c>
      <c r="I65" s="90">
        <v>0</v>
      </c>
      <c r="J65" s="2" t="str">
        <v>C2</v>
      </c>
      <c r="K65" s="71">
        <v>14.16</v>
      </c>
      <c r="M65" s="6" t="str">
        <v>Lotgerink, A. (Anne-Sophie)</v>
      </c>
      <c r="N65" s="90">
        <v>0</v>
      </c>
      <c r="O65" s="90">
        <v>0</v>
      </c>
      <c r="P65" s="2" t="str">
        <v>C3</v>
      </c>
      <c r="Q65" s="71">
        <v>13.99</v>
      </c>
      <c r="R65" s="6" t="str">
        <v>Weijde, D. (Daan) van der</v>
      </c>
      <c r="S65" s="90">
        <v>0</v>
      </c>
      <c r="T65" s="90">
        <v>0</v>
      </c>
      <c r="U65" s="2" t="str">
        <v>C3</v>
      </c>
      <c r="V65" s="71">
        <v>14.17</v>
      </c>
      <c r="X65" s="6" t="str">
        <v>Exalto, L. (Laura)</v>
      </c>
      <c r="Y65" s="90">
        <v>0</v>
      </c>
      <c r="Z65" s="90">
        <v>0</v>
      </c>
      <c r="AA65" s="2" t="str">
        <v>C2</v>
      </c>
      <c r="AB65" s="71">
        <v>13.62</v>
      </c>
      <c r="AG65" s="138"/>
      <c r="AI65" s="6" t="str">
        <v>Rooij, N. (Nora) van</v>
      </c>
      <c r="AJ65" s="90">
        <v>0</v>
      </c>
      <c r="AK65" s="90">
        <v>0</v>
      </c>
      <c r="AL65" s="2">
        <v>0</v>
      </c>
      <c r="AM65" s="71">
        <v>12.23</v>
      </c>
      <c r="AN65" s="6"/>
      <c r="AO65" s="90"/>
      <c r="AP65" s="90"/>
      <c r="AQ65" s="2"/>
      <c r="AR65" s="71"/>
      <c r="AT65" s="6" t="str">
        <v>Kleingeld, E. (Evi)</v>
      </c>
      <c r="AU65" s="90">
        <v>0</v>
      </c>
      <c r="AV65" s="90">
        <v>0</v>
      </c>
      <c r="AW65" s="2" t="str">
        <v>D1</v>
      </c>
      <c r="AX65" s="71">
        <v>12.64</v>
      </c>
      <c r="AY65" s="6" t="str">
        <v>Ven, A. (Abel) van de</v>
      </c>
      <c r="AZ65" s="90">
        <v>0</v>
      </c>
      <c r="BA65" s="90">
        <v>0</v>
      </c>
      <c r="BB65" s="2" t="str">
        <v>D1</v>
      </c>
      <c r="BC65" s="71">
        <v>11.92</v>
      </c>
    </row>
    <row r="66" spans="1:55">
      <c r="A66" s="152"/>
      <c r="B66" s="6"/>
      <c r="C66" s="90"/>
      <c r="D66" s="90"/>
      <c r="E66" s="2"/>
      <c r="F66" s="71"/>
      <c r="G66" s="6" t="str">
        <v>Laban, F.C. (Freek)</v>
      </c>
      <c r="H66" s="90">
        <v>0</v>
      </c>
      <c r="I66" s="90">
        <v>0</v>
      </c>
      <c r="J66" s="2" t="str">
        <v>C1</v>
      </c>
      <c r="K66" s="71">
        <v>13.63</v>
      </c>
      <c r="M66" s="6" t="str">
        <v>Grandia, R.(Rolina)</v>
      </c>
      <c r="N66" s="90">
        <v>0</v>
      </c>
      <c r="O66" s="90">
        <v>0</v>
      </c>
      <c r="P66" s="2">
        <v>0</v>
      </c>
      <c r="Q66" s="71">
        <v>14.08</v>
      </c>
      <c r="R66" s="6" t="str">
        <v>Haseth, F.M. (Finn) de</v>
      </c>
      <c r="S66" s="90">
        <v>0</v>
      </c>
      <c r="T66" s="90">
        <v>0</v>
      </c>
      <c r="U66" s="2" t="str">
        <v>C3</v>
      </c>
      <c r="V66" s="71">
        <v>13.7</v>
      </c>
      <c r="X66" s="6" t="str">
        <v>Bezemer, E.R. (Eva)</v>
      </c>
      <c r="Y66" s="90">
        <v>0</v>
      </c>
      <c r="Z66" s="90">
        <v>0</v>
      </c>
      <c r="AA66" s="2" t="str">
        <v>C2</v>
      </c>
      <c r="AB66" s="71">
        <v>13.71</v>
      </c>
      <c r="AC66" s="6"/>
      <c r="AD66" s="90"/>
      <c r="AE66" s="90"/>
      <c r="AF66" s="2"/>
      <c r="AG66" s="71"/>
      <c r="AI66" s="60" t="str">
        <v>Uljee, T. (Tess)</v>
      </c>
      <c r="AJ66">
        <v>0</v>
      </c>
      <c r="AK66">
        <v>0</v>
      </c>
      <c r="AL66" s="2" t="str">
        <v>D2</v>
      </c>
      <c r="AM66" s="71">
        <v>12.99</v>
      </c>
      <c r="AN66" s="6"/>
      <c r="AO66" s="90"/>
      <c r="AP66" s="90"/>
      <c r="AQ66" s="2"/>
      <c r="AR66" s="71"/>
      <c r="AT66" s="6" t="str">
        <v>Moniz, D. (Davina)</v>
      </c>
      <c r="AU66" s="90">
        <v>0</v>
      </c>
      <c r="AV66" s="90">
        <v>0</v>
      </c>
      <c r="AW66" s="2" t="str">
        <v>D1</v>
      </c>
      <c r="AX66" s="71">
        <v>12.66</v>
      </c>
      <c r="AY66" s="6"/>
      <c r="AZ66" s="90"/>
      <c r="BA66" s="90"/>
      <c r="BB66" s="2"/>
      <c r="BC66" s="71"/>
    </row>
    <row r="67" spans="1:55">
      <c r="A67" s="152"/>
      <c r="B67" s="6"/>
      <c r="C67" s="90"/>
      <c r="D67" s="90"/>
      <c r="E67" s="2"/>
      <c r="F67" s="71"/>
      <c r="G67" s="6"/>
      <c r="H67" s="90"/>
      <c r="I67" s="90"/>
      <c r="J67" s="2"/>
      <c r="K67" s="71"/>
      <c r="M67" s="6" t="str">
        <v>Jansen, L. (Lieke)</v>
      </c>
      <c r="N67" s="90">
        <v>0</v>
      </c>
      <c r="O67" s="90">
        <v>0</v>
      </c>
      <c r="P67" s="2">
        <v>0</v>
      </c>
      <c r="Q67" s="71">
        <v>14.85</v>
      </c>
      <c r="R67" s="6"/>
      <c r="S67" s="90"/>
      <c r="T67" s="90"/>
      <c r="U67" s="2"/>
      <c r="V67" s="71"/>
      <c r="X67" s="6" t="str">
        <v>Driel, S. (Sanne) van</v>
      </c>
      <c r="Y67" s="90">
        <v>0</v>
      </c>
      <c r="Z67" s="90">
        <v>0</v>
      </c>
      <c r="AA67" s="2" t="str">
        <v>C2</v>
      </c>
      <c r="AB67" s="71">
        <v>14.57</v>
      </c>
      <c r="AC67" s="6"/>
      <c r="AD67" s="90"/>
      <c r="AE67" s="90"/>
      <c r="AF67" s="2"/>
      <c r="AG67" s="71"/>
      <c r="AI67" s="6" t="str">
        <v>Markusse, M. (Milou)</v>
      </c>
      <c r="AJ67" s="90">
        <v>0</v>
      </c>
      <c r="AK67" s="90">
        <v>0</v>
      </c>
      <c r="AL67" s="2" t="str">
        <v>C3</v>
      </c>
      <c r="AM67" s="71">
        <v>13.26</v>
      </c>
      <c r="AN67" s="6"/>
      <c r="AO67" s="90"/>
      <c r="AP67" s="90"/>
      <c r="AQ67" s="2"/>
      <c r="AR67" s="71"/>
      <c r="AT67" s="6" t="str">
        <v>Geldrop, I.I. (Imke) van</v>
      </c>
      <c r="AU67" s="90">
        <v>0</v>
      </c>
      <c r="AV67" s="90">
        <v>0</v>
      </c>
      <c r="AW67" s="2" t="str">
        <v>D1</v>
      </c>
      <c r="AX67" s="71">
        <v>12.92</v>
      </c>
      <c r="AY67" s="6"/>
      <c r="AZ67" s="90"/>
      <c r="BA67" s="90"/>
      <c r="BB67" s="2"/>
      <c r="BC67" s="71"/>
    </row>
    <row r="68" spans="1:55">
      <c r="A68" s="152"/>
      <c r="B68" s="6"/>
      <c r="C68" s="90"/>
      <c r="D68" s="90"/>
      <c r="E68" s="2"/>
      <c r="F68" s="71"/>
      <c r="G68" s="6"/>
      <c r="H68" s="90"/>
      <c r="I68" s="90"/>
      <c r="J68" s="2"/>
      <c r="K68" s="71"/>
      <c r="M68" s="6"/>
      <c r="N68" s="90"/>
      <c r="O68" s="90"/>
      <c r="P68" s="2"/>
      <c r="Q68" s="71"/>
      <c r="R68" s="6"/>
      <c r="S68" s="90"/>
      <c r="T68" s="90"/>
      <c r="U68" s="2"/>
      <c r="V68" s="71"/>
      <c r="X68" s="6" t="str">
        <v>Vaartmans, B. (Britt)</v>
      </c>
      <c r="Y68" s="90">
        <v>0</v>
      </c>
      <c r="Z68" s="90">
        <v>0</v>
      </c>
      <c r="AA68" s="2" t="str">
        <v>-</v>
      </c>
      <c r="AB68" s="71">
        <v>14.95</v>
      </c>
      <c r="AC68" s="6"/>
      <c r="AD68" s="90"/>
      <c r="AE68" s="90"/>
      <c r="AF68" s="2"/>
      <c r="AG68" s="71"/>
      <c r="AI68" s="6" t="str">
        <v>Naeije, L. (Lisanne)</v>
      </c>
      <c r="AJ68" s="90">
        <v>0</v>
      </c>
      <c r="AK68" s="90">
        <v>0</v>
      </c>
      <c r="AL68" s="2" t="str">
        <v>C3</v>
      </c>
      <c r="AM68" s="71">
        <v>13.34</v>
      </c>
      <c r="AN68" s="6"/>
      <c r="AO68" s="90"/>
      <c r="AP68" s="90"/>
      <c r="AQ68" s="2"/>
      <c r="AR68" s="71"/>
      <c r="AT68" s="6"/>
      <c r="AU68" s="90"/>
      <c r="AV68" s="90"/>
      <c r="AW68" s="2"/>
      <c r="AX68" s="71"/>
      <c r="AY68" s="6"/>
      <c r="AZ68" s="90"/>
      <c r="BA68" s="90"/>
      <c r="BB68" s="2"/>
      <c r="BC68" s="71"/>
    </row>
    <row r="69" spans="1:55">
      <c r="A69" s="152"/>
      <c r="B69" s="6"/>
      <c r="C69" s="90"/>
      <c r="D69" s="90"/>
      <c r="E69" s="2"/>
      <c r="F69" s="71"/>
      <c r="G69" s="6"/>
      <c r="H69" s="90"/>
      <c r="I69" s="90"/>
      <c r="J69" s="2"/>
      <c r="K69" s="71"/>
      <c r="M69" s="6"/>
      <c r="N69" s="90"/>
      <c r="O69" s="90"/>
      <c r="P69" s="2"/>
      <c r="Q69" s="71"/>
      <c r="R69" s="6"/>
      <c r="S69" s="90"/>
      <c r="T69" s="90"/>
      <c r="U69" s="2"/>
      <c r="V69" s="71"/>
      <c r="X69" s="6"/>
      <c r="Y69" s="90"/>
      <c r="Z69" s="90"/>
      <c r="AA69" s="2"/>
      <c r="AB69" s="71"/>
      <c r="AC69" s="6"/>
      <c r="AD69" s="90"/>
      <c r="AE69" s="90"/>
      <c r="AF69" s="2"/>
      <c r="AG69" s="71"/>
      <c r="AI69" s="6" t="str">
        <v>Ehmila, J. (Jenna)</v>
      </c>
      <c r="AJ69" s="90">
        <v>0</v>
      </c>
      <c r="AK69" s="90">
        <v>0</v>
      </c>
      <c r="AL69" s="2" t="str">
        <v>C3</v>
      </c>
      <c r="AM69" s="71">
        <v>13.45</v>
      </c>
      <c r="AN69" s="6"/>
      <c r="AO69" s="90"/>
      <c r="AP69" s="90"/>
      <c r="AQ69" s="2"/>
      <c r="AR69" s="71"/>
      <c r="AT69" s="6"/>
      <c r="AU69" s="90"/>
      <c r="AV69" s="90"/>
      <c r="AW69" s="2"/>
      <c r="AX69" s="71"/>
      <c r="AY69" s="6"/>
      <c r="AZ69" s="90"/>
      <c r="BA69" s="90"/>
      <c r="BB69" s="2"/>
      <c r="BC69" s="71"/>
    </row>
    <row r="70" spans="1:55">
      <c r="A70" s="152"/>
      <c r="B70" s="6"/>
      <c r="C70" s="90"/>
      <c r="D70" s="90"/>
      <c r="E70" s="2"/>
      <c r="F70" s="71"/>
      <c r="G70" s="6"/>
      <c r="H70" s="90"/>
      <c r="I70" s="90"/>
      <c r="J70" s="2"/>
      <c r="K70" s="71"/>
      <c r="M70" s="6"/>
      <c r="N70" s="90"/>
      <c r="O70" s="90"/>
      <c r="P70" s="2"/>
      <c r="Q70" s="71"/>
      <c r="R70" s="6"/>
      <c r="S70" s="90"/>
      <c r="T70" s="90"/>
      <c r="U70" s="2"/>
      <c r="V70" s="71"/>
      <c r="X70" s="6"/>
      <c r="Y70" s="90"/>
      <c r="Z70" s="90"/>
      <c r="AA70" s="2"/>
      <c r="AB70" s="71"/>
      <c r="AC70" s="6"/>
      <c r="AD70" s="90"/>
      <c r="AE70" s="90"/>
      <c r="AF70" s="2"/>
      <c r="AG70" s="71"/>
      <c r="AI70" s="6"/>
      <c r="AJ70" s="90"/>
      <c r="AK70" s="90"/>
      <c r="AL70" s="2"/>
      <c r="AM70" s="71"/>
      <c r="AN70" s="6"/>
      <c r="AO70" s="90"/>
      <c r="AP70" s="90"/>
      <c r="AQ70" s="2"/>
      <c r="AR70" s="71"/>
      <c r="AT70" s="6"/>
      <c r="AU70" s="90"/>
      <c r="AV70" s="90"/>
      <c r="AW70" s="2"/>
      <c r="AX70" s="71"/>
      <c r="AY70" s="6"/>
      <c r="AZ70" s="90"/>
      <c r="BA70" s="90"/>
      <c r="BB70" s="2"/>
      <c r="BC70" s="71"/>
    </row>
    <row r="71" spans="1:55" ht="15.75" thickBot="1">
      <c r="A71" s="152"/>
      <c r="B71" s="6"/>
      <c r="C71" s="90"/>
      <c r="D71" s="90"/>
      <c r="E71" s="2"/>
      <c r="F71" s="71"/>
      <c r="G71" s="6"/>
      <c r="H71" s="90"/>
      <c r="I71" s="90"/>
      <c r="J71" s="2"/>
      <c r="K71" s="71"/>
      <c r="M71" s="6"/>
      <c r="N71" s="90"/>
      <c r="O71" s="90"/>
      <c r="P71" s="2"/>
      <c r="Q71" s="71"/>
      <c r="R71" s="6"/>
      <c r="S71" s="90"/>
      <c r="T71" s="90"/>
      <c r="U71" s="2"/>
      <c r="V71" s="71"/>
      <c r="X71" s="6"/>
      <c r="Y71" s="90"/>
      <c r="Z71" s="90"/>
      <c r="AA71" s="2"/>
      <c r="AB71" s="71"/>
      <c r="AC71" s="6"/>
      <c r="AD71" s="90"/>
      <c r="AE71" s="90"/>
      <c r="AF71" s="2"/>
      <c r="AG71" s="71"/>
      <c r="AI71" s="6"/>
      <c r="AJ71" s="90"/>
      <c r="AK71" s="90"/>
      <c r="AL71" s="2"/>
      <c r="AM71" s="71"/>
      <c r="AN71" s="6"/>
      <c r="AO71" s="90"/>
      <c r="AP71" s="90"/>
      <c r="AQ71" s="2"/>
      <c r="AR71" s="71"/>
      <c r="AT71" s="6"/>
      <c r="AU71" s="90"/>
      <c r="AV71" s="90"/>
      <c r="AW71" s="2"/>
      <c r="AX71" s="71"/>
      <c r="AY71" s="6"/>
      <c r="AZ71" s="90"/>
      <c r="BA71" s="90"/>
      <c r="BB71" s="2"/>
      <c r="BC71" s="71"/>
    </row>
    <row r="72" spans="1:55">
      <c r="A72" s="152"/>
      <c r="B72" s="12" t="str" cm="1">
        <f t="array" ref="B72:B73">_xlfn._xlws.FILTER(Staf!$C:$C,Staf!$B:$B=Teamsamenstelling!B60,"")</f>
        <v>Trainer/Coach</v>
      </c>
      <c r="C72" s="13"/>
      <c r="D72" s="13"/>
      <c r="E72" s="13"/>
      <c r="F72" s="72"/>
      <c r="G72" s="13" t="str" cm="1">
        <f t="array" ref="G72:G73">_xlfn._xlws.FILTER(Staf!$A:$A,Staf!$B:$B=Teamsamenstelling!B60,"")</f>
        <v>Milou Oppe</v>
      </c>
      <c r="H72" s="13"/>
      <c r="I72" s="13"/>
      <c r="J72" s="13"/>
      <c r="K72" s="76"/>
      <c r="M72" s="12" t="str" cm="1">
        <f t="array" ref="M72:M73">_xlfn._xlws.FILTER(Staf!$C:$C,Staf!$B:$B=Teamsamenstelling!M60,"")</f>
        <v>Trainer/Coach</v>
      </c>
      <c r="N72" s="13"/>
      <c r="O72" s="13"/>
      <c r="P72" s="13"/>
      <c r="Q72" s="72"/>
      <c r="R72" s="13" t="str" cm="1">
        <f t="array" ref="R72:R73">_xlfn._xlws.FILTER(Staf!$A:$A,Staf!$B:$B=Teamsamenstelling!M60,"")</f>
        <v>Chris Gerritsen</v>
      </c>
      <c r="S72" s="13"/>
      <c r="T72" s="13"/>
      <c r="U72" s="13"/>
      <c r="V72" s="76"/>
      <c r="X72" s="12" t="str" cm="1">
        <f t="array" ref="X72:X74">_xlfn._xlws.FILTER(Staf!$C:$C,Staf!$B:$B=Teamsamenstelling!X60,"")</f>
        <v>Trainer/Coach</v>
      </c>
      <c r="Y72" s="13"/>
      <c r="Z72" s="13"/>
      <c r="AA72" s="13"/>
      <c r="AB72" s="72"/>
      <c r="AC72" s="13" t="str" cm="1">
        <f t="array" ref="AC72:AC74">_xlfn._xlws.FILTER(Staf!$A:$A,Staf!$B:$B=Teamsamenstelling!X60,"")</f>
        <v>Niek Driesprong</v>
      </c>
      <c r="AD72" s="13"/>
      <c r="AE72" s="13"/>
      <c r="AF72" s="13"/>
      <c r="AG72" s="76"/>
      <c r="AI72" s="12" t="str" cm="1">
        <f t="array" ref="AI72:AI73">_xlfn._xlws.FILTER(Staf!$C:$C,Staf!$B:$B=Teamsamenstelling!AI60,"")</f>
        <v>Trainer/Coach</v>
      </c>
      <c r="AJ72" s="13"/>
      <c r="AK72" s="13"/>
      <c r="AL72" s="13"/>
      <c r="AM72" s="72"/>
      <c r="AN72" s="13" t="str" cm="1">
        <f t="array" ref="AN72:AN73">_xlfn._xlws.FILTER(Staf!$A:$A,Staf!$B:$B=Teamsamenstelling!AI60,"")</f>
        <v>Justin Vos</v>
      </c>
      <c r="AO72" s="13"/>
      <c r="AP72" s="13"/>
      <c r="AQ72" s="13"/>
      <c r="AR72" s="76"/>
      <c r="AT72" s="12" t="str" cm="1">
        <f t="array" ref="AT72:AT74">_xlfn._xlws.FILTER(Staf!$C:$C,Staf!$B:$B=Teamsamenstelling!AT60,"")</f>
        <v>Trainer/Coach</v>
      </c>
      <c r="AU72" s="13"/>
      <c r="AV72" s="13"/>
      <c r="AW72" s="13"/>
      <c r="AX72" s="72"/>
      <c r="AY72" s="13" t="str" cm="1">
        <f t="array" ref="AY72:AY74">_xlfn._xlws.FILTER(Staf!$A:$A,Staf!$B:$B=Teamsamenstelling!AT60,"")</f>
        <v>Kimberley Witman</v>
      </c>
      <c r="AZ72" s="13"/>
      <c r="BA72" s="13"/>
      <c r="BB72" s="13"/>
      <c r="BC72" s="76"/>
    </row>
    <row r="73" spans="1:55">
      <c r="A73" s="152"/>
      <c r="B73" s="15" t="str">
        <v>Trainer/Coach</v>
      </c>
      <c r="C73" s="16"/>
      <c r="D73" s="16"/>
      <c r="E73" s="16"/>
      <c r="F73" s="73"/>
      <c r="G73" s="16" t="str">
        <v>Rob van Dongen</v>
      </c>
      <c r="H73" s="16"/>
      <c r="I73" s="16"/>
      <c r="J73" s="16"/>
      <c r="K73" s="77"/>
      <c r="M73" s="15" t="str">
        <v>Trainer/Coach</v>
      </c>
      <c r="N73" s="16"/>
      <c r="O73" s="16"/>
      <c r="P73" s="16"/>
      <c r="Q73" s="73"/>
      <c r="R73" s="16" t="str">
        <v>Fieneke Lotgerink</v>
      </c>
      <c r="S73" s="16"/>
      <c r="T73" s="16"/>
      <c r="U73" s="16"/>
      <c r="V73" s="77"/>
      <c r="X73" s="15" t="str">
        <v>Trainer/Coach</v>
      </c>
      <c r="Y73" s="16"/>
      <c r="Z73" s="16"/>
      <c r="AA73" s="16"/>
      <c r="AB73" s="73"/>
      <c r="AC73" s="16" t="str">
        <v>Seth vd Burgt</v>
      </c>
      <c r="AD73" s="16"/>
      <c r="AE73" s="16"/>
      <c r="AF73" s="16"/>
      <c r="AG73" s="77"/>
      <c r="AI73" s="15" t="str">
        <v>Trainer/Coach</v>
      </c>
      <c r="AJ73" s="16"/>
      <c r="AK73" s="16"/>
      <c r="AL73" s="16"/>
      <c r="AM73" s="73"/>
      <c r="AN73" s="16" t="str">
        <v>Sara Boshoven</v>
      </c>
      <c r="AO73" s="16"/>
      <c r="AP73" s="16"/>
      <c r="AQ73" s="16"/>
      <c r="AR73" s="77"/>
      <c r="AT73" s="15" t="str">
        <v>Trainer/Coach</v>
      </c>
      <c r="AU73" s="16"/>
      <c r="AV73" s="16"/>
      <c r="AW73" s="16"/>
      <c r="AX73" s="73"/>
      <c r="AY73" s="16" t="str">
        <v>Robert Koster</v>
      </c>
      <c r="AZ73" s="16"/>
      <c r="BA73" s="16"/>
      <c r="BB73" s="16"/>
      <c r="BC73" s="77"/>
    </row>
    <row r="74" spans="1:55" ht="15.75" thickBot="1">
      <c r="A74" s="152"/>
      <c r="B74" s="18"/>
      <c r="C74" s="19"/>
      <c r="D74" s="19"/>
      <c r="E74" s="19"/>
      <c r="F74" s="74"/>
      <c r="G74" s="19"/>
      <c r="H74" s="19"/>
      <c r="I74" s="19"/>
      <c r="J74" s="19"/>
      <c r="K74" s="78"/>
      <c r="M74" s="18"/>
      <c r="N74" s="19"/>
      <c r="O74" s="19"/>
      <c r="P74" s="19"/>
      <c r="Q74" s="74"/>
      <c r="R74" s="19"/>
      <c r="S74" s="19"/>
      <c r="T74" s="19"/>
      <c r="U74" s="19"/>
      <c r="V74" s="78"/>
      <c r="X74" s="18" t="str">
        <v>Trainer/Coach</v>
      </c>
      <c r="Y74" s="19"/>
      <c r="Z74" s="19"/>
      <c r="AA74" s="19"/>
      <c r="AB74" s="74"/>
      <c r="AC74" s="19" t="str">
        <v>Sophie Kilsdonk</v>
      </c>
      <c r="AD74" s="19"/>
      <c r="AE74" s="19"/>
      <c r="AF74" s="19"/>
      <c r="AG74" s="78"/>
      <c r="AI74" s="18"/>
      <c r="AJ74" s="19"/>
      <c r="AK74" s="19"/>
      <c r="AL74" s="19"/>
      <c r="AM74" s="74"/>
      <c r="AN74" s="19"/>
      <c r="AO74" s="19"/>
      <c r="AP74" s="19"/>
      <c r="AQ74" s="19"/>
      <c r="AR74" s="78"/>
      <c r="AT74" s="18" t="str">
        <v>Trainer/Coach</v>
      </c>
      <c r="AU74" s="19"/>
      <c r="AV74" s="19"/>
      <c r="AW74" s="19"/>
      <c r="AX74" s="74"/>
      <c r="AY74" s="19" t="str">
        <v>Senne Koster</v>
      </c>
      <c r="AZ74" s="19"/>
      <c r="BA74" s="19"/>
      <c r="BB74" s="19"/>
      <c r="BC74" s="78"/>
    </row>
    <row r="75" spans="1:55" ht="15.75" thickBot="1"/>
    <row r="76" spans="1:55" ht="15.75" thickBot="1">
      <c r="A76" s="152" t="s">
        <v>26</v>
      </c>
      <c r="B76" s="21" t="s">
        <v>27</v>
      </c>
      <c r="C76" s="21"/>
      <c r="D76" s="21"/>
      <c r="E76" s="21"/>
      <c r="F76" s="68"/>
      <c r="G76" s="21"/>
      <c r="H76" s="21"/>
      <c r="I76" s="21"/>
      <c r="J76" s="21"/>
      <c r="K76" s="75">
        <f>AVERAGE(F78:F88,K78:K88)</f>
        <v>11.988</v>
      </c>
      <c r="M76" s="21" t="s">
        <v>28</v>
      </c>
      <c r="N76" s="21"/>
      <c r="O76" s="21"/>
      <c r="P76" s="21"/>
      <c r="Q76" s="68"/>
      <c r="R76" s="21"/>
      <c r="S76" s="21"/>
      <c r="T76" s="21"/>
      <c r="U76" s="21"/>
      <c r="V76" s="75">
        <f>AVERAGE(Q78:Q88,V78:V88)</f>
        <v>11.685555555555554</v>
      </c>
      <c r="X76" s="21" t="s">
        <v>29</v>
      </c>
      <c r="Y76" s="21"/>
      <c r="Z76" s="21"/>
      <c r="AA76" s="21"/>
      <c r="AB76" s="68"/>
      <c r="AC76" s="21"/>
      <c r="AD76" s="21"/>
      <c r="AE76" s="21"/>
      <c r="AF76" s="21"/>
      <c r="AG76" s="75">
        <f>AVERAGE(AB78:AB88,AG78:AG88)</f>
        <v>11.115555555555556</v>
      </c>
      <c r="AI76" s="21" t="s">
        <v>30</v>
      </c>
      <c r="AJ76" s="21"/>
      <c r="AK76" s="21"/>
      <c r="AL76" s="21"/>
      <c r="AM76" s="68"/>
      <c r="AN76" s="21"/>
      <c r="AO76" s="21"/>
      <c r="AP76" s="21"/>
      <c r="AQ76" s="21"/>
      <c r="AR76" s="75">
        <f>AVERAGE(AM78:AM88,AR78:AR88)</f>
        <v>10.456666666666667</v>
      </c>
      <c r="AT76" s="21" t="s">
        <v>31</v>
      </c>
      <c r="AU76" s="21"/>
      <c r="AV76" s="21"/>
      <c r="AW76" s="21"/>
      <c r="AX76" s="68"/>
      <c r="AY76" s="21"/>
      <c r="AZ76" s="21"/>
      <c r="BA76" s="21"/>
      <c r="BB76" s="21"/>
      <c r="BC76" s="75" t="e">
        <f>AVERAGE(AX78:AX88,BC78:BC88)</f>
        <v>#DIV/0!</v>
      </c>
    </row>
    <row r="77" spans="1:55" ht="15.75" thickBot="1">
      <c r="A77" s="152"/>
      <c r="B77" s="8" t="str">
        <f>CONCATENATE("Dames (",COUNTA(E78:E86),")")</f>
        <v>Dames (5)</v>
      </c>
      <c r="C77" s="9"/>
      <c r="D77" s="9"/>
      <c r="E77" s="9"/>
      <c r="F77" s="69"/>
      <c r="G77" s="8" t="str">
        <f>CONCATENATE("Heren (",COUNTA(J78:J86),")")</f>
        <v>Heren (5)</v>
      </c>
      <c r="H77" s="9"/>
      <c r="I77" s="9"/>
      <c r="J77" s="9"/>
      <c r="K77" s="69"/>
      <c r="M77" s="8" t="str">
        <f>CONCATENATE("Dames (",COUNTA(P78:P86),")")</f>
        <v>Dames (4)</v>
      </c>
      <c r="N77" s="9"/>
      <c r="O77" s="9"/>
      <c r="P77" s="9"/>
      <c r="Q77" s="69"/>
      <c r="R77" s="8" t="str">
        <f>CONCATENATE("Heren (",COUNTA(U78:U86),")")</f>
        <v>Heren (5)</v>
      </c>
      <c r="S77" s="9"/>
      <c r="T77" s="9"/>
      <c r="U77" s="9"/>
      <c r="V77" s="69"/>
      <c r="X77" s="8" t="str">
        <f>CONCATENATE("Dames (",COUNTA(AA78:AA84),")")</f>
        <v>Dames (5)</v>
      </c>
      <c r="Y77" s="9"/>
      <c r="Z77" s="9"/>
      <c r="AA77" s="9"/>
      <c r="AB77" s="69"/>
      <c r="AC77" s="8" t="str">
        <f>CONCATENATE("Heren (",COUNTA(AF78:AF86),")")</f>
        <v>Heren (4)</v>
      </c>
      <c r="AD77" s="9"/>
      <c r="AE77" s="9"/>
      <c r="AF77" s="9"/>
      <c r="AG77" s="69"/>
      <c r="AI77" s="8" t="str">
        <f>CONCATENATE("Dames (",COUNTA(AL78:AL86),")")</f>
        <v>Dames (4)</v>
      </c>
      <c r="AJ77" s="9"/>
      <c r="AK77" s="9"/>
      <c r="AL77" s="9"/>
      <c r="AM77" s="69"/>
      <c r="AN77" s="8" t="str">
        <f>CONCATENATE("Heren (",COUNTA(AQ78:AQ86),")")</f>
        <v>Heren (5)</v>
      </c>
      <c r="AO77" s="9"/>
      <c r="AP77" s="9"/>
      <c r="AQ77" s="9"/>
      <c r="AR77" s="69"/>
      <c r="AT77" s="8" t="str">
        <f>CONCATENATE("Dames (",COUNTA(AW78:AW86),")")</f>
        <v>Dames (1)</v>
      </c>
      <c r="AU77" s="9"/>
      <c r="AV77" s="9"/>
      <c r="AW77" s="9"/>
      <c r="AX77" s="69"/>
      <c r="AY77" s="8" t="str">
        <f>CONCATENATE("Heren (",COUNTA(BB78:BB86),")")</f>
        <v>Heren (1)</v>
      </c>
      <c r="AZ77" s="9"/>
      <c r="BA77" s="9"/>
      <c r="BB77" s="9"/>
      <c r="BC77" s="69"/>
    </row>
    <row r="78" spans="1:55">
      <c r="A78" s="152"/>
      <c r="B78" s="3" t="str" cm="1">
        <f t="array" ref="B78:B82">_xlfn._xlws.FILTER(Spelerslijst!$B:$B,Spelerslijst!$F:$F=B$76,"")</f>
        <v>Dijl, B.E.I. (Benthe) van</v>
      </c>
      <c r="C78" s="89" cm="1">
        <f t="array" ref="C78:C82">_xlfn._xlws.FILTER(Spelerslijst!$I:$I,Spelerslijst!$F:$F=B$76,"")</f>
        <v>0</v>
      </c>
      <c r="D78" s="89" cm="1">
        <f t="array" ref="D78:D82">_xlfn._xlws.FILTER(Spelerslijst!$J:$J,Spelerslijst!$F:$F=B$76,"")</f>
        <v>0</v>
      </c>
      <c r="E78" s="4" t="str" cm="1">
        <f t="array" ref="E78:E82">_xlfn._xlws.FILTER(Spelerslijst!$H:$H,Spelerslijst!$F:$F=B$76,"")</f>
        <v>D4</v>
      </c>
      <c r="F78" s="70" cm="1">
        <f t="array" ref="F78:F82">_xlfn._xlws.FILTER(Spelerslijst!$D:$D,Spelerslijst!$F:$F=B$76,"")</f>
        <v>11.44</v>
      </c>
      <c r="G78" s="3" t="str" cm="1">
        <f t="array" ref="G78:G82">_xlfn._xlws.FILTER(Spelerslijst!$M:$M,Spelerslijst!$Q:$Q=B$76,"")</f>
        <v>Weijde, L. (Lukas) van der</v>
      </c>
      <c r="H78" s="89" cm="1">
        <f t="array" ref="H78:H82">_xlfn._xlws.FILTER(Spelerslijst!$T:$T,Spelerslijst!$Q:$Q=B$76,"")</f>
        <v>0</v>
      </c>
      <c r="I78" s="89" cm="1">
        <f t="array" ref="I78:I82">_xlfn._xlws.FILTER(Spelerslijst!$U:$U,Spelerslijst!$Q:$Q=B$76,"")</f>
        <v>0</v>
      </c>
      <c r="J78" s="4" t="str" cm="1">
        <f t="array" ref="J78:J82">_xlfn._xlws.FILTER(Spelerslijst!S:S,Spelerslijst!$Q:$Q=B$76,"")</f>
        <v>D4</v>
      </c>
      <c r="K78" s="70" cm="1">
        <f t="array" ref="K78:K82">_xlfn._xlws.FILTER(Spelerslijst!$O:$O,Spelerslijst!$Q:$Q=B$76,"")</f>
        <v>11.85</v>
      </c>
      <c r="M78" s="3" t="str" cm="1">
        <f t="array" ref="M78:M81">_xlfn._xlws.FILTER(Spelerslijst!$B:$B,Spelerslijst!$F:$F=M$76,"")</f>
        <v>Dongen, P. (Pien) van</v>
      </c>
      <c r="N78" s="89" cm="1">
        <f t="array" ref="N78:N81">_xlfn._xlws.FILTER(Spelerslijst!$I:$I,Spelerslijst!$F:$F=M$76,"")</f>
        <v>0</v>
      </c>
      <c r="O78" s="89" cm="1">
        <f t="array" ref="O78:O81">_xlfn._xlws.FILTER(Spelerslijst!$J:$J,Spelerslijst!$F:$F=M$76,"")</f>
        <v>0</v>
      </c>
      <c r="P78" s="4" t="str" cm="1">
        <f t="array" ref="P78:P81">_xlfn._xlws.FILTER(Spelerslijst!$H:$H,Spelerslijst!$F:$F=M$76,"")</f>
        <v>D3</v>
      </c>
      <c r="Q78" s="70" cm="1">
        <f t="array" ref="Q78:Q81">_xlfn._xlws.FILTER(Spelerslijst!$D:$D,Spelerslijst!$F:$F=M$76,"")</f>
        <v>11.28</v>
      </c>
      <c r="R78" s="3" t="str" cm="1">
        <f t="array" ref="R78:R82">_xlfn._xlws.FILTER(Spelerslijst!$M:$M,Spelerslijst!$Q:$Q=M$76,"")</f>
        <v>Rest, L.J. (Lucas) van de</v>
      </c>
      <c r="S78" s="89" cm="1">
        <f t="array" ref="S78:S82">_xlfn._xlws.FILTER(Spelerslijst!$T:$T,Spelerslijst!$Q:$Q=M$76,"")</f>
        <v>0</v>
      </c>
      <c r="T78" s="89" cm="1">
        <f t="array" ref="T78:T82">_xlfn._xlws.FILTER(Spelerslijst!$U:$U,Spelerslijst!$Q:$Q=M$76,"")</f>
        <v>0</v>
      </c>
      <c r="U78" s="4" t="str" cm="1">
        <f t="array" ref="U78:U82">_xlfn._xlws.FILTER(Spelerslijst!$S:$S,Spelerslijst!$Q:$Q=M$76,"")</f>
        <v>D3</v>
      </c>
      <c r="V78" s="70" cm="1">
        <f t="array" ref="V78:V82">_xlfn._xlws.FILTER(Spelerslijst!$O:$O,Spelerslijst!$Q:$Q=M$76,"")</f>
        <v>11.94</v>
      </c>
      <c r="X78" s="3" t="str" cm="1">
        <f t="array" ref="X78:X82">_xlfn._xlws.FILTER(Spelerslijst!$B:$B,Spelerslijst!$F:$F=X$76,"")</f>
        <v>Mans, R. (Robin)</v>
      </c>
      <c r="Y78" s="89" cm="1">
        <f t="array" ref="Y78:Y82">_xlfn._xlws.FILTER(Spelerslijst!$I:$I,Spelerslijst!$F:$F=X$76,"")</f>
        <v>0</v>
      </c>
      <c r="Z78" s="89" cm="1">
        <f t="array" ref="Z78:Z82">_xlfn._xlws.FILTER(Spelerslijst!$J:$J,Spelerslijst!$F:$F=X$76,"")</f>
        <v>0</v>
      </c>
      <c r="AA78" s="4" t="str" cm="1">
        <f t="array" ref="AA78:AA82">_xlfn._xlws.FILTER(Spelerslijst!$H:$H,Spelerslijst!$F:$F=X$76,"")</f>
        <v>E1</v>
      </c>
      <c r="AB78" s="70" cm="1">
        <f t="array" ref="AB78:AB82">_xlfn._xlws.FILTER(Spelerslijst!$D:$D,Spelerslijst!$F:$F=X$76,"")</f>
        <v>10.33</v>
      </c>
      <c r="AC78" s="3" t="str" cm="1">
        <f t="array" ref="AC78:AC81">_xlfn._xlws.FILTER(Spelerslijst!$M:$M,Spelerslijst!$Q:$Q=X$76,"")</f>
        <v>Winter, L.P. (Lars)</v>
      </c>
      <c r="AD78" s="89" cm="1">
        <f t="array" ref="AD78:AD81">_xlfn._xlws.FILTER(Spelerslijst!$T:$T,Spelerslijst!$Q:$Q=X$76,"")</f>
        <v>0</v>
      </c>
      <c r="AE78" s="89" cm="1">
        <f t="array" ref="AE78:AE81">_xlfn._xlws.FILTER(Spelerslijst!$U:$U,Spelerslijst!$Q:$Q=X$76,"")</f>
        <v>0</v>
      </c>
      <c r="AF78" s="4" t="str" cm="1">
        <f t="array" ref="AF78:AF81">_xlfn._xlws.FILTER(Spelerslijst!$S:$S,Spelerslijst!$Q:$Q=X$76,"")</f>
        <v>D2</v>
      </c>
      <c r="AG78" s="70" cm="1">
        <f t="array" ref="AG78:AG81">_xlfn._xlws.FILTER(Spelerslijst!$O:$O,Spelerslijst!$Q:$Q=X$76,"")</f>
        <v>11.87</v>
      </c>
      <c r="AI78" s="3" t="str" cm="1">
        <f t="array" ref="AI78:AI81">_xlfn._xlws.FILTER(Spelerslijst!$B:$B,Spelerslijst!$F:$F=AI$76,"")</f>
        <v>Bergh, A.J. (Aniek) van den</v>
      </c>
      <c r="AJ78" s="89" cm="1">
        <f t="array" ref="AJ78:AJ81">_xlfn._xlws.FILTER(Spelerslijst!$I:$I,Spelerslijst!$F:$F=AI$76,"")</f>
        <v>0</v>
      </c>
      <c r="AK78" s="89" cm="1">
        <f t="array" ref="AK78:AK81">_xlfn._xlws.FILTER(Spelerslijst!$J:$J,Spelerslijst!$F:$F=AI$76,"")</f>
        <v>0</v>
      </c>
      <c r="AL78" s="4" t="str" cm="1">
        <f t="array" ref="AL78:AL81">_xlfn._xlws.FILTER(Spelerslijst!$H:$H,Spelerslijst!$F:$F=AI$76,"")</f>
        <v>E2</v>
      </c>
      <c r="AM78" s="70" cm="1">
        <f t="array" ref="AM78:AM81">_xlfn._xlws.FILTER(Spelerslijst!$D:$D,Spelerslijst!$F:$F=AI$76,"")</f>
        <v>10.17</v>
      </c>
      <c r="AN78" s="3" t="str" cm="1">
        <f t="array" ref="AN78:AN82">_xlfn._xlws.FILTER(Spelerslijst!$M:$M,Spelerslijst!$Q:$Q=AI$76,"")</f>
        <v>Verberkt, G.J. (Gideon)</v>
      </c>
      <c r="AO78" s="89" cm="1">
        <f t="array" ref="AO78:AO82">_xlfn._xlws.FILTER(Spelerslijst!$T:$T,Spelerslijst!$Q:$Q=AI$76,"")</f>
        <v>0</v>
      </c>
      <c r="AP78" s="89" cm="1">
        <f t="array" ref="AP78:AP82">_xlfn._xlws.FILTER(Spelerslijst!$U:$U,Spelerslijst!$Q:$Q=AI$76,"")</f>
        <v>0</v>
      </c>
      <c r="AQ78" s="4" t="str" cm="1">
        <f t="array" ref="AQ78:AQ82">_xlfn._xlws.FILTER(Spelerslijst!$S:$S,Spelerslijst!$Q:$Q=AI$76,"")</f>
        <v>E2</v>
      </c>
      <c r="AR78" s="70" cm="1">
        <f t="array" ref="AR78:AR82">_xlfn._xlws.FILTER(Spelerslijst!$O:$O,Spelerslijst!$Q:$Q=AI$76,"")</f>
        <v>10.98</v>
      </c>
      <c r="AT78" s="3" t="str" cm="1">
        <f t="array" ref="AT78">_xlfn._xlws.FILTER(Spelerslijst!$B:$B,Spelerslijst!$F:$F=AT$76,"")</f>
        <v/>
      </c>
      <c r="AU78" s="89" t="str" cm="1">
        <f t="array" ref="AU78">_xlfn._xlws.FILTER(Spelerslijst!$I:$I,Spelerslijst!$F:$F=AT$76,"")</f>
        <v/>
      </c>
      <c r="AV78" s="89" t="str" cm="1">
        <f t="array" ref="AV78">_xlfn._xlws.FILTER(Spelerslijst!$J:$J,Spelerslijst!$F:$F=AT$76,"")</f>
        <v/>
      </c>
      <c r="AW78" s="4" t="str" cm="1">
        <f t="array" ref="AW78">_xlfn._xlws.FILTER(Spelerslijst!$H:$H,Spelerslijst!$F:$F=AT$76,"")</f>
        <v/>
      </c>
      <c r="AX78" s="70" t="str" cm="1">
        <f t="array" ref="AX78">_xlfn._xlws.FILTER(Spelerslijst!$D:$D,Spelerslijst!$F:$F=AT$76,"")</f>
        <v/>
      </c>
      <c r="AY78" s="3" t="str" cm="1">
        <f t="array" ref="AY78">_xlfn._xlws.FILTER(Spelerslijst!$M:$M,Spelerslijst!$Q:$Q=AT$76,"")</f>
        <v/>
      </c>
      <c r="AZ78" s="89" t="str" cm="1">
        <f t="array" ref="AZ78">_xlfn._xlws.FILTER(Spelerslijst!$T:$T,Spelerslijst!$Q:$Q=AT$76,"")</f>
        <v/>
      </c>
      <c r="BA78" s="89" t="str" cm="1">
        <f t="array" ref="BA78">_xlfn._xlws.FILTER(Spelerslijst!$U:$U,Spelerslijst!$Q:$Q=AT$76,"")</f>
        <v/>
      </c>
      <c r="BB78" s="4" t="str" cm="1">
        <f t="array" ref="BB78">_xlfn._xlws.FILTER(Spelerslijst!$S:$S,Spelerslijst!$Q:$Q=AT$76,"")</f>
        <v/>
      </c>
      <c r="BC78" s="70" t="str" cm="1">
        <f t="array" ref="BC78">_xlfn._xlws.FILTER(Spelerslijst!$O:$O,Spelerslijst!$Q:$Q=AT$76,"")</f>
        <v/>
      </c>
    </row>
    <row r="79" spans="1:55">
      <c r="A79" s="152"/>
      <c r="B79" s="6" t="str">
        <v>Schot, E. (Emma)</v>
      </c>
      <c r="C79" s="90">
        <v>0</v>
      </c>
      <c r="D79" s="90">
        <v>0</v>
      </c>
      <c r="E79" s="2" t="str">
        <v>D4</v>
      </c>
      <c r="F79" s="71">
        <v>12.15</v>
      </c>
      <c r="G79" s="6" t="str">
        <v>Koppelaar, C. (Collin)</v>
      </c>
      <c r="H79" s="90">
        <v>0</v>
      </c>
      <c r="I79" s="90">
        <v>0</v>
      </c>
      <c r="J79" s="2" t="str">
        <v>D4</v>
      </c>
      <c r="K79" s="71">
        <v>11.74</v>
      </c>
      <c r="M79" s="6" t="str">
        <v>Vos, J. (Jeslynn)</v>
      </c>
      <c r="N79" s="90">
        <v>0</v>
      </c>
      <c r="O79" s="90">
        <v>0</v>
      </c>
      <c r="P79" s="2" t="str">
        <v>D3</v>
      </c>
      <c r="Q79" s="71">
        <v>11.85</v>
      </c>
      <c r="R79" s="6" t="str">
        <v>Bosch, A. (Ayden) van den</v>
      </c>
      <c r="S79" s="90">
        <v>0</v>
      </c>
      <c r="T79" s="90">
        <v>0</v>
      </c>
      <c r="U79" s="2" t="str">
        <v>D3</v>
      </c>
      <c r="V79" s="71">
        <v>11.82</v>
      </c>
      <c r="X79" s="6" t="str">
        <v>Rebollo, T. (Tess)</v>
      </c>
      <c r="Y79" s="90">
        <v>0</v>
      </c>
      <c r="Z79" s="90">
        <v>0</v>
      </c>
      <c r="AA79" s="2" t="str">
        <v>E1</v>
      </c>
      <c r="AB79" s="71">
        <v>10.71</v>
      </c>
      <c r="AC79" s="6" t="str">
        <v>Dijkstra, R.J. (Ralf)</v>
      </c>
      <c r="AD79" s="90">
        <v>0</v>
      </c>
      <c r="AE79" s="90">
        <v>0</v>
      </c>
      <c r="AF79" s="2" t="str">
        <v>D4</v>
      </c>
      <c r="AG79" s="71">
        <v>11.77</v>
      </c>
      <c r="AI79" s="6" t="str">
        <v>Torbali, N. (Nehir)</v>
      </c>
      <c r="AJ79" s="90">
        <v>0</v>
      </c>
      <c r="AK79" s="90">
        <v>0</v>
      </c>
      <c r="AL79" s="2" t="str">
        <v>E2</v>
      </c>
      <c r="AM79" s="71">
        <v>10.3</v>
      </c>
      <c r="AN79" s="6" t="str">
        <v>Boekee, R.D. (Rens)</v>
      </c>
      <c r="AO79" s="90">
        <v>0</v>
      </c>
      <c r="AP79" s="90">
        <v>0</v>
      </c>
      <c r="AQ79" s="2" t="str">
        <v>E2</v>
      </c>
      <c r="AR79" s="71">
        <v>10.58</v>
      </c>
      <c r="AT79" s="6"/>
      <c r="AU79" s="90"/>
      <c r="AV79" s="90"/>
      <c r="AW79" s="2"/>
      <c r="AX79" s="71"/>
      <c r="AY79" s="6"/>
      <c r="AZ79" s="90"/>
      <c r="BA79" s="90"/>
      <c r="BB79" s="2"/>
      <c r="BC79" s="71"/>
    </row>
    <row r="80" spans="1:55">
      <c r="A80" s="152"/>
      <c r="B80" s="6" t="str">
        <v>Kombe, F.N. (Nurefsan)</v>
      </c>
      <c r="C80" s="90">
        <v>0</v>
      </c>
      <c r="D80" s="90">
        <v>0</v>
      </c>
      <c r="E80" s="2" t="str">
        <v>D4</v>
      </c>
      <c r="F80" s="71">
        <v>12.57</v>
      </c>
      <c r="G80" s="6" t="str">
        <v>Jongkind, J.M. (Joep)</v>
      </c>
      <c r="H80" s="90">
        <v>0</v>
      </c>
      <c r="I80" s="90">
        <v>0</v>
      </c>
      <c r="J80" s="2" t="str">
        <v>D4</v>
      </c>
      <c r="K80" s="71">
        <v>11.67</v>
      </c>
      <c r="M80" s="6" t="str">
        <v>Dekker, J. (Jaimey)</v>
      </c>
      <c r="N80" s="90">
        <v>0</v>
      </c>
      <c r="O80" s="90">
        <v>0</v>
      </c>
      <c r="P80" s="2" t="str">
        <v>-</v>
      </c>
      <c r="Q80" s="71">
        <v>11.88</v>
      </c>
      <c r="R80" s="6" t="str">
        <v>Ameijden, M. (Morris) van</v>
      </c>
      <c r="S80" s="90">
        <v>0</v>
      </c>
      <c r="T80" s="90">
        <v>0</v>
      </c>
      <c r="U80" s="2" t="str">
        <v>D3</v>
      </c>
      <c r="V80" s="71">
        <v>11.61</v>
      </c>
      <c r="X80" s="6" t="str">
        <v>Kleingeld, S. (Sofie)</v>
      </c>
      <c r="Y80" s="90">
        <v>0</v>
      </c>
      <c r="Z80" s="90">
        <v>0</v>
      </c>
      <c r="AA80" s="2" t="str">
        <v>E1</v>
      </c>
      <c r="AB80" s="71">
        <v>10.75</v>
      </c>
      <c r="AC80" s="6" t="str">
        <v>Hoedelmans, T. (Tobias)</v>
      </c>
      <c r="AD80" s="90">
        <v>0</v>
      </c>
      <c r="AE80" s="90">
        <v>0</v>
      </c>
      <c r="AF80" s="2" t="str">
        <v>D2</v>
      </c>
      <c r="AG80" s="71">
        <v>11.73</v>
      </c>
      <c r="AI80" s="6" t="str">
        <v>Twist, J.J. (Julia) van</v>
      </c>
      <c r="AJ80" s="90">
        <v>0</v>
      </c>
      <c r="AK80" s="90">
        <v>0</v>
      </c>
      <c r="AL80" s="2" t="str">
        <v>E2</v>
      </c>
      <c r="AM80" s="71">
        <v>10.37</v>
      </c>
      <c r="AN80" s="6" t="str">
        <v>Weijde, J. (Jasper) van der</v>
      </c>
      <c r="AO80" s="90">
        <v>0</v>
      </c>
      <c r="AP80" s="90">
        <v>0</v>
      </c>
      <c r="AQ80" s="2" t="str">
        <v>E3</v>
      </c>
      <c r="AR80" s="71">
        <v>10.58</v>
      </c>
      <c r="AT80" s="6"/>
      <c r="AU80" s="90"/>
      <c r="AV80" s="90"/>
      <c r="AW80" s="2"/>
      <c r="AX80" s="71"/>
      <c r="AY80" s="6"/>
      <c r="AZ80" s="90"/>
      <c r="BA80" s="90"/>
      <c r="BB80" s="2"/>
      <c r="BC80" s="71"/>
    </row>
    <row r="81" spans="1:77">
      <c r="A81" s="152"/>
      <c r="B81" s="6" t="str">
        <v>Niehof, E. (Elske)</v>
      </c>
      <c r="C81" s="90">
        <v>0</v>
      </c>
      <c r="D81" s="90">
        <v>0</v>
      </c>
      <c r="E81" s="2" t="str">
        <v>D4</v>
      </c>
      <c r="F81" s="71">
        <v>12.81</v>
      </c>
      <c r="G81" s="6" t="str">
        <v>Jongkind, S.C. (Sepp)</v>
      </c>
      <c r="H81" s="90">
        <v>0</v>
      </c>
      <c r="I81" s="90">
        <v>0</v>
      </c>
      <c r="J81" s="2" t="str">
        <v>D4</v>
      </c>
      <c r="K81" s="71">
        <v>11.67</v>
      </c>
      <c r="M81" s="6" t="str">
        <v>Linden, I. (Ize) van der</v>
      </c>
      <c r="N81" s="90">
        <v>0</v>
      </c>
      <c r="O81" s="90">
        <v>0</v>
      </c>
      <c r="P81" s="2" t="str">
        <v>D3</v>
      </c>
      <c r="Q81" s="71">
        <v>11.94</v>
      </c>
      <c r="R81" s="6" t="str">
        <v>Everaarts, L. (Levi)</v>
      </c>
      <c r="S81" s="90">
        <v>0</v>
      </c>
      <c r="T81" s="90">
        <v>0</v>
      </c>
      <c r="U81" s="2" t="str">
        <v>D3</v>
      </c>
      <c r="V81" s="71">
        <v>11.47</v>
      </c>
      <c r="X81" s="6" t="str">
        <v>Laban, M. (Maartje)</v>
      </c>
      <c r="Y81" s="90">
        <v>0</v>
      </c>
      <c r="Z81" s="90">
        <v>0</v>
      </c>
      <c r="AA81" s="2" t="str">
        <v>E1</v>
      </c>
      <c r="AB81" s="71">
        <v>10.85</v>
      </c>
      <c r="AC81" s="6" t="str">
        <v>Ploeg, K.J.A. (Koen)</v>
      </c>
      <c r="AD81" s="90">
        <v>0</v>
      </c>
      <c r="AE81" s="90">
        <v>0</v>
      </c>
      <c r="AF81" s="2" t="str">
        <v>E1</v>
      </c>
      <c r="AG81" s="71">
        <v>10.9</v>
      </c>
      <c r="AI81" s="6" t="str">
        <v>Kombe, S.N. (Nesrin)</v>
      </c>
      <c r="AJ81" s="90">
        <v>0</v>
      </c>
      <c r="AK81" s="90">
        <v>0</v>
      </c>
      <c r="AL81" s="2" t="str">
        <v>E4</v>
      </c>
      <c r="AM81" s="71">
        <v>10.48</v>
      </c>
      <c r="AN81" s="6" t="str">
        <v>Stel, T. (Tom) van der</v>
      </c>
      <c r="AO81" s="90">
        <v>0</v>
      </c>
      <c r="AP81" s="90">
        <v>0</v>
      </c>
      <c r="AQ81" s="2" t="str">
        <v>E3</v>
      </c>
      <c r="AR81" s="71">
        <v>10.53</v>
      </c>
      <c r="AT81" s="6"/>
      <c r="AU81" s="90"/>
      <c r="AV81" s="90"/>
      <c r="AW81" s="2"/>
      <c r="AX81" s="71"/>
      <c r="AY81" s="6"/>
      <c r="AZ81" s="90"/>
      <c r="BA81" s="90"/>
      <c r="BB81" s="2"/>
      <c r="BC81" s="71"/>
    </row>
    <row r="82" spans="1:77">
      <c r="A82" s="152"/>
      <c r="B82" t="str">
        <v>Oosse, E. (Esther)</v>
      </c>
      <c r="C82">
        <v>0</v>
      </c>
      <c r="D82">
        <v>0</v>
      </c>
      <c r="E82" s="2" t="str">
        <v>D2</v>
      </c>
      <c r="F82" s="71">
        <v>12.87</v>
      </c>
      <c r="G82" s="6" t="str">
        <v>Josefina, M. (Mayson)</v>
      </c>
      <c r="H82" s="90">
        <v>0</v>
      </c>
      <c r="I82" s="90">
        <v>0</v>
      </c>
      <c r="J82" s="2" t="str">
        <v>D4</v>
      </c>
      <c r="K82" s="71">
        <v>11.11</v>
      </c>
      <c r="M82" s="6"/>
      <c r="N82" s="90"/>
      <c r="O82" s="90"/>
      <c r="P82" s="2"/>
      <c r="Q82" s="71"/>
      <c r="R82" s="6" t="str">
        <v>Dekker, J (Jorn) den</v>
      </c>
      <c r="S82" s="90">
        <v>0</v>
      </c>
      <c r="T82" s="90">
        <v>0</v>
      </c>
      <c r="U82" s="2" t="str">
        <v>D3</v>
      </c>
      <c r="V82" s="71">
        <v>11.38</v>
      </c>
      <c r="X82" s="6" t="str">
        <v>Arbiati, S. (Sanae) el</v>
      </c>
      <c r="Y82" s="90">
        <v>0</v>
      </c>
      <c r="Z82" s="90">
        <v>0</v>
      </c>
      <c r="AA82" s="2" t="str">
        <v>D3</v>
      </c>
      <c r="AB82" s="71">
        <v>11.13</v>
      </c>
      <c r="AC82" s="6"/>
      <c r="AD82" s="90"/>
      <c r="AE82" s="90"/>
      <c r="AF82" s="2"/>
      <c r="AG82" s="71"/>
      <c r="AI82" s="6"/>
      <c r="AJ82" s="90"/>
      <c r="AK82" s="90"/>
      <c r="AL82" s="2"/>
      <c r="AM82" s="71"/>
      <c r="AN82" s="6" t="str">
        <v>Sijde, T. (Timo) van der</v>
      </c>
      <c r="AO82" s="90">
        <v>0</v>
      </c>
      <c r="AP82" s="90">
        <v>0</v>
      </c>
      <c r="AQ82" s="2" t="str">
        <v>E2</v>
      </c>
      <c r="AR82" s="71">
        <v>10.119999999999999</v>
      </c>
      <c r="AT82" s="6"/>
      <c r="AU82" s="90"/>
      <c r="AV82" s="90"/>
      <c r="AW82" s="2"/>
      <c r="AX82" s="71"/>
      <c r="AY82" s="6"/>
      <c r="AZ82" s="90"/>
      <c r="BA82" s="90"/>
      <c r="BB82" s="2"/>
      <c r="BC82" s="71"/>
    </row>
    <row r="83" spans="1:77">
      <c r="A83" s="152"/>
      <c r="B83" s="6"/>
      <c r="C83" s="90"/>
      <c r="D83" s="90"/>
      <c r="E83" s="2"/>
      <c r="F83" s="71"/>
      <c r="G83" s="6"/>
      <c r="H83" s="90"/>
      <c r="I83" s="90"/>
      <c r="J83" s="2"/>
      <c r="K83" s="71"/>
      <c r="M83" s="6"/>
      <c r="N83" s="90"/>
      <c r="O83" s="90"/>
      <c r="P83" s="2"/>
      <c r="Q83" s="71"/>
      <c r="R83" s="6"/>
      <c r="S83" s="90"/>
      <c r="T83" s="90"/>
      <c r="U83" s="2"/>
      <c r="V83" s="71"/>
      <c r="X83" s="6"/>
      <c r="Y83" s="90"/>
      <c r="Z83" s="90"/>
      <c r="AA83" s="2"/>
      <c r="AB83" s="71"/>
      <c r="AC83" s="6"/>
      <c r="AD83" s="90"/>
      <c r="AE83" s="90"/>
      <c r="AF83" s="2"/>
      <c r="AG83" s="71"/>
      <c r="AI83" s="6"/>
      <c r="AJ83" s="90"/>
      <c r="AK83" s="90"/>
      <c r="AL83" s="2"/>
      <c r="AM83" s="71"/>
      <c r="AN83" s="6"/>
      <c r="AO83" s="90"/>
      <c r="AP83" s="90"/>
      <c r="AQ83" s="2"/>
      <c r="AR83" s="71"/>
      <c r="AT83" s="6"/>
      <c r="AU83" s="90"/>
      <c r="AV83" s="90"/>
      <c r="AW83" s="2"/>
      <c r="AX83" s="71"/>
      <c r="AY83" s="6"/>
      <c r="AZ83" s="90"/>
      <c r="BA83" s="90"/>
      <c r="BB83" s="2"/>
      <c r="BC83" s="71"/>
    </row>
    <row r="84" spans="1:77">
      <c r="A84" s="152"/>
      <c r="B84" s="6"/>
      <c r="C84" s="90"/>
      <c r="D84" s="90"/>
      <c r="E84" s="2"/>
      <c r="F84" s="71"/>
      <c r="G84" s="6"/>
      <c r="H84" s="90"/>
      <c r="I84" s="90"/>
      <c r="J84" s="2"/>
      <c r="K84" s="71"/>
      <c r="M84" s="6"/>
      <c r="N84" s="90"/>
      <c r="O84" s="90"/>
      <c r="P84" s="2"/>
      <c r="Q84" s="71"/>
      <c r="R84" s="6"/>
      <c r="S84" s="90"/>
      <c r="T84" s="90"/>
      <c r="U84" s="2"/>
      <c r="V84" s="71"/>
      <c r="X84" s="6"/>
      <c r="Y84" s="90"/>
      <c r="Z84" s="90"/>
      <c r="AA84" s="2"/>
      <c r="AB84" s="71"/>
      <c r="AC84" s="6"/>
      <c r="AD84" s="90"/>
      <c r="AE84" s="90"/>
      <c r="AF84" s="2"/>
      <c r="AG84" s="71"/>
      <c r="AI84" s="6"/>
      <c r="AJ84" s="90"/>
      <c r="AK84" s="90"/>
      <c r="AL84" s="2"/>
      <c r="AM84" s="71"/>
      <c r="AN84" s="6"/>
      <c r="AO84" s="90"/>
      <c r="AP84" s="90"/>
      <c r="AQ84" s="2"/>
      <c r="AR84" s="71"/>
      <c r="AT84" s="6"/>
      <c r="AU84" s="90"/>
      <c r="AV84" s="90"/>
      <c r="AW84" s="2"/>
      <c r="AX84" s="71"/>
      <c r="AY84" s="6"/>
      <c r="AZ84" s="90"/>
      <c r="BA84" s="90"/>
      <c r="BB84" s="2"/>
      <c r="BC84" s="71"/>
    </row>
    <row r="85" spans="1:77">
      <c r="A85" s="152"/>
      <c r="B85" s="6"/>
      <c r="C85" s="90"/>
      <c r="D85" s="90"/>
      <c r="E85" s="2"/>
      <c r="F85" s="71"/>
      <c r="G85" s="6"/>
      <c r="H85" s="90"/>
      <c r="I85" s="90"/>
      <c r="J85" s="2"/>
      <c r="K85" s="71"/>
      <c r="M85" s="6"/>
      <c r="N85" s="90"/>
      <c r="O85" s="90"/>
      <c r="P85" s="2"/>
      <c r="Q85" s="71"/>
      <c r="R85" s="6"/>
      <c r="S85" s="90"/>
      <c r="T85" s="90"/>
      <c r="U85" s="2"/>
      <c r="V85" s="71"/>
      <c r="X85" s="6"/>
      <c r="AB85" s="71"/>
      <c r="AC85" s="6"/>
      <c r="AD85" s="90"/>
      <c r="AE85" s="90"/>
      <c r="AF85" s="2"/>
      <c r="AG85" s="71"/>
      <c r="AI85" s="6"/>
      <c r="AJ85" s="90"/>
      <c r="AK85" s="90"/>
      <c r="AL85" s="2"/>
      <c r="AM85" s="71"/>
      <c r="AN85" s="6"/>
      <c r="AO85" s="90"/>
      <c r="AP85" s="90"/>
      <c r="AQ85" s="2"/>
      <c r="AR85" s="71"/>
      <c r="AT85" s="6"/>
      <c r="AU85" s="90"/>
      <c r="AV85" s="90"/>
      <c r="AW85" s="2"/>
      <c r="AX85" s="71"/>
      <c r="AY85" s="6"/>
      <c r="AZ85" s="90"/>
      <c r="BA85" s="90"/>
      <c r="BB85" s="2"/>
      <c r="BC85" s="71"/>
    </row>
    <row r="86" spans="1:77" ht="15.75" thickBot="1">
      <c r="A86" s="152"/>
      <c r="B86" s="6"/>
      <c r="C86" s="90"/>
      <c r="D86" s="90"/>
      <c r="E86" s="2"/>
      <c r="F86" s="71"/>
      <c r="G86" s="6"/>
      <c r="H86" s="90"/>
      <c r="I86" s="90"/>
      <c r="J86" s="2"/>
      <c r="K86" s="71"/>
      <c r="M86" s="6"/>
      <c r="N86" s="90"/>
      <c r="O86" s="90"/>
      <c r="P86" s="2"/>
      <c r="Q86" s="71"/>
      <c r="R86" s="6"/>
      <c r="S86" s="90"/>
      <c r="T86" s="90"/>
      <c r="U86" s="2"/>
      <c r="V86" s="71"/>
      <c r="X86" s="6"/>
      <c r="AB86" s="71"/>
      <c r="AC86" s="6"/>
      <c r="AD86" s="90"/>
      <c r="AE86" s="90"/>
      <c r="AF86" s="2"/>
      <c r="AG86" s="71"/>
      <c r="AI86" s="6"/>
      <c r="AJ86" s="90"/>
      <c r="AK86" s="90"/>
      <c r="AL86" s="2"/>
      <c r="AM86" s="71"/>
      <c r="AN86" s="6"/>
      <c r="AO86" s="90"/>
      <c r="AP86" s="90"/>
      <c r="AQ86" s="2"/>
      <c r="AR86" s="71"/>
      <c r="AT86" s="6"/>
      <c r="AU86" s="90"/>
      <c r="AV86" s="90"/>
      <c r="AW86" s="2"/>
      <c r="AX86" s="71"/>
      <c r="AY86" s="6"/>
      <c r="AZ86" s="90"/>
      <c r="BA86" s="90"/>
      <c r="BB86" s="2"/>
      <c r="BC86" s="71"/>
    </row>
    <row r="87" spans="1:77">
      <c r="A87" s="152"/>
      <c r="B87" s="12" t="str" cm="1">
        <f t="array" ref="B87:B88">_xlfn._xlws.FILTER(Staf!$C:$C,Staf!$B:$B=Teamsamenstelling!B76,"")</f>
        <v>Trainer/Coach</v>
      </c>
      <c r="C87" s="13"/>
      <c r="D87" s="13"/>
      <c r="E87" s="13"/>
      <c r="F87" s="72"/>
      <c r="G87" s="13" t="str" cm="1">
        <f t="array" ref="G87:G88">_xlfn._xlws.FILTER(Staf!$A:$A,Staf!$B:$B=Teamsamenstelling!B76,"")</f>
        <v>Nadia de Wit</v>
      </c>
      <c r="H87" s="13"/>
      <c r="I87" s="13"/>
      <c r="J87" s="13"/>
      <c r="K87" s="76"/>
      <c r="M87" s="12" t="str" cm="1">
        <f t="array" ref="M87:M88">_xlfn._xlws.FILTER(Staf!$C:$C,Staf!$B:$B=Teamsamenstelling!M76,"")</f>
        <v>Trainer/Coach</v>
      </c>
      <c r="N87" s="13"/>
      <c r="O87" s="13"/>
      <c r="P87" s="13"/>
      <c r="Q87" s="72"/>
      <c r="R87" s="13" t="str" cm="1">
        <f t="array" ref="R87:R88">_xlfn._xlws.FILTER(Staf!$A:$A,Staf!$B:$B=Teamsamenstelling!M76,"")</f>
        <v>Marcel St. Nicolaas</v>
      </c>
      <c r="S87" s="13"/>
      <c r="T87" s="13"/>
      <c r="U87" s="13"/>
      <c r="V87" s="76"/>
      <c r="X87" s="12" t="str" cm="1">
        <f t="array" ref="X87:X89">_xlfn._xlws.FILTER(Staf!$C:$C,Staf!$B:$B=Teamsamenstelling!X76,"")</f>
        <v>Trainer/Coach</v>
      </c>
      <c r="Y87" s="13"/>
      <c r="Z87" s="13"/>
      <c r="AA87" s="13"/>
      <c r="AB87" s="72"/>
      <c r="AC87" s="13" t="str" cm="1">
        <f t="array" ref="AC87:AC89">_xlfn._xlws.FILTER(Staf!$A:$A,Staf!$B:$B=Teamsamenstelling!X76,"")</f>
        <v>Liesbeth Wibbens</v>
      </c>
      <c r="AD87" s="13"/>
      <c r="AE87" s="13"/>
      <c r="AF87" s="13"/>
      <c r="AG87" s="76"/>
      <c r="AI87" s="12" t="str" cm="1">
        <f t="array" ref="AI87:AI89">_xlfn._xlws.FILTER(Staf!$C:$C,Staf!$B:$B=Teamsamenstelling!AI76,"")</f>
        <v>Trainer/Coach</v>
      </c>
      <c r="AJ87" s="13"/>
      <c r="AK87" s="13"/>
      <c r="AL87" s="13"/>
      <c r="AM87" s="72"/>
      <c r="AN87" s="13" t="str" cm="1">
        <f t="array" ref="AN87:AN89">_xlfn._xlws.FILTER(Staf!$A:$A,Staf!$B:$B=Teamsamenstelling!AI76,"")</f>
        <v>Ilonka Bouwknegt</v>
      </c>
      <c r="AO87" s="13"/>
      <c r="AP87" s="13"/>
      <c r="AQ87" s="13"/>
      <c r="AR87" s="76"/>
      <c r="AT87" s="12" t="str" cm="1">
        <f t="array" ref="AT87">_xlfn._xlws.FILTER(Staf!$C:$C,Staf!$B:$B=Teamsamenstelling!AT76,"")</f>
        <v/>
      </c>
      <c r="AU87" s="13"/>
      <c r="AV87" s="13"/>
      <c r="AW87" s="13" t="str" cm="1">
        <f t="array" ref="AW87">_xlfn._xlws.FILTER(Staf!$A:$A,Staf!$B:$B=Teamsamenstelling!AT76,"")</f>
        <v/>
      </c>
      <c r="AX87" s="72"/>
      <c r="AY87" s="13"/>
      <c r="AZ87" s="13"/>
      <c r="BA87" s="13"/>
      <c r="BB87" s="13"/>
      <c r="BC87" s="76"/>
    </row>
    <row r="88" spans="1:77">
      <c r="A88" s="152"/>
      <c r="B88" s="15" t="str">
        <v>Trainer/Coach</v>
      </c>
      <c r="C88" s="16"/>
      <c r="D88" s="16"/>
      <c r="E88" s="16"/>
      <c r="F88" s="73"/>
      <c r="G88" s="16" t="str">
        <v>Syrah de Wit</v>
      </c>
      <c r="H88" s="16"/>
      <c r="I88" s="16"/>
      <c r="J88" s="16"/>
      <c r="K88" s="77"/>
      <c r="M88" s="15" t="str">
        <v>Trainer/Coach</v>
      </c>
      <c r="N88" s="16"/>
      <c r="O88" s="16"/>
      <c r="P88" s="16"/>
      <c r="Q88" s="73"/>
      <c r="R88" s="16" t="str">
        <v>Sjoerd van Ameijden</v>
      </c>
      <c r="S88" s="16"/>
      <c r="T88" s="16"/>
      <c r="U88" s="16"/>
      <c r="V88" s="77"/>
      <c r="X88" s="15" t="str">
        <v>Trainer/Coach</v>
      </c>
      <c r="Y88" s="16"/>
      <c r="Z88" s="16"/>
      <c r="AA88" s="16"/>
      <c r="AB88" s="73"/>
      <c r="AC88" s="16" t="str">
        <v>Monique te Witt</v>
      </c>
      <c r="AD88" s="16"/>
      <c r="AE88" s="16"/>
      <c r="AF88" s="16"/>
      <c r="AG88" s="77"/>
      <c r="AI88" s="15" t="str">
        <v>Trainer/Coach</v>
      </c>
      <c r="AJ88" s="16"/>
      <c r="AK88" s="16"/>
      <c r="AL88" s="16"/>
      <c r="AM88" s="73"/>
      <c r="AN88" s="16" t="str">
        <v>Joaz Post</v>
      </c>
      <c r="AO88" s="16"/>
      <c r="AP88" s="16"/>
      <c r="AQ88" s="16"/>
      <c r="AR88" s="77"/>
      <c r="AT88" s="15"/>
      <c r="AU88" s="16"/>
      <c r="AV88" s="16"/>
      <c r="AW88" s="16"/>
      <c r="AX88" s="73"/>
      <c r="AY88" s="16"/>
      <c r="AZ88" s="16"/>
      <c r="BA88" s="16"/>
      <c r="BB88" s="16"/>
      <c r="BC88" s="77"/>
    </row>
    <row r="89" spans="1:77" ht="15.75" thickBot="1">
      <c r="A89" s="152"/>
      <c r="B89" s="18"/>
      <c r="C89" s="19"/>
      <c r="D89" s="19"/>
      <c r="E89" s="19"/>
      <c r="F89" s="74"/>
      <c r="G89" s="19"/>
      <c r="H89" s="19"/>
      <c r="I89" s="19"/>
      <c r="J89" s="19"/>
      <c r="K89" s="78"/>
      <c r="M89" s="18"/>
      <c r="N89" s="19"/>
      <c r="O89" s="19"/>
      <c r="P89" s="19"/>
      <c r="Q89" s="74"/>
      <c r="R89" s="19"/>
      <c r="S89" s="19"/>
      <c r="T89" s="19"/>
      <c r="U89" s="19"/>
      <c r="V89" s="78"/>
      <c r="X89" s="18" t="str">
        <v>Trainer</v>
      </c>
      <c r="Y89" s="19"/>
      <c r="Z89" s="19"/>
      <c r="AA89" s="19"/>
      <c r="AB89" s="74"/>
      <c r="AC89" s="19" t="str">
        <v>Gertjan Ploeg</v>
      </c>
      <c r="AD89" s="19"/>
      <c r="AE89" s="19"/>
      <c r="AF89" s="19"/>
      <c r="AG89" s="78"/>
      <c r="AI89" s="18" t="str">
        <v>Trainer/Coach</v>
      </c>
      <c r="AJ89" s="19"/>
      <c r="AK89" s="19"/>
      <c r="AL89" s="19"/>
      <c r="AM89" s="74"/>
      <c r="AN89" s="19" t="str">
        <v>Nikki Baas</v>
      </c>
      <c r="AO89" s="19"/>
      <c r="AP89" s="19"/>
      <c r="AQ89" s="19"/>
      <c r="AR89" s="78"/>
      <c r="AT89" s="18"/>
      <c r="AU89" s="19"/>
      <c r="AV89" s="19"/>
      <c r="AW89" s="19"/>
      <c r="AX89" s="74"/>
      <c r="AY89" s="19"/>
      <c r="AZ89" s="19"/>
      <c r="BA89" s="19"/>
      <c r="BB89" s="19"/>
      <c r="BC89" s="78"/>
    </row>
    <row r="90" spans="1:77" ht="15.75" thickBot="1"/>
    <row r="91" spans="1:77" ht="15.75" thickBot="1">
      <c r="A91" s="152" t="s">
        <v>32</v>
      </c>
      <c r="B91" s="21" t="s">
        <v>33</v>
      </c>
      <c r="C91" s="21"/>
      <c r="D91" s="21"/>
      <c r="E91" s="21"/>
      <c r="F91" s="68"/>
      <c r="G91" s="21"/>
      <c r="H91" s="21"/>
      <c r="I91" s="21"/>
      <c r="J91" s="21"/>
      <c r="K91" s="75">
        <f>AVERAGE(F93:F100,K93:K100)</f>
        <v>9.7949999999999999</v>
      </c>
      <c r="M91" s="21" t="s">
        <v>34</v>
      </c>
      <c r="N91" s="21"/>
      <c r="O91" s="21"/>
      <c r="P91" s="21"/>
      <c r="Q91" s="68"/>
      <c r="R91" s="21"/>
      <c r="S91" s="21"/>
      <c r="T91" s="21"/>
      <c r="U91" s="21"/>
      <c r="V91" s="75">
        <f>AVERAGE(Q93:Q100,V93:V100)</f>
        <v>9.4316666666666666</v>
      </c>
      <c r="X91" s="21" t="s">
        <v>35</v>
      </c>
      <c r="Y91" s="21"/>
      <c r="Z91" s="21"/>
      <c r="AA91" s="21"/>
      <c r="AB91" s="68"/>
      <c r="AC91" s="21"/>
      <c r="AD91" s="21"/>
      <c r="AE91" s="21"/>
      <c r="AF91" s="21"/>
      <c r="AG91" s="75">
        <f>AVERAGE(AB93:AB100,AG93:AG100)</f>
        <v>8.3120000000000012</v>
      </c>
      <c r="AI91" s="21" t="s">
        <v>36</v>
      </c>
      <c r="AJ91" s="21"/>
      <c r="AK91" s="21"/>
      <c r="AL91" s="21"/>
      <c r="AM91" s="68"/>
      <c r="AN91" s="21"/>
      <c r="AO91" s="21"/>
      <c r="AP91" s="21"/>
      <c r="AQ91" s="21"/>
      <c r="AR91" s="75">
        <f>AVERAGE(AM93:AM100,AR93:AR100)</f>
        <v>8.4080000000000013</v>
      </c>
      <c r="AT91" s="21" t="s">
        <v>31</v>
      </c>
      <c r="AU91" s="21"/>
      <c r="AV91" s="21"/>
      <c r="AW91" s="21"/>
      <c r="AX91" s="68"/>
      <c r="AY91" s="21"/>
      <c r="AZ91" s="21"/>
      <c r="BA91" s="21"/>
      <c r="BB91" s="21"/>
      <c r="BC91" s="75" t="e">
        <f>AVERAGE(AX93:AX100,BC93:BC100)</f>
        <v>#DIV/0!</v>
      </c>
      <c r="BE91" s="21" t="s">
        <v>31</v>
      </c>
      <c r="BF91" s="21"/>
      <c r="BG91" s="21"/>
      <c r="BH91" s="21"/>
      <c r="BI91" s="68"/>
      <c r="BJ91" s="21"/>
      <c r="BK91" s="21"/>
      <c r="BL91" s="21"/>
      <c r="BM91" s="21"/>
      <c r="BN91" s="75" t="e">
        <f>AVERAGE(BI93:BI100,BN93:BN100)</f>
        <v>#DIV/0!</v>
      </c>
      <c r="BP91" s="21" t="s">
        <v>31</v>
      </c>
      <c r="BQ91" s="21"/>
      <c r="BR91" s="21"/>
      <c r="BS91" s="21"/>
      <c r="BT91" s="68"/>
      <c r="BU91" s="21"/>
      <c r="BV91" s="21"/>
      <c r="BW91" s="21"/>
      <c r="BX91" s="21"/>
      <c r="BY91" s="75" t="e">
        <f>AVERAGE(BT93:BT100,BY93:BY100)</f>
        <v>#DIV/0!</v>
      </c>
    </row>
    <row r="92" spans="1:77" ht="15.75" thickBot="1">
      <c r="A92" s="152"/>
      <c r="B92" s="8" t="str">
        <f>CONCATENATE("Dames (",COUNTA(E93:E98),")")</f>
        <v>Dames (6)</v>
      </c>
      <c r="C92" s="9"/>
      <c r="D92" s="9"/>
      <c r="E92" s="9"/>
      <c r="F92" s="69"/>
      <c r="G92" s="8" t="str">
        <f>CONCATENATE("Heren (",COUNTA(J93:J98),")")</f>
        <v>Heren (1)</v>
      </c>
      <c r="H92" s="9"/>
      <c r="I92" s="9"/>
      <c r="J92" s="9"/>
      <c r="K92" s="69"/>
      <c r="M92" s="8" t="str">
        <f>CONCATENATE("Dames (",COUNTA(P93:P98),")")</f>
        <v>Dames (4)</v>
      </c>
      <c r="N92" s="9"/>
      <c r="O92" s="9"/>
      <c r="P92" s="9"/>
      <c r="Q92" s="69"/>
      <c r="R92" s="8" t="str">
        <f>CONCATENATE("Heren (",COUNTA(U93:U98),")")</f>
        <v>Heren (2)</v>
      </c>
      <c r="S92" s="9"/>
      <c r="T92" s="9"/>
      <c r="U92" s="9"/>
      <c r="V92" s="69"/>
      <c r="X92" s="8" t="str">
        <f>CONCATENATE("Dames (",COUNTA(AA93:AA98),")")</f>
        <v>Dames (3)</v>
      </c>
      <c r="Y92" s="9"/>
      <c r="Z92" s="9"/>
      <c r="AA92" s="9"/>
      <c r="AB92" s="69"/>
      <c r="AC92" s="8" t="str">
        <f>CONCATENATE("Heren (",COUNTA(AF93:AF98),")")</f>
        <v>Heren (2)</v>
      </c>
      <c r="AD92" s="9"/>
      <c r="AE92" s="9"/>
      <c r="AF92" s="9"/>
      <c r="AG92" s="69"/>
      <c r="AI92" s="8" t="str">
        <f>CONCATENATE("Dames (",COUNTA(AL93:AL98),")")</f>
        <v>Dames (3)</v>
      </c>
      <c r="AJ92" s="9"/>
      <c r="AK92" s="9"/>
      <c r="AL92" s="9"/>
      <c r="AM92" s="69"/>
      <c r="AN92" s="8" t="str">
        <f>CONCATENATE("Heren (",COUNTA(AQ93:AQ98),")")</f>
        <v>Heren (2)</v>
      </c>
      <c r="AO92" s="9"/>
      <c r="AP92" s="9"/>
      <c r="AQ92" s="9"/>
      <c r="AR92" s="69"/>
      <c r="AT92" s="8" t="str">
        <f>CONCATENATE("Dames (",COUNTA(AW93:AW98),")")</f>
        <v>Dames (1)</v>
      </c>
      <c r="AU92" s="9"/>
      <c r="AV92" s="9"/>
      <c r="AW92" s="9"/>
      <c r="AX92" s="69"/>
      <c r="AY92" s="8" t="str">
        <f>CONCATENATE("Heren (",COUNTA(BB93:BB98),")")</f>
        <v>Heren (1)</v>
      </c>
      <c r="AZ92" s="9"/>
      <c r="BA92" s="9"/>
      <c r="BB92" s="9"/>
      <c r="BC92" s="69"/>
      <c r="BE92" s="8" t="str">
        <f>CONCATENATE("Dames (",COUNTA(BH93:BH98),")")</f>
        <v>Dames (1)</v>
      </c>
      <c r="BF92" s="9"/>
      <c r="BG92" s="9"/>
      <c r="BH92" s="9"/>
      <c r="BI92" s="69"/>
      <c r="BJ92" s="8" t="str">
        <f>CONCATENATE("Heren (",COUNTA(BM93:BM98),")")</f>
        <v>Heren (1)</v>
      </c>
      <c r="BK92" s="9"/>
      <c r="BL92" s="9"/>
      <c r="BM92" s="9"/>
      <c r="BN92" s="69"/>
      <c r="BP92" s="8" t="str">
        <f>CONCATENATE("Dames (",COUNTA(BS93:BS98),")")</f>
        <v>Dames (1)</v>
      </c>
      <c r="BQ92" s="9"/>
      <c r="BR92" s="9"/>
      <c r="BS92" s="9"/>
      <c r="BT92" s="69"/>
      <c r="BU92" s="8" t="str">
        <f>CONCATENATE("Heren (",COUNTA(BX93:BX98),")")</f>
        <v>Heren (1)</v>
      </c>
      <c r="BV92" s="9"/>
      <c r="BW92" s="9"/>
      <c r="BX92" s="9"/>
      <c r="BY92" s="69"/>
    </row>
    <row r="93" spans="1:77">
      <c r="A93" s="152"/>
      <c r="B93" s="3" t="str" cm="1">
        <f t="array" ref="B93:B98">_xlfn._xlws.FILTER(Spelerslijst!$B:$B,Spelerslijst!$F:$F=B$91,"")</f>
        <v>Gemert, F. (Fien) van</v>
      </c>
      <c r="C93" s="89" cm="1">
        <f t="array" ref="C93:C98">_xlfn._xlws.FILTER(Spelerslijst!$I:$I,Spelerslijst!$F:$F=B$91,"")</f>
        <v>0</v>
      </c>
      <c r="D93" s="89" cm="1">
        <f t="array" ref="D93:D98">_xlfn._xlws.FILTER(Spelerslijst!$J:$J,Spelerslijst!$F:$F=B$91,"")</f>
        <v>0</v>
      </c>
      <c r="E93" s="4" t="str" cm="1">
        <f t="array" ref="E93:E98">_xlfn._xlws.FILTER(Spelerslijst!$H:$H,Spelerslijst!$F:$F=B$91,"")</f>
        <v>-</v>
      </c>
      <c r="F93" s="70" cm="1">
        <f t="array" ref="F93:F98">_xlfn._xlws.FILTER(Spelerslijst!$D:$D,Spelerslijst!$F:$F=B$91,"")</f>
        <v>9.26</v>
      </c>
      <c r="G93" s="3" t="str" cm="1">
        <f t="array" ref="G93">_xlfn._xlws.FILTER(Spelerslijst!$M:$M,Spelerslijst!$Q:$Q=B$91,"")</f>
        <v/>
      </c>
      <c r="H93" s="89" t="str" cm="1">
        <f t="array" ref="H93">_xlfn._xlws.FILTER(Spelerslijst!$T:$T,Spelerslijst!$Q:$Q=B$91,"")</f>
        <v/>
      </c>
      <c r="I93" s="89" t="str" cm="1">
        <f t="array" ref="I93">_xlfn._xlws.FILTER(Spelerslijst!$U:$U,Spelerslijst!$Q:$Q=B$91,"")</f>
        <v/>
      </c>
      <c r="J93" s="4" t="str" cm="1">
        <f t="array" ref="J93">_xlfn._xlws.FILTER(Spelerslijst!$S:$S,Spelerslijst!$Q:$Q=B$91,"")</f>
        <v/>
      </c>
      <c r="K93" s="70" t="str" cm="1">
        <f t="array" ref="K93">_xlfn._xlws.FILTER(Spelerslijst!$O:$O,Spelerslijst!$Q:$Q=B$91,"")</f>
        <v/>
      </c>
      <c r="M93" s="58" t="str" cm="1">
        <f t="array" ref="M93:M96">_xlfn._xlws.FILTER(Spelerslijst!$B:$B,Spelerslijst!$F:$F=M$91,"")</f>
        <v>Jacobs, V. (Vive)</v>
      </c>
      <c r="N93" s="89" cm="1">
        <f t="array" ref="N93:N96">_xlfn._xlws.FILTER(Spelerslijst!$I:$I,Spelerslijst!$F:$F=M$91,"")</f>
        <v>0</v>
      </c>
      <c r="O93" s="89" cm="1">
        <f t="array" ref="O93:O96">_xlfn._xlws.FILTER(Spelerslijst!$J:$J,Spelerslijst!$F:$F=M$91,"")</f>
        <v>0</v>
      </c>
      <c r="P93" s="4" t="str" cm="1">
        <f t="array" ref="P93:P96">_xlfn._xlws.FILTER(Spelerslijst!$H:$H,Spelerslijst!$F:$F=M$91,"")</f>
        <v>E4</v>
      </c>
      <c r="Q93" s="70" cm="1">
        <f t="array" ref="Q93:Q96">_xlfn._xlws.FILTER(Spelerslijst!$D:$D,Spelerslijst!$F:$F=M$91,"")</f>
        <v>8.85</v>
      </c>
      <c r="R93" s="58" t="str" cm="1">
        <f t="array" ref="R93:R94">_xlfn._xlws.FILTER(Spelerslijst!$M:$M,Spelerslijst!$Q:$Q=M$91,"")</f>
        <v>Nawar, D (David)</v>
      </c>
      <c r="S93" s="89" cm="1">
        <f t="array" ref="S93:S94">_xlfn._xlws.FILTER(Spelerslijst!$T:$T,Spelerslijst!$Q:$Q=M$91,"")</f>
        <v>0</v>
      </c>
      <c r="T93" s="89" cm="1">
        <f t="array" ref="T93:T94">_xlfn._xlws.FILTER(Spelerslijst!$U:$U,Spelerslijst!$Q:$Q=M$91,"")</f>
        <v>0</v>
      </c>
      <c r="U93" s="4" t="str" cm="1">
        <f t="array" ref="U93:U94">_xlfn._xlws.FILTER(Spelerslijst!$S:$S,Spelerslijst!$Q:$Q=M$91,"")</f>
        <v>-</v>
      </c>
      <c r="V93" s="70" cm="1">
        <f t="array" ref="V93:V94">_xlfn._xlws.FILTER(Spelerslijst!$O:$O,Spelerslijst!$Q:$Q=M$91,"")</f>
        <v>9.5399999999999991</v>
      </c>
      <c r="X93" s="3" t="str" cm="1">
        <f t="array" ref="X93:X95">_xlfn._xlws.FILTER(Spelerslijst!$B:$B,Spelerslijst!$F:$F=X$91,"")</f>
        <v>Jong, L.T.M. (Louisa) de</v>
      </c>
      <c r="Y93" s="89" cm="1">
        <f t="array" ref="Y93:Y95">_xlfn._xlws.FILTER(Spelerslijst!$I:$I,Spelerslijst!$F:$F=X$91,"")</f>
        <v>0</v>
      </c>
      <c r="Z93" s="89" cm="1">
        <f t="array" ref="Z93:Z95">_xlfn._xlws.FILTER(Spelerslijst!$J:$J,Spelerslijst!$F:$F=X$91,"")</f>
        <v>0</v>
      </c>
      <c r="AA93" s="4" t="str" cm="1">
        <f t="array" ref="AA93:AA95">_xlfn._xlws.FILTER(Spelerslijst!$H:$H,Spelerslijst!$F:$F=X$91,"")</f>
        <v>F2</v>
      </c>
      <c r="AB93" s="70" cm="1">
        <f t="array" ref="AB93:AB95">_xlfn._xlws.FILTER(Spelerslijst!$D:$D,Spelerslijst!$F:$F=X$91,"")</f>
        <v>8.24</v>
      </c>
      <c r="AC93" s="3" t="str" cm="1">
        <f t="array" ref="AC93:AC94">_xlfn._xlws.FILTER(Spelerslijst!$M:$M,Spelerslijst!$Q:$Q=X$91,"")</f>
        <v>Ploeg, L. (Luuk)</v>
      </c>
      <c r="AD93" s="89" cm="1">
        <f t="array" ref="AD93:AD94">_xlfn._xlws.FILTER(Spelerslijst!$T:$T,Spelerslijst!$Q:$Q=X$91,"")</f>
        <v>0</v>
      </c>
      <c r="AE93" s="89" cm="1">
        <f t="array" ref="AE93:AE94">_xlfn._xlws.FILTER(Spelerslijst!$U:$U,Spelerslijst!$Q:$Q=X$91,"")</f>
        <v>0</v>
      </c>
      <c r="AF93" s="4" t="str" cm="1">
        <f t="array" ref="AF93:AF94">_xlfn._xlws.FILTER(Spelerslijst!$S:$S,Spelerslijst!$Q:$Q=X$91,"")</f>
        <v>F1</v>
      </c>
      <c r="AG93" s="70" cm="1">
        <f t="array" ref="AG93:AG94">_xlfn._xlws.FILTER(Spelerslijst!$O:$O,Spelerslijst!$Q:$Q=X$91,"")</f>
        <v>8.44</v>
      </c>
      <c r="AI93" s="3" t="str" cm="1">
        <f t="array" ref="AI93:AI95">_xlfn._xlws.FILTER(Spelerslijst!$B:$B,Spelerslijst!$F:$F=AI$91,"")</f>
        <v>Mans, L. (Lara)</v>
      </c>
      <c r="AJ93" s="89" cm="1">
        <f t="array" ref="AJ93:AJ95">_xlfn._xlws.FILTER(Spelerslijst!$I:$I,Spelerslijst!$F:$F=AI$91,"")</f>
        <v>0</v>
      </c>
      <c r="AK93" s="89" cm="1">
        <f t="array" ref="AK93:AK95">_xlfn._xlws.FILTER(Spelerslijst!$J:$J,Spelerslijst!$F:$F=AI$91,"")</f>
        <v>0</v>
      </c>
      <c r="AL93" s="4" t="str" cm="1">
        <f t="array" ref="AL93:AL95">_xlfn._xlws.FILTER(Spelerslijst!$H:$H,Spelerslijst!$F:$F=AI$91,"")</f>
        <v>F1</v>
      </c>
      <c r="AM93" s="70" cm="1">
        <f t="array" ref="AM93:AM95">_xlfn._xlws.FILTER(Spelerslijst!$D:$D,Spelerslijst!$F:$F=AI$91,"")</f>
        <v>7.69</v>
      </c>
      <c r="AN93" s="3" t="str" cm="1">
        <f t="array" ref="AN93:AN94">_xlfn._xlws.FILTER(Spelerslijst!$M:$M,Spelerslijst!$Q:$Q=AI$91,"")</f>
        <v>Burgh, J.A. (James) van der</v>
      </c>
      <c r="AO93" s="89" cm="1">
        <f t="array" ref="AO93:AO94">_xlfn._xlws.FILTER(Spelerslijst!$T:$T,Spelerslijst!$Q:$Q=AI$91,"")</f>
        <v>0</v>
      </c>
      <c r="AP93" s="89" cm="1">
        <f t="array" ref="AP93:AP94">_xlfn._xlws.FILTER(Spelerslijst!$U:$U,Spelerslijst!$Q:$Q=AI$91,"")</f>
        <v>0</v>
      </c>
      <c r="AQ93" s="4" t="str" cm="1">
        <f t="array" ref="AQ93:AQ94">_xlfn._xlws.FILTER(Spelerslijst!$S:$S,Spelerslijst!$Q:$Q=AI$91,"")</f>
        <v>F2</v>
      </c>
      <c r="AR93" s="70" cm="1">
        <f t="array" ref="AR93:AR94">_xlfn._xlws.FILTER(Spelerslijst!$O:$O,Spelerslijst!$Q:$Q=AI$91,"")</f>
        <v>8.9700000000000006</v>
      </c>
      <c r="AT93" s="3" t="str" cm="1">
        <f t="array" ref="AT93">_xlfn._xlws.FILTER(Spelerslijst!$B:$B,Spelerslijst!$F:$F=AT$91,"")</f>
        <v/>
      </c>
      <c r="AU93" s="89"/>
      <c r="AV93" s="89"/>
      <c r="AW93" s="4" t="str" cm="1">
        <f t="array" ref="AW93">_xlfn._xlws.FILTER(Spelerslijst!$H:$H,Spelerslijst!$F:$F=AT$91,"")</f>
        <v/>
      </c>
      <c r="AX93" s="70" t="str" cm="1">
        <f t="array" ref="AX93">_xlfn._xlws.FILTER(Spelerslijst!$D:$D,Spelerslijst!$F:$F=AT$91,"")</f>
        <v/>
      </c>
      <c r="AY93" s="3" t="str" cm="1">
        <f t="array" ref="AY93">_xlfn._xlws.FILTER(Spelerslijst!$M:$M,Spelerslijst!$Q:$Q=AT$91,"")</f>
        <v/>
      </c>
      <c r="AZ93" s="89"/>
      <c r="BA93" s="89"/>
      <c r="BB93" s="4" t="str" cm="1">
        <f t="array" ref="BB93">_xlfn._xlws.FILTER(Spelerslijst!$S:$S,Spelerslijst!$Q:$Q=AT$91,"")</f>
        <v/>
      </c>
      <c r="BC93" s="70" t="str" cm="1">
        <f t="array" ref="BC93">_xlfn._xlws.FILTER(Spelerslijst!$O:$O,Spelerslijst!$Q:$Q=AT$91,"")</f>
        <v/>
      </c>
      <c r="BE93" s="3" t="str" cm="1">
        <f t="array" ref="BE93">_xlfn._xlws.FILTER(Spelerslijst!$B:$B,Spelerslijst!$F:$F=BE$91,"")</f>
        <v/>
      </c>
      <c r="BF93" s="89"/>
      <c r="BG93" s="89"/>
      <c r="BH93" s="4" t="str" cm="1">
        <f t="array" ref="BH93">_xlfn._xlws.FILTER(Spelerslijst!$H:$H,Spelerslijst!$F:$F=BE$91,"")</f>
        <v/>
      </c>
      <c r="BI93" s="70" t="str" cm="1">
        <f t="array" ref="BI93">_xlfn._xlws.FILTER(Spelerslijst!$D:$D,Spelerslijst!$F:$F=BE$91,"")</f>
        <v/>
      </c>
      <c r="BJ93" s="3" t="str" cm="1">
        <f t="array" ref="BJ93">_xlfn._xlws.FILTER(Spelerslijst!$M:$M,Spelerslijst!$Q:$Q=BE$91,"")</f>
        <v/>
      </c>
      <c r="BK93" s="89"/>
      <c r="BL93" s="89"/>
      <c r="BM93" s="4" t="str" cm="1">
        <f t="array" ref="BM93">_xlfn._xlws.FILTER(Spelerslijst!$S:$S,Spelerslijst!$Q:$Q=BE$91,"")</f>
        <v/>
      </c>
      <c r="BN93" s="70" t="str" cm="1">
        <f t="array" ref="BN93">_xlfn._xlws.FILTER(Spelerslijst!$O:$O,Spelerslijst!$Q:$Q=BE$91,"")</f>
        <v/>
      </c>
      <c r="BP93" s="3" t="str" cm="1">
        <f t="array" ref="BP93">_xlfn._xlws.FILTER(Spelerslijst!$B:$B,Spelerslijst!$F:$F=BP$91,"")</f>
        <v/>
      </c>
      <c r="BQ93" s="89"/>
      <c r="BR93" s="89"/>
      <c r="BS93" s="4" t="str" cm="1">
        <f t="array" ref="BS93">_xlfn._xlws.FILTER(Spelerslijst!$H:$H,Spelerslijst!$F:$F=BP$91,"")</f>
        <v/>
      </c>
      <c r="BT93" s="70" t="str" cm="1">
        <f t="array" ref="BT93">_xlfn._xlws.FILTER(Spelerslijst!$D:$D,Spelerslijst!$F:$F=BP$91,"")</f>
        <v/>
      </c>
      <c r="BU93" s="3" t="str" cm="1">
        <f t="array" ref="BU93">_xlfn._xlws.FILTER(Spelerslijst!$M:$M,Spelerslijst!$Q:$Q=BP$91,"")</f>
        <v/>
      </c>
      <c r="BV93" s="89"/>
      <c r="BW93" s="89"/>
      <c r="BX93" s="4" t="str" cm="1">
        <f t="array" ref="BX93">_xlfn._xlws.FILTER(Spelerslijst!$S:$S,Spelerslijst!$Q:$Q=BP$91,"")</f>
        <v/>
      </c>
      <c r="BY93" s="70" t="str" cm="1">
        <f t="array" ref="BY93">_xlfn._xlws.FILTER(Spelerslijst!$O:$O,Spelerslijst!$Q:$Q=BP$91,"")</f>
        <v/>
      </c>
    </row>
    <row r="94" spans="1:77">
      <c r="A94" s="152"/>
      <c r="B94" s="6" t="str">
        <v>Bakker, K. (Karlijn)</v>
      </c>
      <c r="C94" s="90">
        <v>0</v>
      </c>
      <c r="D94" s="90">
        <v>0</v>
      </c>
      <c r="E94" s="2" t="str">
        <v>E3</v>
      </c>
      <c r="F94" s="71">
        <v>9.51</v>
      </c>
      <c r="G94" s="6"/>
      <c r="H94" s="90"/>
      <c r="I94" s="90"/>
      <c r="J94" s="2"/>
      <c r="K94" s="71"/>
      <c r="M94" s="6" t="str">
        <v>Berg, W. (Wies) van den</v>
      </c>
      <c r="N94" s="90">
        <v>0</v>
      </c>
      <c r="O94" s="90">
        <v>0</v>
      </c>
      <c r="P94" s="2" t="str">
        <v>E4</v>
      </c>
      <c r="Q94" s="71">
        <v>9.06</v>
      </c>
      <c r="R94" s="6" t="str">
        <v>Mol, L.A. (Lucien)</v>
      </c>
      <c r="S94" s="90">
        <v>0</v>
      </c>
      <c r="T94" s="90">
        <v>0</v>
      </c>
      <c r="U94" s="2" t="str">
        <v>E4</v>
      </c>
      <c r="V94" s="71">
        <v>9.19</v>
      </c>
      <c r="X94" s="6" t="str">
        <v>Lange, S. (Sanna) de</v>
      </c>
      <c r="Y94" s="90">
        <v>0</v>
      </c>
      <c r="Z94" s="90">
        <v>0</v>
      </c>
      <c r="AA94" s="2" t="str">
        <v>F2</v>
      </c>
      <c r="AB94" s="71">
        <v>8.26</v>
      </c>
      <c r="AC94" s="6" t="str">
        <v>Jong, S. (Sepp) de</v>
      </c>
      <c r="AD94" s="90">
        <v>0</v>
      </c>
      <c r="AE94" s="90">
        <v>0</v>
      </c>
      <c r="AF94" s="2" t="str">
        <v>F1</v>
      </c>
      <c r="AG94" s="71">
        <v>8.31</v>
      </c>
      <c r="AI94" s="6" t="str">
        <v>Burgt, L. (Livia) van de</v>
      </c>
      <c r="AJ94" s="90">
        <v>0</v>
      </c>
      <c r="AK94" s="90">
        <v>0</v>
      </c>
      <c r="AL94" s="2" t="str">
        <v>F2</v>
      </c>
      <c r="AM94" s="71">
        <v>8.33</v>
      </c>
      <c r="AN94" s="6" t="str">
        <v>Alberts, A. (Amos)</v>
      </c>
      <c r="AO94" s="90">
        <v>0</v>
      </c>
      <c r="AP94" s="90">
        <v>0</v>
      </c>
      <c r="AQ94" s="2" t="str">
        <v>F1</v>
      </c>
      <c r="AR94" s="71">
        <v>8.5500000000000007</v>
      </c>
      <c r="AT94" s="6"/>
      <c r="AU94" s="90"/>
      <c r="AV94" s="90"/>
      <c r="AW94" s="2"/>
      <c r="AX94" s="71"/>
      <c r="AY94" s="6"/>
      <c r="AZ94" s="90"/>
      <c r="BA94" s="90"/>
      <c r="BB94" s="2"/>
      <c r="BC94" s="71"/>
      <c r="BE94" s="6"/>
      <c r="BF94" s="90"/>
      <c r="BG94" s="90"/>
      <c r="BH94" s="2"/>
      <c r="BI94" s="71"/>
      <c r="BJ94" s="6"/>
      <c r="BK94" s="90"/>
      <c r="BL94" s="90"/>
      <c r="BM94" s="2"/>
      <c r="BN94" s="71"/>
      <c r="BP94" s="6"/>
      <c r="BQ94" s="90"/>
      <c r="BR94" s="90"/>
      <c r="BS94" s="2"/>
      <c r="BT94" s="71"/>
      <c r="BU94" s="6"/>
      <c r="BV94" s="90"/>
      <c r="BW94" s="90"/>
      <c r="BX94" s="2"/>
      <c r="BY94" s="71"/>
    </row>
    <row r="95" spans="1:77">
      <c r="A95" s="152"/>
      <c r="B95" s="6" t="str">
        <v>Bouman, I. (Imme)</v>
      </c>
      <c r="C95" s="90">
        <v>0</v>
      </c>
      <c r="D95" s="90">
        <v>0</v>
      </c>
      <c r="E95" s="2" t="str">
        <v>E3</v>
      </c>
      <c r="F95" s="71">
        <v>9.69</v>
      </c>
      <c r="G95" s="6"/>
      <c r="H95" s="90"/>
      <c r="I95" s="90"/>
      <c r="J95" s="2"/>
      <c r="K95" s="71"/>
      <c r="M95" s="6" t="str">
        <v>Gerritsen, J. (Jaylinn)</v>
      </c>
      <c r="N95" s="90">
        <v>0</v>
      </c>
      <c r="O95" s="90">
        <v>0</v>
      </c>
      <c r="P95" s="2" t="str">
        <v>-</v>
      </c>
      <c r="Q95" s="71">
        <v>9.91</v>
      </c>
      <c r="R95" s="6"/>
      <c r="S95" s="90"/>
      <c r="T95" s="90"/>
      <c r="U95" s="2"/>
      <c r="V95" s="71"/>
      <c r="X95" s="6" t="str">
        <v>Rombouts, T. (Tess)</v>
      </c>
      <c r="Y95" s="90">
        <v>0</v>
      </c>
      <c r="Z95" s="90">
        <v>0</v>
      </c>
      <c r="AA95" s="2" t="str">
        <v>F2</v>
      </c>
      <c r="AB95" s="71">
        <v>8.31</v>
      </c>
      <c r="AC95" s="6"/>
      <c r="AD95" s="90"/>
      <c r="AE95" s="90"/>
      <c r="AF95" s="2"/>
      <c r="AG95" s="71"/>
      <c r="AI95" s="6" t="str">
        <v>Stomp, A. (Alisa)</v>
      </c>
      <c r="AJ95" s="90">
        <v>0</v>
      </c>
      <c r="AK95" s="90">
        <v>0</v>
      </c>
      <c r="AL95" s="2" t="str">
        <v>F1</v>
      </c>
      <c r="AM95" s="71">
        <v>8.5</v>
      </c>
      <c r="AN95" s="6"/>
      <c r="AO95" s="90"/>
      <c r="AP95" s="90"/>
      <c r="AQ95" s="2"/>
      <c r="AR95" s="71"/>
      <c r="AT95" s="6"/>
      <c r="AU95" s="90"/>
      <c r="AV95" s="90"/>
      <c r="AW95" s="2"/>
      <c r="AX95" s="71"/>
      <c r="AY95" s="6"/>
      <c r="AZ95" s="90"/>
      <c r="BA95" s="90"/>
      <c r="BB95" s="2"/>
      <c r="BC95" s="71"/>
      <c r="BE95" s="6"/>
      <c r="BF95" s="90"/>
      <c r="BG95" s="90"/>
      <c r="BH95" s="2"/>
      <c r="BI95" s="71"/>
      <c r="BJ95" s="6"/>
      <c r="BK95" s="90"/>
      <c r="BL95" s="90"/>
      <c r="BM95" s="2"/>
      <c r="BN95" s="71"/>
      <c r="BP95" s="6"/>
      <c r="BQ95" s="90"/>
      <c r="BR95" s="90"/>
      <c r="BS95" s="2"/>
      <c r="BT95" s="71"/>
      <c r="BU95" s="6"/>
      <c r="BV95" s="90"/>
      <c r="BW95" s="90"/>
      <c r="BX95" s="2"/>
      <c r="BY95" s="71"/>
    </row>
    <row r="96" spans="1:77">
      <c r="A96" s="152"/>
      <c r="B96" s="6" t="str">
        <v>Boog, S.L. (Suze)</v>
      </c>
      <c r="C96" s="90">
        <v>0</v>
      </c>
      <c r="D96" s="90">
        <v>0</v>
      </c>
      <c r="E96" s="2" t="str">
        <v>E3</v>
      </c>
      <c r="F96" s="71">
        <v>9.89</v>
      </c>
      <c r="G96" s="6"/>
      <c r="H96" s="90"/>
      <c r="I96" s="90"/>
      <c r="J96" s="2"/>
      <c r="K96" s="71"/>
      <c r="M96" s="6" t="str">
        <v>Haseth, L. (Lieve) de</v>
      </c>
      <c r="N96" s="90">
        <v>0</v>
      </c>
      <c r="O96" s="90">
        <v>0</v>
      </c>
      <c r="P96" s="2" t="str">
        <v>E4</v>
      </c>
      <c r="Q96" s="71">
        <v>10.039999999999999</v>
      </c>
      <c r="R96" s="6"/>
      <c r="S96" s="90"/>
      <c r="T96" s="90"/>
      <c r="U96" s="2"/>
      <c r="V96" s="71"/>
      <c r="X96" s="6"/>
      <c r="Y96" s="90"/>
      <c r="Z96" s="90"/>
      <c r="AA96" s="2"/>
      <c r="AB96" s="71"/>
      <c r="AC96" s="6"/>
      <c r="AD96" s="90"/>
      <c r="AE96" s="90"/>
      <c r="AF96" s="2"/>
      <c r="AG96" s="71"/>
      <c r="AI96" s="6"/>
      <c r="AJ96" s="90"/>
      <c r="AK96" s="90"/>
      <c r="AL96" s="2"/>
      <c r="AM96" s="71"/>
      <c r="AN96" s="6"/>
      <c r="AO96" s="90"/>
      <c r="AP96" s="90"/>
      <c r="AQ96" s="2"/>
      <c r="AR96" s="71"/>
      <c r="AT96" s="6"/>
      <c r="AU96" s="90"/>
      <c r="AV96" s="90"/>
      <c r="AW96" s="2"/>
      <c r="AX96" s="71"/>
      <c r="AY96" s="6"/>
      <c r="AZ96" s="90"/>
      <c r="BA96" s="90"/>
      <c r="BB96" s="2"/>
      <c r="BC96" s="71"/>
      <c r="BE96" s="6"/>
      <c r="BF96" s="90"/>
      <c r="BG96" s="90"/>
      <c r="BH96" s="2"/>
      <c r="BI96" s="71"/>
      <c r="BJ96" s="6"/>
      <c r="BK96" s="90"/>
      <c r="BL96" s="90"/>
      <c r="BM96" s="2"/>
      <c r="BN96" s="71"/>
      <c r="BP96" s="6"/>
      <c r="BQ96" s="90"/>
      <c r="BR96" s="90"/>
      <c r="BS96" s="2"/>
      <c r="BT96" s="71"/>
      <c r="BU96" s="6"/>
      <c r="BV96" s="90"/>
      <c r="BW96" s="90"/>
      <c r="BX96" s="2"/>
      <c r="BY96" s="71"/>
    </row>
    <row r="97" spans="1:77">
      <c r="A97" s="152"/>
      <c r="B97" s="6" t="str">
        <v>Kampman, J. (Jalou)</v>
      </c>
      <c r="C97" s="90">
        <v>0</v>
      </c>
      <c r="D97" s="90">
        <v>0</v>
      </c>
      <c r="E97" s="2">
        <v>0</v>
      </c>
      <c r="F97" s="71">
        <v>9.9600000000000009</v>
      </c>
      <c r="G97" s="6"/>
      <c r="H97" s="90"/>
      <c r="I97" s="90"/>
      <c r="J97" s="2"/>
      <c r="K97" s="71"/>
      <c r="M97" s="6"/>
      <c r="N97" s="90"/>
      <c r="O97" s="90"/>
      <c r="P97" s="2"/>
      <c r="Q97" s="71"/>
      <c r="R97" s="6"/>
      <c r="S97" s="90"/>
      <c r="T97" s="90"/>
      <c r="U97" s="2"/>
      <c r="V97" s="71"/>
      <c r="X97" s="6"/>
      <c r="Y97" s="90"/>
      <c r="Z97" s="90"/>
      <c r="AA97" s="2"/>
      <c r="AB97" s="71"/>
      <c r="AC97" s="6"/>
      <c r="AD97" s="90"/>
      <c r="AE97" s="90"/>
      <c r="AF97" s="2"/>
      <c r="AG97" s="71"/>
      <c r="AI97" s="6"/>
      <c r="AJ97" s="90"/>
      <c r="AK97" s="90"/>
      <c r="AL97" s="2"/>
      <c r="AM97" s="71"/>
      <c r="AN97" s="6"/>
      <c r="AO97" s="90"/>
      <c r="AP97" s="90"/>
      <c r="AQ97" s="2"/>
      <c r="AR97" s="71"/>
      <c r="AT97" s="6"/>
      <c r="AU97" s="90"/>
      <c r="AV97" s="90"/>
      <c r="AW97" s="2"/>
      <c r="AX97" s="71"/>
      <c r="AY97" s="6"/>
      <c r="AZ97" s="90"/>
      <c r="BA97" s="90"/>
      <c r="BB97" s="2"/>
      <c r="BC97" s="71"/>
      <c r="BE97" s="6"/>
      <c r="BF97" s="90"/>
      <c r="BG97" s="90"/>
      <c r="BH97" s="2"/>
      <c r="BI97" s="71"/>
      <c r="BJ97" s="6"/>
      <c r="BK97" s="90"/>
      <c r="BL97" s="90"/>
      <c r="BM97" s="2"/>
      <c r="BN97" s="71"/>
      <c r="BP97" s="6"/>
      <c r="BQ97" s="90"/>
      <c r="BR97" s="90"/>
      <c r="BS97" s="2"/>
      <c r="BT97" s="71"/>
      <c r="BU97" s="6"/>
      <c r="BV97" s="90"/>
      <c r="BW97" s="90"/>
      <c r="BX97" s="2"/>
      <c r="BY97" s="71"/>
    </row>
    <row r="98" spans="1:77" ht="15.75" thickBot="1">
      <c r="A98" s="152"/>
      <c r="B98" s="6" t="str">
        <v>Naeije, E.A. (Eloise)</v>
      </c>
      <c r="C98" s="90">
        <v>0</v>
      </c>
      <c r="D98" s="90">
        <v>0</v>
      </c>
      <c r="E98" s="2" t="str">
        <v>E3</v>
      </c>
      <c r="F98" s="71">
        <v>10.46</v>
      </c>
      <c r="G98" s="6"/>
      <c r="H98" s="90"/>
      <c r="I98" s="90"/>
      <c r="J98" s="2"/>
      <c r="K98" s="71"/>
      <c r="M98" s="6"/>
      <c r="N98" s="90"/>
      <c r="O98" s="90"/>
      <c r="P98" s="2"/>
      <c r="Q98" s="71"/>
      <c r="R98" s="6"/>
      <c r="S98" s="90"/>
      <c r="T98" s="90"/>
      <c r="U98" s="2"/>
      <c r="V98" s="71"/>
      <c r="X98" s="6"/>
      <c r="Y98" s="90"/>
      <c r="Z98" s="90"/>
      <c r="AA98" s="2"/>
      <c r="AB98" s="71"/>
      <c r="AC98" s="6"/>
      <c r="AD98" s="90"/>
      <c r="AE98" s="90"/>
      <c r="AF98" s="2"/>
      <c r="AG98" s="71"/>
      <c r="AI98" s="6"/>
      <c r="AJ98" s="90"/>
      <c r="AK98" s="90"/>
      <c r="AL98" s="2"/>
      <c r="AM98" s="71"/>
      <c r="AN98" s="6"/>
      <c r="AO98" s="90"/>
      <c r="AP98" s="90"/>
      <c r="AQ98" s="2"/>
      <c r="AR98" s="71"/>
      <c r="AT98" s="6"/>
      <c r="AU98" s="90"/>
      <c r="AV98" s="90"/>
      <c r="AW98" s="2"/>
      <c r="AX98" s="71"/>
      <c r="AY98" s="6"/>
      <c r="AZ98" s="90"/>
      <c r="BA98" s="90"/>
      <c r="BB98" s="2"/>
      <c r="BC98" s="71"/>
      <c r="BE98" s="6"/>
      <c r="BF98" s="90"/>
      <c r="BG98" s="90"/>
      <c r="BH98" s="2"/>
      <c r="BI98" s="71"/>
      <c r="BJ98" s="6"/>
      <c r="BK98" s="90"/>
      <c r="BL98" s="90"/>
      <c r="BM98" s="2"/>
      <c r="BN98" s="71"/>
      <c r="BP98" s="6"/>
      <c r="BQ98" s="90"/>
      <c r="BR98" s="90"/>
      <c r="BS98" s="2"/>
      <c r="BT98" s="71"/>
      <c r="BU98" s="6"/>
      <c r="BV98" s="90"/>
      <c r="BW98" s="90"/>
      <c r="BX98" s="2"/>
      <c r="BY98" s="71"/>
    </row>
    <row r="99" spans="1:77">
      <c r="A99" s="152"/>
      <c r="B99" s="12" t="str" cm="1">
        <f t="array" ref="B99:B100">_xlfn._xlws.FILTER(Staf!$C:$C,Staf!$B:$B=Teamsamenstelling!B91,"")</f>
        <v>Trainer/Coach</v>
      </c>
      <c r="C99" s="13"/>
      <c r="D99" s="13"/>
      <c r="E99" s="13"/>
      <c r="F99" s="72"/>
      <c r="G99" s="13" t="str" cm="1">
        <f t="array" ref="G99:G100">_xlfn._xlws.FILTER(Staf!$A:$A,Staf!$B:$B=Teamsamenstelling!B91,"")</f>
        <v>Lieke Bakker</v>
      </c>
      <c r="H99" s="13"/>
      <c r="I99" s="13"/>
      <c r="J99" s="13"/>
      <c r="K99" s="76"/>
      <c r="M99" s="12" t="str" cm="1">
        <f t="array" ref="M99:M101">_xlfn._xlws.FILTER(Staf!$C:$C,Staf!$B:$B=Teamsamenstelling!M91,"")</f>
        <v>Trainer/Coach</v>
      </c>
      <c r="N99" s="13"/>
      <c r="O99" s="13"/>
      <c r="P99" s="13"/>
      <c r="Q99" s="72"/>
      <c r="R99" s="13" t="str" cm="1">
        <f t="array" ref="R99:R101">_xlfn._xlws.FILTER(Staf!$A:$A,Staf!$B:$B=Teamsamenstelling!M91,"")</f>
        <v>Jet van Trooijen</v>
      </c>
      <c r="S99" s="13"/>
      <c r="T99" s="13"/>
      <c r="U99" s="13"/>
      <c r="V99" s="76"/>
      <c r="X99" s="12" t="str" cm="1">
        <f t="array" ref="X99:X100">_xlfn._xlws.FILTER(Staf!$C:$C,Staf!$B:$B=Teamsamenstelling!X91,"")</f>
        <v>Trainer/Coach</v>
      </c>
      <c r="Y99" s="13"/>
      <c r="Z99" s="13"/>
      <c r="AA99" s="13"/>
      <c r="AB99" s="72"/>
      <c r="AC99" s="13" t="str" cm="1">
        <f t="array" ref="AC99:AC100">_xlfn._xlws.FILTER(Staf!$A:$A,Staf!$B:$B=Teamsamenstelling!X91,"")</f>
        <v>Celia de Lange</v>
      </c>
      <c r="AD99" s="13"/>
      <c r="AE99" s="13"/>
      <c r="AF99" s="13"/>
      <c r="AG99" s="76"/>
      <c r="AI99" s="12" t="str" cm="1">
        <f t="array" ref="AI99:AI100">_xlfn._xlws.FILTER(Staf!$C:$C,Staf!$B:$B=Teamsamenstelling!AI91,"")</f>
        <v>Trainer/coach</v>
      </c>
      <c r="AJ99" s="13"/>
      <c r="AK99" s="13"/>
      <c r="AL99" s="13"/>
      <c r="AM99" s="72"/>
      <c r="AN99" s="13" t="str" cm="1">
        <f t="array" ref="AN99:AN100">_xlfn._xlws.FILTER(Staf!$A:$A,Staf!$B:$B=Teamsamenstelling!AI91,"")</f>
        <v>Lianne Stomp - vd Burgt</v>
      </c>
      <c r="AO99" s="13"/>
      <c r="AP99" s="13"/>
      <c r="AQ99" s="13"/>
      <c r="AR99" s="76"/>
      <c r="AT99" s="12" t="str" cm="1">
        <f t="array" ref="AT99">_xlfn._xlws.FILTER(Staf!$C:$C,Staf!$B:$B=Teamsamenstelling!AT91,"")</f>
        <v/>
      </c>
      <c r="AU99" s="13"/>
      <c r="AV99" s="13"/>
      <c r="AW99" s="13"/>
      <c r="AX99" s="72"/>
      <c r="AY99" s="13" t="str" cm="1">
        <f t="array" ref="AY99">_xlfn._xlws.FILTER(Staf!$A:$A,Staf!$B:$B=Teamsamenstelling!AT91,"")</f>
        <v/>
      </c>
      <c r="AZ99" s="13"/>
      <c r="BA99" s="13"/>
      <c r="BB99" s="13"/>
      <c r="BC99" s="76"/>
      <c r="BE99" s="12" t="str" cm="1">
        <f t="array" ref="BE99">_xlfn._xlws.FILTER(Staf!$C:$C,Staf!$B:$B=Teamsamenstelling!BE91,"")</f>
        <v/>
      </c>
      <c r="BF99" s="13"/>
      <c r="BG99" s="13"/>
      <c r="BH99" s="13" t="str" cm="1">
        <f t="array" ref="BH99">_xlfn._xlws.FILTER(Staf!$A:$A,Staf!$B:$B=Teamsamenstelling!BE91,"")</f>
        <v/>
      </c>
      <c r="BI99" s="72"/>
      <c r="BJ99" s="13"/>
      <c r="BK99" s="13"/>
      <c r="BL99" s="13"/>
      <c r="BM99" s="13"/>
      <c r="BN99" s="76"/>
      <c r="BP99" s="12" t="str" cm="1">
        <f t="array" ref="BP99">_xlfn._xlws.FILTER(Staf!$C:$C,Staf!$B:$B=Teamsamenstelling!BP91,"")</f>
        <v/>
      </c>
      <c r="BQ99" s="13"/>
      <c r="BR99" s="13"/>
      <c r="BS99" s="13" t="str" cm="1">
        <f t="array" ref="BS99">_xlfn._xlws.FILTER(Staf!$A:$A,Staf!$B:$B=Teamsamenstelling!BP91,"")</f>
        <v/>
      </c>
      <c r="BT99" s="72"/>
      <c r="BU99" s="13"/>
      <c r="BV99" s="13"/>
      <c r="BW99" s="13"/>
      <c r="BX99" s="13"/>
      <c r="BY99" s="76"/>
    </row>
    <row r="100" spans="1:77">
      <c r="A100" s="152"/>
      <c r="B100" s="15" t="str">
        <v>Trainer/Coach</v>
      </c>
      <c r="C100" s="16"/>
      <c r="D100" s="16"/>
      <c r="E100" s="16"/>
      <c r="F100" s="73"/>
      <c r="G100" s="16" t="str">
        <v>Matthijs de Jongh</v>
      </c>
      <c r="H100" s="16"/>
      <c r="I100" s="16"/>
      <c r="J100" s="16"/>
      <c r="K100" s="77"/>
      <c r="M100" s="15" t="str">
        <v>Trainer/Coach</v>
      </c>
      <c r="N100" s="16"/>
      <c r="O100" s="16"/>
      <c r="P100" s="16"/>
      <c r="Q100" s="73"/>
      <c r="R100" s="16" t="str">
        <v>Kimberly Jacobs</v>
      </c>
      <c r="S100" s="16"/>
      <c r="T100" s="16"/>
      <c r="U100" s="16"/>
      <c r="V100" s="77"/>
      <c r="X100" s="15" t="str">
        <v>Assistent-trainer</v>
      </c>
      <c r="Y100" s="16"/>
      <c r="Z100" s="16"/>
      <c r="AA100" s="16"/>
      <c r="AB100" s="73"/>
      <c r="AC100" s="16" t="str">
        <v>Thijs Vos</v>
      </c>
      <c r="AD100" s="16"/>
      <c r="AE100" s="16"/>
      <c r="AF100" s="16"/>
      <c r="AG100" s="77"/>
      <c r="AI100" s="15" t="str">
        <v>Assistent-trainer</v>
      </c>
      <c r="AJ100" s="16"/>
      <c r="AK100" s="16"/>
      <c r="AL100" s="16"/>
      <c r="AM100" s="73"/>
      <c r="AN100" s="16" t="str">
        <v>Thijs Vos</v>
      </c>
      <c r="AO100" s="16"/>
      <c r="AP100" s="16"/>
      <c r="AQ100" s="16"/>
      <c r="AR100" s="77"/>
      <c r="AT100" s="15"/>
      <c r="AU100" s="16"/>
      <c r="AV100" s="16"/>
      <c r="AW100" s="16"/>
      <c r="AX100" s="73"/>
      <c r="AY100" s="16"/>
      <c r="AZ100" s="16"/>
      <c r="BA100" s="16"/>
      <c r="BB100" s="16"/>
      <c r="BC100" s="77"/>
      <c r="BE100" s="15"/>
      <c r="BF100" s="16"/>
      <c r="BG100" s="16"/>
      <c r="BH100" s="16"/>
      <c r="BI100" s="73"/>
      <c r="BJ100" s="16"/>
      <c r="BK100" s="16"/>
      <c r="BL100" s="16"/>
      <c r="BM100" s="16"/>
      <c r="BN100" s="77"/>
      <c r="BP100" s="15"/>
      <c r="BQ100" s="16"/>
      <c r="BR100" s="16"/>
      <c r="BS100" s="16"/>
      <c r="BT100" s="73"/>
      <c r="BU100" s="16"/>
      <c r="BV100" s="16"/>
      <c r="BW100" s="16"/>
      <c r="BX100" s="16"/>
      <c r="BY100" s="77"/>
    </row>
    <row r="101" spans="1:77" ht="15.75" thickBot="1">
      <c r="A101" s="152"/>
      <c r="B101" s="18"/>
      <c r="C101" s="19"/>
      <c r="D101" s="19"/>
      <c r="E101" s="19"/>
      <c r="F101" s="74"/>
      <c r="G101" s="19"/>
      <c r="H101" s="19"/>
      <c r="I101" s="19"/>
      <c r="J101" s="19"/>
      <c r="K101" s="78"/>
      <c r="M101" s="18" t="str">
        <v>Trainer/Coach</v>
      </c>
      <c r="N101" s="19"/>
      <c r="O101" s="19"/>
      <c r="P101" s="19"/>
      <c r="Q101" s="74"/>
      <c r="R101" s="19" t="str">
        <v>Paula Malschaert</v>
      </c>
      <c r="S101" s="19"/>
      <c r="T101" s="19"/>
      <c r="U101" s="19"/>
      <c r="V101" s="78"/>
      <c r="X101" s="18"/>
      <c r="Y101" s="19"/>
      <c r="Z101" s="19"/>
      <c r="AA101" s="19"/>
      <c r="AB101" s="74"/>
      <c r="AC101" s="19"/>
      <c r="AD101" s="19"/>
      <c r="AE101" s="19"/>
      <c r="AF101" s="19"/>
      <c r="AG101" s="78"/>
      <c r="AI101" s="18"/>
      <c r="AJ101" s="19"/>
      <c r="AK101" s="19"/>
      <c r="AL101" s="19"/>
      <c r="AM101" s="74"/>
      <c r="AN101" s="19"/>
      <c r="AO101" s="19"/>
      <c r="AP101" s="19"/>
      <c r="AQ101" s="19"/>
      <c r="AR101" s="78"/>
      <c r="AT101" s="18"/>
      <c r="AU101" s="19"/>
      <c r="AV101" s="19"/>
      <c r="AW101" s="19"/>
      <c r="AX101" s="74"/>
      <c r="AY101" s="19"/>
      <c r="AZ101" s="19"/>
      <c r="BA101" s="19"/>
      <c r="BB101" s="19"/>
      <c r="BC101" s="78"/>
      <c r="BE101" s="18"/>
      <c r="BF101" s="19"/>
      <c r="BG101" s="19"/>
      <c r="BH101" s="19"/>
      <c r="BI101" s="74"/>
      <c r="BJ101" s="19"/>
      <c r="BK101" s="19"/>
      <c r="BL101" s="19"/>
      <c r="BM101" s="19"/>
      <c r="BN101" s="78"/>
      <c r="BP101" s="18"/>
      <c r="BQ101" s="19"/>
      <c r="BR101" s="19"/>
      <c r="BS101" s="19"/>
      <c r="BT101" s="74"/>
      <c r="BU101" s="19"/>
      <c r="BV101" s="19"/>
      <c r="BW101" s="19"/>
      <c r="BX101" s="19"/>
      <c r="BY101" s="78"/>
    </row>
    <row r="102" spans="1:77" ht="15.75" thickBot="1"/>
    <row r="103" spans="1:77" ht="15.75" thickBot="1">
      <c r="A103" s="152" t="s">
        <v>37</v>
      </c>
      <c r="B103" s="21" t="s">
        <v>38</v>
      </c>
      <c r="C103" s="21"/>
      <c r="D103" s="21"/>
      <c r="E103" s="21"/>
      <c r="F103" s="68"/>
      <c r="G103" s="21"/>
      <c r="H103" s="21"/>
      <c r="I103" s="21"/>
      <c r="J103" s="21"/>
      <c r="K103" s="75">
        <f>AVERAGE(F105:F113,K105:K113)</f>
        <v>7.7549999999999999</v>
      </c>
      <c r="M103" s="21" t="s">
        <v>39</v>
      </c>
      <c r="N103" s="21"/>
      <c r="O103" s="21"/>
      <c r="P103" s="21"/>
      <c r="Q103" s="68"/>
      <c r="R103" s="21"/>
      <c r="S103" s="21"/>
      <c r="T103" s="21"/>
      <c r="U103" s="21"/>
      <c r="V103" s="75">
        <f>AVERAGE(Q105:Q113,V105:V113)</f>
        <v>7.2333333333333343</v>
      </c>
      <c r="X103" s="21" t="s">
        <v>40</v>
      </c>
      <c r="Y103" s="21"/>
      <c r="Z103" s="21"/>
      <c r="AA103" s="21"/>
      <c r="AB103" s="68"/>
      <c r="AC103" s="21"/>
      <c r="AD103" s="21"/>
      <c r="AE103" s="21"/>
      <c r="AF103" s="21"/>
      <c r="AG103" s="75">
        <f>AVERAGE(AB105:AB113,AG105:AG113)</f>
        <v>7.1916666666666664</v>
      </c>
      <c r="AI103" s="21" t="s">
        <v>41</v>
      </c>
      <c r="AJ103" s="21"/>
      <c r="AK103" s="21"/>
      <c r="AL103" s="21"/>
      <c r="AM103" s="68"/>
      <c r="AN103" s="21"/>
      <c r="AO103" s="21"/>
      <c r="AP103" s="21"/>
      <c r="AQ103" s="21"/>
      <c r="AR103" s="75" t="e">
        <f>AVERAGE(AM105:AM113,AR105:AR113)</f>
        <v>#DIV/0!</v>
      </c>
      <c r="AT103" s="21" t="s">
        <v>42</v>
      </c>
      <c r="AU103" s="21"/>
      <c r="AV103" s="21"/>
      <c r="AW103" s="21"/>
      <c r="AX103" s="68"/>
      <c r="AY103" s="21"/>
      <c r="AZ103" s="21"/>
      <c r="BA103" s="21"/>
      <c r="BB103" s="21"/>
      <c r="BC103" s="75" t="e">
        <f>AVERAGE(AX105:AX113,BC105:BC113)</f>
        <v>#DIV/0!</v>
      </c>
    </row>
    <row r="104" spans="1:77" ht="15.75" thickBot="1">
      <c r="A104" s="152"/>
      <c r="B104" s="8" t="str">
        <f>CONCATENATE("Dames (",COUNTA(E105:E110),")")</f>
        <v>Dames (3)</v>
      </c>
      <c r="C104" s="9"/>
      <c r="D104" s="9"/>
      <c r="E104" s="9"/>
      <c r="F104" s="69"/>
      <c r="G104" s="8" t="str">
        <f>CONCATENATE("Heren (",COUNTA(J105:J110),")")</f>
        <v>Heren (3)</v>
      </c>
      <c r="H104" s="9"/>
      <c r="I104" s="9"/>
      <c r="J104" s="9"/>
      <c r="K104" s="69"/>
      <c r="M104" s="8" t="str">
        <f>CONCATENATE("Dames (",COUNTA(P105:P110),")")</f>
        <v>Dames (3)</v>
      </c>
      <c r="N104" s="9"/>
      <c r="O104" s="9"/>
      <c r="P104" s="9"/>
      <c r="Q104" s="69"/>
      <c r="R104" s="8" t="str">
        <f>CONCATENATE("Heren (",COUNTA(U105:U110),")")</f>
        <v>Heren (3)</v>
      </c>
      <c r="S104" s="9"/>
      <c r="T104" s="9"/>
      <c r="U104" s="9"/>
      <c r="V104" s="69"/>
      <c r="X104" s="8" t="str">
        <f>CONCATENATE("Dames (",COUNTA(AA105:AA110),")")</f>
        <v>Dames (3)</v>
      </c>
      <c r="Y104" s="9"/>
      <c r="Z104" s="9"/>
      <c r="AA104" s="9"/>
      <c r="AB104" s="69"/>
      <c r="AC104" s="8" t="str">
        <f>CONCATENATE("Heren (",COUNTA(AF105:AF110),")")</f>
        <v>Heren (3)</v>
      </c>
      <c r="AD104" s="9"/>
      <c r="AE104" s="9"/>
      <c r="AF104" s="9"/>
      <c r="AG104" s="69"/>
      <c r="AI104" s="8" t="str">
        <f>CONCATENATE("Dames (",COUNTA(AL105:AL110),")")</f>
        <v>Dames (1)</v>
      </c>
      <c r="AJ104" s="9"/>
      <c r="AK104" s="9"/>
      <c r="AL104" s="9"/>
      <c r="AM104" s="69"/>
      <c r="AN104" s="8" t="str">
        <f>CONCATENATE("Heren (",COUNTA(AQ105:AQ110),")")</f>
        <v>Heren (1)</v>
      </c>
      <c r="AO104" s="9"/>
      <c r="AP104" s="9"/>
      <c r="AQ104" s="9"/>
      <c r="AR104" s="69"/>
      <c r="AT104" s="8" t="str">
        <f>CONCATENATE("Dames (",COUNTA(AW105:AW110),")")</f>
        <v>Dames (1)</v>
      </c>
      <c r="AU104" s="9"/>
      <c r="AV104" s="9"/>
      <c r="AW104" s="9"/>
      <c r="AX104" s="69"/>
      <c r="AY104" s="8" t="str">
        <f>CONCATENATE("Heren (",COUNTA(BB105:BB110),")")</f>
        <v>Heren (1)</v>
      </c>
      <c r="AZ104" s="9"/>
      <c r="BA104" s="9"/>
      <c r="BB104" s="9"/>
      <c r="BC104" s="69"/>
    </row>
    <row r="105" spans="1:77">
      <c r="A105" s="152"/>
      <c r="B105" s="3" t="str" cm="1">
        <f t="array" ref="B105:B107">_xlfn._xlws.FILTER(Spelerslijst!$B:$B,Spelerslijst!$F:$F=B$103,"")</f>
        <v>Schaardenburg, L. (Luna) van</v>
      </c>
      <c r="C105" s="89" cm="1">
        <f t="array" ref="C105:C107">_xlfn._xlws.FILTER(Spelerslijst!$I:$I,Spelerslijst!$F:$F=B$103,"")</f>
        <v>0</v>
      </c>
      <c r="D105" s="89" cm="1">
        <f t="array" ref="D105:D107">_xlfn._xlws.FILTER(Spelerslijst!$J:$J,Spelerslijst!$F:$F=B$103,"")</f>
        <v>0</v>
      </c>
      <c r="E105" s="4" cm="1">
        <f t="array" ref="E105:E107">_xlfn._xlws.FILTER(Spelerslijst!$H:$H,Spelerslijst!$F:$F=B$103,"")</f>
        <v>0</v>
      </c>
      <c r="F105" s="70" cm="1">
        <f t="array" ref="F105:F107">_xlfn._xlws.FILTER(Spelerslijst!$D:$D,Spelerslijst!$F:$F=B$103,"")</f>
        <v>7.23</v>
      </c>
      <c r="G105" s="3" t="str" cm="1">
        <f t="array" ref="G105:G107">_xlfn._xlws.FILTER(Spelerslijst!$M:$M,Spelerslijst!$Q:$Q=B$103,"")</f>
        <v>Wingerden, E.J. (Elroy) van</v>
      </c>
      <c r="H105" s="89" cm="1">
        <f t="array" ref="H105:H107">_xlfn._xlws.FILTER(Spelerslijst!$T:$T,Spelerslijst!$Q:$Q=B$103,"")</f>
        <v>0</v>
      </c>
      <c r="I105" s="89" cm="1">
        <f t="array" ref="I105:I107">_xlfn._xlws.FILTER(Spelerslijst!$U:$U,Spelerslijst!$Q:$Q=B$103,"")</f>
        <v>0</v>
      </c>
      <c r="J105" s="4" t="str" cm="1">
        <f t="array" ref="J105:J107">_xlfn._xlws.FILTER(Spelerslijst!$S:$S,Spelerslijst!$Q:$Q=B$103,"")</f>
        <v>F3</v>
      </c>
      <c r="K105" s="70" cm="1">
        <f t="array" ref="K105:K107">_xlfn._xlws.FILTER(Spelerslijst!$O:$O,Spelerslijst!$Q:$Q=B$103,"")</f>
        <v>8.74</v>
      </c>
      <c r="M105" s="3" t="str" cm="1">
        <f t="array" ref="M105:M107">_xlfn._xlws.FILTER(Spelerslijst!$B:$B,Spelerslijst!$F:$F=M$103,"")</f>
        <v>Haren, C.M. (Cato) van</v>
      </c>
      <c r="N105" s="89" cm="1">
        <f t="array" ref="N105:N107">_xlfn._xlws.FILTER(Spelerslijst!$I:$I,Spelerslijst!$F:$F=M$103,"")</f>
        <v>0</v>
      </c>
      <c r="O105" s="89" cm="1">
        <f t="array" ref="O105:O107">_xlfn._xlws.FILTER(Spelerslijst!$J:$J,Spelerslijst!$F:$F=M$103,"")</f>
        <v>0</v>
      </c>
      <c r="P105" s="4" t="str" cm="1">
        <f t="array" ref="P105:P107">_xlfn._xlws.FILTER(Spelerslijst!$H:$H,Spelerslijst!$F:$F=M$103,"")</f>
        <v>F4</v>
      </c>
      <c r="Q105" s="70" cm="1">
        <f t="array" ref="Q105:Q107">_xlfn._xlws.FILTER(Spelerslijst!$D:$D,Spelerslijst!$F:$F=M$103,"")</f>
        <v>6.5</v>
      </c>
      <c r="R105" s="3" t="str" cm="1">
        <f t="array" ref="R105:R107">_xlfn._xlws.FILTER(Spelerslijst!$M:$M,Spelerslijst!$Q:$Q=M$103,"")</f>
        <v>Nekkers, Q. (Quinn)</v>
      </c>
      <c r="S105" s="89" cm="1">
        <f t="array" ref="S105:S107">_xlfn._xlws.FILTER(Spelerslijst!$T:$T,Spelerslijst!$Q:$Q=M$103,"")</f>
        <v>0</v>
      </c>
      <c r="T105" s="89" cm="1">
        <f t="array" ref="T105:T107">_xlfn._xlws.FILTER(Spelerslijst!$U:$U,Spelerslijst!$Q:$Q=M$103,"")</f>
        <v>0</v>
      </c>
      <c r="U105" s="4" t="str" cm="1">
        <f t="array" ref="U105:U107">_xlfn._xlws.FILTER(Spelerslijst!$S:$S,Spelerslijst!$Q:$Q=M$103,"")</f>
        <v>F4</v>
      </c>
      <c r="V105" s="70" cm="1">
        <f t="array" ref="V105:V107">_xlfn._xlws.FILTER(Spelerslijst!$O:$O,Spelerslijst!$Q:$Q=M$103,"")</f>
        <v>8.34</v>
      </c>
      <c r="X105" s="3" t="str" cm="1">
        <f t="array" ref="X105:X107">_xlfn._xlws.FILTER(Spelerslijst!$B:$B,Spelerslijst!$F:$F=X$103,"")</f>
        <v>Merwe, F. (Floor) van de</v>
      </c>
      <c r="Y105" s="89"/>
      <c r="Z105" s="89"/>
      <c r="AA105" s="4" t="str" cm="1">
        <f t="array" ref="AA105:AA107">_xlfn._xlws.FILTER(Spelerslijst!$H:$H,Spelerslijst!$F:$F=X$103,"")</f>
        <v>-</v>
      </c>
      <c r="AB105" s="70" cm="1">
        <f t="array" ref="AB105:AB107">_xlfn._xlws.FILTER(Spelerslijst!$D:$D,Spelerslijst!$F:$F=X$103,"")</f>
        <v>6.28</v>
      </c>
      <c r="AC105" s="3" t="str" cm="1">
        <f t="array" ref="AC105:AC107">_xlfn._xlws.FILTER(Spelerslijst!$M:$M,Spelerslijst!$Q:$Q=X$103,"")</f>
        <v>Houweling, J. (Jeftha)</v>
      </c>
      <c r="AD105" s="89" cm="1">
        <f t="array" ref="AD105:AD107">_xlfn._xlws.FILTER(Spelerslijst!$T:$T,Spelerslijst!$Q:$Q=X$103,"")</f>
        <v>0</v>
      </c>
      <c r="AE105" s="89" cm="1">
        <f t="array" ref="AE105:AE107">_xlfn._xlws.FILTER(Spelerslijst!$U:$U,Spelerslijst!$Q:$Q=X$103,"")</f>
        <v>0</v>
      </c>
      <c r="AF105" s="4" cm="1">
        <f t="array" ref="AF105:AF107">_xlfn._xlws.FILTER(Spelerslijst!$S:$S,Spelerslijst!$Q:$Q=X$103,"")</f>
        <v>0</v>
      </c>
      <c r="AG105" s="70" cm="1">
        <f t="array" ref="AG105:AG107">_xlfn._xlws.FILTER(Spelerslijst!$O:$O,Spelerslijst!$Q:$Q=X$103,"")</f>
        <v>8.1</v>
      </c>
      <c r="AI105" s="3" t="str" cm="1">
        <f t="array" ref="AI105">_xlfn._xlws.FILTER(Spelerslijst!$B:$B,Spelerslijst!$F:$F=AI$103,"")</f>
        <v/>
      </c>
      <c r="AJ105" s="89"/>
      <c r="AK105" s="89"/>
      <c r="AL105" s="4" t="str" cm="1">
        <f t="array" ref="AL105">_xlfn._xlws.FILTER(Spelerslijst!$H:$H,Spelerslijst!$F:$F=AI$103,"")</f>
        <v/>
      </c>
      <c r="AM105" s="70" t="str" cm="1">
        <f t="array" ref="AM105">_xlfn._xlws.FILTER(Spelerslijst!$D:$D,Spelerslijst!$F:$F=AI$103,"")</f>
        <v/>
      </c>
      <c r="AN105" s="3" t="str" cm="1">
        <f t="array" ref="AN105">_xlfn._xlws.FILTER(Spelerslijst!$M:$M,Spelerslijst!$Q:$Q=AI$103,"")</f>
        <v/>
      </c>
      <c r="AO105" s="89" t="str" cm="1">
        <f t="array" ref="AO105">_xlfn._xlws.FILTER(Spelerslijst!$T:$T,Spelerslijst!$Q:$Q=AI$103,"")</f>
        <v/>
      </c>
      <c r="AP105" s="89" t="str" cm="1">
        <f t="array" ref="AP105">_xlfn._xlws.FILTER(Spelerslijst!$U:$U,Spelerslijst!$Q:$Q=AI$103,"")</f>
        <v/>
      </c>
      <c r="AQ105" s="4" t="str" cm="1">
        <f t="array" ref="AQ105">_xlfn._xlws.FILTER(Spelerslijst!$S:$S,Spelerslijst!$Q:$Q=AI$103,"")</f>
        <v/>
      </c>
      <c r="AR105" s="70" t="str" cm="1">
        <f t="array" ref="AR105">_xlfn._xlws.FILTER(Spelerslijst!$O:$O,Spelerslijst!$Q:$Q=AI$103,"")</f>
        <v/>
      </c>
      <c r="AT105" s="3" t="str" cm="1">
        <f t="array" ref="AT105">_xlfn._xlws.FILTER(Spelerslijst!$B:$B,Spelerslijst!$F:$F=AT$103,"")</f>
        <v/>
      </c>
      <c r="AU105" s="89"/>
      <c r="AV105" s="89"/>
      <c r="AW105" s="4" t="str" cm="1">
        <f t="array" ref="AW105">_xlfn._xlws.FILTER(Spelerslijst!$H:$H,Spelerslijst!$F:$F=AT$103,"")</f>
        <v/>
      </c>
      <c r="AX105" s="70" t="str" cm="1">
        <f t="array" ref="AX105">_xlfn._xlws.FILTER(Spelerslijst!$D:$D,Spelerslijst!$F:$F=AT$103,"")</f>
        <v/>
      </c>
      <c r="AY105" s="3" t="str" cm="1">
        <f t="array" ref="AY105">_xlfn._xlws.FILTER(Spelerslijst!$M:$M,Spelerslijst!$Q:$Q=AT$103,"")</f>
        <v/>
      </c>
      <c r="AZ105" s="89" t="str" cm="1">
        <f t="array" ref="AZ105">_xlfn._xlws.FILTER(Spelerslijst!$T:$T,Spelerslijst!$Q:$Q=AT$103,"")</f>
        <v/>
      </c>
      <c r="BA105" s="89" t="str" cm="1">
        <f t="array" ref="BA105">_xlfn._xlws.FILTER(Spelerslijst!$U:$U,Spelerslijst!$Q:$Q=AT$103,"")</f>
        <v/>
      </c>
      <c r="BB105" s="4" t="str" cm="1">
        <f t="array" ref="BB105">_xlfn._xlws.FILTER(Spelerslijst!$S:$S,Spelerslijst!$Q:$Q=AT$103,"")</f>
        <v/>
      </c>
      <c r="BC105" s="70" t="str" cm="1">
        <f t="array" ref="BC105">_xlfn._xlws.FILTER(Spelerslijst!$O:$O,Spelerslijst!$Q:$Q=AT$103,"")</f>
        <v/>
      </c>
    </row>
    <row r="106" spans="1:77">
      <c r="A106" s="152"/>
      <c r="B106" s="6" t="str">
        <v>Ariadne</v>
      </c>
      <c r="C106" s="90">
        <v>0</v>
      </c>
      <c r="D106" s="90">
        <v>0</v>
      </c>
      <c r="E106" s="2">
        <v>0</v>
      </c>
      <c r="F106" s="71">
        <v>7.59</v>
      </c>
      <c r="G106" s="6" t="str">
        <v>Koolstra, H. (Hidde)</v>
      </c>
      <c r="H106" s="90">
        <v>0</v>
      </c>
      <c r="I106" s="90">
        <v>0</v>
      </c>
      <c r="J106" s="2" t="str">
        <v>F3</v>
      </c>
      <c r="K106" s="71">
        <v>7.96</v>
      </c>
      <c r="M106" s="6" t="str">
        <v>Struijk, F. (Fay)</v>
      </c>
      <c r="N106" s="90">
        <v>0</v>
      </c>
      <c r="O106" s="90">
        <v>0</v>
      </c>
      <c r="P106" s="2">
        <v>0</v>
      </c>
      <c r="Q106" s="71">
        <v>6.67</v>
      </c>
      <c r="R106" s="6" t="str">
        <v>Roos, L. (Lucas)</v>
      </c>
      <c r="S106" s="90">
        <v>0</v>
      </c>
      <c r="T106" s="90">
        <v>0</v>
      </c>
      <c r="U106" s="2" t="str">
        <v>F4</v>
      </c>
      <c r="V106" s="71">
        <v>7.82</v>
      </c>
      <c r="X106" s="6" t="str">
        <v>Burgt, L. (Leah) van de</v>
      </c>
      <c r="Y106" s="90"/>
      <c r="Z106" s="90"/>
      <c r="AA106" s="2" t="str">
        <v>-</v>
      </c>
      <c r="AB106" s="71">
        <v>6.44</v>
      </c>
      <c r="AC106" s="6" t="str">
        <v>Groot, F. (Finn) de</v>
      </c>
      <c r="AD106" s="90">
        <v>0</v>
      </c>
      <c r="AE106" s="90">
        <v>0</v>
      </c>
      <c r="AF106" s="2" t="str">
        <v>F3</v>
      </c>
      <c r="AG106" s="71">
        <v>7.69</v>
      </c>
      <c r="AI106" s="6"/>
      <c r="AJ106" s="90"/>
      <c r="AK106" s="90"/>
      <c r="AL106" s="2"/>
      <c r="AM106" s="71"/>
      <c r="AN106" s="6"/>
      <c r="AO106" s="90"/>
      <c r="AP106" s="90"/>
      <c r="AQ106" s="2"/>
      <c r="AR106" s="71"/>
      <c r="AT106" s="6"/>
      <c r="AU106" s="90"/>
      <c r="AV106" s="90"/>
      <c r="AW106" s="2"/>
      <c r="AX106" s="71"/>
      <c r="AY106" s="6"/>
      <c r="AZ106" s="90"/>
      <c r="BA106" s="90"/>
      <c r="BB106" s="2"/>
      <c r="BC106" s="71"/>
    </row>
    <row r="107" spans="1:77">
      <c r="A107" s="152"/>
      <c r="B107" s="6" t="str">
        <v>Nawar, M. (Mayvin)</v>
      </c>
      <c r="C107" s="90">
        <v>0</v>
      </c>
      <c r="D107" s="90">
        <v>0</v>
      </c>
      <c r="E107" s="2" t="str">
        <v>F3</v>
      </c>
      <c r="F107" s="71">
        <v>8.19</v>
      </c>
      <c r="G107" s="6" t="str">
        <v>Ploeg, F. (Finn)</v>
      </c>
      <c r="H107" s="90">
        <v>0</v>
      </c>
      <c r="I107" s="90">
        <v>0</v>
      </c>
      <c r="J107" s="2" t="str">
        <v>F3</v>
      </c>
      <c r="K107" s="71">
        <v>6.82</v>
      </c>
      <c r="M107" s="6" t="str">
        <v>Nienes, N. (Nova) van</v>
      </c>
      <c r="N107" s="90">
        <v>0</v>
      </c>
      <c r="O107" s="90">
        <v>0</v>
      </c>
      <c r="P107" s="2" t="str">
        <v>F4</v>
      </c>
      <c r="Q107" s="71">
        <v>7.12</v>
      </c>
      <c r="R107" s="6" t="str">
        <v>Wingerden, B.R. (Branley) van</v>
      </c>
      <c r="S107" s="90">
        <v>0</v>
      </c>
      <c r="T107" s="90">
        <v>0</v>
      </c>
      <c r="U107" s="2" t="str">
        <v>F4</v>
      </c>
      <c r="V107" s="71">
        <v>6.95</v>
      </c>
      <c r="X107" s="6" t="str">
        <v>Tol, K. (Karlijn) van</v>
      </c>
      <c r="Y107" s="90"/>
      <c r="Z107" s="90"/>
      <c r="AA107" s="2" t="str">
        <v>F4</v>
      </c>
      <c r="AB107" s="71">
        <v>7.28</v>
      </c>
      <c r="AC107" s="6" t="str">
        <v>Verberkt, R.J. (Ruben)</v>
      </c>
      <c r="AD107" s="90">
        <v>0</v>
      </c>
      <c r="AE107" s="90">
        <v>0</v>
      </c>
      <c r="AF107" s="2" t="str">
        <v>F3</v>
      </c>
      <c r="AG107" s="71">
        <v>7.36</v>
      </c>
      <c r="AI107" s="6"/>
      <c r="AJ107" s="90"/>
      <c r="AK107" s="90"/>
      <c r="AL107" s="2"/>
      <c r="AM107" s="71"/>
      <c r="AN107" s="6"/>
      <c r="AO107" s="90"/>
      <c r="AP107" s="90"/>
      <c r="AQ107" s="2"/>
      <c r="AR107" s="71"/>
      <c r="AT107" s="6"/>
      <c r="AU107" s="90"/>
      <c r="AV107" s="90"/>
      <c r="AW107" s="2"/>
      <c r="AX107" s="71"/>
      <c r="AY107" s="6"/>
      <c r="AZ107" s="90"/>
      <c r="BA107" s="90"/>
      <c r="BB107" s="2"/>
      <c r="BC107" s="71"/>
    </row>
    <row r="108" spans="1:77">
      <c r="A108" s="152"/>
      <c r="B108" s="6"/>
      <c r="C108" s="90"/>
      <c r="D108" s="90"/>
      <c r="E108" s="2"/>
      <c r="F108" s="71"/>
      <c r="G108" s="6"/>
      <c r="H108" s="90"/>
      <c r="I108" s="90"/>
      <c r="J108" s="2"/>
      <c r="K108" s="71"/>
      <c r="M108" s="6"/>
      <c r="N108" s="90"/>
      <c r="O108" s="90"/>
      <c r="P108" s="2"/>
      <c r="Q108" s="71"/>
      <c r="R108" s="6"/>
      <c r="S108" s="90"/>
      <c r="T108" s="90"/>
      <c r="U108" s="2"/>
      <c r="V108" s="71"/>
      <c r="X108" s="6"/>
      <c r="Y108" s="90"/>
      <c r="Z108" s="90"/>
      <c r="AA108" s="2"/>
      <c r="AB108" s="71"/>
      <c r="AC108" s="6"/>
      <c r="AD108" s="90"/>
      <c r="AE108" s="90"/>
      <c r="AF108" s="2"/>
      <c r="AG108" s="71"/>
      <c r="AI108" s="6"/>
      <c r="AJ108" s="90"/>
      <c r="AK108" s="90"/>
      <c r="AL108" s="2"/>
      <c r="AM108" s="71"/>
      <c r="AN108" s="6"/>
      <c r="AO108" s="90"/>
      <c r="AP108" s="90"/>
      <c r="AQ108" s="2"/>
      <c r="AR108" s="71"/>
      <c r="AT108" s="6"/>
      <c r="AU108" s="90"/>
      <c r="AV108" s="90"/>
      <c r="AW108" s="2"/>
      <c r="AX108" s="71"/>
      <c r="AY108" s="6"/>
      <c r="AZ108" s="90"/>
      <c r="BA108" s="90"/>
      <c r="BB108" s="2"/>
      <c r="BC108" s="71"/>
    </row>
    <row r="109" spans="1:77">
      <c r="A109" s="152"/>
      <c r="B109" s="6"/>
      <c r="C109" s="90"/>
      <c r="D109" s="90"/>
      <c r="E109" s="2"/>
      <c r="F109" s="71"/>
      <c r="G109" s="6"/>
      <c r="H109" s="90"/>
      <c r="I109" s="90"/>
      <c r="J109" s="2"/>
      <c r="K109" s="71"/>
      <c r="M109" s="6"/>
      <c r="N109" s="90"/>
      <c r="O109" s="90"/>
      <c r="P109" s="2"/>
      <c r="Q109" s="71"/>
      <c r="R109" s="6"/>
      <c r="S109" s="90"/>
      <c r="T109" s="90"/>
      <c r="U109" s="2"/>
      <c r="V109" s="71"/>
      <c r="X109" s="6"/>
      <c r="Y109" s="90"/>
      <c r="Z109" s="90"/>
      <c r="AA109" s="2"/>
      <c r="AB109" s="71"/>
      <c r="AC109" s="6"/>
      <c r="AD109" s="90"/>
      <c r="AE109" s="90"/>
      <c r="AF109" s="2"/>
      <c r="AG109" s="71"/>
      <c r="AI109" s="6"/>
      <c r="AJ109" s="90"/>
      <c r="AK109" s="90"/>
      <c r="AL109" s="2"/>
      <c r="AM109" s="71"/>
      <c r="AN109" s="6"/>
      <c r="AO109" s="90"/>
      <c r="AP109" s="90"/>
      <c r="AQ109" s="2"/>
      <c r="AR109" s="71"/>
      <c r="AT109" s="6"/>
      <c r="AU109" s="90"/>
      <c r="AV109" s="90"/>
      <c r="AW109" s="2"/>
      <c r="AX109" s="71"/>
      <c r="AY109" s="6"/>
      <c r="AZ109" s="90"/>
      <c r="BA109" s="90"/>
      <c r="BB109" s="2"/>
      <c r="BC109" s="71"/>
    </row>
    <row r="110" spans="1:77" ht="15.75" thickBot="1">
      <c r="A110" s="152"/>
      <c r="B110" s="6"/>
      <c r="C110" s="90"/>
      <c r="D110" s="90"/>
      <c r="E110" s="2"/>
      <c r="F110" s="71"/>
      <c r="G110" s="6"/>
      <c r="H110" s="90"/>
      <c r="I110" s="90"/>
      <c r="J110" s="2"/>
      <c r="K110" s="71"/>
      <c r="M110" s="6"/>
      <c r="N110" s="90"/>
      <c r="O110" s="90"/>
      <c r="P110" s="2"/>
      <c r="Q110" s="71"/>
      <c r="R110" s="6"/>
      <c r="S110" s="90"/>
      <c r="T110" s="90"/>
      <c r="U110" s="2"/>
      <c r="V110" s="71"/>
      <c r="X110" s="6"/>
      <c r="Y110" s="90"/>
      <c r="Z110" s="90"/>
      <c r="AA110" s="2"/>
      <c r="AB110" s="71"/>
      <c r="AC110" s="6"/>
      <c r="AD110" s="90"/>
      <c r="AE110" s="90"/>
      <c r="AF110" s="2"/>
      <c r="AG110" s="71"/>
      <c r="AI110" s="6"/>
      <c r="AJ110" s="90"/>
      <c r="AK110" s="90"/>
      <c r="AL110" s="2"/>
      <c r="AM110" s="71"/>
      <c r="AN110" s="6"/>
      <c r="AO110" s="90"/>
      <c r="AP110" s="90"/>
      <c r="AQ110" s="2"/>
      <c r="AR110" s="71"/>
      <c r="AT110" s="6"/>
      <c r="AU110" s="90"/>
      <c r="AV110" s="90"/>
      <c r="AW110" s="2"/>
      <c r="AX110" s="71"/>
      <c r="AY110" s="6"/>
      <c r="AZ110" s="90"/>
      <c r="BA110" s="90"/>
      <c r="BB110" s="2"/>
      <c r="BC110" s="71"/>
    </row>
    <row r="111" spans="1:77">
      <c r="A111" s="152"/>
      <c r="B111" s="12" t="str" cm="1">
        <f t="array" ref="B111:B114">_xlfn._xlws.FILTER(Staf!$C:$C,Staf!$B:$B=Teamsamenstelling!B103,"")</f>
        <v>Coach</v>
      </c>
      <c r="C111" s="13"/>
      <c r="D111" s="13"/>
      <c r="E111" s="13"/>
      <c r="F111" s="72"/>
      <c r="G111" s="13" t="str" cm="1">
        <f t="array" ref="G111:G114">_xlfn._xlws.FILTER(Staf!$A:$A,Staf!$B:$B=Teamsamenstelling!B103,"")</f>
        <v>Henno Ploeg</v>
      </c>
      <c r="H111" s="13"/>
      <c r="I111" s="13"/>
      <c r="J111" s="13"/>
      <c r="K111" s="76"/>
      <c r="M111" s="12" t="str" cm="1">
        <f t="array" ref="M111:M113">_xlfn._xlws.FILTER(Staf!$C:$C,Staf!$B:$B=Teamsamenstelling!M103,"")</f>
        <v>Trainer/Coach</v>
      </c>
      <c r="N111" s="13"/>
      <c r="O111" s="13"/>
      <c r="P111" s="13"/>
      <c r="Q111" s="72"/>
      <c r="R111" s="13" t="str" cm="1">
        <f t="array" ref="R111:R113">_xlfn._xlws.FILTER(Staf!$A:$A,Staf!$B:$B=Teamsamenstelling!M103,"")</f>
        <v>Danique van der Klooster</v>
      </c>
      <c r="S111" s="13"/>
      <c r="T111" s="13"/>
      <c r="U111" s="13"/>
      <c r="V111" s="76"/>
      <c r="X111" s="12" t="str" cm="1">
        <f t="array" ref="X111:X114">_xlfn._xlws.FILTER(Staf!$C:$C,Staf!$B:$B=Teamsamenstelling!X103,"")</f>
        <v>Trainer/Coach</v>
      </c>
      <c r="Y111" s="13"/>
      <c r="Z111" s="13"/>
      <c r="AA111" s="13"/>
      <c r="AB111" s="72"/>
      <c r="AC111" s="13" t="str" cm="1">
        <f t="array" ref="AC111:AC114">_xlfn._xlws.FILTER(Staf!$A:$A,Staf!$B:$B=Teamsamenstelling!X103,"")</f>
        <v>Merle Nobel</v>
      </c>
      <c r="AD111" s="13"/>
      <c r="AE111" s="13"/>
      <c r="AF111" s="13"/>
      <c r="AG111" s="76"/>
      <c r="AI111" s="12" t="str" cm="1">
        <f t="array" ref="AI111">_xlfn._xlws.FILTER(Staf!$C:$C,Staf!$B:$B=Teamsamenstelling!AI103,"")</f>
        <v/>
      </c>
      <c r="AJ111" s="13"/>
      <c r="AK111" s="13"/>
      <c r="AL111" s="13"/>
      <c r="AM111" s="72"/>
      <c r="AN111" s="13" t="str" cm="1">
        <f t="array" ref="AN111">_xlfn._xlws.FILTER(Staf!$A:$A,Staf!$B:$B=Teamsamenstelling!AI103,"")</f>
        <v/>
      </c>
      <c r="AO111" s="13"/>
      <c r="AP111" s="13"/>
      <c r="AQ111" s="13"/>
      <c r="AR111" s="76"/>
      <c r="AT111" s="12" t="str" cm="1">
        <f t="array" ref="AT111">_xlfn._xlws.FILTER(Staf!$C:$C,Staf!$B:$B=Teamsamenstelling!AT103,"")</f>
        <v/>
      </c>
      <c r="AU111" s="13"/>
      <c r="AV111" s="13"/>
      <c r="AW111" s="13" t="str" cm="1">
        <f t="array" ref="AW111">_xlfn._xlws.FILTER(Staf!$A:$A,Staf!$B:$B=Teamsamenstelling!AT103,"")</f>
        <v/>
      </c>
      <c r="AX111" s="72"/>
      <c r="AY111" s="13"/>
      <c r="AZ111" s="13"/>
      <c r="BA111" s="13"/>
      <c r="BB111" s="13"/>
      <c r="BC111" s="76"/>
    </row>
    <row r="112" spans="1:77">
      <c r="A112" s="152"/>
      <c r="B112" s="15" t="str">
        <v>Hoofdtrainer F</v>
      </c>
      <c r="C112" s="16"/>
      <c r="D112" s="16"/>
      <c r="E112" s="16"/>
      <c r="F112" s="73"/>
      <c r="G112" s="16" t="str">
        <v>Antjan Laban</v>
      </c>
      <c r="H112" s="16"/>
      <c r="I112" s="16"/>
      <c r="J112" s="16"/>
      <c r="K112" s="77"/>
      <c r="M112" s="15" t="str">
        <v>Trainer/Coach</v>
      </c>
      <c r="N112" s="16"/>
      <c r="O112" s="16"/>
      <c r="P112" s="16"/>
      <c r="Q112" s="73"/>
      <c r="R112" s="16" t="str">
        <v>Jordy Vaartmans</v>
      </c>
      <c r="S112" s="16"/>
      <c r="T112" s="16"/>
      <c r="U112" s="16"/>
      <c r="V112" s="77"/>
      <c r="X112" s="15" t="str">
        <v>Hoofdtrainer F</v>
      </c>
      <c r="Y112" s="16"/>
      <c r="Z112" s="16"/>
      <c r="AA112" s="16"/>
      <c r="AB112" s="73"/>
      <c r="AC112" s="16" t="str">
        <v>Antjan Laban</v>
      </c>
      <c r="AD112" s="16"/>
      <c r="AE112" s="16"/>
      <c r="AF112" s="16"/>
      <c r="AG112" s="77"/>
      <c r="AI112" s="15"/>
      <c r="AJ112" s="16"/>
      <c r="AK112" s="16"/>
      <c r="AL112" s="16"/>
      <c r="AM112" s="73"/>
      <c r="AN112" s="16"/>
      <c r="AO112" s="16"/>
      <c r="AP112" s="16"/>
      <c r="AQ112" s="16"/>
      <c r="AR112" s="77"/>
      <c r="AT112" s="15"/>
      <c r="AU112" s="16"/>
      <c r="AV112" s="16"/>
      <c r="AW112" s="16"/>
      <c r="AX112" s="73"/>
      <c r="AY112" s="16"/>
      <c r="AZ112" s="16"/>
      <c r="BA112" s="16"/>
      <c r="BB112" s="16"/>
      <c r="BC112" s="77"/>
    </row>
    <row r="113" spans="1:55">
      <c r="A113" s="152"/>
      <c r="B113" s="15" t="str">
        <v>Assistent-trainer</v>
      </c>
      <c r="C113" s="16"/>
      <c r="D113" s="16"/>
      <c r="E113" s="16"/>
      <c r="F113" s="73"/>
      <c r="G113" s="16" t="str">
        <v>Freek Laban</v>
      </c>
      <c r="H113" s="16"/>
      <c r="I113" s="16"/>
      <c r="J113" s="16"/>
      <c r="K113" s="77"/>
      <c r="M113" s="15" t="str">
        <v>Hoofdtrainer F</v>
      </c>
      <c r="N113" s="16"/>
      <c r="O113" s="16"/>
      <c r="P113" s="16"/>
      <c r="Q113" s="73"/>
      <c r="R113" s="16" t="str">
        <v>Antjan Laban</v>
      </c>
      <c r="S113" s="16"/>
      <c r="T113" s="16"/>
      <c r="U113" s="16"/>
      <c r="V113" s="77"/>
      <c r="X113" s="15" t="str">
        <v>Assistent-trainer</v>
      </c>
      <c r="Y113" s="16"/>
      <c r="Z113" s="16"/>
      <c r="AA113" s="16"/>
      <c r="AB113" s="73"/>
      <c r="AC113" s="16" t="str">
        <v>Esmée de Boer</v>
      </c>
      <c r="AD113" s="16"/>
      <c r="AE113" s="16"/>
      <c r="AF113" s="16"/>
      <c r="AG113" s="77"/>
      <c r="AI113" s="15"/>
      <c r="AJ113" s="16"/>
      <c r="AK113" s="16"/>
      <c r="AL113" s="16"/>
      <c r="AM113" s="73"/>
      <c r="AN113" s="16"/>
      <c r="AO113" s="16"/>
      <c r="AP113" s="16"/>
      <c r="AQ113" s="16"/>
      <c r="AR113" s="77"/>
      <c r="AT113" s="15"/>
      <c r="AU113" s="16"/>
      <c r="AV113" s="16"/>
      <c r="AW113" s="16"/>
      <c r="AX113" s="73"/>
      <c r="AY113" s="16"/>
      <c r="AZ113" s="16"/>
      <c r="BA113" s="16"/>
      <c r="BB113" s="16"/>
      <c r="BC113" s="77"/>
    </row>
    <row r="114" spans="1:55" ht="15.75" thickBot="1">
      <c r="A114" s="152"/>
      <c r="B114" s="18" t="str">
        <v>Assistent-trainer</v>
      </c>
      <c r="C114" s="19"/>
      <c r="D114" s="19"/>
      <c r="E114" s="19"/>
      <c r="F114" s="74"/>
      <c r="G114" s="19" t="str">
        <v>Sander Heersping</v>
      </c>
      <c r="H114" s="19"/>
      <c r="I114" s="19"/>
      <c r="J114" s="19"/>
      <c r="K114" s="78"/>
      <c r="M114" s="18"/>
      <c r="N114" s="19"/>
      <c r="O114" s="19"/>
      <c r="P114" s="19"/>
      <c r="Q114" s="74"/>
      <c r="R114" s="19"/>
      <c r="S114" s="19"/>
      <c r="T114" s="19"/>
      <c r="U114" s="19"/>
      <c r="V114" s="78"/>
      <c r="X114" s="18" t="str">
        <v>Assistent-trainer</v>
      </c>
      <c r="Y114" s="19"/>
      <c r="Z114" s="19"/>
      <c r="AA114" s="19"/>
      <c r="AB114" s="74"/>
      <c r="AC114" s="19" t="str">
        <v>Tess Volker</v>
      </c>
      <c r="AD114" s="19"/>
      <c r="AE114" s="19"/>
      <c r="AF114" s="19"/>
      <c r="AG114" s="78"/>
      <c r="AI114" s="18"/>
      <c r="AJ114" s="19"/>
      <c r="AK114" s="19"/>
      <c r="AL114" s="19"/>
      <c r="AM114" s="74"/>
      <c r="AN114" s="19"/>
      <c r="AO114" s="19"/>
      <c r="AP114" s="19"/>
      <c r="AQ114" s="19"/>
      <c r="AR114" s="78"/>
      <c r="AT114" s="18"/>
      <c r="AU114" s="19"/>
      <c r="AV114" s="19"/>
      <c r="AW114" s="19"/>
      <c r="AX114" s="74"/>
      <c r="AY114" s="19"/>
      <c r="AZ114" s="19"/>
      <c r="BA114" s="19"/>
      <c r="BB114" s="19"/>
      <c r="BC114" s="78"/>
    </row>
    <row r="115" spans="1:55" ht="15.75" thickBot="1"/>
    <row r="116" spans="1:55" ht="15.75" thickBot="1">
      <c r="A116" s="152" t="s">
        <v>43</v>
      </c>
      <c r="B116" s="21" t="s">
        <v>44</v>
      </c>
      <c r="C116" s="21"/>
      <c r="D116" s="21"/>
      <c r="E116" s="21"/>
      <c r="F116" s="68"/>
      <c r="G116" s="21"/>
      <c r="H116" s="21"/>
      <c r="I116" s="21"/>
      <c r="J116" s="21"/>
      <c r="K116" s="75">
        <f>AVERAGE(F118:F127,K118:K127)</f>
        <v>5.4499999999999993</v>
      </c>
    </row>
    <row r="117" spans="1:55" ht="15.75" thickBot="1">
      <c r="A117" s="152"/>
      <c r="B117" s="8" t="str">
        <f>CONCATENATE("Dames (",COUNTA(E118:E125),")")</f>
        <v>Dames (1)</v>
      </c>
      <c r="C117" s="9"/>
      <c r="D117" s="9"/>
      <c r="E117" s="9"/>
      <c r="F117" s="69"/>
      <c r="G117" s="8" t="str">
        <f>CONCATENATE("Heren (",COUNTA(J118:J125),")")</f>
        <v>Heren (1)</v>
      </c>
      <c r="H117" s="9"/>
      <c r="I117" s="9"/>
      <c r="J117" s="9"/>
      <c r="K117" s="69"/>
    </row>
    <row r="118" spans="1:55">
      <c r="A118" s="152"/>
      <c r="B118" s="3" t="str" cm="1">
        <f t="array" ref="B118">_xlfn._xlws.FILTER(Spelerslijst!$B:$B,Spelerslijst!$F:$F=B$116,"")</f>
        <v>Groot, S. (Senna) de</v>
      </c>
      <c r="C118" s="89" cm="1">
        <f t="array" ref="C118">_xlfn._xlws.FILTER(Spelerslijst!$I:$I,Spelerslijst!$F:$F=B$116,"")</f>
        <v>0</v>
      </c>
      <c r="D118" s="89" cm="1">
        <f t="array" ref="D118">_xlfn._xlws.FILTER(Spelerslijst!$J:$J,Spelerslijst!$F:$F=B$116,"")</f>
        <v>0</v>
      </c>
      <c r="E118" s="4" t="str" cm="1">
        <f t="array" ref="E118">_xlfn._xlws.FILTER(Spelerslijst!$H:$H,Spelerslijst!$F:$F=B$116,"")</f>
        <v>-</v>
      </c>
      <c r="F118" s="70" cm="1">
        <f t="array" ref="F118">_xlfn._xlws.FILTER(Spelerslijst!$D:$D,Spelerslijst!$F:$F=B$116,"")</f>
        <v>5.89</v>
      </c>
      <c r="G118" s="3" t="str" cm="1">
        <f t="array" ref="G118">_xlfn._xlws.FILTER(Spelerslijst!$M:$M,Spelerslijst!$Q:$Q=B$116,"")</f>
        <v>Bezemer, O. (Olle)</v>
      </c>
      <c r="H118" s="89" cm="1">
        <f t="array" ref="H118">_xlfn._xlws.FILTER(Spelerslijst!$T:$T,Spelerslijst!$Q:$Q=B$116,"")</f>
        <v>0</v>
      </c>
      <c r="I118" s="89" cm="1">
        <f t="array" ref="I118">_xlfn._xlws.FILTER(Spelerslijst!$U:$U,Spelerslijst!$Q:$Q=B$116,"")</f>
        <v>0</v>
      </c>
      <c r="J118" s="4" t="str" cm="1">
        <f t="array" ref="J118">_xlfn._xlws.FILTER(Spelerslijst!$S:$S,Spelerslijst!$Q:$Q=B$116,"")</f>
        <v>K</v>
      </c>
      <c r="K118" s="70" cm="1">
        <f t="array" ref="K118">_xlfn._xlws.FILTER(Spelerslijst!$O:$O,Spelerslijst!$Q:$Q=B$116,"")</f>
        <v>5.01</v>
      </c>
    </row>
    <row r="119" spans="1:55">
      <c r="A119" s="152"/>
      <c r="B119" s="6"/>
      <c r="C119" s="90"/>
      <c r="D119" s="90"/>
      <c r="E119" s="2"/>
      <c r="F119" s="71"/>
      <c r="G119" s="6"/>
      <c r="H119" s="90"/>
      <c r="I119" s="90"/>
      <c r="J119" s="2"/>
      <c r="K119" s="71"/>
    </row>
    <row r="120" spans="1:55">
      <c r="A120" s="152"/>
      <c r="B120" s="6"/>
      <c r="C120" s="90"/>
      <c r="D120" s="90"/>
      <c r="E120" s="2"/>
      <c r="F120" s="71"/>
      <c r="G120" s="6"/>
      <c r="H120" s="90"/>
      <c r="I120" s="90"/>
      <c r="J120" s="2"/>
      <c r="K120" s="71"/>
    </row>
    <row r="121" spans="1:55">
      <c r="A121" s="152"/>
      <c r="B121" s="6"/>
      <c r="C121" s="90"/>
      <c r="D121" s="90"/>
      <c r="E121" s="2"/>
      <c r="F121" s="71"/>
      <c r="G121" s="6"/>
      <c r="H121" s="90"/>
      <c r="I121" s="90"/>
      <c r="J121" s="2"/>
      <c r="K121" s="71"/>
    </row>
    <row r="122" spans="1:55">
      <c r="A122" s="152"/>
      <c r="B122" s="6"/>
      <c r="C122" s="90"/>
      <c r="D122" s="90"/>
      <c r="E122" s="2"/>
      <c r="F122" s="71"/>
      <c r="G122" s="6"/>
      <c r="H122" s="90"/>
      <c r="I122" s="90"/>
      <c r="J122" s="2"/>
      <c r="K122" s="71"/>
    </row>
    <row r="123" spans="1:55">
      <c r="A123" s="152"/>
      <c r="B123" s="6"/>
      <c r="C123" s="90"/>
      <c r="D123" s="90"/>
      <c r="E123" s="2"/>
      <c r="F123" s="71"/>
      <c r="G123" s="6"/>
      <c r="H123" s="90"/>
      <c r="I123" s="90"/>
      <c r="J123" s="2"/>
      <c r="K123" s="71"/>
    </row>
    <row r="124" spans="1:55">
      <c r="A124" s="152"/>
      <c r="B124" s="6"/>
      <c r="C124" s="90"/>
      <c r="D124" s="90"/>
      <c r="E124" s="2"/>
      <c r="F124" s="71"/>
      <c r="G124" s="6"/>
      <c r="H124" s="90"/>
      <c r="I124" s="90"/>
      <c r="J124" s="2"/>
      <c r="K124" s="71"/>
    </row>
    <row r="125" spans="1:55" ht="15.75" thickBot="1">
      <c r="A125" s="152"/>
      <c r="B125" s="6"/>
      <c r="C125" s="90"/>
      <c r="D125" s="90"/>
      <c r="E125" s="2"/>
      <c r="F125" s="71"/>
      <c r="G125" s="6"/>
      <c r="H125" s="90"/>
      <c r="I125" s="90"/>
      <c r="J125" s="2"/>
      <c r="K125" s="71"/>
    </row>
    <row r="126" spans="1:55">
      <c r="A126" s="152"/>
      <c r="B126" s="12" t="str" cm="1">
        <f t="array" ref="B126:B133">_xlfn._xlws.FILTER(Staf!$C:$C,Staf!$B:$B=Teamsamenstelling!B116,"")</f>
        <v>Assistent-trainer</v>
      </c>
      <c r="C126" s="13"/>
      <c r="D126" s="13"/>
      <c r="E126" s="13"/>
      <c r="F126" s="72"/>
      <c r="G126" s="13" t="str" cm="1">
        <f t="array" ref="G126:G133">_xlfn._xlws.FILTER(Staf!$A:$A,Staf!$B:$B=Teamsamenstelling!B116,"")</f>
        <v>Eva van Rooij</v>
      </c>
      <c r="H126" s="13"/>
      <c r="I126" s="13"/>
      <c r="J126" s="13"/>
      <c r="K126" s="76"/>
    </row>
    <row r="127" spans="1:55">
      <c r="A127" s="152"/>
      <c r="B127" s="15" t="str">
        <v>Assistent-trainer</v>
      </c>
      <c r="C127" s="16"/>
      <c r="D127" s="16"/>
      <c r="E127" s="16"/>
      <c r="F127" s="73"/>
      <c r="G127" s="16" t="str">
        <v>Jeslynn Vos</v>
      </c>
      <c r="H127" s="16"/>
      <c r="I127" s="16"/>
      <c r="J127" s="16"/>
      <c r="K127" s="77"/>
    </row>
    <row r="128" spans="1:55" ht="15.75" thickBot="1">
      <c r="A128" s="152"/>
      <c r="B128" s="18" t="str">
        <v>Assistent-trainer</v>
      </c>
      <c r="C128" s="19"/>
      <c r="D128" s="19"/>
      <c r="E128" s="19"/>
      <c r="F128" s="74"/>
      <c r="G128" s="19" t="str">
        <v>Mila de Wit</v>
      </c>
      <c r="H128" s="19"/>
      <c r="I128" s="19"/>
      <c r="J128" s="19"/>
      <c r="K128" s="78"/>
    </row>
    <row r="129" spans="2:7">
      <c r="B129" t="str">
        <v>Assistent-trainer</v>
      </c>
      <c r="G129" t="str">
        <v>Saar Camphens</v>
      </c>
    </row>
    <row r="130" spans="2:7">
      <c r="B130" t="str">
        <v>Trainer</v>
      </c>
      <c r="G130" t="str">
        <v>Linda Ardon</v>
      </c>
    </row>
    <row r="131" spans="2:7">
      <c r="B131" t="str">
        <v>Trainer</v>
      </c>
      <c r="G131" t="str">
        <v>Ruben Dubbeld</v>
      </c>
    </row>
    <row r="132" spans="2:7">
      <c r="B132" t="str">
        <v>Trainer</v>
      </c>
      <c r="G132" t="str">
        <v>Sara Boshoven</v>
      </c>
    </row>
    <row r="133" spans="2:7">
      <c r="B133" t="str">
        <v>Trainer</v>
      </c>
      <c r="G133" t="str">
        <v>Tessa Dubbled</v>
      </c>
    </row>
  </sheetData>
  <autoFilter ref="AN62:AN67" xr:uid="{86C08073-5F9E-4B29-B2F6-04C6098E941D}"/>
  <mergeCells count="8">
    <mergeCell ref="A2:A27"/>
    <mergeCell ref="A103:A114"/>
    <mergeCell ref="A116:A128"/>
    <mergeCell ref="A29:A43"/>
    <mergeCell ref="A45:A58"/>
    <mergeCell ref="A60:A74"/>
    <mergeCell ref="A76:A89"/>
    <mergeCell ref="A91:A101"/>
  </mergeCells>
  <conditionalFormatting sqref="R1:R19 B1:B1048576 G1:G1048576 M1:M1048576 X1:X1048576 AC1:AC1048576 AI1:AI1048576 AN1:AN1048576 AT1:AT1048576 AY1:AY1048576 BE1:BE1048576 BJ1:BJ1048576 BP1:BP1048576 BU1:BU1048576 CA1:CA1048576 CF1:CF1048576 R24:R1048576">
    <cfRule type="expression" dxfId="60" priority="1">
      <formula>D1&lt;&gt;0</formula>
    </cfRule>
    <cfRule type="expression" dxfId="59" priority="3">
      <formula>C1&lt;&gt;0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351E-45EC-4006-8418-92B03096BD68}">
  <sheetPr>
    <tabColor theme="3"/>
  </sheetPr>
  <dimension ref="A1:U260"/>
  <sheetViews>
    <sheetView tabSelected="1" topLeftCell="A30" zoomScale="148" zoomScaleNormal="115" workbookViewId="0">
      <selection activeCell="B48" sqref="B48"/>
    </sheetView>
  </sheetViews>
  <sheetFormatPr defaultColWidth="8.7109375" defaultRowHeight="15"/>
  <cols>
    <col min="1" max="1" width="11" style="31" bestFit="1" customWidth="1"/>
    <col min="2" max="2" width="24.42578125" style="31" bestFit="1" customWidth="1"/>
    <col min="3" max="3" width="11.28515625" style="31" customWidth="1"/>
    <col min="4" max="4" width="11.42578125" style="33" customWidth="1"/>
    <col min="5" max="5" width="11.7109375" style="46" customWidth="1"/>
    <col min="6" max="6" width="10.85546875" style="31" customWidth="1"/>
    <col min="7" max="7" width="17.7109375" style="31" customWidth="1"/>
    <col min="8" max="8" width="13.28515625" style="31" customWidth="1"/>
    <col min="9" max="9" width="11.85546875" style="31" bestFit="1" customWidth="1"/>
    <col min="10" max="10" width="4.7109375" style="31" customWidth="1"/>
    <col min="11" max="11" width="2" customWidth="1"/>
    <col min="12" max="12" width="10.28515625" style="31" customWidth="1"/>
    <col min="13" max="13" width="19.7109375" style="31" bestFit="1" customWidth="1"/>
    <col min="14" max="14" width="11.28515625" style="31" customWidth="1"/>
    <col min="15" max="15" width="12.42578125" style="33" customWidth="1"/>
    <col min="16" max="16" width="11.7109375" style="32" customWidth="1"/>
    <col min="17" max="17" width="12.140625" style="33" customWidth="1"/>
    <col min="18" max="18" width="14.140625" style="33" customWidth="1"/>
    <col min="19" max="19" width="12.28515625" style="33" customWidth="1"/>
    <col min="20" max="20" width="11.85546875" style="33" bestFit="1" customWidth="1"/>
    <col min="21" max="21" width="5.28515625" style="33" customWidth="1"/>
  </cols>
  <sheetData>
    <row r="1" spans="1:21" ht="30">
      <c r="A1" s="35" t="s">
        <v>45</v>
      </c>
      <c r="B1" s="36" t="s">
        <v>46</v>
      </c>
      <c r="C1" s="36" t="s">
        <v>47</v>
      </c>
      <c r="D1" s="37" t="s">
        <v>48</v>
      </c>
      <c r="E1" s="44" t="s">
        <v>49</v>
      </c>
      <c r="F1" s="37" t="s">
        <v>50</v>
      </c>
      <c r="G1" s="43" t="s">
        <v>51</v>
      </c>
      <c r="H1" s="43" t="s">
        <v>52</v>
      </c>
      <c r="I1" s="43" t="s">
        <v>53</v>
      </c>
      <c r="J1" s="39" t="s">
        <v>54</v>
      </c>
      <c r="L1" s="35" t="s">
        <v>45</v>
      </c>
      <c r="M1" s="36" t="s">
        <v>55</v>
      </c>
      <c r="N1" s="36" t="s">
        <v>47</v>
      </c>
      <c r="O1" s="37" t="s">
        <v>48</v>
      </c>
      <c r="P1" s="38" t="s">
        <v>49</v>
      </c>
      <c r="Q1" s="37" t="s">
        <v>50</v>
      </c>
      <c r="R1" s="43" t="s">
        <v>51</v>
      </c>
      <c r="S1" s="43" t="s">
        <v>56</v>
      </c>
      <c r="T1" s="43" t="s">
        <v>53</v>
      </c>
      <c r="U1" s="43" t="s">
        <v>54</v>
      </c>
    </row>
    <row r="2" spans="1:21">
      <c r="A2" s="31" t="s">
        <v>57</v>
      </c>
      <c r="B2" s="31" t="s">
        <v>58</v>
      </c>
      <c r="C2" s="31" t="s">
        <v>59</v>
      </c>
      <c r="D2" s="30">
        <f>ROUND( YEARFRAC( Tabel1[[#This Row],[Geb datum]], DATE(2025,12,31), 1 ), 2 )</f>
        <v>5.89</v>
      </c>
      <c r="E2" s="45">
        <v>43872</v>
      </c>
      <c r="F2" s="87" t="s">
        <v>44</v>
      </c>
      <c r="G2" s="87"/>
      <c r="H2" s="33" t="s">
        <v>42</v>
      </c>
      <c r="I2" s="92"/>
      <c r="J2" s="41"/>
      <c r="L2" s="40" t="s">
        <v>60</v>
      </c>
      <c r="M2" s="28" t="s">
        <v>61</v>
      </c>
      <c r="N2" s="28" t="s">
        <v>62</v>
      </c>
      <c r="O2" s="30">
        <f>ROUND( YEARFRAC( Tabel3[[#This Row],[Geb datum]], DATE(2025,12,31), 1 ), 2 )</f>
        <v>50.32</v>
      </c>
      <c r="P2" s="29">
        <v>27643</v>
      </c>
      <c r="Q2" s="30" t="s">
        <v>13</v>
      </c>
      <c r="R2" s="30"/>
      <c r="S2" s="30" t="s">
        <v>13</v>
      </c>
      <c r="T2" s="94"/>
      <c r="U2" s="42"/>
    </row>
    <row r="3" spans="1:21">
      <c r="A3" s="31" t="s">
        <v>63</v>
      </c>
      <c r="B3" s="31" t="s">
        <v>64</v>
      </c>
      <c r="C3" s="31" t="s">
        <v>65</v>
      </c>
      <c r="D3" s="30">
        <f>ROUND( YEARFRAC( Tabel1[[#This Row],[Geb datum]], DATE(2025,12,31), 1 ), 2 )</f>
        <v>6.28</v>
      </c>
      <c r="E3" s="45">
        <v>43728</v>
      </c>
      <c r="F3" s="33" t="s">
        <v>40</v>
      </c>
      <c r="G3" s="87"/>
      <c r="H3" s="33" t="s">
        <v>42</v>
      </c>
      <c r="I3" s="91"/>
      <c r="J3" s="41"/>
      <c r="L3" s="40" t="s">
        <v>66</v>
      </c>
      <c r="M3" s="28" t="s">
        <v>67</v>
      </c>
      <c r="N3" s="28" t="s">
        <v>68</v>
      </c>
      <c r="O3" s="30">
        <f>ROUND( YEARFRAC( Tabel3[[#This Row],[Geb datum]], DATE(2025,12,31), 1 ), 2 )</f>
        <v>44.64</v>
      </c>
      <c r="P3" s="54">
        <v>29718</v>
      </c>
      <c r="Q3" s="30" t="s">
        <v>13</v>
      </c>
      <c r="R3" s="30"/>
      <c r="S3" s="30" t="s">
        <v>13</v>
      </c>
      <c r="T3" s="94"/>
      <c r="U3" s="42"/>
    </row>
    <row r="4" spans="1:21">
      <c r="A4" s="31" t="s">
        <v>69</v>
      </c>
      <c r="B4" s="31" t="s">
        <v>70</v>
      </c>
      <c r="C4" s="31" t="s">
        <v>71</v>
      </c>
      <c r="D4" s="30">
        <f>ROUND( YEARFRAC( Tabel1[[#This Row],[Geb datum]], DATE(2025,12,31), 1 ), 2 )</f>
        <v>6.44</v>
      </c>
      <c r="E4" s="45">
        <v>43669</v>
      </c>
      <c r="F4" s="33" t="s">
        <v>40</v>
      </c>
      <c r="G4" s="87"/>
      <c r="H4" s="33" t="s">
        <v>42</v>
      </c>
      <c r="I4" s="91"/>
      <c r="J4" s="41"/>
      <c r="L4" s="40" t="s">
        <v>72</v>
      </c>
      <c r="M4" s="28" t="s">
        <v>73</v>
      </c>
      <c r="N4" s="28" t="s">
        <v>74</v>
      </c>
      <c r="O4" s="30">
        <f>ROUND( YEARFRAC( Tabel3[[#This Row],[Geb datum]], DATE(2025,12,31), 1 ), 2 )</f>
        <v>41.14</v>
      </c>
      <c r="P4" s="29">
        <v>30994</v>
      </c>
      <c r="Q4" s="30" t="s">
        <v>8</v>
      </c>
      <c r="R4" s="30"/>
      <c r="S4" s="30" t="s">
        <v>75</v>
      </c>
      <c r="T4" s="94"/>
      <c r="U4" s="42"/>
    </row>
    <row r="5" spans="1:21">
      <c r="A5" t="s">
        <v>76</v>
      </c>
      <c r="B5" t="s">
        <v>77</v>
      </c>
      <c r="C5" t="s">
        <v>78</v>
      </c>
      <c r="D5" s="30">
        <f>ROUND( YEARFRAC( Tabel1[[#This Row],[Geb datum]], DATE(2025,12,31), 1 ), 2 )</f>
        <v>6.5</v>
      </c>
      <c r="E5" s="45">
        <v>43646</v>
      </c>
      <c r="F5" s="87" t="s">
        <v>39</v>
      </c>
      <c r="G5" s="87"/>
      <c r="H5" t="s">
        <v>79</v>
      </c>
      <c r="I5" s="91"/>
      <c r="J5" s="41"/>
      <c r="L5" s="40" t="s">
        <v>80</v>
      </c>
      <c r="M5" s="28" t="s">
        <v>81</v>
      </c>
      <c r="N5" s="28" t="s">
        <v>82</v>
      </c>
      <c r="O5" s="30">
        <f>ROUND( YEARFRAC( Tabel3[[#This Row],[Geb datum]], DATE(2025,12,31), 1 ), 2 )</f>
        <v>37.92</v>
      </c>
      <c r="P5" s="29">
        <v>32170</v>
      </c>
      <c r="Q5" s="30" t="s">
        <v>13</v>
      </c>
      <c r="R5" s="30"/>
      <c r="S5" s="30" t="s">
        <v>13</v>
      </c>
      <c r="T5" s="94"/>
      <c r="U5" s="42"/>
    </row>
    <row r="6" spans="1:21">
      <c r="A6" s="31" t="s">
        <v>83</v>
      </c>
      <c r="B6" s="31" t="s">
        <v>84</v>
      </c>
      <c r="C6" s="31" t="s">
        <v>85</v>
      </c>
      <c r="D6" s="30">
        <f>ROUND( YEARFRAC( Tabel1[[#This Row],[Geb datum]], DATE(2025,12,31), 1 ), 2 )</f>
        <v>6.67</v>
      </c>
      <c r="E6" s="45">
        <v>43586</v>
      </c>
      <c r="F6" s="33" t="s">
        <v>39</v>
      </c>
      <c r="G6" s="87"/>
      <c r="H6" s="33"/>
      <c r="I6" s="91"/>
      <c r="J6" s="41"/>
      <c r="L6" s="40" t="s">
        <v>86</v>
      </c>
      <c r="M6" s="28" t="s">
        <v>87</v>
      </c>
      <c r="N6" s="28" t="s">
        <v>88</v>
      </c>
      <c r="O6" s="30">
        <f>ROUND( YEARFRAC( Tabel3[[#This Row],[Geb datum]], DATE(2025,12,31), 1 ), 2 )</f>
        <v>37.409999999999997</v>
      </c>
      <c r="P6" s="29">
        <v>32357</v>
      </c>
      <c r="Q6" s="30" t="s">
        <v>8</v>
      </c>
      <c r="R6" s="30"/>
      <c r="S6" s="30" t="s">
        <v>75</v>
      </c>
      <c r="T6" s="94"/>
      <c r="U6" s="42"/>
    </row>
    <row r="7" spans="1:21">
      <c r="A7" t="s">
        <v>89</v>
      </c>
      <c r="B7" t="s">
        <v>90</v>
      </c>
      <c r="C7" t="s">
        <v>91</v>
      </c>
      <c r="D7" s="30">
        <f>ROUND( YEARFRAC( Tabel1[[#This Row],[Geb datum]], DATE(2025,12,31), 1 ), 2 )</f>
        <v>7.12</v>
      </c>
      <c r="E7" s="45">
        <v>43420</v>
      </c>
      <c r="F7" s="87" t="s">
        <v>39</v>
      </c>
      <c r="G7" s="87"/>
      <c r="H7" t="s">
        <v>79</v>
      </c>
      <c r="I7" s="91"/>
      <c r="J7" s="41"/>
      <c r="L7" s="40" t="s">
        <v>92</v>
      </c>
      <c r="M7" s="28" t="s">
        <v>93</v>
      </c>
      <c r="N7" s="28" t="s">
        <v>94</v>
      </c>
      <c r="O7" s="30">
        <f>ROUND( YEARFRAC( Tabel3[[#This Row],[Geb datum]], DATE(2025,12,31), 1 ), 2 )</f>
        <v>35.380000000000003</v>
      </c>
      <c r="P7" s="29">
        <v>33100</v>
      </c>
      <c r="Q7" s="30" t="s">
        <v>95</v>
      </c>
      <c r="R7" s="30"/>
      <c r="S7" s="30" t="s">
        <v>75</v>
      </c>
      <c r="T7" s="94"/>
      <c r="U7" s="42"/>
    </row>
    <row r="8" spans="1:21">
      <c r="A8" s="31" t="s">
        <v>96</v>
      </c>
      <c r="B8" s="31" t="s">
        <v>97</v>
      </c>
      <c r="C8" s="31" t="s">
        <v>98</v>
      </c>
      <c r="D8" s="30">
        <f>ROUND( YEARFRAC( Tabel1[[#This Row],[Geb datum]], DATE(2025,12,31), 1 ), 2 )</f>
        <v>7.23</v>
      </c>
      <c r="E8" s="45">
        <v>43383</v>
      </c>
      <c r="F8" s="87" t="s">
        <v>38</v>
      </c>
      <c r="G8" s="87"/>
      <c r="H8" s="33"/>
      <c r="I8" s="92"/>
      <c r="J8" s="41"/>
      <c r="L8" s="40" t="s">
        <v>99</v>
      </c>
      <c r="M8" s="28" t="s">
        <v>100</v>
      </c>
      <c r="N8" s="28" t="s">
        <v>101</v>
      </c>
      <c r="O8" s="30">
        <f>ROUND( YEARFRAC( Tabel3[[#This Row],[Geb datum]], DATE(2025,12,31), 1 ), 2 )</f>
        <v>35</v>
      </c>
      <c r="P8" s="29">
        <v>33238</v>
      </c>
      <c r="Q8" s="30" t="s">
        <v>1</v>
      </c>
      <c r="R8" s="30"/>
      <c r="S8" s="30">
        <v>3</v>
      </c>
      <c r="T8" s="94"/>
      <c r="U8" s="42"/>
    </row>
    <row r="9" spans="1:21">
      <c r="A9" t="s">
        <v>102</v>
      </c>
      <c r="B9" t="s">
        <v>103</v>
      </c>
      <c r="C9" t="s">
        <v>104</v>
      </c>
      <c r="D9" s="30">
        <f>ROUND( YEARFRAC( Tabel1[[#This Row],[Geb datum]], DATE(2025,12,31), 1 ), 2 )</f>
        <v>7.28</v>
      </c>
      <c r="E9" s="45">
        <v>43363</v>
      </c>
      <c r="F9" s="87" t="s">
        <v>40</v>
      </c>
      <c r="G9" s="87"/>
      <c r="H9" t="s">
        <v>79</v>
      </c>
      <c r="I9" s="91"/>
      <c r="J9" s="41"/>
      <c r="L9" s="40" t="s">
        <v>105</v>
      </c>
      <c r="M9" s="28" t="s">
        <v>106</v>
      </c>
      <c r="N9" s="28" t="s">
        <v>107</v>
      </c>
      <c r="O9" s="30">
        <f>ROUND( YEARFRAC( Tabel3[[#This Row],[Geb datum]], DATE(2025,12,31), 1 ), 2 )</f>
        <v>34.99</v>
      </c>
      <c r="P9" s="29">
        <v>33241</v>
      </c>
      <c r="Q9" s="30" t="s">
        <v>95</v>
      </c>
      <c r="R9" s="30"/>
      <c r="S9" s="30" t="s">
        <v>108</v>
      </c>
      <c r="T9" s="94"/>
      <c r="U9" s="42"/>
    </row>
    <row r="10" spans="1:21">
      <c r="B10" s="31" t="s">
        <v>109</v>
      </c>
      <c r="C10" s="31" t="s">
        <v>109</v>
      </c>
      <c r="D10" s="30">
        <f>ROUND( YEARFRAC( Tabel1[[#This Row],[Geb datum]], DATE(2025,12,31), 1 ), 2 )</f>
        <v>7.59</v>
      </c>
      <c r="E10" s="45">
        <v>43249</v>
      </c>
      <c r="F10" s="33" t="s">
        <v>38</v>
      </c>
      <c r="G10" s="87"/>
      <c r="H10" s="33"/>
      <c r="I10" s="91"/>
      <c r="J10" s="41"/>
      <c r="L10" s="40" t="s">
        <v>110</v>
      </c>
      <c r="M10" s="28" t="s">
        <v>111</v>
      </c>
      <c r="N10" s="28" t="s">
        <v>112</v>
      </c>
      <c r="O10" s="30">
        <f>ROUND( YEARFRAC( Tabel3[[#This Row],[Geb datum]], DATE(2025,12,31), 1 ), 2 )</f>
        <v>31.64</v>
      </c>
      <c r="P10" s="29">
        <v>34464</v>
      </c>
      <c r="Q10" s="30" t="s">
        <v>8</v>
      </c>
      <c r="R10" s="30"/>
      <c r="S10" s="30" t="s">
        <v>75</v>
      </c>
      <c r="T10" s="94"/>
      <c r="U10" s="42"/>
    </row>
    <row r="11" spans="1:21">
      <c r="A11" t="s">
        <v>113</v>
      </c>
      <c r="B11" t="s">
        <v>114</v>
      </c>
      <c r="C11" t="s">
        <v>115</v>
      </c>
      <c r="D11" s="30">
        <f>ROUND( YEARFRAC( Tabel1[[#This Row],[Geb datum]], DATE(2025,12,31), 1 ), 2 )</f>
        <v>7.69</v>
      </c>
      <c r="E11" s="45">
        <v>43215</v>
      </c>
      <c r="F11" t="s">
        <v>36</v>
      </c>
      <c r="G11"/>
      <c r="H11" t="s">
        <v>116</v>
      </c>
      <c r="I11" s="91"/>
      <c r="J11" s="41"/>
      <c r="L11" s="40" t="s">
        <v>117</v>
      </c>
      <c r="M11" s="28" t="s">
        <v>118</v>
      </c>
      <c r="N11" s="28" t="s">
        <v>119</v>
      </c>
      <c r="O11" s="30">
        <f>ROUND( YEARFRAC( Tabel3[[#This Row],[Geb datum]], DATE(2025,12,31), 1 ), 2 )</f>
        <v>30.97</v>
      </c>
      <c r="P11" s="29">
        <v>34711</v>
      </c>
      <c r="Q11" s="30" t="s">
        <v>8</v>
      </c>
      <c r="R11" s="30"/>
      <c r="S11" s="30" t="s">
        <v>75</v>
      </c>
      <c r="T11" s="94"/>
      <c r="U11" s="42"/>
    </row>
    <row r="12" spans="1:21">
      <c r="A12" t="s">
        <v>120</v>
      </c>
      <c r="B12" t="s">
        <v>121</v>
      </c>
      <c r="C12" t="s">
        <v>122</v>
      </c>
      <c r="D12" s="30">
        <f>ROUND( YEARFRAC( Tabel1[[#This Row],[Geb datum]], DATE(2025,12,31), 1 ), 2 )</f>
        <v>8.19</v>
      </c>
      <c r="E12" s="45">
        <v>43032</v>
      </c>
      <c r="F12" t="s">
        <v>38</v>
      </c>
      <c r="G12"/>
      <c r="H12" t="s">
        <v>123</v>
      </c>
      <c r="I12" s="91"/>
      <c r="J12" s="41"/>
      <c r="L12" s="40" t="s">
        <v>124</v>
      </c>
      <c r="M12" s="28" t="s">
        <v>125</v>
      </c>
      <c r="N12" s="28" t="s">
        <v>126</v>
      </c>
      <c r="O12" s="30">
        <f>ROUND( YEARFRAC( Tabel3[[#This Row],[Geb datum]], DATE(2025,12,31), 1 ), 2 )</f>
        <v>30.45</v>
      </c>
      <c r="P12" s="29">
        <v>34900</v>
      </c>
      <c r="Q12" s="30" t="s">
        <v>8</v>
      </c>
      <c r="R12" s="30"/>
      <c r="S12" s="30"/>
      <c r="T12" s="94"/>
      <c r="U12" s="42"/>
    </row>
    <row r="13" spans="1:21">
      <c r="A13" t="s">
        <v>127</v>
      </c>
      <c r="B13" t="s">
        <v>128</v>
      </c>
      <c r="C13" t="s">
        <v>129</v>
      </c>
      <c r="D13" s="30">
        <f>ROUND( YEARFRAC( Tabel1[[#This Row],[Geb datum]], DATE(2025,12,31), 1 ), 2 )</f>
        <v>8.24</v>
      </c>
      <c r="E13" s="45">
        <v>43014</v>
      </c>
      <c r="F13" t="s">
        <v>35</v>
      </c>
      <c r="G13"/>
      <c r="H13" t="s">
        <v>130</v>
      </c>
      <c r="I13" s="91"/>
      <c r="J13" s="41"/>
      <c r="L13" s="40" t="s">
        <v>131</v>
      </c>
      <c r="M13" s="31" t="s">
        <v>132</v>
      </c>
      <c r="N13" s="28" t="s">
        <v>133</v>
      </c>
      <c r="O13" s="30">
        <f>ROUND( YEARFRAC( Tabel3[[#This Row],[Geb datum]], DATE(2025,12,31), 1 ), 2 )</f>
        <v>29.69</v>
      </c>
      <c r="P13" s="29">
        <v>35179</v>
      </c>
      <c r="Q13" s="30" t="s">
        <v>8</v>
      </c>
      <c r="R13" s="30"/>
      <c r="S13" s="30"/>
      <c r="T13" s="94"/>
      <c r="U13" s="42"/>
    </row>
    <row r="14" spans="1:21">
      <c r="A14" t="s">
        <v>134</v>
      </c>
      <c r="B14" t="s">
        <v>135</v>
      </c>
      <c r="C14" t="s">
        <v>136</v>
      </c>
      <c r="D14" s="30">
        <f>ROUND( YEARFRAC( Tabel1[[#This Row],[Geb datum]], DATE(2025,12,31), 1 ), 2 )</f>
        <v>8.26</v>
      </c>
      <c r="E14" s="45">
        <v>43006</v>
      </c>
      <c r="F14" t="s">
        <v>35</v>
      </c>
      <c r="G14"/>
      <c r="H14" t="s">
        <v>130</v>
      </c>
      <c r="I14" s="91"/>
      <c r="J14" s="41"/>
      <c r="L14" s="40" t="s">
        <v>137</v>
      </c>
      <c r="M14" s="28" t="s">
        <v>138</v>
      </c>
      <c r="N14" s="28" t="s">
        <v>139</v>
      </c>
      <c r="O14" s="30">
        <f>ROUND( YEARFRAC( Tabel3[[#This Row],[Geb datum]], DATE(2025,12,31), 1 ), 2 )</f>
        <v>29.5</v>
      </c>
      <c r="P14" s="29">
        <v>35246</v>
      </c>
      <c r="Q14" s="30" t="s">
        <v>95</v>
      </c>
      <c r="R14" s="30"/>
      <c r="S14" s="30" t="s">
        <v>140</v>
      </c>
      <c r="T14" s="94"/>
      <c r="U14" s="42"/>
    </row>
    <row r="15" spans="1:21">
      <c r="A15" t="s">
        <v>141</v>
      </c>
      <c r="B15" t="s">
        <v>142</v>
      </c>
      <c r="C15" t="s">
        <v>143</v>
      </c>
      <c r="D15" s="30">
        <f>ROUND( YEARFRAC( Tabel1[[#This Row],[Geb datum]], DATE(2025,12,31), 1 ), 2 )</f>
        <v>8.31</v>
      </c>
      <c r="E15" s="45">
        <v>42987</v>
      </c>
      <c r="F15" t="s">
        <v>35</v>
      </c>
      <c r="G15"/>
      <c r="H15" t="s">
        <v>130</v>
      </c>
      <c r="I15" s="91"/>
      <c r="J15" s="41"/>
      <c r="L15" s="40" t="s">
        <v>144</v>
      </c>
      <c r="M15" s="28" t="s">
        <v>145</v>
      </c>
      <c r="N15" s="28" t="s">
        <v>146</v>
      </c>
      <c r="O15" s="30">
        <f>ROUND( YEARFRAC( Tabel3[[#This Row],[Geb datum]], DATE(2025,12,31), 1 ), 2 )</f>
        <v>29.16</v>
      </c>
      <c r="P15" s="29">
        <v>35372</v>
      </c>
      <c r="Q15" s="30" t="s">
        <v>95</v>
      </c>
      <c r="R15" s="30"/>
      <c r="S15" s="30" t="s">
        <v>140</v>
      </c>
      <c r="T15" s="94"/>
      <c r="U15" s="42"/>
    </row>
    <row r="16" spans="1:21">
      <c r="A16" t="s">
        <v>147</v>
      </c>
      <c r="B16" t="s">
        <v>148</v>
      </c>
      <c r="C16" t="s">
        <v>149</v>
      </c>
      <c r="D16" s="30">
        <f>ROUND( YEARFRAC( Tabel1[[#This Row],[Geb datum]], DATE(2025,12,31), 1 ), 2 )</f>
        <v>8.33</v>
      </c>
      <c r="E16" s="45">
        <v>42979</v>
      </c>
      <c r="F16" t="s">
        <v>36</v>
      </c>
      <c r="G16"/>
      <c r="H16" t="s">
        <v>130</v>
      </c>
      <c r="I16" s="91"/>
      <c r="J16" s="41"/>
      <c r="L16" s="40" t="s">
        <v>150</v>
      </c>
      <c r="M16" s="28" t="s">
        <v>151</v>
      </c>
      <c r="N16" s="28" t="s">
        <v>152</v>
      </c>
      <c r="O16" s="30">
        <f>ROUND( YEARFRAC( Tabel3[[#This Row],[Geb datum]], DATE(2025,12,31), 1 ), 2 )</f>
        <v>28.67</v>
      </c>
      <c r="P16" s="54">
        <v>35550</v>
      </c>
      <c r="Q16" s="30" t="s">
        <v>1</v>
      </c>
      <c r="R16" s="30"/>
      <c r="S16" s="30" t="s">
        <v>153</v>
      </c>
      <c r="T16" s="94"/>
      <c r="U16" s="42"/>
    </row>
    <row r="17" spans="1:21">
      <c r="A17" t="s">
        <v>154</v>
      </c>
      <c r="B17" t="s">
        <v>155</v>
      </c>
      <c r="C17" t="s">
        <v>156</v>
      </c>
      <c r="D17" s="30">
        <f>ROUND( YEARFRAC( Tabel1[[#This Row],[Geb datum]], DATE(2025,12,31), 1 ), 2 )</f>
        <v>8.5</v>
      </c>
      <c r="E17" s="45">
        <v>42919</v>
      </c>
      <c r="F17" t="s">
        <v>36</v>
      </c>
      <c r="G17"/>
      <c r="H17" t="s">
        <v>116</v>
      </c>
      <c r="I17" s="91"/>
      <c r="J17" s="41"/>
      <c r="L17" s="40" t="s">
        <v>157</v>
      </c>
      <c r="M17" s="28" t="s">
        <v>158</v>
      </c>
      <c r="N17" s="28" t="s">
        <v>159</v>
      </c>
      <c r="O17" s="30">
        <f>ROUND( YEARFRAC( Tabel3[[#This Row],[Geb datum]], DATE(2025,12,31), 1 ), 2 )</f>
        <v>27.79</v>
      </c>
      <c r="P17" s="29">
        <v>35873</v>
      </c>
      <c r="Q17" s="30" t="s">
        <v>95</v>
      </c>
      <c r="R17" s="30"/>
      <c r="S17" s="30" t="s">
        <v>153</v>
      </c>
      <c r="T17" s="94"/>
      <c r="U17" s="42"/>
    </row>
    <row r="18" spans="1:21">
      <c r="A18" t="s">
        <v>160</v>
      </c>
      <c r="B18" t="s">
        <v>161</v>
      </c>
      <c r="C18" t="s">
        <v>162</v>
      </c>
      <c r="D18" s="30">
        <f>ROUND( YEARFRAC( Tabel1[[#This Row],[Geb datum]], DATE(2025,12,31), 1 ), 2 )</f>
        <v>8.85</v>
      </c>
      <c r="E18" s="45">
        <v>42788</v>
      </c>
      <c r="F18" t="s">
        <v>34</v>
      </c>
      <c r="G18"/>
      <c r="H18" t="s">
        <v>163</v>
      </c>
      <c r="I18" s="91"/>
      <c r="J18" s="41"/>
      <c r="L18" s="40" t="s">
        <v>164</v>
      </c>
      <c r="M18" s="28" t="s">
        <v>165</v>
      </c>
      <c r="N18" s="28" t="s">
        <v>126</v>
      </c>
      <c r="O18" s="30">
        <f>ROUND( YEARFRAC( Tabel3[[#This Row],[Geb datum]], DATE(2025,12,31), 1 ), 2 )</f>
        <v>27.23</v>
      </c>
      <c r="P18" s="29">
        <v>36077</v>
      </c>
      <c r="Q18" s="50" t="s">
        <v>1</v>
      </c>
      <c r="R18" s="50"/>
      <c r="S18" s="50" t="s">
        <v>153</v>
      </c>
      <c r="T18" s="95"/>
      <c r="U18" s="42"/>
    </row>
    <row r="19" spans="1:21">
      <c r="A19" t="s">
        <v>166</v>
      </c>
      <c r="B19" t="s">
        <v>167</v>
      </c>
      <c r="C19" t="s">
        <v>168</v>
      </c>
      <c r="D19" s="30">
        <f>ROUND( YEARFRAC( Tabel1[[#This Row],[Geb datum]], DATE(2025,12,31), 1 ), 2 )</f>
        <v>9.06</v>
      </c>
      <c r="E19" s="45">
        <v>42713</v>
      </c>
      <c r="F19" t="s">
        <v>34</v>
      </c>
      <c r="G19"/>
      <c r="H19" t="s">
        <v>163</v>
      </c>
      <c r="I19" s="91"/>
      <c r="J19" s="41"/>
      <c r="L19" s="40" t="s">
        <v>169</v>
      </c>
      <c r="M19" s="28" t="s">
        <v>170</v>
      </c>
      <c r="N19" s="28" t="s">
        <v>171</v>
      </c>
      <c r="O19" s="30">
        <f>ROUND( YEARFRAC( Tabel3[[#This Row],[Geb datum]], DATE(2025,12,31), 1 ), 2 )</f>
        <v>27.05</v>
      </c>
      <c r="P19" s="45">
        <v>36143</v>
      </c>
      <c r="Q19" s="30" t="s">
        <v>1</v>
      </c>
      <c r="R19" s="30"/>
      <c r="S19" s="30" t="s">
        <v>140</v>
      </c>
      <c r="T19" s="94"/>
      <c r="U19" s="42"/>
    </row>
    <row r="20" spans="1:21">
      <c r="A20" t="s">
        <v>172</v>
      </c>
      <c r="B20" t="s">
        <v>173</v>
      </c>
      <c r="C20" t="s">
        <v>174</v>
      </c>
      <c r="D20" s="30">
        <f>ROUND( YEARFRAC( Tabel1[[#This Row],[Geb datum]], DATE(2025,12,31), 1 ), 2 )</f>
        <v>9.1</v>
      </c>
      <c r="E20" s="45">
        <v>42696</v>
      </c>
      <c r="F20" t="s">
        <v>95</v>
      </c>
      <c r="G20"/>
      <c r="H20" t="s">
        <v>163</v>
      </c>
      <c r="I20" s="91"/>
      <c r="J20" s="41"/>
      <c r="L20" s="40" t="s">
        <v>175</v>
      </c>
      <c r="M20" s="28" t="s">
        <v>176</v>
      </c>
      <c r="N20" s="28" t="s">
        <v>177</v>
      </c>
      <c r="O20" s="30">
        <f>ROUND( YEARFRAC( Tabel3[[#This Row],[Geb datum]], DATE(2025,12,31), 1 ), 2 )</f>
        <v>26.59</v>
      </c>
      <c r="P20" s="54">
        <v>36308</v>
      </c>
      <c r="Q20" s="30" t="s">
        <v>10</v>
      </c>
      <c r="R20" s="30"/>
      <c r="S20" s="30" t="s">
        <v>178</v>
      </c>
      <c r="T20" s="94"/>
      <c r="U20" s="42"/>
    </row>
    <row r="21" spans="1:21">
      <c r="A21" s="31" t="s">
        <v>179</v>
      </c>
      <c r="B21" s="31" t="s">
        <v>180</v>
      </c>
      <c r="C21" s="31" t="s">
        <v>181</v>
      </c>
      <c r="D21" s="30">
        <f>ROUND( YEARFRAC( Tabel1[[#This Row],[Geb datum]], DATE(2025,12,31), 1 ), 2 )</f>
        <v>9.26</v>
      </c>
      <c r="E21" s="45">
        <v>42641</v>
      </c>
      <c r="F21" s="33" t="s">
        <v>33</v>
      </c>
      <c r="G21" s="87"/>
      <c r="H21" s="33" t="s">
        <v>42</v>
      </c>
      <c r="I21" s="91"/>
      <c r="J21" s="41"/>
      <c r="L21" s="40" t="s">
        <v>182</v>
      </c>
      <c r="M21" s="28" t="s">
        <v>183</v>
      </c>
      <c r="N21" s="28" t="s">
        <v>184</v>
      </c>
      <c r="O21" s="30">
        <f>ROUND( YEARFRAC( Tabel3[[#This Row],[Geb datum]], DATE(2025,12,31), 1 ), 2 )</f>
        <v>26.16</v>
      </c>
      <c r="P21" s="29">
        <v>36465</v>
      </c>
      <c r="Q21" s="30" t="s">
        <v>10</v>
      </c>
      <c r="R21" s="30"/>
      <c r="S21" s="30" t="s">
        <v>178</v>
      </c>
      <c r="T21" s="94"/>
      <c r="U21" s="42"/>
    </row>
    <row r="22" spans="1:21">
      <c r="A22" t="s">
        <v>185</v>
      </c>
      <c r="B22" t="s">
        <v>186</v>
      </c>
      <c r="C22" t="s">
        <v>104</v>
      </c>
      <c r="D22" s="30">
        <f>ROUND( YEARFRAC( Tabel1[[#This Row],[Geb datum]], DATE(2025,12,31), 1 ), 2 )</f>
        <v>9.51</v>
      </c>
      <c r="E22" s="45">
        <v>42549</v>
      </c>
      <c r="F22" t="s">
        <v>33</v>
      </c>
      <c r="G22"/>
      <c r="H22" t="s">
        <v>187</v>
      </c>
      <c r="I22" s="91"/>
      <c r="J22" s="41"/>
      <c r="L22" s="40" t="s">
        <v>188</v>
      </c>
      <c r="M22" s="28" t="s">
        <v>189</v>
      </c>
      <c r="N22" s="28" t="s">
        <v>190</v>
      </c>
      <c r="O22" s="30">
        <f>ROUND( YEARFRAC( Tabel3[[#This Row],[Geb datum]], DATE(2025,12,31), 1 ), 2 )</f>
        <v>25.89</v>
      </c>
      <c r="P22" s="29">
        <v>36567</v>
      </c>
      <c r="Q22" s="30" t="s">
        <v>1</v>
      </c>
      <c r="R22" s="30"/>
      <c r="S22" s="30" t="s">
        <v>153</v>
      </c>
      <c r="T22" s="94"/>
      <c r="U22" s="42"/>
    </row>
    <row r="23" spans="1:21">
      <c r="A23" t="s">
        <v>191</v>
      </c>
      <c r="B23" t="s">
        <v>192</v>
      </c>
      <c r="C23" t="s">
        <v>193</v>
      </c>
      <c r="D23" s="30">
        <f>ROUND( YEARFRAC( Tabel1[[#This Row],[Geb datum]], DATE(2025,12,31), 1 ), 2 )</f>
        <v>9.69</v>
      </c>
      <c r="E23" s="45">
        <v>42481</v>
      </c>
      <c r="F23" t="s">
        <v>33</v>
      </c>
      <c r="G23"/>
      <c r="H23" t="s">
        <v>187</v>
      </c>
      <c r="I23" s="91"/>
      <c r="J23" s="41"/>
      <c r="L23" s="40" t="s">
        <v>194</v>
      </c>
      <c r="M23" s="28" t="s">
        <v>195</v>
      </c>
      <c r="N23" s="28" t="s">
        <v>196</v>
      </c>
      <c r="O23" s="30">
        <f>ROUND( YEARFRAC( Tabel3[[#This Row],[Geb datum]], DATE(2025,12,31), 1 ), 2 )</f>
        <v>25.61</v>
      </c>
      <c r="P23" s="29">
        <v>36666</v>
      </c>
      <c r="Q23" s="30" t="s">
        <v>10</v>
      </c>
      <c r="R23" s="30"/>
      <c r="S23" s="30" t="s">
        <v>178</v>
      </c>
      <c r="T23" s="94"/>
      <c r="U23" s="42"/>
    </row>
    <row r="24" spans="1:21">
      <c r="A24" t="s">
        <v>197</v>
      </c>
      <c r="B24" t="s">
        <v>198</v>
      </c>
      <c r="C24" t="s">
        <v>199</v>
      </c>
      <c r="D24" s="30">
        <f>ROUND( YEARFRAC( Tabel1[[#This Row],[Geb datum]], DATE(2025,12,31), 1 ), 2 )</f>
        <v>9.89</v>
      </c>
      <c r="E24" s="45">
        <v>42409</v>
      </c>
      <c r="F24" t="s">
        <v>33</v>
      </c>
      <c r="G24"/>
      <c r="H24" t="s">
        <v>187</v>
      </c>
      <c r="I24" s="91"/>
      <c r="J24" s="41"/>
      <c r="L24" s="40" t="s">
        <v>200</v>
      </c>
      <c r="M24" s="28" t="s">
        <v>201</v>
      </c>
      <c r="N24" s="28" t="s">
        <v>202</v>
      </c>
      <c r="O24" s="30">
        <f>ROUND( YEARFRAC( Tabel3[[#This Row],[Geb datum]], DATE(2025,12,31), 1 ), 2 )</f>
        <v>25.07</v>
      </c>
      <c r="P24" s="29">
        <v>36865</v>
      </c>
      <c r="Q24" s="30" t="s">
        <v>11</v>
      </c>
      <c r="R24" s="30"/>
      <c r="S24" s="30" t="s">
        <v>203</v>
      </c>
      <c r="T24" s="94"/>
      <c r="U24" s="42"/>
    </row>
    <row r="25" spans="1:21">
      <c r="A25" s="31" t="s">
        <v>204</v>
      </c>
      <c r="B25" s="31" t="s">
        <v>205</v>
      </c>
      <c r="C25" s="31" t="s">
        <v>206</v>
      </c>
      <c r="D25" s="30">
        <f>ROUND( YEARFRAC( Tabel1[[#This Row],[Geb datum]], DATE(2025,12,31), 1 ), 2 )</f>
        <v>9.91</v>
      </c>
      <c r="E25" s="45">
        <v>42401</v>
      </c>
      <c r="F25" s="87" t="s">
        <v>34</v>
      </c>
      <c r="G25" s="87"/>
      <c r="H25" s="33" t="s">
        <v>42</v>
      </c>
      <c r="I25" s="91"/>
      <c r="J25" s="41"/>
      <c r="L25" s="40" t="s">
        <v>207</v>
      </c>
      <c r="M25" s="28" t="s">
        <v>208</v>
      </c>
      <c r="N25" s="28" t="s">
        <v>209</v>
      </c>
      <c r="O25" s="30">
        <f>ROUND( YEARFRAC( Tabel3[[#This Row],[Geb datum]], DATE(2025,12,31), 1 ), 2 )</f>
        <v>24.9</v>
      </c>
      <c r="P25" s="29">
        <v>36929</v>
      </c>
      <c r="Q25" s="30" t="s">
        <v>9</v>
      </c>
      <c r="R25" s="30"/>
      <c r="S25" s="30" t="s">
        <v>108</v>
      </c>
      <c r="T25" s="94"/>
      <c r="U25" s="42"/>
    </row>
    <row r="26" spans="1:21">
      <c r="B26" s="31" t="s">
        <v>210</v>
      </c>
      <c r="C26" s="31" t="s">
        <v>211</v>
      </c>
      <c r="D26" s="30">
        <f>ROUND( YEARFRAC( Tabel1[[#This Row],[Geb datum]], DATE(2025,12,31), 1 ), 2 )</f>
        <v>9.9600000000000009</v>
      </c>
      <c r="E26" s="45">
        <v>42384</v>
      </c>
      <c r="F26" s="33" t="s">
        <v>33</v>
      </c>
      <c r="G26" s="87"/>
      <c r="H26" s="33"/>
      <c r="I26" s="91"/>
      <c r="J26" s="41"/>
      <c r="L26" s="40" t="s">
        <v>212</v>
      </c>
      <c r="M26" s="28" t="s">
        <v>213</v>
      </c>
      <c r="N26" s="28" t="s">
        <v>190</v>
      </c>
      <c r="O26" s="30">
        <f>ROUND( YEARFRAC( Tabel3[[#This Row],[Geb datum]], DATE(2025,12,31), 1 ), 2 )</f>
        <v>24.03</v>
      </c>
      <c r="P26" s="29">
        <v>37246</v>
      </c>
      <c r="Q26" s="30" t="s">
        <v>1</v>
      </c>
      <c r="R26" s="30"/>
      <c r="S26" s="62" t="s">
        <v>42</v>
      </c>
      <c r="T26" s="96"/>
      <c r="U26" s="42"/>
    </row>
    <row r="27" spans="1:21" ht="15.75">
      <c r="A27" t="s">
        <v>214</v>
      </c>
      <c r="B27" t="s">
        <v>215</v>
      </c>
      <c r="C27" t="s">
        <v>216</v>
      </c>
      <c r="D27" s="30">
        <f>ROUND( YEARFRAC( Tabel1[[#This Row],[Geb datum]], DATE(2025,12,31), 1 ), 2 )</f>
        <v>10.039999999999999</v>
      </c>
      <c r="E27" s="45">
        <v>42353</v>
      </c>
      <c r="F27" t="s">
        <v>34</v>
      </c>
      <c r="G27"/>
      <c r="H27" t="s">
        <v>163</v>
      </c>
      <c r="I27" s="91"/>
      <c r="J27" s="41"/>
      <c r="L27" s="40" t="s">
        <v>217</v>
      </c>
      <c r="M27" s="34" t="s">
        <v>218</v>
      </c>
      <c r="N27" s="28" t="s">
        <v>219</v>
      </c>
      <c r="O27" s="30">
        <f>ROUND( YEARFRAC( Tabel3[[#This Row],[Geb datum]], DATE(2025,12,31), 1 ), 2 )</f>
        <v>23.15</v>
      </c>
      <c r="P27" s="29">
        <v>37566</v>
      </c>
      <c r="Q27" s="30" t="s">
        <v>11</v>
      </c>
      <c r="R27" s="30"/>
      <c r="S27" s="30" t="s">
        <v>203</v>
      </c>
      <c r="T27" s="94"/>
      <c r="U27" s="42"/>
    </row>
    <row r="28" spans="1:21">
      <c r="A28" t="s">
        <v>220</v>
      </c>
      <c r="B28" t="s">
        <v>221</v>
      </c>
      <c r="C28" t="s">
        <v>222</v>
      </c>
      <c r="D28" s="30">
        <f>ROUND( YEARFRAC( Tabel1[[#This Row],[Geb datum]], DATE(2025,12,31), 1 ), 2 )</f>
        <v>10.17</v>
      </c>
      <c r="E28" s="45">
        <v>42308</v>
      </c>
      <c r="F28" t="s">
        <v>30</v>
      </c>
      <c r="G28"/>
      <c r="H28" t="s">
        <v>223</v>
      </c>
      <c r="I28" s="91"/>
      <c r="J28" s="41"/>
      <c r="L28" s="40" t="s">
        <v>224</v>
      </c>
      <c r="M28" s="28" t="s">
        <v>225</v>
      </c>
      <c r="N28" s="28" t="s">
        <v>226</v>
      </c>
      <c r="O28" s="30">
        <f>ROUND( YEARFRAC( Tabel3[[#This Row],[Geb datum]], DATE(2025,12,31), 1 ), 2 )</f>
        <v>22.48</v>
      </c>
      <c r="P28" s="29">
        <v>37810</v>
      </c>
      <c r="Q28" s="30" t="s">
        <v>9</v>
      </c>
      <c r="R28" s="30"/>
      <c r="S28" s="30" t="s">
        <v>108</v>
      </c>
      <c r="T28" s="94"/>
      <c r="U28" s="42"/>
    </row>
    <row r="29" spans="1:21">
      <c r="A29" t="s">
        <v>227</v>
      </c>
      <c r="B29" t="s">
        <v>228</v>
      </c>
      <c r="C29" t="s">
        <v>229</v>
      </c>
      <c r="D29" s="30">
        <f>ROUND( YEARFRAC( Tabel1[[#This Row],[Geb datum]], DATE(2025,12,31), 1 ), 2 )</f>
        <v>10.3</v>
      </c>
      <c r="E29" s="45">
        <v>42259</v>
      </c>
      <c r="F29" t="s">
        <v>30</v>
      </c>
      <c r="G29"/>
      <c r="H29" t="s">
        <v>223</v>
      </c>
      <c r="I29" s="91"/>
      <c r="J29" s="41"/>
      <c r="L29" s="40" t="s">
        <v>230</v>
      </c>
      <c r="M29" s="28" t="s">
        <v>231</v>
      </c>
      <c r="N29" s="28" t="s">
        <v>232</v>
      </c>
      <c r="O29" s="30">
        <f>ROUND( YEARFRAC( Tabel3[[#This Row],[Geb datum]], DATE(2025,12,31), 1 ), 2 )</f>
        <v>22.42</v>
      </c>
      <c r="P29" s="29">
        <v>37832</v>
      </c>
      <c r="Q29" s="30" t="s">
        <v>1</v>
      </c>
      <c r="R29" s="30"/>
      <c r="S29" s="30" t="s">
        <v>140</v>
      </c>
      <c r="T29" s="94"/>
      <c r="U29" s="42"/>
    </row>
    <row r="30" spans="1:21">
      <c r="A30" t="s">
        <v>233</v>
      </c>
      <c r="B30" t="s">
        <v>234</v>
      </c>
      <c r="C30" t="s">
        <v>139</v>
      </c>
      <c r="D30" s="30">
        <f>ROUND( YEARFRAC( Tabel1[[#This Row],[Geb datum]], DATE(2025,12,31), 1 ), 2 )</f>
        <v>10.33</v>
      </c>
      <c r="E30" s="45">
        <v>42249</v>
      </c>
      <c r="F30" t="s">
        <v>29</v>
      </c>
      <c r="G30"/>
      <c r="H30" t="s">
        <v>235</v>
      </c>
      <c r="I30" s="91"/>
      <c r="J30" s="41"/>
      <c r="L30" s="40" t="s">
        <v>236</v>
      </c>
      <c r="M30" s="28" t="s">
        <v>237</v>
      </c>
      <c r="N30" s="28" t="s">
        <v>238</v>
      </c>
      <c r="O30" s="30">
        <f>ROUND( YEARFRAC( Tabel3[[#This Row],[Geb datum]], DATE(2025,12,31), 1 ), 2 )</f>
        <v>22.21</v>
      </c>
      <c r="P30" s="29">
        <v>37909</v>
      </c>
      <c r="Q30" s="30" t="s">
        <v>10</v>
      </c>
      <c r="R30" s="30"/>
      <c r="S30" s="30" t="s">
        <v>178</v>
      </c>
      <c r="T30" s="94"/>
      <c r="U30" s="42"/>
    </row>
    <row r="31" spans="1:21">
      <c r="A31" t="s">
        <v>239</v>
      </c>
      <c r="B31" t="s">
        <v>240</v>
      </c>
      <c r="C31" t="s">
        <v>174</v>
      </c>
      <c r="D31" s="30">
        <f>ROUND( YEARFRAC( Tabel1[[#This Row],[Geb datum]], DATE(2025,12,31), 1 ), 2 )</f>
        <v>10.37</v>
      </c>
      <c r="E31" s="45">
        <v>42234</v>
      </c>
      <c r="F31" t="s">
        <v>30</v>
      </c>
      <c r="G31"/>
      <c r="H31" t="s">
        <v>223</v>
      </c>
      <c r="I31" s="91"/>
      <c r="J31" s="41"/>
      <c r="L31" s="40" t="s">
        <v>241</v>
      </c>
      <c r="M31" s="28" t="s">
        <v>242</v>
      </c>
      <c r="N31" s="28" t="s">
        <v>190</v>
      </c>
      <c r="O31" s="30">
        <f>ROUND( YEARFRAC( Tabel3[[#This Row],[Geb datum]], DATE(2025,12,31), 1 ), 2 )</f>
        <v>22.15</v>
      </c>
      <c r="P31" s="29">
        <v>37932</v>
      </c>
      <c r="Q31" s="30" t="s">
        <v>95</v>
      </c>
      <c r="R31" s="30"/>
      <c r="S31" s="30" t="s">
        <v>108</v>
      </c>
      <c r="T31" s="94"/>
      <c r="U31" s="42"/>
    </row>
    <row r="32" spans="1:21">
      <c r="A32" t="s">
        <v>243</v>
      </c>
      <c r="B32" t="s">
        <v>244</v>
      </c>
      <c r="C32" t="s">
        <v>245</v>
      </c>
      <c r="D32" s="30">
        <f>ROUND( YEARFRAC( Tabel1[[#This Row],[Geb datum]], DATE(2025,12,31), 1 ), 2 )</f>
        <v>10.46</v>
      </c>
      <c r="E32" s="45">
        <v>42203</v>
      </c>
      <c r="F32" t="s">
        <v>33</v>
      </c>
      <c r="G32"/>
      <c r="H32" t="s">
        <v>187</v>
      </c>
      <c r="I32" s="91"/>
      <c r="J32" s="41"/>
      <c r="L32" s="40" t="s">
        <v>246</v>
      </c>
      <c r="M32" s="57" t="s">
        <v>247</v>
      </c>
      <c r="N32" s="28" t="s">
        <v>248</v>
      </c>
      <c r="O32" s="30">
        <f>ROUND( YEARFRAC( Tabel3[[#This Row],[Geb datum]], DATE(2025,12,31), 1 ), 2 )</f>
        <v>22.07</v>
      </c>
      <c r="P32" s="29">
        <v>37960</v>
      </c>
      <c r="Q32" s="30" t="s">
        <v>11</v>
      </c>
      <c r="R32" s="30"/>
      <c r="S32" s="30" t="s">
        <v>203</v>
      </c>
      <c r="T32" s="94"/>
      <c r="U32" s="42"/>
    </row>
    <row r="33" spans="1:21">
      <c r="A33" t="s">
        <v>249</v>
      </c>
      <c r="B33" t="s">
        <v>250</v>
      </c>
      <c r="C33" t="s">
        <v>251</v>
      </c>
      <c r="D33" s="30">
        <f>ROUND( YEARFRAC( Tabel1[[#This Row],[Geb datum]], DATE(2025,12,31), 1 ), 2 )</f>
        <v>10.48</v>
      </c>
      <c r="E33" s="45">
        <v>42194</v>
      </c>
      <c r="F33" t="s">
        <v>30</v>
      </c>
      <c r="G33"/>
      <c r="H33" t="s">
        <v>163</v>
      </c>
      <c r="I33" s="91"/>
      <c r="J33" s="41"/>
      <c r="L33" s="40" t="s">
        <v>252</v>
      </c>
      <c r="M33" s="28" t="s">
        <v>253</v>
      </c>
      <c r="N33" s="28" t="s">
        <v>254</v>
      </c>
      <c r="O33" s="30">
        <f>ROUND( YEARFRAC( Tabel3[[#This Row],[Geb datum]], DATE(2025,12,31), 1 ), 2 )</f>
        <v>22.04</v>
      </c>
      <c r="P33" s="29">
        <v>37971</v>
      </c>
      <c r="Q33" s="30" t="s">
        <v>11</v>
      </c>
      <c r="R33" s="30"/>
      <c r="S33" s="30" t="s">
        <v>203</v>
      </c>
      <c r="T33" s="94"/>
      <c r="U33" s="42"/>
    </row>
    <row r="34" spans="1:21">
      <c r="A34" t="s">
        <v>255</v>
      </c>
      <c r="B34" t="s">
        <v>256</v>
      </c>
      <c r="C34" t="s">
        <v>143</v>
      </c>
      <c r="D34" s="30">
        <f>ROUND( YEARFRAC( Tabel1[[#This Row],[Geb datum]], DATE(2025,12,31), 1 ), 2 )</f>
        <v>10.71</v>
      </c>
      <c r="E34" s="45">
        <v>42111</v>
      </c>
      <c r="F34" t="s">
        <v>29</v>
      </c>
      <c r="G34"/>
      <c r="H34" t="s">
        <v>235</v>
      </c>
      <c r="I34" s="91"/>
      <c r="J34" s="41"/>
      <c r="L34" s="40" t="s">
        <v>257</v>
      </c>
      <c r="M34" s="28" t="s">
        <v>258</v>
      </c>
      <c r="N34" s="28" t="s">
        <v>259</v>
      </c>
      <c r="O34" s="30">
        <f>ROUND( YEARFRAC( Tabel3[[#This Row],[Geb datum]], DATE(2025,12,31), 1 ), 2 )</f>
        <v>22.03</v>
      </c>
      <c r="P34" s="29">
        <v>37974</v>
      </c>
      <c r="Q34" s="30" t="s">
        <v>11</v>
      </c>
      <c r="R34" s="30"/>
      <c r="S34" s="30" t="s">
        <v>203</v>
      </c>
      <c r="T34" s="94"/>
      <c r="U34" s="42"/>
    </row>
    <row r="35" spans="1:21">
      <c r="A35" t="s">
        <v>260</v>
      </c>
      <c r="B35" t="s">
        <v>261</v>
      </c>
      <c r="C35" t="s">
        <v>262</v>
      </c>
      <c r="D35" s="30">
        <f>ROUND( YEARFRAC( Tabel1[[#This Row],[Geb datum]], DATE(2025,12,31), 1 ), 2 )</f>
        <v>10.75</v>
      </c>
      <c r="E35" s="45">
        <v>42096</v>
      </c>
      <c r="F35" t="s">
        <v>29</v>
      </c>
      <c r="G35"/>
      <c r="H35" t="s">
        <v>235</v>
      </c>
      <c r="I35" s="91"/>
      <c r="J35" s="41"/>
      <c r="L35" s="40" t="s">
        <v>263</v>
      </c>
      <c r="M35" s="28" t="s">
        <v>264</v>
      </c>
      <c r="N35" s="28" t="s">
        <v>265</v>
      </c>
      <c r="O35" s="30">
        <f>ROUND( YEARFRAC( Tabel3[[#This Row],[Geb datum]], DATE(2025,12,31), 1 ), 2 )</f>
        <v>21.93</v>
      </c>
      <c r="P35" s="29">
        <v>38010</v>
      </c>
      <c r="Q35" s="30" t="s">
        <v>1</v>
      </c>
      <c r="R35" s="30"/>
      <c r="S35" s="30" t="s">
        <v>140</v>
      </c>
      <c r="T35" s="94"/>
      <c r="U35" s="42"/>
    </row>
    <row r="36" spans="1:21">
      <c r="A36" t="s">
        <v>266</v>
      </c>
      <c r="B36" t="s">
        <v>267</v>
      </c>
      <c r="C36" t="s">
        <v>268</v>
      </c>
      <c r="D36" s="30">
        <f>ROUND( YEARFRAC( Tabel1[[#This Row],[Geb datum]], DATE(2025,12,31), 1 ), 2 )</f>
        <v>10.85</v>
      </c>
      <c r="E36" s="45">
        <v>42058</v>
      </c>
      <c r="F36" t="s">
        <v>29</v>
      </c>
      <c r="G36"/>
      <c r="H36" t="s">
        <v>235</v>
      </c>
      <c r="I36" s="91"/>
      <c r="J36" s="41"/>
      <c r="L36" s="40" t="s">
        <v>269</v>
      </c>
      <c r="M36" s="28" t="s">
        <v>270</v>
      </c>
      <c r="N36" s="28" t="s">
        <v>271</v>
      </c>
      <c r="O36" s="30">
        <f>ROUND( YEARFRAC( Tabel3[[#This Row],[Geb datum]], DATE(2025,12,31), 1 ), 2 )</f>
        <v>21.72</v>
      </c>
      <c r="P36" s="29">
        <v>38090</v>
      </c>
      <c r="Q36" s="30" t="s">
        <v>95</v>
      </c>
      <c r="R36" s="30"/>
      <c r="S36" s="30" t="s">
        <v>178</v>
      </c>
      <c r="T36" s="94"/>
      <c r="U36" s="42"/>
    </row>
    <row r="37" spans="1:21">
      <c r="A37" t="s">
        <v>272</v>
      </c>
      <c r="B37" t="s">
        <v>273</v>
      </c>
      <c r="C37" t="s">
        <v>274</v>
      </c>
      <c r="D37" s="30">
        <f>ROUND( YEARFRAC( Tabel1[[#This Row],[Geb datum]], DATE(2025,12,31), 1 ), 2 )</f>
        <v>11.13</v>
      </c>
      <c r="E37" s="45">
        <v>41958</v>
      </c>
      <c r="F37" t="s">
        <v>29</v>
      </c>
      <c r="G37"/>
      <c r="H37" t="s">
        <v>275</v>
      </c>
      <c r="I37" s="91"/>
      <c r="J37" s="41"/>
      <c r="L37" s="40" t="s">
        <v>276</v>
      </c>
      <c r="M37" s="28" t="s">
        <v>277</v>
      </c>
      <c r="N37" s="28" t="s">
        <v>278</v>
      </c>
      <c r="O37" s="30">
        <f>ROUND( YEARFRAC( Tabel3[[#This Row],[Geb datum]], DATE(2025,12,31), 1 ), 2 )</f>
        <v>20.59</v>
      </c>
      <c r="P37" s="29">
        <v>38502</v>
      </c>
      <c r="Q37" s="30" t="s">
        <v>9</v>
      </c>
      <c r="R37" s="30"/>
      <c r="S37" s="30" t="s">
        <v>108</v>
      </c>
      <c r="T37" s="94"/>
      <c r="U37" s="42"/>
    </row>
    <row r="38" spans="1:21">
      <c r="A38" t="s">
        <v>279</v>
      </c>
      <c r="B38" t="s">
        <v>280</v>
      </c>
      <c r="C38" t="s">
        <v>281</v>
      </c>
      <c r="D38" s="30">
        <f>ROUND( YEARFRAC( Tabel1[[#This Row],[Geb datum]], DATE(2025,12,31), 1 ), 2 )</f>
        <v>11.28</v>
      </c>
      <c r="E38" s="45">
        <v>41901</v>
      </c>
      <c r="F38" t="s">
        <v>28</v>
      </c>
      <c r="G38"/>
      <c r="H38" t="s">
        <v>275</v>
      </c>
      <c r="I38" s="91"/>
      <c r="J38" s="41"/>
      <c r="L38" s="40" t="s">
        <v>282</v>
      </c>
      <c r="M38" s="28" t="s">
        <v>283</v>
      </c>
      <c r="N38" s="28" t="s">
        <v>284</v>
      </c>
      <c r="O38" s="30">
        <f>ROUND( YEARFRAC( Tabel3[[#This Row],[Geb datum]], DATE(2025,12,31), 1 ), 2 )</f>
        <v>20.55</v>
      </c>
      <c r="P38" s="29">
        <v>38517</v>
      </c>
      <c r="Q38" s="30" t="s">
        <v>11</v>
      </c>
      <c r="R38" s="30"/>
      <c r="S38" s="30" t="s">
        <v>203</v>
      </c>
      <c r="T38" s="94"/>
      <c r="U38" s="42"/>
    </row>
    <row r="39" spans="1:21">
      <c r="A39" t="s">
        <v>285</v>
      </c>
      <c r="B39" t="s">
        <v>286</v>
      </c>
      <c r="C39" t="s">
        <v>287</v>
      </c>
      <c r="D39" s="30">
        <f>ROUND( YEARFRAC( Tabel1[[#This Row],[Geb datum]], DATE(2025,12,31), 1 ), 2 )</f>
        <v>11.44</v>
      </c>
      <c r="E39" s="45">
        <v>41845</v>
      </c>
      <c r="F39" t="s">
        <v>27</v>
      </c>
      <c r="G39"/>
      <c r="H39" t="s">
        <v>288</v>
      </c>
      <c r="I39" s="91"/>
      <c r="J39" s="41"/>
      <c r="L39" s="40" t="s">
        <v>289</v>
      </c>
      <c r="M39" s="28" t="s">
        <v>290</v>
      </c>
      <c r="N39" s="28" t="s">
        <v>259</v>
      </c>
      <c r="O39" s="30">
        <f>ROUND( YEARFRAC( Tabel3[[#This Row],[Geb datum]], DATE(2025,12,31), 1 ), 2 )</f>
        <v>20.38</v>
      </c>
      <c r="P39" s="29">
        <v>38578</v>
      </c>
      <c r="Q39" s="30" t="s">
        <v>9</v>
      </c>
      <c r="R39" s="30"/>
      <c r="S39" s="30" t="s">
        <v>108</v>
      </c>
      <c r="T39" s="94"/>
      <c r="U39" s="42"/>
    </row>
    <row r="40" spans="1:21">
      <c r="A40" t="s">
        <v>291</v>
      </c>
      <c r="B40" t="s">
        <v>292</v>
      </c>
      <c r="C40" t="s">
        <v>293</v>
      </c>
      <c r="D40" s="30">
        <f>ROUND( YEARFRAC( Tabel1[[#This Row],[Geb datum]], DATE(2025,12,31), 1 ), 2 )</f>
        <v>11.54</v>
      </c>
      <c r="E40" s="54">
        <v>41807</v>
      </c>
      <c r="F40" t="s">
        <v>24</v>
      </c>
      <c r="G40"/>
      <c r="H40" t="s">
        <v>294</v>
      </c>
      <c r="I40" s="91"/>
      <c r="J40" s="41"/>
      <c r="L40" s="40" t="s">
        <v>295</v>
      </c>
      <c r="M40" s="28" t="s">
        <v>296</v>
      </c>
      <c r="N40" s="28" t="s">
        <v>297</v>
      </c>
      <c r="O40" s="30">
        <f>ROUND( YEARFRAC( Tabel3[[#This Row],[Geb datum]], DATE(2025,12,31), 1 ), 2 )</f>
        <v>20.16</v>
      </c>
      <c r="P40" s="29">
        <v>38657</v>
      </c>
      <c r="Q40" s="30" t="s">
        <v>1</v>
      </c>
      <c r="R40" s="30"/>
      <c r="S40" s="30" t="s">
        <v>140</v>
      </c>
      <c r="T40" s="94"/>
      <c r="U40" s="42"/>
    </row>
    <row r="41" spans="1:21">
      <c r="A41" t="s">
        <v>298</v>
      </c>
      <c r="B41" t="s">
        <v>299</v>
      </c>
      <c r="C41" t="s">
        <v>300</v>
      </c>
      <c r="D41" s="30">
        <f>ROUND( YEARFRAC( Tabel1[[#This Row],[Geb datum]], DATE(2025,12,31), 1 ), 2 )</f>
        <v>11.85</v>
      </c>
      <c r="E41" s="45">
        <v>41692</v>
      </c>
      <c r="F41" t="s">
        <v>28</v>
      </c>
      <c r="G41"/>
      <c r="H41" t="s">
        <v>275</v>
      </c>
      <c r="I41" s="91"/>
      <c r="J41" s="41"/>
      <c r="L41" s="40" t="s">
        <v>301</v>
      </c>
      <c r="M41" s="28" t="s">
        <v>302</v>
      </c>
      <c r="N41" s="28" t="s">
        <v>303</v>
      </c>
      <c r="O41" s="30">
        <f>ROUND( YEARFRAC( Tabel3[[#This Row],[Geb datum]], DATE(2025,12,31), 1 ), 2 )</f>
        <v>19.18</v>
      </c>
      <c r="P41" s="29">
        <v>39018</v>
      </c>
      <c r="Q41" s="30" t="s">
        <v>1</v>
      </c>
      <c r="R41" s="30"/>
      <c r="S41" s="30" t="s">
        <v>304</v>
      </c>
      <c r="T41" s="94"/>
      <c r="U41" s="42"/>
    </row>
    <row r="42" spans="1:21">
      <c r="A42" s="31" t="s">
        <v>305</v>
      </c>
      <c r="B42" s="31" t="s">
        <v>306</v>
      </c>
      <c r="C42" s="31" t="s">
        <v>307</v>
      </c>
      <c r="D42" s="30">
        <f>ROUND( YEARFRAC( Tabel1[[#This Row],[Geb datum]], DATE(2025,12,31), 1 ), 2 )</f>
        <v>11.88</v>
      </c>
      <c r="E42" s="45">
        <v>41684</v>
      </c>
      <c r="F42" s="87" t="s">
        <v>28</v>
      </c>
      <c r="G42" s="87"/>
      <c r="H42" s="33" t="s">
        <v>42</v>
      </c>
      <c r="I42" s="92"/>
      <c r="J42" s="41"/>
      <c r="L42" s="40" t="s">
        <v>308</v>
      </c>
      <c r="M42" s="28" t="s">
        <v>309</v>
      </c>
      <c r="N42" s="28" t="s">
        <v>310</v>
      </c>
      <c r="O42" s="30">
        <f>ROUND( YEARFRAC( Tabel3[[#This Row],[Geb datum]], DATE(2025,12,31), 1 ), 2 )</f>
        <v>19.04</v>
      </c>
      <c r="P42" s="29">
        <v>39069</v>
      </c>
      <c r="Q42" s="30" t="s">
        <v>1</v>
      </c>
      <c r="R42" s="30"/>
      <c r="S42" s="30" t="s">
        <v>311</v>
      </c>
      <c r="T42" s="94"/>
      <c r="U42" s="42"/>
    </row>
    <row r="43" spans="1:21">
      <c r="A43" t="s">
        <v>312</v>
      </c>
      <c r="B43" t="s">
        <v>313</v>
      </c>
      <c r="C43" t="s">
        <v>314</v>
      </c>
      <c r="D43" s="30">
        <f>ROUND( YEARFRAC( Tabel1[[#This Row],[Geb datum]], DATE(2025,12,31), 1 ), 2 )</f>
        <v>11.94</v>
      </c>
      <c r="E43" s="45">
        <v>41662</v>
      </c>
      <c r="F43" t="s">
        <v>28</v>
      </c>
      <c r="G43"/>
      <c r="H43" t="s">
        <v>275</v>
      </c>
      <c r="I43" s="91"/>
      <c r="J43" s="41"/>
      <c r="L43" s="40" t="s">
        <v>315</v>
      </c>
      <c r="M43" s="28" t="s">
        <v>316</v>
      </c>
      <c r="N43" s="28" t="s">
        <v>317</v>
      </c>
      <c r="O43" s="30">
        <f>ROUND( YEARFRAC( Tabel3[[#This Row],[Geb datum]], DATE(2025,12,31), 1 ), 2 )</f>
        <v>18.89</v>
      </c>
      <c r="P43" s="29">
        <v>39123</v>
      </c>
      <c r="Q43" s="30" t="s">
        <v>11</v>
      </c>
      <c r="R43" s="30"/>
      <c r="S43" s="30" t="s">
        <v>318</v>
      </c>
      <c r="T43" s="94"/>
      <c r="U43" s="42"/>
    </row>
    <row r="44" spans="1:21">
      <c r="A44" t="s">
        <v>319</v>
      </c>
      <c r="B44" t="s">
        <v>320</v>
      </c>
      <c r="C44" t="s">
        <v>321</v>
      </c>
      <c r="D44" s="30">
        <f>ROUND( YEARFRAC( Tabel1[[#This Row],[Geb datum]], DATE(2025,12,31), 1 ), 2 )</f>
        <v>12.15</v>
      </c>
      <c r="E44" s="45">
        <v>41586</v>
      </c>
      <c r="F44" t="s">
        <v>27</v>
      </c>
      <c r="G44"/>
      <c r="H44" t="s">
        <v>288</v>
      </c>
      <c r="I44" s="91"/>
      <c r="J44" s="41"/>
      <c r="L44" s="40" t="s">
        <v>322</v>
      </c>
      <c r="M44" s="28" t="s">
        <v>323</v>
      </c>
      <c r="N44" s="28" t="s">
        <v>324</v>
      </c>
      <c r="O44" s="30">
        <f>ROUND( YEARFRAC( Tabel3[[#This Row],[Geb datum]], DATE(2025,12,31), 1 ), 2 )</f>
        <v>18.71</v>
      </c>
      <c r="P44" s="54">
        <v>39187</v>
      </c>
      <c r="Q44" s="30" t="s">
        <v>11</v>
      </c>
      <c r="R44" s="30"/>
      <c r="S44" s="30" t="s">
        <v>318</v>
      </c>
      <c r="T44" s="94"/>
      <c r="U44" s="42"/>
    </row>
    <row r="45" spans="1:21">
      <c r="A45" t="s">
        <v>325</v>
      </c>
      <c r="B45" t="s">
        <v>326</v>
      </c>
      <c r="C45" t="s">
        <v>327</v>
      </c>
      <c r="D45" s="30">
        <f>ROUND( YEARFRAC( Tabel1[[#This Row],[Geb datum]], DATE(2025,12,31), 1 ), 2 )</f>
        <v>12.18</v>
      </c>
      <c r="E45" s="45">
        <v>41574</v>
      </c>
      <c r="F45" t="s">
        <v>24</v>
      </c>
      <c r="G45"/>
      <c r="H45" t="s">
        <v>294</v>
      </c>
      <c r="I45" s="91"/>
      <c r="J45" s="41"/>
      <c r="L45" s="40" t="s">
        <v>328</v>
      </c>
      <c r="M45" s="28" t="s">
        <v>329</v>
      </c>
      <c r="N45" s="28" t="s">
        <v>133</v>
      </c>
      <c r="O45" s="30">
        <f>ROUND( YEARFRAC( Tabel3[[#This Row],[Geb datum]], DATE(2025,12,31), 1 ), 2 )</f>
        <v>18.690000000000001</v>
      </c>
      <c r="P45" s="29">
        <v>39196</v>
      </c>
      <c r="Q45" s="30" t="s">
        <v>2</v>
      </c>
      <c r="R45" s="30"/>
      <c r="S45" s="30" t="s">
        <v>304</v>
      </c>
      <c r="T45" s="94"/>
      <c r="U45" s="42"/>
    </row>
    <row r="46" spans="1:21">
      <c r="A46" t="s">
        <v>330</v>
      </c>
      <c r="B46" t="s">
        <v>331</v>
      </c>
      <c r="C46" t="s">
        <v>332</v>
      </c>
      <c r="D46" s="30">
        <f>ROUND( YEARFRAC( Tabel1[[#This Row],[Geb datum]], DATE(2025,12,31), 1 ), 2 )</f>
        <v>12.19</v>
      </c>
      <c r="E46" s="45">
        <v>41569</v>
      </c>
      <c r="F46" t="s">
        <v>24</v>
      </c>
      <c r="G46"/>
      <c r="H46" t="s">
        <v>294</v>
      </c>
      <c r="I46" s="91"/>
      <c r="J46" s="41"/>
      <c r="L46" s="40" t="s">
        <v>333</v>
      </c>
      <c r="M46" s="28" t="s">
        <v>334</v>
      </c>
      <c r="N46" s="28" t="s">
        <v>335</v>
      </c>
      <c r="O46" s="30">
        <f>ROUND( YEARFRAC( Tabel3[[#This Row],[Geb datum]], DATE(2025,12,31), 1 ), 2 )</f>
        <v>18.57</v>
      </c>
      <c r="P46" s="29">
        <v>39239</v>
      </c>
      <c r="Q46" s="30" t="s">
        <v>2</v>
      </c>
      <c r="R46" s="30"/>
      <c r="S46" s="30" t="s">
        <v>304</v>
      </c>
      <c r="T46" s="94"/>
      <c r="U46" s="42"/>
    </row>
    <row r="47" spans="1:21">
      <c r="A47" t="s">
        <v>336</v>
      </c>
      <c r="B47" t="s">
        <v>337</v>
      </c>
      <c r="C47" t="s">
        <v>338</v>
      </c>
      <c r="D47" s="30">
        <f>ROUND( YEARFRAC( Tabel1[[#This Row],[Geb datum]], DATE(2025,12,31), 1 ), 2 )</f>
        <v>12.23</v>
      </c>
      <c r="E47" s="45">
        <v>41557</v>
      </c>
      <c r="F47" t="s">
        <v>95</v>
      </c>
      <c r="G47"/>
      <c r="H47" t="s">
        <v>294</v>
      </c>
      <c r="I47" s="91"/>
      <c r="J47" s="41"/>
      <c r="L47" s="40" t="s">
        <v>339</v>
      </c>
      <c r="M47" s="28" t="s">
        <v>340</v>
      </c>
      <c r="N47" s="28" t="s">
        <v>341</v>
      </c>
      <c r="O47" s="30">
        <f>ROUND( YEARFRAC( Tabel3[[#This Row],[Geb datum]], DATE(2025,12,31), 1 ), 2 )</f>
        <v>18.28</v>
      </c>
      <c r="P47" s="29">
        <v>39346</v>
      </c>
      <c r="Q47" s="30" t="s">
        <v>2</v>
      </c>
      <c r="R47" s="30"/>
      <c r="S47" s="30" t="s">
        <v>42</v>
      </c>
      <c r="T47" s="94"/>
      <c r="U47" s="42"/>
    </row>
    <row r="48" spans="1:21">
      <c r="A48" s="31" t="s">
        <v>342</v>
      </c>
      <c r="B48" s="31" t="s">
        <v>343</v>
      </c>
      <c r="C48" s="31" t="s">
        <v>344</v>
      </c>
      <c r="D48" s="30">
        <f>ROUND( YEARFRAC( Tabel1[[#This Row],[Geb datum]], DATE(2025,12,31), 1 ), 2 )</f>
        <v>12.23</v>
      </c>
      <c r="E48" s="45">
        <v>41554</v>
      </c>
      <c r="F48" s="87" t="s">
        <v>24</v>
      </c>
      <c r="G48" s="87"/>
      <c r="H48" s="33"/>
      <c r="I48" s="92"/>
      <c r="J48" s="41"/>
      <c r="L48" s="40" t="s">
        <v>345</v>
      </c>
      <c r="M48" s="28" t="s">
        <v>346</v>
      </c>
      <c r="N48" s="28" t="s">
        <v>347</v>
      </c>
      <c r="O48" s="30">
        <f>ROUND( YEARFRAC( Tabel3[[#This Row],[Geb datum]], DATE(2025,12,31), 1 ), 2 )</f>
        <v>18.25</v>
      </c>
      <c r="P48" s="29">
        <v>39356</v>
      </c>
      <c r="Q48" s="30" t="s">
        <v>2</v>
      </c>
      <c r="R48" s="30"/>
      <c r="S48" s="30" t="s">
        <v>311</v>
      </c>
      <c r="T48" s="94"/>
      <c r="U48" s="42"/>
    </row>
    <row r="49" spans="1:21">
      <c r="A49" t="s">
        <v>348</v>
      </c>
      <c r="B49" t="s">
        <v>349</v>
      </c>
      <c r="C49" t="s">
        <v>350</v>
      </c>
      <c r="D49" s="30">
        <f>ROUND( YEARFRAC( Tabel1[[#This Row],[Geb datum]], DATE(2025,12,31), 1 ), 2 )</f>
        <v>12.28</v>
      </c>
      <c r="E49" s="54">
        <v>41537</v>
      </c>
      <c r="F49" t="s">
        <v>25</v>
      </c>
      <c r="G49"/>
      <c r="H49" t="s">
        <v>351</v>
      </c>
      <c r="I49" s="91"/>
      <c r="J49" s="41"/>
      <c r="L49" s="40" t="s">
        <v>352</v>
      </c>
      <c r="M49" s="28" t="s">
        <v>353</v>
      </c>
      <c r="N49" s="28" t="s">
        <v>354</v>
      </c>
      <c r="O49" s="30">
        <f>ROUND( YEARFRAC( Tabel3[[#This Row],[Geb datum]], DATE(2025,12,31), 1 ), 2 )</f>
        <v>18.23</v>
      </c>
      <c r="P49" s="54">
        <v>39363</v>
      </c>
      <c r="Q49" s="50" t="s">
        <v>17</v>
      </c>
      <c r="R49" s="50"/>
      <c r="S49" s="50" t="s">
        <v>318</v>
      </c>
      <c r="T49" s="95"/>
      <c r="U49" s="42"/>
    </row>
    <row r="50" spans="1:21">
      <c r="A50" t="s">
        <v>355</v>
      </c>
      <c r="B50" t="s">
        <v>356</v>
      </c>
      <c r="C50" t="s">
        <v>85</v>
      </c>
      <c r="D50" s="30">
        <f>ROUND( YEARFRAC( Tabel1[[#This Row],[Geb datum]], DATE(2025,12,31), 1 ), 2 )</f>
        <v>12.44</v>
      </c>
      <c r="E50" s="45">
        <v>41477</v>
      </c>
      <c r="F50" t="s">
        <v>25</v>
      </c>
      <c r="G50"/>
      <c r="H50" t="s">
        <v>351</v>
      </c>
      <c r="I50" s="91"/>
      <c r="J50" s="41"/>
      <c r="L50" s="40" t="s">
        <v>357</v>
      </c>
      <c r="M50" s="28" t="s">
        <v>358</v>
      </c>
      <c r="N50" s="28" t="s">
        <v>359</v>
      </c>
      <c r="O50" s="30">
        <f>ROUND( YEARFRAC( Tabel3[[#This Row],[Geb datum]], DATE(2025,12,31), 1 ), 2 )</f>
        <v>18.22</v>
      </c>
      <c r="P50" s="29">
        <v>39367</v>
      </c>
      <c r="Q50" s="30" t="s">
        <v>2</v>
      </c>
      <c r="R50" s="30"/>
      <c r="S50" s="30" t="s">
        <v>311</v>
      </c>
      <c r="T50" s="94"/>
      <c r="U50" s="42"/>
    </row>
    <row r="51" spans="1:21">
      <c r="A51" t="s">
        <v>360</v>
      </c>
      <c r="B51" t="s">
        <v>361</v>
      </c>
      <c r="C51" t="s">
        <v>362</v>
      </c>
      <c r="D51" s="30">
        <f>ROUND( YEARFRAC( Tabel1[[#This Row],[Geb datum]], DATE(2025,12,31), 1 ), 2 )</f>
        <v>12.45</v>
      </c>
      <c r="E51" s="45">
        <v>41474</v>
      </c>
      <c r="F51" t="s">
        <v>25</v>
      </c>
      <c r="G51"/>
      <c r="H51" t="s">
        <v>351</v>
      </c>
      <c r="I51" s="91"/>
      <c r="J51" s="41"/>
      <c r="L51" s="40" t="s">
        <v>363</v>
      </c>
      <c r="M51" s="28" t="s">
        <v>364</v>
      </c>
      <c r="N51" s="28" t="s">
        <v>365</v>
      </c>
      <c r="O51" s="30">
        <f>ROUND( YEARFRAC( Tabel3[[#This Row],[Geb datum]], DATE(2025,12,31), 1 ), 2 )</f>
        <v>17.52</v>
      </c>
      <c r="P51" s="29">
        <v>39623</v>
      </c>
      <c r="Q51" s="30" t="s">
        <v>2</v>
      </c>
      <c r="R51" s="30"/>
      <c r="S51" s="30" t="s">
        <v>366</v>
      </c>
      <c r="T51" s="94"/>
      <c r="U51" s="42"/>
    </row>
    <row r="52" spans="1:21">
      <c r="A52" t="s">
        <v>367</v>
      </c>
      <c r="B52" t="s">
        <v>368</v>
      </c>
      <c r="C52" t="s">
        <v>369</v>
      </c>
      <c r="D52" s="30">
        <f>ROUND( YEARFRAC( Tabel1[[#This Row],[Geb datum]], DATE(2025,12,31), 1 ), 2 )</f>
        <v>12.57</v>
      </c>
      <c r="E52" s="45">
        <v>41430</v>
      </c>
      <c r="F52" t="s">
        <v>27</v>
      </c>
      <c r="G52"/>
      <c r="H52" t="s">
        <v>288</v>
      </c>
      <c r="I52" s="91"/>
      <c r="J52" s="41"/>
      <c r="L52" s="40" t="s">
        <v>370</v>
      </c>
      <c r="M52" s="28" t="s">
        <v>371</v>
      </c>
      <c r="N52" s="28" t="s">
        <v>372</v>
      </c>
      <c r="O52" s="30">
        <f>ROUND( YEARFRAC( Tabel3[[#This Row],[Geb datum]], DATE(2025,12,31), 1 ), 2 )</f>
        <v>17.5</v>
      </c>
      <c r="P52" s="29">
        <v>39629</v>
      </c>
      <c r="Q52" s="30" t="s">
        <v>17</v>
      </c>
      <c r="R52" s="30"/>
      <c r="S52" s="30" t="s">
        <v>318</v>
      </c>
      <c r="T52" s="94"/>
      <c r="U52" s="42"/>
    </row>
    <row r="53" spans="1:21">
      <c r="A53" t="s">
        <v>373</v>
      </c>
      <c r="B53" t="s">
        <v>374</v>
      </c>
      <c r="C53" t="s">
        <v>375</v>
      </c>
      <c r="D53" s="30">
        <f>ROUND( YEARFRAC( Tabel1[[#This Row],[Geb datum]], DATE(2025,12,31), 1 ), 2 )</f>
        <v>12.64</v>
      </c>
      <c r="E53" s="45">
        <v>41407</v>
      </c>
      <c r="F53" t="s">
        <v>25</v>
      </c>
      <c r="G53"/>
      <c r="H53" t="s">
        <v>351</v>
      </c>
      <c r="I53" s="91"/>
      <c r="J53" s="41"/>
      <c r="L53" s="40" t="s">
        <v>376</v>
      </c>
      <c r="M53" s="28" t="s">
        <v>377</v>
      </c>
      <c r="N53" s="28" t="s">
        <v>378</v>
      </c>
      <c r="O53" s="30">
        <f>ROUND( YEARFRAC( Tabel3[[#This Row],[Geb datum]], DATE(2025,12,31), 1 ), 2 )</f>
        <v>17.43</v>
      </c>
      <c r="P53" s="29">
        <v>39655</v>
      </c>
      <c r="Q53" s="30" t="s">
        <v>95</v>
      </c>
      <c r="R53" s="30"/>
      <c r="S53" s="30" t="s">
        <v>311</v>
      </c>
      <c r="T53" s="94"/>
      <c r="U53" s="42"/>
    </row>
    <row r="54" spans="1:21">
      <c r="A54" t="s">
        <v>379</v>
      </c>
      <c r="B54" t="s">
        <v>380</v>
      </c>
      <c r="C54" t="s">
        <v>381</v>
      </c>
      <c r="D54" s="30">
        <f>ROUND( YEARFRAC( Tabel1[[#This Row],[Geb datum]], DATE(2025,12,31), 1 ), 2 )</f>
        <v>12.66</v>
      </c>
      <c r="E54" s="45">
        <v>41398</v>
      </c>
      <c r="F54" t="s">
        <v>25</v>
      </c>
      <c r="G54"/>
      <c r="H54" t="s">
        <v>351</v>
      </c>
      <c r="I54" s="91"/>
      <c r="J54" s="41"/>
      <c r="L54" s="40" t="s">
        <v>382</v>
      </c>
      <c r="M54" s="28" t="s">
        <v>383</v>
      </c>
      <c r="N54" s="28" t="s">
        <v>384</v>
      </c>
      <c r="O54" s="30">
        <f>ROUND( YEARFRAC( Tabel3[[#This Row],[Geb datum]], DATE(2025,12,31), 1 ), 2 )</f>
        <v>17.37</v>
      </c>
      <c r="P54" s="29">
        <v>39676</v>
      </c>
      <c r="Q54" s="30" t="s">
        <v>95</v>
      </c>
      <c r="R54" s="30"/>
      <c r="S54" s="30" t="s">
        <v>318</v>
      </c>
      <c r="T54" s="94"/>
      <c r="U54" s="42"/>
    </row>
    <row r="55" spans="1:21">
      <c r="A55" t="s">
        <v>385</v>
      </c>
      <c r="B55" t="s">
        <v>386</v>
      </c>
      <c r="C55" t="s">
        <v>387</v>
      </c>
      <c r="D55" s="30">
        <f>ROUND( YEARFRAC( Tabel1[[#This Row],[Geb datum]], DATE(2025,12,31), 1 ), 2 )</f>
        <v>12.81</v>
      </c>
      <c r="E55" s="45">
        <v>41344</v>
      </c>
      <c r="F55" t="s">
        <v>27</v>
      </c>
      <c r="G55"/>
      <c r="H55" t="s">
        <v>288</v>
      </c>
      <c r="I55" s="91"/>
      <c r="J55" s="41"/>
      <c r="L55" s="40" t="s">
        <v>388</v>
      </c>
      <c r="M55" s="28" t="s">
        <v>389</v>
      </c>
      <c r="N55" s="28" t="s">
        <v>390</v>
      </c>
      <c r="O55" s="30">
        <f>ROUND( YEARFRAC( Tabel3[[#This Row],[Geb datum]], DATE(2025,12,31), 1 ), 2 )</f>
        <v>17.350000000000001</v>
      </c>
      <c r="P55" s="29">
        <v>39686</v>
      </c>
      <c r="Q55" s="30" t="s">
        <v>2</v>
      </c>
      <c r="R55" s="30"/>
      <c r="S55" s="30" t="s">
        <v>304</v>
      </c>
      <c r="T55" s="94"/>
      <c r="U55" s="42"/>
    </row>
    <row r="56" spans="1:21">
      <c r="A56" t="s">
        <v>391</v>
      </c>
      <c r="B56" t="s">
        <v>392</v>
      </c>
      <c r="C56" t="s">
        <v>393</v>
      </c>
      <c r="D56" s="30">
        <f>ROUND( YEARFRAC( Tabel1[[#This Row],[Geb datum]], DATE(2025,12,31), 1 ), 2 )</f>
        <v>12.87</v>
      </c>
      <c r="E56" s="45">
        <v>41323</v>
      </c>
      <c r="F56" t="s">
        <v>27</v>
      </c>
      <c r="G56"/>
      <c r="H56" t="s">
        <v>294</v>
      </c>
      <c r="I56" s="91"/>
      <c r="J56" s="41"/>
      <c r="L56" s="40" t="s">
        <v>394</v>
      </c>
      <c r="M56" s="28" t="s">
        <v>395</v>
      </c>
      <c r="N56" s="28" t="s">
        <v>335</v>
      </c>
      <c r="O56" s="30">
        <f>ROUND( YEARFRAC( Tabel3[[#This Row],[Geb datum]], DATE(2025,12,31), 1 ), 2 )</f>
        <v>17.190000000000001</v>
      </c>
      <c r="P56" s="29">
        <v>39744</v>
      </c>
      <c r="Q56" s="30" t="s">
        <v>2</v>
      </c>
      <c r="R56" s="30"/>
      <c r="S56" s="30" t="s">
        <v>304</v>
      </c>
      <c r="T56" s="94"/>
      <c r="U56" s="42"/>
    </row>
    <row r="57" spans="1:21">
      <c r="A57" t="s">
        <v>396</v>
      </c>
      <c r="B57" t="s">
        <v>397</v>
      </c>
      <c r="C57" t="s">
        <v>398</v>
      </c>
      <c r="D57" s="30">
        <f>ROUND( YEARFRAC( Tabel1[[#This Row],[Geb datum]], DATE(2025,12,31), 1 ), 2 )</f>
        <v>12.92</v>
      </c>
      <c r="E57" s="54">
        <v>41303</v>
      </c>
      <c r="F57" t="s">
        <v>25</v>
      </c>
      <c r="G57"/>
      <c r="H57" t="s">
        <v>351</v>
      </c>
      <c r="I57" s="91"/>
      <c r="J57" s="41"/>
      <c r="L57" s="40" t="s">
        <v>399</v>
      </c>
      <c r="M57" s="28" t="s">
        <v>400</v>
      </c>
      <c r="N57" s="28" t="s">
        <v>401</v>
      </c>
      <c r="O57" s="30">
        <f>ROUND( YEARFRAC( Tabel3[[#This Row],[Geb datum]], DATE(2025,12,31), 1 ), 2 )</f>
        <v>17.16</v>
      </c>
      <c r="P57" s="29">
        <v>39753</v>
      </c>
      <c r="Q57" s="30" t="s">
        <v>2</v>
      </c>
      <c r="R57" s="30"/>
      <c r="S57" s="30" t="s">
        <v>304</v>
      </c>
      <c r="T57" s="94"/>
      <c r="U57" s="42"/>
    </row>
    <row r="58" spans="1:21">
      <c r="A58" t="s">
        <v>402</v>
      </c>
      <c r="B58" t="s">
        <v>403</v>
      </c>
      <c r="C58" t="s">
        <v>143</v>
      </c>
      <c r="D58" s="30">
        <f>ROUND( YEARFRAC( Tabel1[[#This Row],[Geb datum]], DATE(2025,12,31), 1 ), 2 )</f>
        <v>12.99</v>
      </c>
      <c r="E58" s="45">
        <v>41278</v>
      </c>
      <c r="F58" t="s">
        <v>24</v>
      </c>
      <c r="G58"/>
      <c r="H58" t="s">
        <v>294</v>
      </c>
      <c r="I58" s="91"/>
      <c r="J58" s="41"/>
      <c r="L58" s="40" t="s">
        <v>404</v>
      </c>
      <c r="M58" s="28" t="s">
        <v>405</v>
      </c>
      <c r="N58" s="28" t="s">
        <v>406</v>
      </c>
      <c r="O58" s="30">
        <f>ROUND( YEARFRAC( Tabel3[[#This Row],[Geb datum]], DATE(2025,12,31), 1 ), 2 )</f>
        <v>16.96</v>
      </c>
      <c r="P58" s="29">
        <v>39829</v>
      </c>
      <c r="Q58" s="30" t="s">
        <v>54</v>
      </c>
      <c r="R58" s="30"/>
      <c r="S58" s="30" t="s">
        <v>407</v>
      </c>
      <c r="T58" s="94"/>
      <c r="U58" s="42"/>
    </row>
    <row r="59" spans="1:21">
      <c r="A59" t="s">
        <v>408</v>
      </c>
      <c r="B59" t="s">
        <v>409</v>
      </c>
      <c r="C59" t="s">
        <v>410</v>
      </c>
      <c r="D59" s="30">
        <f>ROUND( YEARFRAC( Tabel1[[#This Row],[Geb datum]], DATE(2025,12,31), 1 ), 2 )</f>
        <v>13.16</v>
      </c>
      <c r="E59" s="54">
        <v>41214</v>
      </c>
      <c r="F59" t="s">
        <v>23</v>
      </c>
      <c r="G59"/>
      <c r="H59" t="s">
        <v>411</v>
      </c>
      <c r="I59" s="91"/>
      <c r="J59" s="41"/>
      <c r="L59" s="40" t="s">
        <v>412</v>
      </c>
      <c r="M59" s="28" t="s">
        <v>413</v>
      </c>
      <c r="N59" s="28" t="s">
        <v>414</v>
      </c>
      <c r="O59" s="30">
        <f>ROUND( YEARFRAC( Tabel3[[#This Row],[Geb datum]], DATE(2025,12,31), 1 ), 2 )</f>
        <v>16.82</v>
      </c>
      <c r="P59" s="29">
        <v>39878</v>
      </c>
      <c r="Q59" s="30" t="s">
        <v>18</v>
      </c>
      <c r="R59" s="30"/>
      <c r="S59" s="30" t="s">
        <v>407</v>
      </c>
      <c r="T59" s="94"/>
      <c r="U59" s="42"/>
    </row>
    <row r="60" spans="1:21">
      <c r="A60" t="s">
        <v>415</v>
      </c>
      <c r="B60" t="s">
        <v>416</v>
      </c>
      <c r="C60" t="s">
        <v>417</v>
      </c>
      <c r="D60" s="30">
        <f>ROUND( YEARFRAC( Tabel1[[#This Row],[Geb datum]], DATE(2025,12,31), 1 ), 2 )</f>
        <v>13.26</v>
      </c>
      <c r="E60" s="45">
        <v>41178</v>
      </c>
      <c r="F60" t="s">
        <v>24</v>
      </c>
      <c r="G60"/>
      <c r="H60" t="s">
        <v>418</v>
      </c>
      <c r="I60" s="91"/>
      <c r="J60" s="41"/>
      <c r="L60" s="40" t="s">
        <v>419</v>
      </c>
      <c r="M60" s="28" t="s">
        <v>420</v>
      </c>
      <c r="N60" s="28" t="s">
        <v>421</v>
      </c>
      <c r="O60" s="30">
        <f>ROUND( YEARFRAC( Tabel3[[#This Row],[Geb datum]], DATE(2025,12,31), 1 ), 2 )</f>
        <v>16.5</v>
      </c>
      <c r="P60" s="29">
        <v>39996</v>
      </c>
      <c r="Q60" s="30" t="s">
        <v>3</v>
      </c>
      <c r="R60" s="30"/>
      <c r="S60" s="30" t="s">
        <v>422</v>
      </c>
      <c r="T60" s="94"/>
      <c r="U60" s="42"/>
    </row>
    <row r="61" spans="1:21">
      <c r="A61" t="s">
        <v>423</v>
      </c>
      <c r="B61" t="s">
        <v>424</v>
      </c>
      <c r="C61" t="s">
        <v>425</v>
      </c>
      <c r="D61" s="30">
        <f>ROUND( YEARFRAC( Tabel1[[#This Row],[Geb datum]], DATE(2025,12,31), 1 ), 2 )</f>
        <v>13.29</v>
      </c>
      <c r="E61" s="45">
        <v>41167</v>
      </c>
      <c r="F61" t="s">
        <v>21</v>
      </c>
      <c r="G61"/>
      <c r="H61" t="s">
        <v>426</v>
      </c>
      <c r="I61" s="91"/>
      <c r="J61" s="41"/>
      <c r="L61" s="40" t="s">
        <v>427</v>
      </c>
      <c r="M61" s="28" t="s">
        <v>428</v>
      </c>
      <c r="N61" s="28" t="s">
        <v>429</v>
      </c>
      <c r="O61" s="30">
        <f>ROUND( YEARFRAC( Tabel3[[#This Row],[Geb datum]], DATE(2025,12,31), 1 ), 2 )</f>
        <v>16.329999999999998</v>
      </c>
      <c r="P61" s="29">
        <v>40058</v>
      </c>
      <c r="Q61" s="30" t="s">
        <v>3</v>
      </c>
      <c r="R61" s="30"/>
      <c r="S61" s="30" t="s">
        <v>366</v>
      </c>
      <c r="T61" s="94"/>
      <c r="U61" s="42"/>
    </row>
    <row r="62" spans="1:21">
      <c r="A62" t="s">
        <v>430</v>
      </c>
      <c r="B62" t="s">
        <v>431</v>
      </c>
      <c r="C62" t="s">
        <v>432</v>
      </c>
      <c r="D62" s="30">
        <f>ROUND( YEARFRAC( Tabel1[[#This Row],[Geb datum]], DATE(2025,12,31), 1 ), 2 )</f>
        <v>13.31</v>
      </c>
      <c r="E62" s="45">
        <v>41159</v>
      </c>
      <c r="F62" t="s">
        <v>22</v>
      </c>
      <c r="G62"/>
      <c r="H62" t="s">
        <v>418</v>
      </c>
      <c r="I62" s="91"/>
      <c r="J62" s="41"/>
      <c r="L62" s="40" t="s">
        <v>433</v>
      </c>
      <c r="M62" s="28" t="s">
        <v>434</v>
      </c>
      <c r="N62" s="28" t="s">
        <v>435</v>
      </c>
      <c r="O62" s="30">
        <f>ROUND( YEARFRAC( Tabel3[[#This Row],[Geb datum]], DATE(2025,12,31), 1 ), 2 )</f>
        <v>16.23</v>
      </c>
      <c r="P62" s="29">
        <v>40093</v>
      </c>
      <c r="Q62" s="30" t="s">
        <v>17</v>
      </c>
      <c r="R62" s="30"/>
      <c r="S62" s="30" t="s">
        <v>436</v>
      </c>
      <c r="T62" s="94"/>
      <c r="U62" s="42"/>
    </row>
    <row r="63" spans="1:21">
      <c r="A63" t="s">
        <v>437</v>
      </c>
      <c r="B63" t="s">
        <v>438</v>
      </c>
      <c r="C63" t="s">
        <v>439</v>
      </c>
      <c r="D63" s="30">
        <f>ROUND( YEARFRAC( Tabel1[[#This Row],[Geb datum]], DATE(2025,12,31), 1 ), 2 )</f>
        <v>13.34</v>
      </c>
      <c r="E63" s="45">
        <v>41149</v>
      </c>
      <c r="F63" t="s">
        <v>24</v>
      </c>
      <c r="G63"/>
      <c r="H63" t="s">
        <v>418</v>
      </c>
      <c r="I63" s="91"/>
      <c r="J63" s="41"/>
      <c r="L63" s="40" t="s">
        <v>440</v>
      </c>
      <c r="M63" s="28" t="s">
        <v>441</v>
      </c>
      <c r="N63" s="28" t="s">
        <v>442</v>
      </c>
      <c r="O63" s="30">
        <f>ROUND( YEARFRAC( Tabel3[[#This Row],[Geb datum]], DATE(2025,12,31), 1 ), 2 )</f>
        <v>16.21</v>
      </c>
      <c r="P63" s="29">
        <v>40100</v>
      </c>
      <c r="Q63" s="30" t="s">
        <v>3</v>
      </c>
      <c r="R63" s="30"/>
      <c r="S63" s="30" t="s">
        <v>366</v>
      </c>
      <c r="T63" s="94"/>
      <c r="U63" s="42"/>
    </row>
    <row r="64" spans="1:21">
      <c r="A64" s="31" t="s">
        <v>443</v>
      </c>
      <c r="B64" s="31" t="s">
        <v>444</v>
      </c>
      <c r="C64" s="31" t="s">
        <v>445</v>
      </c>
      <c r="D64" s="30">
        <f>ROUND( YEARFRAC( Tabel1[[#This Row],[Geb datum]], DATE(2025,12,31), 1 ), 2 )</f>
        <v>13.39</v>
      </c>
      <c r="E64" s="45">
        <v>41131</v>
      </c>
      <c r="F64" s="87" t="s">
        <v>23</v>
      </c>
      <c r="G64" s="87"/>
      <c r="H64" s="33" t="s">
        <v>42</v>
      </c>
      <c r="I64" s="92"/>
      <c r="J64" s="41"/>
      <c r="L64" s="40" t="s">
        <v>446</v>
      </c>
      <c r="M64" s="28" t="s">
        <v>447</v>
      </c>
      <c r="N64" s="28" t="s">
        <v>448</v>
      </c>
      <c r="O64" s="30">
        <f>ROUND( YEARFRAC( Tabel3[[#This Row],[Geb datum]], DATE(2025,12,31), 1 ), 2 )</f>
        <v>16.18</v>
      </c>
      <c r="P64" s="29">
        <v>40112</v>
      </c>
      <c r="Q64" s="30" t="s">
        <v>3</v>
      </c>
      <c r="R64" s="30"/>
      <c r="S64" s="30" t="s">
        <v>422</v>
      </c>
      <c r="T64" s="94"/>
      <c r="U64" s="42"/>
    </row>
    <row r="65" spans="1:21">
      <c r="A65" t="s">
        <v>449</v>
      </c>
      <c r="B65" t="s">
        <v>450</v>
      </c>
      <c r="C65" t="s">
        <v>451</v>
      </c>
      <c r="D65" s="30">
        <f>ROUND( YEARFRAC( Tabel1[[#This Row],[Geb datum]], DATE(2025,12,31), 1 ), 2 )</f>
        <v>13.45</v>
      </c>
      <c r="E65" s="45">
        <v>41108</v>
      </c>
      <c r="F65" t="s">
        <v>24</v>
      </c>
      <c r="G65"/>
      <c r="H65" t="s">
        <v>418</v>
      </c>
      <c r="I65" s="91"/>
      <c r="J65" s="41"/>
      <c r="L65" s="40" t="s">
        <v>452</v>
      </c>
      <c r="M65" s="28" t="s">
        <v>453</v>
      </c>
      <c r="N65" s="28" t="s">
        <v>359</v>
      </c>
      <c r="O65" s="30">
        <f>ROUND( YEARFRAC( Tabel3[[#This Row],[Geb datum]], DATE(2025,12,31), 1 ), 2 )</f>
        <v>16.03</v>
      </c>
      <c r="P65" s="29">
        <v>40169</v>
      </c>
      <c r="Q65" s="30" t="s">
        <v>3</v>
      </c>
      <c r="R65" s="30"/>
      <c r="S65" s="30" t="s">
        <v>422</v>
      </c>
      <c r="T65" s="94"/>
      <c r="U65" s="42"/>
    </row>
    <row r="66" spans="1:21">
      <c r="A66" t="s">
        <v>454</v>
      </c>
      <c r="B66" t="s">
        <v>455</v>
      </c>
      <c r="C66" t="s">
        <v>456</v>
      </c>
      <c r="D66" s="30">
        <f>ROUND( YEARFRAC( Tabel1[[#This Row],[Geb datum]], DATE(2025,12,31), 1 ), 2 )</f>
        <v>13.56</v>
      </c>
      <c r="E66" s="45">
        <v>41068</v>
      </c>
      <c r="F66" t="s">
        <v>23</v>
      </c>
      <c r="G66"/>
      <c r="H66" t="s">
        <v>411</v>
      </c>
      <c r="I66" s="91"/>
      <c r="J66" s="41"/>
      <c r="L66" s="40" t="s">
        <v>457</v>
      </c>
      <c r="M66" s="28" t="s">
        <v>458</v>
      </c>
      <c r="N66" s="28" t="s">
        <v>459</v>
      </c>
      <c r="O66" s="30">
        <f>ROUND( YEARFRAC( Tabel3[[#This Row],[Geb datum]], DATE(2025,12,31), 1 ), 2 )</f>
        <v>15.79</v>
      </c>
      <c r="P66" s="29">
        <v>40253</v>
      </c>
      <c r="Q66" s="30" t="s">
        <v>17</v>
      </c>
      <c r="R66" s="30"/>
      <c r="S66" s="30" t="s">
        <v>436</v>
      </c>
      <c r="T66" s="94"/>
      <c r="U66" s="42"/>
    </row>
    <row r="67" spans="1:21">
      <c r="A67" t="s">
        <v>460</v>
      </c>
      <c r="B67" t="s">
        <v>461</v>
      </c>
      <c r="C67" t="s">
        <v>462</v>
      </c>
      <c r="D67" s="30">
        <f>ROUND( YEARFRAC( Tabel1[[#This Row],[Geb datum]], DATE(2025,12,31), 1 ), 2 )</f>
        <v>13.62</v>
      </c>
      <c r="E67" s="45">
        <v>41047</v>
      </c>
      <c r="F67" t="s">
        <v>23</v>
      </c>
      <c r="G67"/>
      <c r="H67" t="s">
        <v>411</v>
      </c>
      <c r="I67" s="91"/>
      <c r="J67" s="41"/>
      <c r="L67" s="40" t="s">
        <v>463</v>
      </c>
      <c r="M67" s="28" t="s">
        <v>464</v>
      </c>
      <c r="N67" s="28" t="s">
        <v>465</v>
      </c>
      <c r="O67" s="30">
        <f>ROUND( YEARFRAC( Tabel3[[#This Row],[Geb datum]], DATE(2025,12,31), 1 ), 2 )</f>
        <v>15.65</v>
      </c>
      <c r="P67" s="29">
        <v>40307</v>
      </c>
      <c r="Q67" s="30" t="s">
        <v>18</v>
      </c>
      <c r="R67" s="30"/>
      <c r="S67" s="30" t="s">
        <v>436</v>
      </c>
      <c r="T67" s="94"/>
      <c r="U67" s="42"/>
    </row>
    <row r="68" spans="1:21">
      <c r="A68" t="s">
        <v>466</v>
      </c>
      <c r="B68" t="s">
        <v>467</v>
      </c>
      <c r="C68" t="s">
        <v>425</v>
      </c>
      <c r="D68" s="30">
        <f>ROUND( YEARFRAC( Tabel1[[#This Row],[Geb datum]], DATE(2025,12,31), 1 ), 2 )</f>
        <v>13.71</v>
      </c>
      <c r="E68" s="45">
        <v>41014</v>
      </c>
      <c r="F68" t="s">
        <v>23</v>
      </c>
      <c r="G68"/>
      <c r="H68" t="s">
        <v>411</v>
      </c>
      <c r="I68" s="91"/>
      <c r="J68" s="41"/>
      <c r="L68" s="40" t="s">
        <v>468</v>
      </c>
      <c r="M68" s="28" t="s">
        <v>469</v>
      </c>
      <c r="N68" s="28" t="s">
        <v>470</v>
      </c>
      <c r="O68" s="30">
        <f>ROUND( YEARFRAC( Tabel3[[#This Row],[Geb datum]], DATE(2025,12,31), 1 ), 2 )</f>
        <v>15.64</v>
      </c>
      <c r="P68" s="29">
        <v>40309</v>
      </c>
      <c r="Q68" s="30" t="s">
        <v>18</v>
      </c>
      <c r="R68" s="30"/>
      <c r="S68" s="30" t="s">
        <v>407</v>
      </c>
      <c r="T68" s="94"/>
      <c r="U68" s="42"/>
    </row>
    <row r="69" spans="1:21">
      <c r="A69" t="s">
        <v>471</v>
      </c>
      <c r="B69" t="s">
        <v>472</v>
      </c>
      <c r="C69" t="s">
        <v>473</v>
      </c>
      <c r="D69" s="30">
        <f>ROUND( YEARFRAC( Tabel1[[#This Row],[Geb datum]], DATE(2025,12,31), 1 ), 2 )</f>
        <v>13.78</v>
      </c>
      <c r="E69" s="45">
        <v>40989</v>
      </c>
      <c r="F69" t="s">
        <v>22</v>
      </c>
      <c r="G69"/>
      <c r="H69" t="s">
        <v>418</v>
      </c>
      <c r="I69" s="91"/>
      <c r="J69" s="41"/>
      <c r="L69" s="40" t="s">
        <v>474</v>
      </c>
      <c r="M69" s="28" t="s">
        <v>475</v>
      </c>
      <c r="N69" s="28" t="s">
        <v>378</v>
      </c>
      <c r="O69" s="30">
        <f>ROUND( YEARFRAC( Tabel3[[#This Row],[Geb datum]], DATE(2025,12,31), 1 ), 2 )</f>
        <v>15.44</v>
      </c>
      <c r="P69" s="29">
        <v>40381</v>
      </c>
      <c r="Q69" s="30" t="s">
        <v>3</v>
      </c>
      <c r="R69" s="30"/>
      <c r="S69" s="30" t="s">
        <v>366</v>
      </c>
      <c r="T69" s="94"/>
      <c r="U69" s="42"/>
    </row>
    <row r="70" spans="1:21">
      <c r="A70" t="s">
        <v>476</v>
      </c>
      <c r="B70" t="s">
        <v>477</v>
      </c>
      <c r="C70" t="s">
        <v>478</v>
      </c>
      <c r="D70" s="30">
        <f>ROUND( YEARFRAC( Tabel1[[#This Row],[Geb datum]], DATE(2025,12,31), 1 ), 2 )</f>
        <v>13.92</v>
      </c>
      <c r="E70" s="45">
        <v>40937</v>
      </c>
      <c r="F70" t="s">
        <v>21</v>
      </c>
      <c r="G70"/>
      <c r="H70" t="s">
        <v>426</v>
      </c>
      <c r="I70" s="91"/>
      <c r="J70" s="41"/>
      <c r="L70" s="40" t="s">
        <v>479</v>
      </c>
      <c r="M70" s="28" t="s">
        <v>480</v>
      </c>
      <c r="N70" s="28" t="s">
        <v>481</v>
      </c>
      <c r="O70" s="30">
        <f>ROUND( YEARFRAC( Tabel3[[#This Row],[Geb datum]], DATE(2025,12,31), 1 ), 2 )</f>
        <v>15.36</v>
      </c>
      <c r="P70" s="29">
        <v>40413</v>
      </c>
      <c r="Q70" s="30" t="s">
        <v>3</v>
      </c>
      <c r="R70" s="30"/>
      <c r="S70" s="30" t="s">
        <v>422</v>
      </c>
      <c r="T70" s="94"/>
      <c r="U70" s="42"/>
    </row>
    <row r="71" spans="1:21">
      <c r="A71" s="31" t="s">
        <v>482</v>
      </c>
      <c r="B71" s="31" t="s">
        <v>483</v>
      </c>
      <c r="C71" s="31" t="s">
        <v>484</v>
      </c>
      <c r="D71" s="30">
        <f>ROUND( YEARFRAC( Tabel1[[#This Row],[Geb datum]], DATE(2025,12,31), 1 ), 2 )</f>
        <v>13.97</v>
      </c>
      <c r="E71" s="45">
        <v>40918</v>
      </c>
      <c r="F71" s="33" t="s">
        <v>22</v>
      </c>
      <c r="G71" s="87"/>
      <c r="H71" s="33"/>
      <c r="I71" s="91"/>
      <c r="J71" s="41"/>
      <c r="L71" s="40" t="s">
        <v>485</v>
      </c>
      <c r="M71" s="28" t="s">
        <v>486</v>
      </c>
      <c r="N71" s="28" t="s">
        <v>88</v>
      </c>
      <c r="O71" s="30">
        <f>ROUND( YEARFRAC( Tabel3[[#This Row],[Geb datum]], DATE(2025,12,31), 1 ), 2 )</f>
        <v>15.27</v>
      </c>
      <c r="P71" s="29">
        <v>40446</v>
      </c>
      <c r="Q71" s="30" t="s">
        <v>3</v>
      </c>
      <c r="R71" s="30"/>
      <c r="S71" s="30" t="s">
        <v>422</v>
      </c>
      <c r="T71" s="94"/>
      <c r="U71" s="42"/>
    </row>
    <row r="72" spans="1:21">
      <c r="A72" t="s">
        <v>487</v>
      </c>
      <c r="B72" t="s">
        <v>488</v>
      </c>
      <c r="C72" t="s">
        <v>489</v>
      </c>
      <c r="D72" s="30">
        <f>ROUND( YEARFRAC( Tabel1[[#This Row],[Geb datum]], DATE(2025,12,31), 1 ), 2 )</f>
        <v>13.99</v>
      </c>
      <c r="E72" s="45">
        <v>40912</v>
      </c>
      <c r="F72" t="s">
        <v>22</v>
      </c>
      <c r="G72"/>
      <c r="H72" t="s">
        <v>418</v>
      </c>
      <c r="I72" s="91"/>
      <c r="J72" s="41"/>
      <c r="L72" s="40" t="s">
        <v>490</v>
      </c>
      <c r="M72" s="28" t="s">
        <v>491</v>
      </c>
      <c r="N72" s="28" t="s">
        <v>492</v>
      </c>
      <c r="O72" s="30">
        <f>ROUND( YEARFRAC( Tabel3[[#This Row],[Geb datum]], DATE(2025,12,31), 1 ), 2 )</f>
        <v>14.99</v>
      </c>
      <c r="P72" s="29">
        <v>40547</v>
      </c>
      <c r="Q72" s="30" t="s">
        <v>22</v>
      </c>
      <c r="R72" s="30"/>
      <c r="S72" s="30" t="s">
        <v>418</v>
      </c>
      <c r="T72" s="94"/>
      <c r="U72" s="42"/>
    </row>
    <row r="73" spans="1:21">
      <c r="A73" s="31" t="s">
        <v>493</v>
      </c>
      <c r="B73" s="31" t="s">
        <v>494</v>
      </c>
      <c r="C73" s="31" t="s">
        <v>495</v>
      </c>
      <c r="D73" s="30">
        <f>ROUND( YEARFRAC( Tabel1[[#This Row],[Geb datum]], DATE(2025,12,31), 1 ), 2 )</f>
        <v>14.08</v>
      </c>
      <c r="E73" s="45">
        <v>40878</v>
      </c>
      <c r="F73" s="33" t="s">
        <v>22</v>
      </c>
      <c r="G73" s="87"/>
      <c r="H73" s="33"/>
      <c r="I73" s="91"/>
      <c r="J73" s="41"/>
      <c r="L73" s="40" t="s">
        <v>496</v>
      </c>
      <c r="M73" s="28" t="s">
        <v>497</v>
      </c>
      <c r="N73" s="28" t="s">
        <v>498</v>
      </c>
      <c r="O73" s="30">
        <f>ROUND( YEARFRAC( Tabel3[[#This Row],[Geb datum]], DATE(2025,12,31), 1 ), 2 )</f>
        <v>14.96</v>
      </c>
      <c r="P73" s="29">
        <v>40557</v>
      </c>
      <c r="Q73" s="30" t="s">
        <v>21</v>
      </c>
      <c r="R73" s="30"/>
      <c r="S73" s="30" t="s">
        <v>426</v>
      </c>
      <c r="T73" s="94"/>
      <c r="U73" s="42"/>
    </row>
    <row r="74" spans="1:21">
      <c r="A74" t="s">
        <v>499</v>
      </c>
      <c r="B74" t="s">
        <v>500</v>
      </c>
      <c r="C74" t="s">
        <v>501</v>
      </c>
      <c r="D74" s="30">
        <f>ROUND( YEARFRAC( Tabel1[[#This Row],[Geb datum]], DATE(2025,12,31), 1 ), 2 )</f>
        <v>14.31</v>
      </c>
      <c r="E74" s="45">
        <v>40796</v>
      </c>
      <c r="F74" t="s">
        <v>18</v>
      </c>
      <c r="G74"/>
      <c r="H74" t="s">
        <v>436</v>
      </c>
      <c r="I74" s="91"/>
      <c r="J74" s="41"/>
      <c r="L74" s="40" t="s">
        <v>502</v>
      </c>
      <c r="M74" s="28" t="s">
        <v>503</v>
      </c>
      <c r="N74" s="28" t="s">
        <v>504</v>
      </c>
      <c r="O74" s="30">
        <f>ROUND( YEARFRAC( Tabel3[[#This Row],[Geb datum]], DATE(2025,12,31), 1 ), 2 )</f>
        <v>14.77</v>
      </c>
      <c r="P74" s="29">
        <v>40626</v>
      </c>
      <c r="Q74" s="30" t="s">
        <v>21</v>
      </c>
      <c r="R74" s="30"/>
      <c r="S74" s="30" t="s">
        <v>426</v>
      </c>
      <c r="T74" s="94"/>
      <c r="U74" s="42"/>
    </row>
    <row r="75" spans="1:21">
      <c r="A75" t="s">
        <v>505</v>
      </c>
      <c r="B75" t="s">
        <v>506</v>
      </c>
      <c r="C75" t="s">
        <v>507</v>
      </c>
      <c r="D75" s="30">
        <f>ROUND( YEARFRAC( Tabel1[[#This Row],[Geb datum]], DATE(2025,12,31), 1 ), 2 )</f>
        <v>14.33</v>
      </c>
      <c r="E75" s="45">
        <v>40786</v>
      </c>
      <c r="F75" t="s">
        <v>21</v>
      </c>
      <c r="G75"/>
      <c r="H75" t="s">
        <v>426</v>
      </c>
      <c r="I75" s="91"/>
      <c r="J75" s="41"/>
      <c r="L75" s="53" t="s">
        <v>508</v>
      </c>
      <c r="M75" s="28" t="s">
        <v>509</v>
      </c>
      <c r="N75" s="28" t="s">
        <v>510</v>
      </c>
      <c r="O75" s="30">
        <f>ROUND( YEARFRAC( Tabel3[[#This Row],[Geb datum]], DATE(2025,12,31), 1 ), 2 )</f>
        <v>14.46</v>
      </c>
      <c r="P75" s="54">
        <v>40741</v>
      </c>
      <c r="Q75" s="30" t="s">
        <v>22</v>
      </c>
      <c r="R75" s="30"/>
      <c r="S75" s="30" t="s">
        <v>418</v>
      </c>
      <c r="T75" s="94"/>
      <c r="U75" s="42"/>
    </row>
    <row r="76" spans="1:21">
      <c r="A76" t="s">
        <v>511</v>
      </c>
      <c r="B76" t="s">
        <v>512</v>
      </c>
      <c r="C76" t="s">
        <v>513</v>
      </c>
      <c r="D76" s="30">
        <f>ROUND( YEARFRAC( Tabel1[[#This Row],[Geb datum]], DATE(2025,12,31), 1 ), 2 )</f>
        <v>14.51</v>
      </c>
      <c r="E76" s="45">
        <v>40722</v>
      </c>
      <c r="F76" t="s">
        <v>21</v>
      </c>
      <c r="G76"/>
      <c r="H76" t="s">
        <v>411</v>
      </c>
      <c r="I76" s="91"/>
      <c r="J76" s="41"/>
      <c r="L76" s="40" t="s">
        <v>514</v>
      </c>
      <c r="M76" s="28" t="s">
        <v>515</v>
      </c>
      <c r="N76" s="28" t="s">
        <v>516</v>
      </c>
      <c r="O76" s="30">
        <f>ROUND( YEARFRAC( Tabel3[[#This Row],[Geb datum]], DATE(2025,12,31), 1 ), 2 )</f>
        <v>14.43</v>
      </c>
      <c r="P76" s="29">
        <v>40750</v>
      </c>
      <c r="Q76" s="30" t="s">
        <v>95</v>
      </c>
      <c r="R76" s="30"/>
      <c r="S76" s="30" t="s">
        <v>411</v>
      </c>
      <c r="T76" s="94"/>
      <c r="U76" s="42"/>
    </row>
    <row r="77" spans="1:21">
      <c r="A77" t="s">
        <v>517</v>
      </c>
      <c r="B77" t="s">
        <v>518</v>
      </c>
      <c r="C77" t="s">
        <v>519</v>
      </c>
      <c r="D77" s="30">
        <f>ROUND( YEARFRAC( Tabel1[[#This Row],[Geb datum]], DATE(2025,12,31), 1 ), 2 )</f>
        <v>14.57</v>
      </c>
      <c r="E77" s="45">
        <v>40700</v>
      </c>
      <c r="F77" t="s">
        <v>23</v>
      </c>
      <c r="G77"/>
      <c r="H77" t="s">
        <v>411</v>
      </c>
      <c r="I77" s="91"/>
      <c r="J77" s="41"/>
      <c r="L77" s="40" t="s">
        <v>520</v>
      </c>
      <c r="M77" s="28" t="s">
        <v>521</v>
      </c>
      <c r="N77" s="28" t="s">
        <v>248</v>
      </c>
      <c r="O77" s="30">
        <f>ROUND( YEARFRAC( Tabel3[[#This Row],[Geb datum]], DATE(2025,12,31), 1 ), 2 )</f>
        <v>14.32</v>
      </c>
      <c r="P77" s="29">
        <v>40790</v>
      </c>
      <c r="Q77" s="30" t="s">
        <v>23</v>
      </c>
      <c r="R77" s="30"/>
      <c r="S77" s="30" t="s">
        <v>411</v>
      </c>
      <c r="T77" s="94"/>
      <c r="U77" s="42"/>
    </row>
    <row r="78" spans="1:21">
      <c r="A78" t="s">
        <v>522</v>
      </c>
      <c r="B78" t="s">
        <v>523</v>
      </c>
      <c r="C78" t="s">
        <v>524</v>
      </c>
      <c r="D78" s="30">
        <f>ROUND( YEARFRAC( Tabel1[[#This Row],[Geb datum]], DATE(2025,12,31), 1 ), 2 )</f>
        <v>14.74</v>
      </c>
      <c r="E78" s="45">
        <v>40637</v>
      </c>
      <c r="F78" t="s">
        <v>95</v>
      </c>
      <c r="G78"/>
      <c r="H78" t="s">
        <v>436</v>
      </c>
      <c r="I78" s="91"/>
      <c r="J78" s="41"/>
      <c r="L78" s="40" t="s">
        <v>525</v>
      </c>
      <c r="M78" s="28" t="s">
        <v>526</v>
      </c>
      <c r="N78" s="28" t="s">
        <v>527</v>
      </c>
      <c r="O78" s="30">
        <f>ROUND( YEARFRAC( Tabel3[[#This Row],[Geb datum]], DATE(2025,12,31), 1 ), 2 )</f>
        <v>14.28</v>
      </c>
      <c r="P78" s="29">
        <v>40806</v>
      </c>
      <c r="Q78" s="30" t="s">
        <v>21</v>
      </c>
      <c r="R78" s="30"/>
      <c r="S78" s="30" t="s">
        <v>426</v>
      </c>
      <c r="T78" s="94"/>
      <c r="U78" s="42"/>
    </row>
    <row r="79" spans="1:21">
      <c r="A79" s="31" t="s">
        <v>528</v>
      </c>
      <c r="B79" s="31" t="s">
        <v>529</v>
      </c>
      <c r="C79" s="31" t="s">
        <v>530</v>
      </c>
      <c r="D79" s="30">
        <f>ROUND( YEARFRAC( Tabel1[[#This Row],[Geb datum]], DATE(2025,12,31), 1 ), 2 )</f>
        <v>14.85</v>
      </c>
      <c r="E79" s="45">
        <v>40599</v>
      </c>
      <c r="F79" s="33" t="s">
        <v>22</v>
      </c>
      <c r="G79" s="87"/>
      <c r="H79" s="33"/>
      <c r="I79" s="91"/>
      <c r="J79" s="41"/>
      <c r="L79" s="40" t="s">
        <v>531</v>
      </c>
      <c r="M79" s="28" t="s">
        <v>532</v>
      </c>
      <c r="N79" s="28" t="s">
        <v>533</v>
      </c>
      <c r="O79" s="30">
        <f>ROUND( YEARFRAC( Tabel3[[#This Row],[Geb datum]], DATE(2025,12,31), 1 ), 2 )</f>
        <v>14.25</v>
      </c>
      <c r="P79" s="29">
        <v>40817</v>
      </c>
      <c r="Q79" s="30" t="s">
        <v>22</v>
      </c>
      <c r="R79" s="30"/>
      <c r="S79" s="30" t="s">
        <v>418</v>
      </c>
      <c r="T79" s="94"/>
      <c r="U79" s="42"/>
    </row>
    <row r="80" spans="1:21">
      <c r="A80" s="31" t="s">
        <v>534</v>
      </c>
      <c r="B80" s="31" t="s">
        <v>535</v>
      </c>
      <c r="C80" s="31" t="s">
        <v>536</v>
      </c>
      <c r="D80" s="30">
        <f>ROUND( YEARFRAC( Tabel1[[#This Row],[Geb datum]], DATE(2025,12,31), 1 ), 2 )</f>
        <v>14.95</v>
      </c>
      <c r="E80" s="45">
        <v>40561</v>
      </c>
      <c r="F80" s="87" t="s">
        <v>23</v>
      </c>
      <c r="G80" s="87"/>
      <c r="H80" s="33" t="s">
        <v>42</v>
      </c>
      <c r="I80" s="92"/>
      <c r="J80" s="41"/>
      <c r="L80" s="40" t="s">
        <v>537</v>
      </c>
      <c r="M80" s="28" t="s">
        <v>538</v>
      </c>
      <c r="N80" s="28" t="s">
        <v>539</v>
      </c>
      <c r="O80" s="30">
        <f>ROUND( YEARFRAC( Tabel3[[#This Row],[Geb datum]], DATE(2025,12,31), 1 ), 2 )</f>
        <v>14.17</v>
      </c>
      <c r="P80" s="29">
        <v>40846</v>
      </c>
      <c r="Q80" s="30" t="s">
        <v>22</v>
      </c>
      <c r="R80" s="30"/>
      <c r="S80" s="30" t="s">
        <v>418</v>
      </c>
      <c r="T80" s="94"/>
      <c r="U80" s="42"/>
    </row>
    <row r="81" spans="1:21">
      <c r="A81" t="s">
        <v>540</v>
      </c>
      <c r="B81" t="s">
        <v>541</v>
      </c>
      <c r="C81" t="s">
        <v>542</v>
      </c>
      <c r="D81" s="30">
        <f>ROUND( YEARFRAC( Tabel1[[#This Row],[Geb datum]], DATE(2025,12,31), 1 ), 2 )</f>
        <v>15.01</v>
      </c>
      <c r="E81" s="45">
        <v>40541</v>
      </c>
      <c r="F81" t="s">
        <v>18</v>
      </c>
      <c r="G81"/>
      <c r="H81" t="s">
        <v>407</v>
      </c>
      <c r="I81" s="91"/>
      <c r="J81" s="41"/>
      <c r="L81" s="40" t="s">
        <v>543</v>
      </c>
      <c r="M81" s="28" t="s">
        <v>544</v>
      </c>
      <c r="N81" s="28" t="s">
        <v>354</v>
      </c>
      <c r="O81" s="30">
        <f>ROUND( YEARFRAC( Tabel3[[#This Row],[Geb datum]], DATE(2025,12,31), 1 ), 2 )</f>
        <v>14.16</v>
      </c>
      <c r="P81" s="29">
        <v>40848</v>
      </c>
      <c r="Q81" s="30" t="s">
        <v>21</v>
      </c>
      <c r="R81" s="30"/>
      <c r="S81" s="30" t="s">
        <v>411</v>
      </c>
      <c r="T81" s="94"/>
      <c r="U81" s="42"/>
    </row>
    <row r="82" spans="1:21">
      <c r="A82" t="s">
        <v>545</v>
      </c>
      <c r="B82" t="s">
        <v>546</v>
      </c>
      <c r="C82" t="s">
        <v>547</v>
      </c>
      <c r="D82" s="30">
        <f>ROUND( YEARFRAC( Tabel1[[#This Row],[Geb datum]], DATE(2025,12,31), 1 ), 2 )</f>
        <v>15.01</v>
      </c>
      <c r="E82" s="45">
        <v>40538</v>
      </c>
      <c r="F82" t="s">
        <v>18</v>
      </c>
      <c r="G82"/>
      <c r="H82" t="s">
        <v>407</v>
      </c>
      <c r="I82" s="91"/>
      <c r="J82" s="41"/>
      <c r="L82" s="40" t="s">
        <v>548</v>
      </c>
      <c r="M82" s="28" t="s">
        <v>549</v>
      </c>
      <c r="N82" s="28" t="s">
        <v>550</v>
      </c>
      <c r="O82" s="30">
        <f>ROUND( YEARFRAC( Tabel3[[#This Row],[Geb datum]], DATE(2025,12,31), 1 ), 2 )</f>
        <v>13.94</v>
      </c>
      <c r="P82" s="29">
        <v>40929</v>
      </c>
      <c r="Q82" s="30" t="s">
        <v>23</v>
      </c>
      <c r="R82" s="30"/>
      <c r="S82" s="30" t="s">
        <v>411</v>
      </c>
      <c r="T82" s="94"/>
      <c r="U82" s="42"/>
    </row>
    <row r="83" spans="1:21">
      <c r="A83" t="s">
        <v>551</v>
      </c>
      <c r="B83" t="s">
        <v>552</v>
      </c>
      <c r="C83" t="s">
        <v>553</v>
      </c>
      <c r="D83" s="30">
        <f>ROUND( YEARFRAC( Tabel1[[#This Row],[Geb datum]], DATE(2025,12,31), 1 ), 2 )</f>
        <v>15.09</v>
      </c>
      <c r="E83" s="45">
        <v>40512</v>
      </c>
      <c r="F83" t="s">
        <v>18</v>
      </c>
      <c r="G83"/>
      <c r="H83" t="s">
        <v>407</v>
      </c>
      <c r="I83" s="91"/>
      <c r="J83" s="41"/>
      <c r="L83" s="40" t="s">
        <v>554</v>
      </c>
      <c r="M83" s="28" t="s">
        <v>555</v>
      </c>
      <c r="N83" s="28" t="s">
        <v>556</v>
      </c>
      <c r="O83" s="30">
        <f>ROUND( YEARFRAC( Tabel3[[#This Row],[Geb datum]], DATE(2025,12,31), 1 ), 2 )</f>
        <v>13.7</v>
      </c>
      <c r="P83" s="29">
        <v>41017</v>
      </c>
      <c r="Q83" s="30" t="s">
        <v>22</v>
      </c>
      <c r="R83" s="30"/>
      <c r="S83" s="30" t="s">
        <v>418</v>
      </c>
      <c r="T83" s="94"/>
      <c r="U83" s="42"/>
    </row>
    <row r="84" spans="1:21">
      <c r="A84" t="s">
        <v>557</v>
      </c>
      <c r="B84" t="s">
        <v>558</v>
      </c>
      <c r="C84" t="s">
        <v>559</v>
      </c>
      <c r="D84" s="30">
        <f>ROUND( YEARFRAC( Tabel1[[#This Row],[Geb datum]], DATE(2025,12,31), 1 ), 2 )</f>
        <v>15.12</v>
      </c>
      <c r="E84" s="45">
        <v>40498</v>
      </c>
      <c r="F84" t="s">
        <v>18</v>
      </c>
      <c r="G84"/>
      <c r="H84" t="s">
        <v>407</v>
      </c>
      <c r="I84" s="91"/>
      <c r="J84" s="41"/>
      <c r="L84" s="40" t="s">
        <v>560</v>
      </c>
      <c r="M84" s="28" t="s">
        <v>561</v>
      </c>
      <c r="N84" s="28" t="s">
        <v>133</v>
      </c>
      <c r="O84" s="30">
        <f>ROUND( YEARFRAC( Tabel3[[#This Row],[Geb datum]], DATE(2025,12,31), 1 ), 2 )</f>
        <v>13.63</v>
      </c>
      <c r="P84" s="29">
        <v>41044</v>
      </c>
      <c r="Q84" s="30" t="s">
        <v>21</v>
      </c>
      <c r="R84" s="30"/>
      <c r="S84" s="30" t="s">
        <v>426</v>
      </c>
      <c r="T84" s="94"/>
      <c r="U84" s="42"/>
    </row>
    <row r="85" spans="1:21">
      <c r="A85" t="s">
        <v>562</v>
      </c>
      <c r="B85" t="s">
        <v>563</v>
      </c>
      <c r="C85" t="s">
        <v>174</v>
      </c>
      <c r="D85" s="30">
        <f>ROUND( YEARFRAC( Tabel1[[#This Row],[Geb datum]], DATE(2025,12,31), 1 ), 2 )</f>
        <v>15.27</v>
      </c>
      <c r="E85" s="45">
        <v>40446</v>
      </c>
      <c r="F85" t="s">
        <v>3</v>
      </c>
      <c r="G85"/>
      <c r="H85" t="s">
        <v>366</v>
      </c>
      <c r="I85" s="91"/>
      <c r="J85" s="41"/>
      <c r="L85" s="40" t="s">
        <v>564</v>
      </c>
      <c r="M85" s="28" t="s">
        <v>565</v>
      </c>
      <c r="N85" s="28" t="s">
        <v>566</v>
      </c>
      <c r="O85" s="30">
        <f>ROUND( YEARFRAC( Tabel3[[#This Row],[Geb datum]], DATE(2025,12,31), 1 ), 2 )</f>
        <v>13.42</v>
      </c>
      <c r="P85" s="45">
        <v>41121</v>
      </c>
      <c r="Q85" s="30" t="s">
        <v>23</v>
      </c>
      <c r="R85" s="30"/>
      <c r="S85" s="30" t="s">
        <v>411</v>
      </c>
      <c r="T85" s="94"/>
      <c r="U85" s="42"/>
    </row>
    <row r="86" spans="1:21">
      <c r="A86" t="s">
        <v>567</v>
      </c>
      <c r="B86" t="s">
        <v>568</v>
      </c>
      <c r="C86" t="s">
        <v>569</v>
      </c>
      <c r="D86" s="30">
        <f>ROUND( YEARFRAC( Tabel1[[#This Row],[Geb datum]], DATE(2025,12,31), 1 ), 2 )</f>
        <v>15.29</v>
      </c>
      <c r="E86" s="45">
        <v>40439</v>
      </c>
      <c r="F86" t="s">
        <v>3</v>
      </c>
      <c r="G86"/>
      <c r="H86" t="s">
        <v>366</v>
      </c>
      <c r="I86" s="91"/>
      <c r="J86" s="41"/>
      <c r="L86" s="40" t="s">
        <v>570</v>
      </c>
      <c r="M86" s="28" t="s">
        <v>571</v>
      </c>
      <c r="N86" s="28" t="s">
        <v>572</v>
      </c>
      <c r="O86" s="30">
        <f>ROUND( YEARFRAC( Tabel3[[#This Row],[Geb datum]], DATE(2025,12,31), 1 ), 2 )</f>
        <v>12.99</v>
      </c>
      <c r="P86" s="29">
        <v>41278</v>
      </c>
      <c r="Q86" s="30" t="s">
        <v>24</v>
      </c>
      <c r="R86" s="30"/>
      <c r="S86" s="30" t="s">
        <v>294</v>
      </c>
      <c r="T86" s="94"/>
      <c r="U86" s="42"/>
    </row>
    <row r="87" spans="1:21">
      <c r="A87" t="s">
        <v>573</v>
      </c>
      <c r="B87" t="s">
        <v>574</v>
      </c>
      <c r="C87" t="s">
        <v>432</v>
      </c>
      <c r="D87" s="30">
        <f>ROUND( YEARFRAC( Tabel1[[#This Row],[Geb datum]], DATE(2025,12,31), 1 ), 2 )</f>
        <v>15.31</v>
      </c>
      <c r="E87" s="45">
        <v>40429</v>
      </c>
      <c r="F87" t="s">
        <v>3</v>
      </c>
      <c r="G87"/>
      <c r="H87" t="s">
        <v>422</v>
      </c>
      <c r="I87" s="91"/>
      <c r="J87" s="41"/>
      <c r="L87" s="40" t="s">
        <v>575</v>
      </c>
      <c r="M87" s="28" t="s">
        <v>576</v>
      </c>
      <c r="N87" s="28" t="s">
        <v>577</v>
      </c>
      <c r="O87" s="30">
        <f>ROUND( YEARFRAC( Tabel3[[#This Row],[Geb datum]], DATE(2025,12,31), 1 ), 2 )</f>
        <v>12.98</v>
      </c>
      <c r="P87" s="29">
        <v>41282</v>
      </c>
      <c r="Q87" s="30" t="s">
        <v>25</v>
      </c>
      <c r="R87" s="30"/>
      <c r="S87" s="30" t="s">
        <v>351</v>
      </c>
      <c r="T87" s="94"/>
      <c r="U87" s="42"/>
    </row>
    <row r="88" spans="1:21">
      <c r="A88" t="s">
        <v>578</v>
      </c>
      <c r="B88" t="s">
        <v>579</v>
      </c>
      <c r="C88" t="s">
        <v>580</v>
      </c>
      <c r="D88" s="30">
        <f>ROUND( YEARFRAC( Tabel1[[#This Row],[Geb datum]], DATE(2025,12,31), 1 ), 2 )</f>
        <v>15.55</v>
      </c>
      <c r="E88" s="45">
        <v>40344</v>
      </c>
      <c r="F88" t="s">
        <v>18</v>
      </c>
      <c r="G88"/>
      <c r="H88" t="s">
        <v>407</v>
      </c>
      <c r="I88" s="91"/>
      <c r="J88" s="41"/>
      <c r="L88" s="40" t="s">
        <v>581</v>
      </c>
      <c r="M88" s="28" t="s">
        <v>582</v>
      </c>
      <c r="N88" s="28" t="s">
        <v>583</v>
      </c>
      <c r="O88" s="30">
        <f>ROUND( YEARFRAC( Tabel3[[#This Row],[Geb datum]], DATE(2025,12,31), 1 ), 2 )</f>
        <v>12.93</v>
      </c>
      <c r="P88" s="54">
        <v>41299</v>
      </c>
      <c r="Q88" s="30" t="s">
        <v>25</v>
      </c>
      <c r="R88" s="30"/>
      <c r="S88" s="30" t="s">
        <v>351</v>
      </c>
      <c r="T88" s="94"/>
      <c r="U88" s="42"/>
    </row>
    <row r="89" spans="1:21">
      <c r="A89" s="31" t="s">
        <v>443</v>
      </c>
      <c r="B89" s="31" t="s">
        <v>584</v>
      </c>
      <c r="C89" s="31" t="s">
        <v>265</v>
      </c>
      <c r="D89" s="30">
        <f>ROUND( YEARFRAC( Tabel1[[#This Row],[Geb datum]], DATE(2025,12,31), 1 ), 2 )</f>
        <v>15.56</v>
      </c>
      <c r="E89" s="45">
        <v>40339</v>
      </c>
      <c r="F89" s="87" t="s">
        <v>17</v>
      </c>
      <c r="G89" s="87"/>
      <c r="H89" s="33" t="s">
        <v>42</v>
      </c>
      <c r="I89" s="92"/>
      <c r="J89" s="41"/>
      <c r="L89" s="40" t="s">
        <v>585</v>
      </c>
      <c r="M89" s="28" t="s">
        <v>586</v>
      </c>
      <c r="N89" s="28" t="s">
        <v>587</v>
      </c>
      <c r="O89" s="30">
        <f>ROUND( YEARFRAC( Tabel3[[#This Row],[Geb datum]], DATE(2025,12,31), 1 ), 2 )</f>
        <v>12.93</v>
      </c>
      <c r="P89" s="29">
        <v>41299</v>
      </c>
      <c r="Q89" s="30" t="s">
        <v>25</v>
      </c>
      <c r="R89" s="30"/>
      <c r="S89" s="30" t="s">
        <v>351</v>
      </c>
      <c r="T89" s="94"/>
      <c r="U89" s="42"/>
    </row>
    <row r="90" spans="1:21">
      <c r="A90" t="s">
        <v>588</v>
      </c>
      <c r="B90" t="s">
        <v>589</v>
      </c>
      <c r="C90" t="s">
        <v>590</v>
      </c>
      <c r="D90" s="30">
        <f>ROUND( YEARFRAC( Tabel1[[#This Row],[Geb datum]], DATE(2025,12,31), 1 ), 2 )</f>
        <v>15.59</v>
      </c>
      <c r="E90" s="45">
        <v>40328</v>
      </c>
      <c r="F90" t="s">
        <v>3</v>
      </c>
      <c r="G90"/>
      <c r="H90" t="s">
        <v>426</v>
      </c>
      <c r="I90" s="91"/>
      <c r="J90" s="41"/>
      <c r="L90" s="40" t="s">
        <v>591</v>
      </c>
      <c r="M90" s="28" t="s">
        <v>592</v>
      </c>
      <c r="N90" s="28" t="s">
        <v>593</v>
      </c>
      <c r="O90" s="30">
        <f>ROUND( YEARFRAC( Tabel3[[#This Row],[Geb datum]], DATE(2025,12,31), 1 ), 2 )</f>
        <v>12.72</v>
      </c>
      <c r="P90" s="29">
        <v>41375</v>
      </c>
      <c r="Q90" s="30" t="s">
        <v>24</v>
      </c>
      <c r="R90" s="30"/>
      <c r="S90" s="30" t="s">
        <v>294</v>
      </c>
      <c r="T90" s="94"/>
      <c r="U90" s="42"/>
    </row>
    <row r="91" spans="1:21">
      <c r="A91" t="s">
        <v>594</v>
      </c>
      <c r="B91" t="s">
        <v>595</v>
      </c>
      <c r="C91" t="s">
        <v>596</v>
      </c>
      <c r="D91" s="30">
        <f>ROUND( YEARFRAC( Tabel1[[#This Row],[Geb datum]], DATE(2025,12,31), 1 ), 2 )</f>
        <v>15.59</v>
      </c>
      <c r="E91" s="45">
        <v>40327</v>
      </c>
      <c r="F91" t="s">
        <v>3</v>
      </c>
      <c r="G91"/>
      <c r="H91" t="s">
        <v>366</v>
      </c>
      <c r="I91" s="91"/>
      <c r="J91" s="41"/>
      <c r="L91" s="53" t="s">
        <v>597</v>
      </c>
      <c r="M91" s="57" t="s">
        <v>598</v>
      </c>
      <c r="N91" s="57" t="s">
        <v>599</v>
      </c>
      <c r="O91" s="30">
        <f>ROUND( YEARFRAC( Tabel3[[#This Row],[Geb datum]], DATE(2025,12,31), 1 ), 2 )</f>
        <v>12.08</v>
      </c>
      <c r="P91" s="54">
        <v>41611</v>
      </c>
      <c r="Q91" s="30" t="s">
        <v>24</v>
      </c>
      <c r="R91" s="30"/>
      <c r="S91" s="30" t="s">
        <v>294</v>
      </c>
      <c r="T91" s="94"/>
      <c r="U91" s="42"/>
    </row>
    <row r="92" spans="1:21">
      <c r="A92" t="s">
        <v>600</v>
      </c>
      <c r="B92" t="s">
        <v>601</v>
      </c>
      <c r="C92" t="s">
        <v>602</v>
      </c>
      <c r="D92" s="30">
        <f>ROUND( YEARFRAC( Tabel1[[#This Row],[Geb datum]], DATE(2025,12,31), 1 ), 2 )</f>
        <v>15.59</v>
      </c>
      <c r="E92" s="45">
        <v>40329</v>
      </c>
      <c r="F92" t="s">
        <v>18</v>
      </c>
      <c r="G92"/>
      <c r="H92" t="s">
        <v>436</v>
      </c>
      <c r="I92" s="91"/>
      <c r="J92" s="41"/>
      <c r="L92" s="40" t="s">
        <v>603</v>
      </c>
      <c r="M92" s="28" t="s">
        <v>604</v>
      </c>
      <c r="N92" s="28" t="s">
        <v>605</v>
      </c>
      <c r="O92" s="30">
        <f>ROUND( YEARFRAC( Tabel3[[#This Row],[Geb datum]], DATE(2025,12,31), 1 ), 2 )</f>
        <v>11.94</v>
      </c>
      <c r="P92" s="29">
        <v>41662</v>
      </c>
      <c r="Q92" s="30" t="s">
        <v>28</v>
      </c>
      <c r="R92" s="30"/>
      <c r="S92" s="30" t="s">
        <v>275</v>
      </c>
      <c r="T92" s="94"/>
      <c r="U92" s="42"/>
    </row>
    <row r="93" spans="1:21">
      <c r="A93" t="s">
        <v>606</v>
      </c>
      <c r="B93" t="s">
        <v>607</v>
      </c>
      <c r="C93" t="s">
        <v>519</v>
      </c>
      <c r="D93" s="30">
        <f>ROUND( YEARFRAC( Tabel1[[#This Row],[Geb datum]], DATE(2025,12,31), 1 ), 2 )</f>
        <v>15.74</v>
      </c>
      <c r="E93" s="45">
        <v>40273</v>
      </c>
      <c r="F93" t="s">
        <v>17</v>
      </c>
      <c r="G93"/>
      <c r="H93" t="s">
        <v>436</v>
      </c>
      <c r="I93" s="91"/>
      <c r="J93" s="41"/>
      <c r="L93" s="40" t="s">
        <v>608</v>
      </c>
      <c r="M93" s="28" t="s">
        <v>609</v>
      </c>
      <c r="N93" s="28" t="s">
        <v>610</v>
      </c>
      <c r="O93" s="30">
        <f>ROUND( YEARFRAC( Tabel3[[#This Row],[Geb datum]], DATE(2025,12,31), 1 ), 2 )</f>
        <v>11.92</v>
      </c>
      <c r="P93" s="29">
        <v>41668</v>
      </c>
      <c r="Q93" s="30" t="s">
        <v>25</v>
      </c>
      <c r="R93" s="30"/>
      <c r="S93" s="30" t="s">
        <v>351</v>
      </c>
      <c r="T93" s="94"/>
      <c r="U93" s="42"/>
    </row>
    <row r="94" spans="1:21">
      <c r="A94" t="s">
        <v>611</v>
      </c>
      <c r="B94" t="s">
        <v>612</v>
      </c>
      <c r="C94" t="s">
        <v>613</v>
      </c>
      <c r="D94" s="30">
        <f>ROUND( YEARFRAC( Tabel1[[#This Row],[Geb datum]], DATE(2025,12,31), 1 ), 2 )</f>
        <v>15.82</v>
      </c>
      <c r="E94" s="45">
        <v>40243</v>
      </c>
      <c r="F94" t="s">
        <v>3</v>
      </c>
      <c r="G94"/>
      <c r="H94" t="s">
        <v>422</v>
      </c>
      <c r="I94" s="91"/>
      <c r="J94" s="41"/>
      <c r="L94" s="40" t="s">
        <v>614</v>
      </c>
      <c r="M94" s="28" t="s">
        <v>615</v>
      </c>
      <c r="N94" s="28" t="s">
        <v>101</v>
      </c>
      <c r="O94" s="30">
        <f>ROUND( YEARFRAC( Tabel3[[#This Row],[Geb datum]], DATE(2025,12,31), 1 ), 2 )</f>
        <v>11.87</v>
      </c>
      <c r="P94" s="29">
        <v>41686</v>
      </c>
      <c r="Q94" s="30" t="s">
        <v>29</v>
      </c>
      <c r="R94" s="30"/>
      <c r="S94" s="30" t="s">
        <v>294</v>
      </c>
      <c r="T94" s="94"/>
      <c r="U94" s="42"/>
    </row>
    <row r="95" spans="1:21">
      <c r="A95" t="s">
        <v>616</v>
      </c>
      <c r="B95" t="s">
        <v>617</v>
      </c>
      <c r="C95" t="s">
        <v>547</v>
      </c>
      <c r="D95" s="30">
        <f>ROUND( YEARFRAC( Tabel1[[#This Row],[Geb datum]], DATE(2025,12,31), 1 ), 2 )</f>
        <v>15.83</v>
      </c>
      <c r="E95" s="45">
        <v>40239</v>
      </c>
      <c r="F95" t="s">
        <v>2</v>
      </c>
      <c r="G95"/>
      <c r="H95" t="s">
        <v>366</v>
      </c>
      <c r="I95" s="91"/>
      <c r="J95" s="41"/>
      <c r="L95" s="40" t="s">
        <v>618</v>
      </c>
      <c r="M95" s="28" t="s">
        <v>619</v>
      </c>
      <c r="N95" s="28" t="s">
        <v>620</v>
      </c>
      <c r="O95" s="30">
        <f>ROUND( YEARFRAC( Tabel3[[#This Row],[Geb datum]], DATE(2025,12,31), 1 ), 2 )</f>
        <v>11.85</v>
      </c>
      <c r="P95" s="29">
        <v>41695</v>
      </c>
      <c r="Q95" s="30" t="s">
        <v>27</v>
      </c>
      <c r="R95" s="30"/>
      <c r="S95" s="30" t="s">
        <v>288</v>
      </c>
      <c r="T95" s="94"/>
      <c r="U95" s="42"/>
    </row>
    <row r="96" spans="1:21">
      <c r="A96" t="s">
        <v>621</v>
      </c>
      <c r="B96" t="s">
        <v>622</v>
      </c>
      <c r="C96" t="s">
        <v>623</v>
      </c>
      <c r="D96" s="30">
        <f>ROUND( YEARFRAC( Tabel1[[#This Row],[Geb datum]], DATE(2025,12,31), 1 ), 2 )</f>
        <v>15.87</v>
      </c>
      <c r="E96" s="45">
        <v>40226</v>
      </c>
      <c r="F96" t="s">
        <v>18</v>
      </c>
      <c r="G96"/>
      <c r="H96" t="s">
        <v>436</v>
      </c>
      <c r="I96" s="91"/>
      <c r="J96" s="41"/>
      <c r="L96" s="40" t="s">
        <v>624</v>
      </c>
      <c r="M96" s="28" t="s">
        <v>625</v>
      </c>
      <c r="N96" s="28" t="s">
        <v>626</v>
      </c>
      <c r="O96" s="30">
        <f>ROUND( YEARFRAC( Tabel3[[#This Row],[Geb datum]], DATE(2025,12,31), 1 ), 2 )</f>
        <v>11.82</v>
      </c>
      <c r="P96" s="29">
        <v>41706</v>
      </c>
      <c r="Q96" s="30" t="s">
        <v>28</v>
      </c>
      <c r="R96" s="30"/>
      <c r="S96" s="30" t="s">
        <v>275</v>
      </c>
      <c r="T96" s="94"/>
      <c r="U96" s="42"/>
    </row>
    <row r="97" spans="1:21">
      <c r="A97" t="s">
        <v>627</v>
      </c>
      <c r="B97" t="s">
        <v>628</v>
      </c>
      <c r="C97" t="s">
        <v>143</v>
      </c>
      <c r="D97" s="30">
        <f>ROUND( YEARFRAC( Tabel1[[#This Row],[Geb datum]], DATE(2025,12,31), 1 ), 2 )</f>
        <v>15.87</v>
      </c>
      <c r="E97" s="45">
        <v>40227</v>
      </c>
      <c r="F97" t="s">
        <v>3</v>
      </c>
      <c r="G97"/>
      <c r="H97" t="s">
        <v>426</v>
      </c>
      <c r="I97" s="91"/>
      <c r="J97" s="41"/>
      <c r="L97" s="40" t="s">
        <v>629</v>
      </c>
      <c r="M97" s="28" t="s">
        <v>630</v>
      </c>
      <c r="N97" s="28" t="s">
        <v>631</v>
      </c>
      <c r="O97" s="30">
        <f>ROUND( YEARFRAC( Tabel3[[#This Row],[Geb datum]], DATE(2025,12,31), 1 ), 2 )</f>
        <v>11.77</v>
      </c>
      <c r="P97" s="29">
        <v>41722</v>
      </c>
      <c r="Q97" s="30" t="s">
        <v>29</v>
      </c>
      <c r="R97" s="30"/>
      <c r="S97" s="30" t="s">
        <v>288</v>
      </c>
      <c r="T97" s="94"/>
      <c r="U97" s="42"/>
    </row>
    <row r="98" spans="1:21">
      <c r="A98" t="s">
        <v>632</v>
      </c>
      <c r="B98" t="s">
        <v>633</v>
      </c>
      <c r="C98" t="s">
        <v>596</v>
      </c>
      <c r="D98" s="30">
        <f>ROUND( YEARFRAC( Tabel1[[#This Row],[Geb datum]], DATE(2025,12,31), 1 ), 2 )</f>
        <v>15.97</v>
      </c>
      <c r="E98" s="45">
        <v>40189</v>
      </c>
      <c r="F98" t="s">
        <v>3</v>
      </c>
      <c r="G98"/>
      <c r="H98" t="s">
        <v>422</v>
      </c>
      <c r="I98" s="91"/>
      <c r="J98" s="41"/>
      <c r="L98" s="40" t="s">
        <v>634</v>
      </c>
      <c r="M98" s="28" t="s">
        <v>635</v>
      </c>
      <c r="N98" s="28" t="s">
        <v>636</v>
      </c>
      <c r="O98" s="30">
        <f>ROUND( YEARFRAC( Tabel3[[#This Row],[Geb datum]], DATE(2025,12,31), 1 ), 2 )</f>
        <v>11.74</v>
      </c>
      <c r="P98" s="29">
        <v>41735</v>
      </c>
      <c r="Q98" s="30" t="s">
        <v>27</v>
      </c>
      <c r="R98" s="30"/>
      <c r="S98" s="30" t="s">
        <v>288</v>
      </c>
      <c r="T98" s="94"/>
      <c r="U98" s="42"/>
    </row>
    <row r="99" spans="1:21">
      <c r="A99" t="s">
        <v>637</v>
      </c>
      <c r="B99" t="s">
        <v>638</v>
      </c>
      <c r="C99" t="s">
        <v>639</v>
      </c>
      <c r="D99" s="30">
        <f>ROUND( YEARFRAC( Tabel1[[#This Row],[Geb datum]], DATE(2025,12,31), 1 ), 2 )</f>
        <v>16.03</v>
      </c>
      <c r="E99" s="45">
        <v>40169</v>
      </c>
      <c r="F99" t="s">
        <v>3</v>
      </c>
      <c r="G99"/>
      <c r="H99" t="s">
        <v>422</v>
      </c>
      <c r="I99" s="91"/>
      <c r="J99" s="41"/>
      <c r="L99" s="40" t="s">
        <v>640</v>
      </c>
      <c r="M99" s="28" t="s">
        <v>641</v>
      </c>
      <c r="N99" s="28" t="s">
        <v>642</v>
      </c>
      <c r="O99" s="30">
        <f>ROUND( YEARFRAC( Tabel3[[#This Row],[Geb datum]], DATE(2025,12,31), 1 ), 2 )</f>
        <v>11.73</v>
      </c>
      <c r="P99" s="29">
        <v>41737</v>
      </c>
      <c r="Q99" s="30" t="s">
        <v>29</v>
      </c>
      <c r="R99" s="30"/>
      <c r="S99" s="30" t="s">
        <v>294</v>
      </c>
      <c r="T99" s="94"/>
      <c r="U99" s="42"/>
    </row>
    <row r="100" spans="1:21">
      <c r="A100" t="s">
        <v>643</v>
      </c>
      <c r="B100" t="s">
        <v>644</v>
      </c>
      <c r="C100" t="s">
        <v>645</v>
      </c>
      <c r="D100" s="30">
        <f>ROUND( YEARFRAC( Tabel1[[#This Row],[Geb datum]], DATE(2025,12,31), 1 ), 2 )</f>
        <v>16.100000000000001</v>
      </c>
      <c r="E100" s="45">
        <v>40143</v>
      </c>
      <c r="F100" t="s">
        <v>17</v>
      </c>
      <c r="G100"/>
      <c r="H100" t="s">
        <v>407</v>
      </c>
      <c r="I100" s="91"/>
      <c r="J100" s="41"/>
      <c r="L100" s="31" t="s">
        <v>646</v>
      </c>
      <c r="M100" s="28" t="s">
        <v>647</v>
      </c>
      <c r="N100" s="28" t="s">
        <v>550</v>
      </c>
      <c r="O100" s="30">
        <f>ROUND( YEARFRAC( Tabel3[[#This Row],[Geb datum]], DATE(2025,12,31), 1 ), 2 )</f>
        <v>11.67</v>
      </c>
      <c r="P100" s="29">
        <v>41760</v>
      </c>
      <c r="Q100" s="30" t="s">
        <v>27</v>
      </c>
      <c r="R100" s="30"/>
      <c r="S100" s="30" t="s">
        <v>288</v>
      </c>
      <c r="T100" s="94"/>
      <c r="U100" s="42"/>
    </row>
    <row r="101" spans="1:21">
      <c r="A101" t="s">
        <v>648</v>
      </c>
      <c r="B101" t="s">
        <v>649</v>
      </c>
      <c r="C101" t="s">
        <v>139</v>
      </c>
      <c r="D101" s="30">
        <f>ROUND( YEARFRAC( Tabel1[[#This Row],[Geb datum]], DATE(2025,12,31), 1 ), 2 )</f>
        <v>16.22</v>
      </c>
      <c r="E101" s="45">
        <v>40097</v>
      </c>
      <c r="F101" t="s">
        <v>17</v>
      </c>
      <c r="G101"/>
      <c r="H101" t="s">
        <v>318</v>
      </c>
      <c r="I101" s="91"/>
      <c r="J101" s="41"/>
      <c r="L101" s="40" t="s">
        <v>650</v>
      </c>
      <c r="M101" s="28" t="s">
        <v>651</v>
      </c>
      <c r="N101" s="28" t="s">
        <v>652</v>
      </c>
      <c r="O101" s="30">
        <f>ROUND( YEARFRAC( Tabel3[[#This Row],[Geb datum]], DATE(2025,12,31), 1 ), 2 )</f>
        <v>11.67</v>
      </c>
      <c r="P101" s="29">
        <v>41760</v>
      </c>
      <c r="Q101" s="30" t="s">
        <v>27</v>
      </c>
      <c r="R101" s="30"/>
      <c r="S101" s="30" t="s">
        <v>288</v>
      </c>
      <c r="T101" s="94"/>
      <c r="U101" s="42"/>
    </row>
    <row r="102" spans="1:21">
      <c r="A102" t="s">
        <v>653</v>
      </c>
      <c r="B102" t="s">
        <v>654</v>
      </c>
      <c r="C102" t="s">
        <v>655</v>
      </c>
      <c r="D102" s="30">
        <f>ROUND( YEARFRAC( Tabel1[[#This Row],[Geb datum]], DATE(2025,12,31), 1 ), 2 )</f>
        <v>16.28</v>
      </c>
      <c r="E102" s="45">
        <v>40075</v>
      </c>
      <c r="F102" t="s">
        <v>17</v>
      </c>
      <c r="G102"/>
      <c r="H102" t="s">
        <v>436</v>
      </c>
      <c r="I102" s="91"/>
      <c r="J102" s="41"/>
      <c r="L102" s="40" t="s">
        <v>656</v>
      </c>
      <c r="M102" s="28" t="s">
        <v>657</v>
      </c>
      <c r="N102" s="28" t="s">
        <v>658</v>
      </c>
      <c r="O102" s="30">
        <f>ROUND( YEARFRAC( Tabel3[[#This Row],[Geb datum]], DATE(2025,12,31), 1 ), 2 )</f>
        <v>11.61</v>
      </c>
      <c r="P102" s="29">
        <v>41780</v>
      </c>
      <c r="Q102" s="30" t="s">
        <v>28</v>
      </c>
      <c r="R102" s="30"/>
      <c r="S102" s="30" t="s">
        <v>275</v>
      </c>
      <c r="T102" s="94"/>
      <c r="U102" s="42"/>
    </row>
    <row r="103" spans="1:21">
      <c r="A103" t="s">
        <v>659</v>
      </c>
      <c r="B103" t="s">
        <v>660</v>
      </c>
      <c r="C103" t="s">
        <v>661</v>
      </c>
      <c r="D103" s="30">
        <f>ROUND( YEARFRAC( Tabel1[[#This Row],[Geb datum]], DATE(2025,12,31), 1 ), 2 )</f>
        <v>16.45</v>
      </c>
      <c r="E103" s="45">
        <v>40015</v>
      </c>
      <c r="F103" t="s">
        <v>17</v>
      </c>
      <c r="G103"/>
      <c r="H103" t="s">
        <v>318</v>
      </c>
      <c r="I103" s="91"/>
      <c r="J103" s="41"/>
      <c r="L103" s="40" t="s">
        <v>662</v>
      </c>
      <c r="M103" s="28" t="s">
        <v>663</v>
      </c>
      <c r="N103" s="28" t="s">
        <v>510</v>
      </c>
      <c r="O103" s="30">
        <f>ROUND( YEARFRAC( Tabel3[[#This Row],[Geb datum]], DATE(2025,12,31), 1 ), 2 )</f>
        <v>11.47</v>
      </c>
      <c r="P103" s="29">
        <v>41832</v>
      </c>
      <c r="Q103" s="30" t="s">
        <v>28</v>
      </c>
      <c r="R103" s="30"/>
      <c r="S103" s="30" t="s">
        <v>275</v>
      </c>
      <c r="T103" s="94"/>
      <c r="U103" s="42"/>
    </row>
    <row r="104" spans="1:21">
      <c r="A104" t="s">
        <v>664</v>
      </c>
      <c r="B104" t="s">
        <v>665</v>
      </c>
      <c r="C104" t="s">
        <v>293</v>
      </c>
      <c r="D104" s="30">
        <f>ROUND( YEARFRAC( Tabel1[[#This Row],[Geb datum]], DATE(2025,12,31), 1 ), 2 )</f>
        <v>16.510000000000002</v>
      </c>
      <c r="E104" s="45">
        <v>39993</v>
      </c>
      <c r="F104" t="s">
        <v>2</v>
      </c>
      <c r="G104"/>
      <c r="H104" t="s">
        <v>311</v>
      </c>
      <c r="I104" s="91"/>
      <c r="J104" s="41"/>
      <c r="L104" s="40" t="s">
        <v>666</v>
      </c>
      <c r="M104" s="28" t="s">
        <v>667</v>
      </c>
      <c r="N104" s="28" t="s">
        <v>668</v>
      </c>
      <c r="O104" s="30">
        <f>ROUND( YEARFRAC( Tabel3[[#This Row],[Geb datum]], DATE(2025,12,31), 1 ), 2 )</f>
        <v>11.38</v>
      </c>
      <c r="P104" s="29">
        <v>41867</v>
      </c>
      <c r="Q104" s="62" t="s">
        <v>28</v>
      </c>
      <c r="R104" s="62"/>
      <c r="S104" s="62" t="s">
        <v>275</v>
      </c>
      <c r="T104" s="96"/>
      <c r="U104" s="42"/>
    </row>
    <row r="105" spans="1:21">
      <c r="A105" t="s">
        <v>669</v>
      </c>
      <c r="B105" t="s">
        <v>670</v>
      </c>
      <c r="C105" t="s">
        <v>65</v>
      </c>
      <c r="D105" s="30">
        <f>ROUND( YEARFRAC( Tabel1[[#This Row],[Geb datum]], DATE(2025,12,31), 1 ), 2 )</f>
        <v>16.82</v>
      </c>
      <c r="E105" s="45">
        <v>39878</v>
      </c>
      <c r="F105" t="s">
        <v>3</v>
      </c>
      <c r="G105"/>
      <c r="H105" t="s">
        <v>422</v>
      </c>
      <c r="I105" s="91"/>
      <c r="J105" s="41"/>
      <c r="L105" s="40" t="s">
        <v>671</v>
      </c>
      <c r="M105" s="28" t="s">
        <v>672</v>
      </c>
      <c r="N105" s="28" t="s">
        <v>673</v>
      </c>
      <c r="O105" s="30">
        <f>ROUND( YEARFRAC( Tabel3[[#This Row],[Geb datum]], DATE(2025,12,31), 1 ), 2 )</f>
        <v>11.11</v>
      </c>
      <c r="P105" s="29">
        <v>41963</v>
      </c>
      <c r="Q105" s="30" t="s">
        <v>27</v>
      </c>
      <c r="R105" s="30"/>
      <c r="S105" s="30" t="s">
        <v>288</v>
      </c>
      <c r="T105" s="94"/>
      <c r="U105" s="42"/>
    </row>
    <row r="106" spans="1:21">
      <c r="A106" t="s">
        <v>674</v>
      </c>
      <c r="B106" t="s">
        <v>675</v>
      </c>
      <c r="C106" t="s">
        <v>676</v>
      </c>
      <c r="D106" s="30">
        <f>ROUND( YEARFRAC( Tabel1[[#This Row],[Geb datum]], DATE(2025,12,31), 1 ), 2 )</f>
        <v>17.02</v>
      </c>
      <c r="E106" s="45">
        <v>39804</v>
      </c>
      <c r="F106" t="s">
        <v>2</v>
      </c>
      <c r="G106"/>
      <c r="H106" t="s">
        <v>304</v>
      </c>
      <c r="I106" s="91"/>
      <c r="J106" s="41"/>
      <c r="L106" s="40" t="s">
        <v>677</v>
      </c>
      <c r="M106" s="28" t="s">
        <v>678</v>
      </c>
      <c r="N106" s="28" t="s">
        <v>679</v>
      </c>
      <c r="O106" s="30">
        <f>ROUND( YEARFRAC( Tabel3[[#This Row],[Geb datum]], DATE(2025,12,31), 1 ), 2 )</f>
        <v>10.98</v>
      </c>
      <c r="P106" s="29">
        <v>42011</v>
      </c>
      <c r="Q106" s="30" t="s">
        <v>30</v>
      </c>
      <c r="R106" s="30"/>
      <c r="S106" s="30" t="s">
        <v>223</v>
      </c>
      <c r="T106" s="94"/>
      <c r="U106" s="42"/>
    </row>
    <row r="107" spans="1:21">
      <c r="A107" t="s">
        <v>680</v>
      </c>
      <c r="B107" t="s">
        <v>681</v>
      </c>
      <c r="C107" t="s">
        <v>682</v>
      </c>
      <c r="D107" s="30">
        <f>ROUND( YEARFRAC( Tabel1[[#This Row],[Geb datum]], DATE(2025,12,31), 1 ), 2 )</f>
        <v>17.14</v>
      </c>
      <c r="E107" s="54">
        <v>39760</v>
      </c>
      <c r="F107" t="s">
        <v>1</v>
      </c>
      <c r="G107"/>
      <c r="H107" t="s">
        <v>311</v>
      </c>
      <c r="I107" s="91"/>
      <c r="J107" s="41"/>
      <c r="L107" s="40" t="s">
        <v>683</v>
      </c>
      <c r="M107" s="28" t="s">
        <v>684</v>
      </c>
      <c r="N107" s="28" t="s">
        <v>685</v>
      </c>
      <c r="O107" s="30">
        <f>ROUND( YEARFRAC( Tabel3[[#This Row],[Geb datum]], DATE(2025,12,31), 1 ), 2 )</f>
        <v>10.9</v>
      </c>
      <c r="P107" s="29">
        <v>42040</v>
      </c>
      <c r="Q107" s="33" t="s">
        <v>29</v>
      </c>
      <c r="S107" s="30" t="s">
        <v>235</v>
      </c>
      <c r="T107" s="94"/>
      <c r="U107" s="42"/>
    </row>
    <row r="108" spans="1:21">
      <c r="A108" t="s">
        <v>686</v>
      </c>
      <c r="B108" t="s">
        <v>687</v>
      </c>
      <c r="C108" t="s">
        <v>688</v>
      </c>
      <c r="D108" s="30">
        <f>ROUND( YEARFRAC( Tabel1[[#This Row],[Geb datum]], DATE(2025,12,31), 1 ), 2 )</f>
        <v>17.170000000000002</v>
      </c>
      <c r="E108" s="45">
        <v>39751</v>
      </c>
      <c r="F108" t="s">
        <v>2</v>
      </c>
      <c r="G108"/>
      <c r="H108" t="s">
        <v>304</v>
      </c>
      <c r="I108" s="91"/>
      <c r="J108" s="41"/>
      <c r="L108" s="40" t="s">
        <v>689</v>
      </c>
      <c r="M108" s="28" t="s">
        <v>690</v>
      </c>
      <c r="N108" s="28" t="s">
        <v>691</v>
      </c>
      <c r="O108" s="30">
        <f>ROUND( YEARFRAC( Tabel3[[#This Row],[Geb datum]], DATE(2025,12,31), 1 ), 2 )</f>
        <v>10.58</v>
      </c>
      <c r="P108" s="29">
        <v>42156</v>
      </c>
      <c r="Q108" s="33" t="s">
        <v>30</v>
      </c>
      <c r="S108" s="30" t="s">
        <v>223</v>
      </c>
      <c r="T108" s="94"/>
      <c r="U108" s="42"/>
    </row>
    <row r="109" spans="1:21">
      <c r="A109" t="s">
        <v>692</v>
      </c>
      <c r="B109" t="s">
        <v>693</v>
      </c>
      <c r="C109" t="s">
        <v>287</v>
      </c>
      <c r="D109" s="30">
        <f>ROUND( YEARFRAC( Tabel1[[#This Row],[Geb datum]], DATE(2025,12,31), 1 ), 2 )</f>
        <v>17.5</v>
      </c>
      <c r="E109" s="45">
        <v>39629</v>
      </c>
      <c r="F109" t="s">
        <v>2</v>
      </c>
      <c r="G109"/>
      <c r="H109" t="s">
        <v>304</v>
      </c>
      <c r="I109" s="91"/>
      <c r="J109" s="41"/>
      <c r="L109" s="40" t="s">
        <v>694</v>
      </c>
      <c r="M109" s="28" t="s">
        <v>695</v>
      </c>
      <c r="N109" s="28" t="s">
        <v>442</v>
      </c>
      <c r="O109" s="30">
        <f>ROUND( YEARFRAC( Tabel3[[#This Row],[Geb datum]], DATE(2025,12,31), 1 ), 2 )</f>
        <v>10.58</v>
      </c>
      <c r="P109" s="29">
        <v>42157</v>
      </c>
      <c r="Q109" s="50" t="s">
        <v>30</v>
      </c>
      <c r="R109" s="50"/>
      <c r="S109" s="30" t="s">
        <v>187</v>
      </c>
      <c r="T109" s="94"/>
      <c r="U109" s="42"/>
    </row>
    <row r="110" spans="1:21">
      <c r="A110" t="s">
        <v>696</v>
      </c>
      <c r="B110" t="s">
        <v>697</v>
      </c>
      <c r="C110" t="s">
        <v>698</v>
      </c>
      <c r="D110" s="30">
        <f>ROUND( YEARFRAC( Tabel1[[#This Row],[Geb datum]], DATE(2025,12,31), 1 ), 2 )</f>
        <v>17.690000000000001</v>
      </c>
      <c r="E110" s="45">
        <v>39562</v>
      </c>
      <c r="F110" t="s">
        <v>2</v>
      </c>
      <c r="G110"/>
      <c r="H110" t="s">
        <v>304</v>
      </c>
      <c r="I110" s="91"/>
      <c r="J110" s="41"/>
      <c r="L110" s="40" t="s">
        <v>699</v>
      </c>
      <c r="M110" s="28" t="s">
        <v>700</v>
      </c>
      <c r="N110" s="28" t="s">
        <v>701</v>
      </c>
      <c r="O110" s="30">
        <f>ROUND( YEARFRAC( Tabel3[[#This Row],[Geb datum]], DATE(2025,12,31), 1 ), 2 )</f>
        <v>10.53</v>
      </c>
      <c r="P110" s="29">
        <v>42174</v>
      </c>
      <c r="Q110" s="30" t="s">
        <v>30</v>
      </c>
      <c r="R110" s="30"/>
      <c r="S110" s="30" t="s">
        <v>187</v>
      </c>
      <c r="T110" s="94"/>
      <c r="U110" s="42"/>
    </row>
    <row r="111" spans="1:21">
      <c r="A111" t="s">
        <v>702</v>
      </c>
      <c r="B111" t="s">
        <v>703</v>
      </c>
      <c r="C111" t="s">
        <v>704</v>
      </c>
      <c r="D111" s="30">
        <f>ROUND( YEARFRAC( Tabel1[[#This Row],[Geb datum]], DATE(2025,12,31), 1 ), 2 )</f>
        <v>17.75</v>
      </c>
      <c r="E111" s="45">
        <v>39538</v>
      </c>
      <c r="F111" t="s">
        <v>2</v>
      </c>
      <c r="G111"/>
      <c r="H111" t="s">
        <v>304</v>
      </c>
      <c r="I111" s="91"/>
      <c r="J111" s="41"/>
      <c r="L111" s="40" t="s">
        <v>705</v>
      </c>
      <c r="M111" s="28" t="s">
        <v>706</v>
      </c>
      <c r="N111" s="28" t="s">
        <v>421</v>
      </c>
      <c r="O111" s="30">
        <f>ROUND( YEARFRAC( Tabel3[[#This Row],[Geb datum]], DATE(2025,12,31), 1 ), 2 )</f>
        <v>10.119999999999999</v>
      </c>
      <c r="P111" s="29">
        <v>42324</v>
      </c>
      <c r="Q111" s="30" t="s">
        <v>30</v>
      </c>
      <c r="R111" s="30"/>
      <c r="S111" s="30" t="s">
        <v>223</v>
      </c>
      <c r="T111" s="94"/>
      <c r="U111" s="42"/>
    </row>
    <row r="112" spans="1:21">
      <c r="A112" t="s">
        <v>707</v>
      </c>
      <c r="B112" t="s">
        <v>708</v>
      </c>
      <c r="C112" t="s">
        <v>709</v>
      </c>
      <c r="D112" s="30">
        <f>ROUND( YEARFRAC( Tabel1[[#This Row],[Geb datum]], DATE(2025,12,31), 1 ), 2 )</f>
        <v>18.329999999999998</v>
      </c>
      <c r="E112" s="45">
        <v>39328</v>
      </c>
      <c r="F112" t="s">
        <v>95</v>
      </c>
      <c r="G112"/>
      <c r="H112" t="s">
        <v>153</v>
      </c>
      <c r="I112" s="91"/>
      <c r="J112" s="41"/>
      <c r="L112" s="40" t="s">
        <v>710</v>
      </c>
      <c r="M112" s="28" t="s">
        <v>711</v>
      </c>
      <c r="N112" s="28" t="s">
        <v>254</v>
      </c>
      <c r="O112" s="30">
        <f>ROUND( YEARFRAC( Tabel3[[#This Row],[Geb datum]], DATE(2025,12,31), 1 ), 2 )</f>
        <v>9.5399999999999991</v>
      </c>
      <c r="P112" s="29">
        <v>42538</v>
      </c>
      <c r="Q112" s="30" t="s">
        <v>34</v>
      </c>
      <c r="R112" s="30"/>
      <c r="S112" s="30" t="s">
        <v>42</v>
      </c>
      <c r="T112" s="94"/>
      <c r="U112" s="42"/>
    </row>
    <row r="113" spans="1:21">
      <c r="A113" t="s">
        <v>712</v>
      </c>
      <c r="B113" t="s">
        <v>713</v>
      </c>
      <c r="C113" t="s">
        <v>714</v>
      </c>
      <c r="D113" s="30">
        <f>ROUND( YEARFRAC( Tabel1[[#This Row],[Geb datum]], DATE(2025,12,31), 1 ), 2 )</f>
        <v>18.34</v>
      </c>
      <c r="E113" s="45">
        <v>39324</v>
      </c>
      <c r="F113" t="s">
        <v>2</v>
      </c>
      <c r="G113"/>
      <c r="H113" t="s">
        <v>311</v>
      </c>
      <c r="I113" s="91"/>
      <c r="J113" s="41"/>
      <c r="L113" s="40" t="s">
        <v>715</v>
      </c>
      <c r="M113" s="28" t="s">
        <v>716</v>
      </c>
      <c r="N113" s="28" t="s">
        <v>717</v>
      </c>
      <c r="O113" s="30">
        <f>ROUND( YEARFRAC( Tabel3[[#This Row],[Geb datum]], DATE(2025,12,31), 1 ), 2 )</f>
        <v>9.19</v>
      </c>
      <c r="P113" s="29">
        <v>42664</v>
      </c>
      <c r="Q113" s="88" t="s">
        <v>34</v>
      </c>
      <c r="R113" s="88"/>
      <c r="S113" s="30" t="s">
        <v>163</v>
      </c>
      <c r="T113" s="94"/>
      <c r="U113" s="42"/>
    </row>
    <row r="114" spans="1:21">
      <c r="A114" t="s">
        <v>718</v>
      </c>
      <c r="B114" t="s">
        <v>719</v>
      </c>
      <c r="C114" t="s">
        <v>174</v>
      </c>
      <c r="D114" s="30">
        <f>ROUND( YEARFRAC( Tabel1[[#This Row],[Geb datum]], DATE(2025,12,31), 1 ), 2 )</f>
        <v>18.47</v>
      </c>
      <c r="E114" s="45">
        <v>39274</v>
      </c>
      <c r="F114" t="s">
        <v>11</v>
      </c>
      <c r="G114"/>
      <c r="H114" t="s">
        <v>318</v>
      </c>
      <c r="I114" s="91"/>
      <c r="J114" s="41"/>
      <c r="L114" s="40" t="s">
        <v>720</v>
      </c>
      <c r="M114" s="28" t="s">
        <v>721</v>
      </c>
      <c r="N114" s="28" t="s">
        <v>722</v>
      </c>
      <c r="O114" s="30">
        <f>ROUND( YEARFRAC( Tabel3[[#This Row],[Geb datum]], DATE(2025,12,31), 1 ), 2 )</f>
        <v>8.9700000000000006</v>
      </c>
      <c r="P114" s="29">
        <v>42746</v>
      </c>
      <c r="Q114" s="151" t="s">
        <v>36</v>
      </c>
      <c r="R114" s="151"/>
      <c r="S114" s="30" t="s">
        <v>130</v>
      </c>
      <c r="T114" s="94"/>
      <c r="U114" s="42"/>
    </row>
    <row r="115" spans="1:21">
      <c r="A115" t="s">
        <v>723</v>
      </c>
      <c r="B115" t="s">
        <v>724</v>
      </c>
      <c r="C115" t="s">
        <v>725</v>
      </c>
      <c r="D115" s="30">
        <f>ROUND( YEARFRAC( Tabel1[[#This Row],[Geb datum]], DATE(2025,12,31), 1 ), 2 )</f>
        <v>18.91</v>
      </c>
      <c r="E115" s="45">
        <v>39114</v>
      </c>
      <c r="F115" t="s">
        <v>2</v>
      </c>
      <c r="G115"/>
      <c r="H115" t="s">
        <v>311</v>
      </c>
      <c r="I115" s="91"/>
      <c r="J115" s="41"/>
      <c r="L115" s="40" t="s">
        <v>726</v>
      </c>
      <c r="M115" s="28" t="s">
        <v>727</v>
      </c>
      <c r="N115" s="28" t="s">
        <v>728</v>
      </c>
      <c r="O115" s="30">
        <f>ROUND( YEARFRAC( Tabel3[[#This Row],[Geb datum]], DATE(2025,12,31), 1 ), 2 )</f>
        <v>8.74</v>
      </c>
      <c r="P115" s="29">
        <v>42831</v>
      </c>
      <c r="Q115" s="30" t="s">
        <v>38</v>
      </c>
      <c r="R115" s="30"/>
      <c r="S115" s="30" t="s">
        <v>123</v>
      </c>
      <c r="T115" s="94"/>
      <c r="U115" s="42"/>
    </row>
    <row r="116" spans="1:21">
      <c r="A116" t="s">
        <v>729</v>
      </c>
      <c r="B116" t="s">
        <v>730</v>
      </c>
      <c r="C116" t="s">
        <v>731</v>
      </c>
      <c r="D116" s="30">
        <f>ROUND( YEARFRAC( Tabel1[[#This Row],[Geb datum]], DATE(2025,12,31), 1 ), 2 )</f>
        <v>19.5</v>
      </c>
      <c r="E116" s="45">
        <v>38900</v>
      </c>
      <c r="F116" t="s">
        <v>95</v>
      </c>
      <c r="G116"/>
      <c r="H116" t="s">
        <v>318</v>
      </c>
      <c r="I116" s="91"/>
      <c r="J116" s="41"/>
      <c r="L116" s="40" t="s">
        <v>732</v>
      </c>
      <c r="M116" s="28" t="s">
        <v>733</v>
      </c>
      <c r="N116" s="28" t="s">
        <v>734</v>
      </c>
      <c r="O116" s="30">
        <f>ROUND( YEARFRAC( Tabel3[[#This Row],[Geb datum]], DATE(2025,12,31), 1 ), 2 )</f>
        <v>8.5500000000000007</v>
      </c>
      <c r="P116" s="29">
        <v>42901</v>
      </c>
      <c r="Q116" s="50" t="s">
        <v>36</v>
      </c>
      <c r="R116" s="50"/>
      <c r="S116" s="30" t="s">
        <v>116</v>
      </c>
      <c r="T116" s="94"/>
      <c r="U116" s="42"/>
    </row>
    <row r="117" spans="1:21">
      <c r="A117" t="s">
        <v>735</v>
      </c>
      <c r="B117" t="s">
        <v>736</v>
      </c>
      <c r="C117" t="s">
        <v>737</v>
      </c>
      <c r="D117" s="30">
        <f>ROUND( YEARFRAC( Tabel1[[#This Row],[Geb datum]], DATE(2025,12,31), 1 ), 2 )</f>
        <v>20.170000000000002</v>
      </c>
      <c r="E117" s="45">
        <v>38656</v>
      </c>
      <c r="F117" t="s">
        <v>1</v>
      </c>
      <c r="G117"/>
      <c r="H117" t="s">
        <v>140</v>
      </c>
      <c r="I117" s="91"/>
      <c r="J117" s="41"/>
      <c r="L117" s="40" t="s">
        <v>738</v>
      </c>
      <c r="M117" s="28" t="s">
        <v>739</v>
      </c>
      <c r="N117" s="28" t="s">
        <v>209</v>
      </c>
      <c r="O117" s="30">
        <f>ROUND( YEARFRAC( Tabel3[[#This Row],[Geb datum]], DATE(2025,12,31), 1 ), 2 )</f>
        <v>8.44</v>
      </c>
      <c r="P117" s="29">
        <v>42941</v>
      </c>
      <c r="Q117" s="50" t="s">
        <v>35</v>
      </c>
      <c r="R117" s="50"/>
      <c r="S117" s="30" t="s">
        <v>116</v>
      </c>
      <c r="T117" s="94"/>
      <c r="U117" s="42"/>
    </row>
    <row r="118" spans="1:21">
      <c r="A118" t="s">
        <v>740</v>
      </c>
      <c r="B118" t="s">
        <v>741</v>
      </c>
      <c r="C118" t="s">
        <v>742</v>
      </c>
      <c r="D118" s="30">
        <f>ROUND( YEARFRAC( Tabel1[[#This Row],[Geb datum]], DATE(2025,12,31), 1 ), 2 )</f>
        <v>20.23</v>
      </c>
      <c r="E118" s="45">
        <v>38635</v>
      </c>
      <c r="F118" t="s">
        <v>1</v>
      </c>
      <c r="G118"/>
      <c r="H118" t="s">
        <v>140</v>
      </c>
      <c r="I118" s="91"/>
      <c r="J118" s="41"/>
      <c r="L118" s="40" t="s">
        <v>743</v>
      </c>
      <c r="M118" s="28" t="s">
        <v>744</v>
      </c>
      <c r="N118" s="28" t="s">
        <v>745</v>
      </c>
      <c r="O118" s="30">
        <f>ROUND( YEARFRAC( Tabel3[[#This Row],[Geb datum]], DATE(2025,12,31), 1 ), 2 )</f>
        <v>8.34</v>
      </c>
      <c r="P118" s="29">
        <v>42975</v>
      </c>
      <c r="Q118" s="30" t="s">
        <v>39</v>
      </c>
      <c r="R118" s="30"/>
      <c r="S118" s="30" t="s">
        <v>79</v>
      </c>
      <c r="T118" s="94"/>
      <c r="U118" s="42"/>
    </row>
    <row r="119" spans="1:21">
      <c r="A119" t="s">
        <v>746</v>
      </c>
      <c r="B119" t="s">
        <v>747</v>
      </c>
      <c r="C119" t="s">
        <v>410</v>
      </c>
      <c r="D119" s="30">
        <f>ROUND( YEARFRAC( Tabel1[[#This Row],[Geb datum]], DATE(2025,12,31), 1 ), 2 )</f>
        <v>20.329999999999998</v>
      </c>
      <c r="E119" s="45">
        <v>38597</v>
      </c>
      <c r="F119" t="s">
        <v>9</v>
      </c>
      <c r="G119"/>
      <c r="H119" t="s">
        <v>108</v>
      </c>
      <c r="I119" s="91"/>
      <c r="J119" s="41"/>
      <c r="L119" s="48" t="s">
        <v>748</v>
      </c>
      <c r="M119" s="49" t="s">
        <v>749</v>
      </c>
      <c r="N119" s="49" t="s">
        <v>652</v>
      </c>
      <c r="O119" s="30">
        <f>ROUND( YEARFRAC( Tabel3[[#This Row],[Geb datum]], DATE(2025,12,31), 1 ), 2 )</f>
        <v>8.31</v>
      </c>
      <c r="P119" s="51">
        <v>42986</v>
      </c>
      <c r="Q119" s="50" t="s">
        <v>35</v>
      </c>
      <c r="R119" s="50"/>
      <c r="S119" s="50" t="s">
        <v>116</v>
      </c>
      <c r="T119" s="95"/>
      <c r="U119" s="47"/>
    </row>
    <row r="120" spans="1:21">
      <c r="A120" t="s">
        <v>750</v>
      </c>
      <c r="B120" t="s">
        <v>751</v>
      </c>
      <c r="C120" t="s">
        <v>752</v>
      </c>
      <c r="D120" s="30">
        <f>ROUND( YEARFRAC( Tabel1[[#This Row],[Geb datum]], DATE(2025,12,31), 1 ), 2 )</f>
        <v>20.46</v>
      </c>
      <c r="E120" s="45">
        <v>38550</v>
      </c>
      <c r="F120" t="s">
        <v>11</v>
      </c>
      <c r="G120"/>
      <c r="H120" t="s">
        <v>318</v>
      </c>
      <c r="I120" s="91"/>
      <c r="J120" s="41"/>
      <c r="L120" s="48" t="s">
        <v>753</v>
      </c>
      <c r="M120" s="49" t="s">
        <v>754</v>
      </c>
      <c r="N120" s="49" t="s">
        <v>755</v>
      </c>
      <c r="O120" s="50">
        <f>ROUND( YEARFRAC( Tabel3[[#This Row],[Geb datum]], DATE(2025,12,31), 1 ), 2 )</f>
        <v>8.1</v>
      </c>
      <c r="P120" s="51">
        <v>43062</v>
      </c>
      <c r="Q120" s="50" t="s">
        <v>40</v>
      </c>
      <c r="R120" s="50"/>
      <c r="S120" s="50"/>
      <c r="T120" s="95"/>
      <c r="U120" s="47"/>
    </row>
    <row r="121" spans="1:21">
      <c r="A121" t="s">
        <v>756</v>
      </c>
      <c r="B121" t="s">
        <v>757</v>
      </c>
      <c r="C121" t="s">
        <v>758</v>
      </c>
      <c r="D121" s="30">
        <f>ROUND( YEARFRAC( Tabel1[[#This Row],[Geb datum]], DATE(2025,12,31), 1 ), 2 )</f>
        <v>20.57</v>
      </c>
      <c r="E121" s="45">
        <v>38509</v>
      </c>
      <c r="F121" t="s">
        <v>9</v>
      </c>
      <c r="G121"/>
      <c r="H121" t="s">
        <v>108</v>
      </c>
      <c r="I121" s="91"/>
      <c r="J121" s="41"/>
      <c r="L121" s="48" t="s">
        <v>759</v>
      </c>
      <c r="M121" s="49" t="s">
        <v>760</v>
      </c>
      <c r="N121" s="49" t="s">
        <v>761</v>
      </c>
      <c r="O121" s="50">
        <f>ROUND( YEARFRAC( Tabel3[[#This Row],[Geb datum]], DATE(2025,12,31), 1 ), 2 )</f>
        <v>7.96</v>
      </c>
      <c r="P121" s="51">
        <v>43114</v>
      </c>
      <c r="Q121" s="50" t="s">
        <v>38</v>
      </c>
      <c r="R121" s="50"/>
      <c r="S121" s="50" t="s">
        <v>123</v>
      </c>
      <c r="T121" s="95"/>
      <c r="U121" s="47"/>
    </row>
    <row r="122" spans="1:21">
      <c r="A122" t="s">
        <v>762</v>
      </c>
      <c r="B122" t="s">
        <v>763</v>
      </c>
      <c r="C122" t="s">
        <v>725</v>
      </c>
      <c r="D122" s="30">
        <f>ROUND( YEARFRAC( Tabel1[[#This Row],[Geb datum]], DATE(2025,12,31), 1 ), 2 )</f>
        <v>20.65</v>
      </c>
      <c r="E122" s="45">
        <v>38480</v>
      </c>
      <c r="F122" t="s">
        <v>95</v>
      </c>
      <c r="G122"/>
      <c r="H122" t="s">
        <v>203</v>
      </c>
      <c r="I122" s="91"/>
      <c r="J122" s="41"/>
      <c r="L122" s="48" t="s">
        <v>764</v>
      </c>
      <c r="M122" s="49" t="s">
        <v>765</v>
      </c>
      <c r="N122" s="49" t="s">
        <v>605</v>
      </c>
      <c r="O122" s="50">
        <f>ROUND( YEARFRAC( Tabel3[[#This Row],[Geb datum]], DATE(2025,12,31), 1 ), 2 )</f>
        <v>7.82</v>
      </c>
      <c r="P122" s="51">
        <v>43166</v>
      </c>
      <c r="Q122" s="50" t="s">
        <v>39</v>
      </c>
      <c r="R122" s="50"/>
      <c r="S122" s="50" t="s">
        <v>79</v>
      </c>
      <c r="T122" s="95"/>
      <c r="U122" s="47"/>
    </row>
    <row r="123" spans="1:21">
      <c r="A123" s="31" t="s">
        <v>766</v>
      </c>
      <c r="B123" s="31" t="s">
        <v>767</v>
      </c>
      <c r="C123" s="31" t="s">
        <v>768</v>
      </c>
      <c r="D123" s="30">
        <f>ROUND( YEARFRAC( Tabel1[[#This Row],[Geb datum]], DATE(2025,12,31), 1 ), 2 )</f>
        <v>20.73</v>
      </c>
      <c r="E123" s="45">
        <v>38451</v>
      </c>
      <c r="F123" s="33" t="s">
        <v>9</v>
      </c>
      <c r="G123" s="87"/>
      <c r="H123" s="33"/>
      <c r="I123" s="91"/>
      <c r="J123" s="41"/>
      <c r="L123" s="48" t="s">
        <v>769</v>
      </c>
      <c r="M123" s="49" t="s">
        <v>770</v>
      </c>
      <c r="N123" s="49" t="s">
        <v>556</v>
      </c>
      <c r="O123" s="50">
        <f>ROUND( YEARFRAC( Tabel3[[#This Row],[Geb datum]], DATE(2025,12,31), 1 ), 2 )</f>
        <v>7.69</v>
      </c>
      <c r="P123" s="51">
        <v>43214</v>
      </c>
      <c r="Q123" s="50" t="s">
        <v>40</v>
      </c>
      <c r="R123" s="50"/>
      <c r="S123" s="50" t="s">
        <v>123</v>
      </c>
      <c r="T123" s="95"/>
      <c r="U123" s="47"/>
    </row>
    <row r="124" spans="1:21">
      <c r="A124" t="s">
        <v>771</v>
      </c>
      <c r="B124" t="s">
        <v>772</v>
      </c>
      <c r="C124" t="s">
        <v>773</v>
      </c>
      <c r="D124" s="30">
        <f>ROUND( YEARFRAC( Tabel1[[#This Row],[Geb datum]], DATE(2025,12,31), 1 ), 2 )</f>
        <v>20.78</v>
      </c>
      <c r="E124" s="45">
        <v>38432</v>
      </c>
      <c r="F124" t="s">
        <v>1</v>
      </c>
      <c r="G124"/>
      <c r="H124" t="s">
        <v>140</v>
      </c>
      <c r="I124" s="91"/>
      <c r="J124" s="41"/>
      <c r="L124" s="48" t="s">
        <v>774</v>
      </c>
      <c r="M124" s="49" t="s">
        <v>775</v>
      </c>
      <c r="N124" s="49" t="s">
        <v>202</v>
      </c>
      <c r="O124" s="50">
        <f>ROUND( YEARFRAC( Tabel3[[#This Row],[Geb datum]], DATE(2025,12,31), 1 ), 2 )</f>
        <v>7.36</v>
      </c>
      <c r="P124" s="51">
        <v>43333</v>
      </c>
      <c r="Q124" s="50" t="s">
        <v>40</v>
      </c>
      <c r="R124" s="50"/>
      <c r="S124" s="50" t="s">
        <v>123</v>
      </c>
      <c r="T124" s="95"/>
      <c r="U124" s="98"/>
    </row>
    <row r="125" spans="1:21">
      <c r="A125" s="31" t="s">
        <v>776</v>
      </c>
      <c r="B125" s="31" t="s">
        <v>777</v>
      </c>
      <c r="C125" s="31" t="s">
        <v>778</v>
      </c>
      <c r="D125" s="30">
        <f>ROUND( YEARFRAC( Tabel1[[#This Row],[Geb datum]], DATE(2025,12,31), 1 ), 2 )</f>
        <v>21.21</v>
      </c>
      <c r="E125" s="45">
        <v>38274</v>
      </c>
      <c r="F125" s="33"/>
      <c r="G125" s="33"/>
      <c r="H125" s="33"/>
      <c r="I125" s="92"/>
      <c r="J125" s="41"/>
      <c r="L125" s="48" t="s">
        <v>779</v>
      </c>
      <c r="M125" s="49" t="s">
        <v>780</v>
      </c>
      <c r="N125" s="49" t="s">
        <v>781</v>
      </c>
      <c r="O125" s="50">
        <f>ROUND( YEARFRAC( Tabel3[[#This Row],[Geb datum]], DATE(2025,12,31), 1 ), 2 )</f>
        <v>6.95</v>
      </c>
      <c r="P125" s="51">
        <v>43485</v>
      </c>
      <c r="Q125" s="50" t="s">
        <v>39</v>
      </c>
      <c r="R125" s="50"/>
      <c r="S125" s="50" t="s">
        <v>79</v>
      </c>
      <c r="T125" s="95"/>
      <c r="U125" s="98"/>
    </row>
    <row r="126" spans="1:21">
      <c r="A126" t="s">
        <v>782</v>
      </c>
      <c r="B126" t="s">
        <v>783</v>
      </c>
      <c r="C126" t="s">
        <v>784</v>
      </c>
      <c r="D126" s="30">
        <f>ROUND( YEARFRAC( Tabel1[[#This Row],[Geb datum]], DATE(2025,12,31), 1 ), 2 )</f>
        <v>21.23</v>
      </c>
      <c r="E126" s="45">
        <v>38267</v>
      </c>
      <c r="F126" t="s">
        <v>9</v>
      </c>
      <c r="G126"/>
      <c r="H126" t="s">
        <v>108</v>
      </c>
      <c r="I126" s="91"/>
      <c r="J126" s="41"/>
      <c r="L126" s="48" t="s">
        <v>785</v>
      </c>
      <c r="M126" s="49" t="s">
        <v>786</v>
      </c>
      <c r="N126" s="49" t="s">
        <v>556</v>
      </c>
      <c r="O126" s="50">
        <f>ROUND( YEARFRAC( Tabel3[[#This Row],[Geb datum]], DATE(2025,12,31), 1 ), 2 )</f>
        <v>6.82</v>
      </c>
      <c r="P126" s="51">
        <v>43532</v>
      </c>
      <c r="Q126" s="50" t="s">
        <v>38</v>
      </c>
      <c r="R126" s="50"/>
      <c r="S126" s="50" t="s">
        <v>123</v>
      </c>
      <c r="T126" s="95"/>
      <c r="U126" s="98"/>
    </row>
    <row r="127" spans="1:21">
      <c r="A127" t="s">
        <v>787</v>
      </c>
      <c r="B127" t="s">
        <v>788</v>
      </c>
      <c r="C127" t="s">
        <v>789</v>
      </c>
      <c r="D127" s="30">
        <f>ROUND( YEARFRAC( Tabel1[[#This Row],[Geb datum]], DATE(2025,12,31), 1 ), 2 )</f>
        <v>21.52</v>
      </c>
      <c r="E127" s="45">
        <v>38163</v>
      </c>
      <c r="F127" t="s">
        <v>11</v>
      </c>
      <c r="G127"/>
      <c r="H127" t="s">
        <v>203</v>
      </c>
      <c r="I127" s="91"/>
      <c r="J127" s="41"/>
      <c r="L127" s="48">
        <v>111</v>
      </c>
      <c r="M127" s="147" t="s">
        <v>790</v>
      </c>
      <c r="N127" s="49" t="s">
        <v>791</v>
      </c>
      <c r="O127" s="50">
        <f>ROUND( YEARFRAC( Tabel3[[#This Row],[Geb datum]], DATE(2025,12,31), 1 ), 2 )</f>
        <v>6</v>
      </c>
      <c r="P127" s="51">
        <v>43831</v>
      </c>
      <c r="Q127" s="50" t="s">
        <v>9</v>
      </c>
      <c r="R127" s="50"/>
      <c r="S127" s="50"/>
      <c r="T127" s="95"/>
      <c r="U127" s="98"/>
    </row>
    <row r="128" spans="1:21">
      <c r="A128" t="s">
        <v>792</v>
      </c>
      <c r="B128" t="s">
        <v>793</v>
      </c>
      <c r="C128" t="s">
        <v>462</v>
      </c>
      <c r="D128" s="30">
        <f>ROUND( YEARFRAC( Tabel1[[#This Row],[Geb datum]], DATE(2025,12,31), 1 ), 2 )</f>
        <v>21.75</v>
      </c>
      <c r="E128" s="45">
        <v>38079</v>
      </c>
      <c r="F128" t="s">
        <v>9</v>
      </c>
      <c r="G128"/>
      <c r="H128" t="s">
        <v>108</v>
      </c>
      <c r="I128" s="91"/>
      <c r="J128" s="41"/>
      <c r="L128" s="150" t="s">
        <v>794</v>
      </c>
      <c r="M128" s="49" t="s">
        <v>795</v>
      </c>
      <c r="N128" s="49" t="s">
        <v>796</v>
      </c>
      <c r="O128" s="50">
        <f>ROUND( YEARFRAC( Tabel3[[#This Row],[Geb datum]], DATE(2025,12,31), 1 ), 2 )</f>
        <v>5.01</v>
      </c>
      <c r="P128" s="51">
        <v>44190</v>
      </c>
      <c r="Q128" s="50" t="s">
        <v>44</v>
      </c>
      <c r="R128" s="50"/>
      <c r="S128" s="50" t="s">
        <v>44</v>
      </c>
      <c r="T128" s="95"/>
      <c r="U128" s="98"/>
    </row>
    <row r="129" spans="1:21">
      <c r="A129" t="s">
        <v>797</v>
      </c>
      <c r="B129" t="s">
        <v>798</v>
      </c>
      <c r="C129" t="s">
        <v>799</v>
      </c>
      <c r="D129" s="30">
        <f>ROUND( YEARFRAC( Tabel1[[#This Row],[Geb datum]], DATE(2025,12,31), 1 ), 2 )</f>
        <v>21.93</v>
      </c>
      <c r="E129" s="54">
        <v>38011</v>
      </c>
      <c r="F129" t="s">
        <v>1</v>
      </c>
      <c r="G129"/>
      <c r="H129" t="s">
        <v>153</v>
      </c>
      <c r="I129" s="91"/>
      <c r="J129" s="41"/>
      <c r="L129"/>
      <c r="M129"/>
      <c r="N129"/>
      <c r="O129"/>
      <c r="P129"/>
      <c r="Q129"/>
      <c r="R129"/>
      <c r="S129"/>
      <c r="T129"/>
      <c r="U129"/>
    </row>
    <row r="130" spans="1:21">
      <c r="A130" t="s">
        <v>800</v>
      </c>
      <c r="B130" t="s">
        <v>801</v>
      </c>
      <c r="C130" t="s">
        <v>802</v>
      </c>
      <c r="D130" s="30">
        <f>ROUND( YEARFRAC( Tabel1[[#This Row],[Geb datum]], DATE(2025,12,31), 1 ), 2 )</f>
        <v>22.78</v>
      </c>
      <c r="E130" s="45">
        <v>37702</v>
      </c>
      <c r="F130" t="s">
        <v>10</v>
      </c>
      <c r="G130"/>
      <c r="H130" t="s">
        <v>178</v>
      </c>
      <c r="I130" s="91"/>
      <c r="J130" s="41"/>
      <c r="L130"/>
      <c r="M130"/>
      <c r="N130"/>
      <c r="O130"/>
      <c r="P130"/>
      <c r="Q130"/>
      <c r="R130"/>
      <c r="S130"/>
      <c r="T130"/>
      <c r="U130"/>
    </row>
    <row r="131" spans="1:21">
      <c r="A131" t="s">
        <v>803</v>
      </c>
      <c r="B131" t="s">
        <v>804</v>
      </c>
      <c r="C131" t="s">
        <v>805</v>
      </c>
      <c r="D131" s="30">
        <f>ROUND( YEARFRAC( Tabel1[[#This Row],[Geb datum]], DATE(2025,12,31), 1 ), 2 )</f>
        <v>22.83</v>
      </c>
      <c r="E131" s="45">
        <v>37684</v>
      </c>
      <c r="F131" t="s">
        <v>1</v>
      </c>
      <c r="G131"/>
      <c r="H131" t="s">
        <v>140</v>
      </c>
      <c r="I131" s="91"/>
      <c r="J131" s="41"/>
      <c r="L131"/>
      <c r="M131"/>
      <c r="N131"/>
      <c r="O131"/>
      <c r="P131"/>
      <c r="Q131"/>
      <c r="R131"/>
      <c r="S131"/>
      <c r="T131"/>
      <c r="U131"/>
    </row>
    <row r="132" spans="1:21">
      <c r="A132" t="s">
        <v>806</v>
      </c>
      <c r="B132" t="s">
        <v>807</v>
      </c>
      <c r="C132" t="s">
        <v>425</v>
      </c>
      <c r="D132" s="30">
        <f>ROUND( YEARFRAC( Tabel1[[#This Row],[Geb datum]], DATE(2025,12,31), 1 ), 2 )</f>
        <v>23.19</v>
      </c>
      <c r="E132" s="45">
        <v>37551</v>
      </c>
      <c r="F132" t="s">
        <v>1</v>
      </c>
      <c r="G132"/>
      <c r="H132" t="s">
        <v>140</v>
      </c>
      <c r="I132" s="91"/>
      <c r="J132" s="41"/>
      <c r="L132"/>
      <c r="M132"/>
      <c r="N132"/>
      <c r="O132"/>
      <c r="P132"/>
      <c r="Q132"/>
      <c r="R132"/>
      <c r="S132"/>
      <c r="T132"/>
      <c r="U132"/>
    </row>
    <row r="133" spans="1:21">
      <c r="A133" t="s">
        <v>808</v>
      </c>
      <c r="B133" t="s">
        <v>809</v>
      </c>
      <c r="C133" t="s">
        <v>810</v>
      </c>
      <c r="D133" s="30">
        <f>ROUND( YEARFRAC( Tabel1[[#This Row],[Geb datum]], DATE(2025,12,31), 1 ), 2 )</f>
        <v>23.22</v>
      </c>
      <c r="E133" s="45">
        <v>37541</v>
      </c>
      <c r="F133" t="s">
        <v>11</v>
      </c>
      <c r="G133"/>
      <c r="H133" t="s">
        <v>203</v>
      </c>
      <c r="I133" s="91"/>
      <c r="J133" s="41"/>
      <c r="L133"/>
      <c r="M133"/>
      <c r="N133"/>
      <c r="O133"/>
      <c r="P133"/>
      <c r="Q133"/>
      <c r="R133"/>
      <c r="S133"/>
      <c r="T133"/>
      <c r="U133"/>
    </row>
    <row r="134" spans="1:21">
      <c r="A134" t="s">
        <v>811</v>
      </c>
      <c r="B134" t="s">
        <v>812</v>
      </c>
      <c r="C134" t="s">
        <v>813</v>
      </c>
      <c r="D134" s="30">
        <f>ROUND( YEARFRAC( Tabel1[[#This Row],[Geb datum]], DATE(2025,12,31), 1 ), 2 )</f>
        <v>23.81</v>
      </c>
      <c r="E134" s="45">
        <v>37324</v>
      </c>
      <c r="F134" s="57" t="s">
        <v>10</v>
      </c>
      <c r="G134" s="57"/>
      <c r="H134" t="s">
        <v>178</v>
      </c>
      <c r="I134" s="91"/>
      <c r="J134" s="41"/>
      <c r="L134"/>
      <c r="M134"/>
      <c r="N134"/>
      <c r="O134"/>
      <c r="P134"/>
      <c r="Q134"/>
      <c r="R134"/>
      <c r="S134"/>
      <c r="T134"/>
      <c r="U134"/>
    </row>
    <row r="135" spans="1:21">
      <c r="A135" t="s">
        <v>814</v>
      </c>
      <c r="B135" t="s">
        <v>815</v>
      </c>
      <c r="C135" t="s">
        <v>417</v>
      </c>
      <c r="D135" s="30">
        <f>ROUND( YEARFRAC( Tabel1[[#This Row],[Geb datum]], DATE(2025,12,31), 1 ), 2 )</f>
        <v>23.86</v>
      </c>
      <c r="E135" s="45">
        <v>37307</v>
      </c>
      <c r="F135" s="57" t="s">
        <v>1</v>
      </c>
      <c r="G135" s="57"/>
      <c r="H135" t="s">
        <v>153</v>
      </c>
      <c r="I135" s="91"/>
      <c r="J135" s="41"/>
      <c r="L135"/>
      <c r="M135"/>
      <c r="N135"/>
      <c r="O135"/>
      <c r="P135"/>
      <c r="Q135"/>
      <c r="R135"/>
      <c r="S135"/>
      <c r="T135"/>
      <c r="U135"/>
    </row>
    <row r="136" spans="1:21">
      <c r="A136" t="s">
        <v>816</v>
      </c>
      <c r="B136" t="s">
        <v>817</v>
      </c>
      <c r="C136" t="s">
        <v>519</v>
      </c>
      <c r="D136" s="30">
        <f>ROUND( YEARFRAC( Tabel1[[#This Row],[Geb datum]], DATE(2025,12,31), 1 ), 2 )</f>
        <v>23.89</v>
      </c>
      <c r="E136" s="45">
        <v>37295</v>
      </c>
      <c r="F136" s="57" t="s">
        <v>11</v>
      </c>
      <c r="G136" s="57"/>
      <c r="H136" t="s">
        <v>203</v>
      </c>
      <c r="I136" s="91"/>
      <c r="J136" s="41"/>
      <c r="L136"/>
      <c r="M136"/>
      <c r="N136"/>
      <c r="O136"/>
      <c r="P136"/>
      <c r="Q136"/>
      <c r="R136"/>
      <c r="S136"/>
      <c r="T136"/>
      <c r="U136"/>
    </row>
    <row r="137" spans="1:21">
      <c r="A137" s="81" t="s">
        <v>818</v>
      </c>
      <c r="B137" s="86" t="s">
        <v>819</v>
      </c>
      <c r="C137" s="86" t="s">
        <v>462</v>
      </c>
      <c r="D137" s="50">
        <f>ROUND( YEARFRAC( Tabel1[[#This Row],[Geb datum]], DATE(2025,12,31), 1 ), 2 )</f>
        <v>23.96</v>
      </c>
      <c r="E137" s="79">
        <v>37269</v>
      </c>
      <c r="F137" s="86" t="s">
        <v>10</v>
      </c>
      <c r="G137" s="86"/>
      <c r="H137" s="86" t="s">
        <v>178</v>
      </c>
      <c r="I137" s="93"/>
      <c r="J137" s="80"/>
      <c r="L137"/>
      <c r="M137"/>
      <c r="N137"/>
      <c r="O137"/>
      <c r="P137"/>
      <c r="Q137"/>
      <c r="R137"/>
      <c r="S137"/>
      <c r="T137"/>
      <c r="U137"/>
    </row>
    <row r="138" spans="1:21">
      <c r="A138" s="81" t="s">
        <v>820</v>
      </c>
      <c r="B138" s="86" t="s">
        <v>821</v>
      </c>
      <c r="C138" s="86" t="s">
        <v>822</v>
      </c>
      <c r="D138" s="50">
        <f>ROUND( YEARFRAC( Tabel1[[#This Row],[Geb datum]], DATE(2025,12,31), 1 ), 2 )</f>
        <v>24.42</v>
      </c>
      <c r="E138" s="79">
        <v>37104</v>
      </c>
      <c r="F138" s="86" t="s">
        <v>10</v>
      </c>
      <c r="G138" s="86"/>
      <c r="H138" s="86" t="s">
        <v>178</v>
      </c>
      <c r="I138" s="93"/>
      <c r="J138" s="80"/>
      <c r="L138"/>
      <c r="M138"/>
      <c r="N138"/>
      <c r="O138"/>
      <c r="P138"/>
      <c r="Q138"/>
      <c r="R138"/>
      <c r="S138"/>
      <c r="T138"/>
      <c r="U138"/>
    </row>
    <row r="139" spans="1:21">
      <c r="A139" s="81" t="s">
        <v>823</v>
      </c>
      <c r="B139" s="86" t="s">
        <v>824</v>
      </c>
      <c r="C139" s="86" t="s">
        <v>825</v>
      </c>
      <c r="D139" s="50">
        <f>ROUND( YEARFRAC( Tabel1[[#This Row],[Geb datum]], DATE(2025,12,31), 1 ), 2 )</f>
        <v>24.42</v>
      </c>
      <c r="E139" s="79">
        <v>37104</v>
      </c>
      <c r="F139" s="86" t="s">
        <v>10</v>
      </c>
      <c r="G139" s="86"/>
      <c r="H139" s="86" t="s">
        <v>178</v>
      </c>
      <c r="I139" s="93"/>
      <c r="J139" s="80"/>
      <c r="L139"/>
      <c r="M139"/>
      <c r="N139"/>
      <c r="O139"/>
      <c r="P139"/>
      <c r="Q139"/>
      <c r="R139"/>
      <c r="S139"/>
      <c r="T139"/>
      <c r="U139"/>
    </row>
    <row r="140" spans="1:21">
      <c r="A140" s="81" t="s">
        <v>826</v>
      </c>
      <c r="B140" s="86" t="s">
        <v>827</v>
      </c>
      <c r="C140" s="86" t="s">
        <v>828</v>
      </c>
      <c r="D140" s="50">
        <f>ROUND( YEARFRAC( Tabel1[[#This Row],[Geb datum]], DATE(2025,12,31), 1 ), 2 )</f>
        <v>24.72</v>
      </c>
      <c r="E140" s="79">
        <v>36993</v>
      </c>
      <c r="F140" s="86" t="s">
        <v>9</v>
      </c>
      <c r="G140" s="86"/>
      <c r="H140" s="86" t="s">
        <v>108</v>
      </c>
      <c r="I140" s="93"/>
      <c r="J140" s="80"/>
      <c r="L140"/>
      <c r="M140"/>
      <c r="N140"/>
      <c r="O140"/>
      <c r="P140"/>
      <c r="Q140"/>
      <c r="R140"/>
      <c r="S140"/>
      <c r="T140"/>
      <c r="U140"/>
    </row>
    <row r="141" spans="1:21">
      <c r="A141" s="81" t="s">
        <v>829</v>
      </c>
      <c r="B141" s="86" t="s">
        <v>830</v>
      </c>
      <c r="C141" s="86" t="s">
        <v>596</v>
      </c>
      <c r="D141" s="50">
        <f>ROUND( YEARFRAC( Tabel1[[#This Row],[Geb datum]], DATE(2025,12,31), 1 ), 2 )</f>
        <v>24.87</v>
      </c>
      <c r="E141" s="79">
        <v>36938</v>
      </c>
      <c r="F141" s="86" t="s">
        <v>1</v>
      </c>
      <c r="G141" s="86"/>
      <c r="H141" s="86" t="s">
        <v>140</v>
      </c>
      <c r="I141" s="93"/>
      <c r="J141" s="80"/>
      <c r="L141"/>
      <c r="M141"/>
      <c r="N141"/>
      <c r="O141"/>
      <c r="P141"/>
      <c r="Q141"/>
      <c r="R141"/>
      <c r="S141"/>
      <c r="T141"/>
      <c r="U141"/>
    </row>
    <row r="142" spans="1:21">
      <c r="A142" s="81" t="s">
        <v>831</v>
      </c>
      <c r="B142" s="86" t="s">
        <v>832</v>
      </c>
      <c r="C142" s="86" t="s">
        <v>115</v>
      </c>
      <c r="D142" s="50">
        <f>ROUND( YEARFRAC( Tabel1[[#This Row],[Geb datum]], DATE(2025,12,31), 1 ), 2 )</f>
        <v>25.01</v>
      </c>
      <c r="E142" s="79">
        <v>36887</v>
      </c>
      <c r="F142" s="86" t="s">
        <v>10</v>
      </c>
      <c r="G142" s="86"/>
      <c r="H142" s="86" t="s">
        <v>178</v>
      </c>
      <c r="I142" s="93"/>
      <c r="J142" s="80"/>
      <c r="L142"/>
      <c r="M142"/>
      <c r="N142"/>
      <c r="O142"/>
      <c r="P142"/>
      <c r="Q142"/>
      <c r="R142"/>
      <c r="S142"/>
      <c r="T142"/>
      <c r="U142"/>
    </row>
    <row r="143" spans="1:21">
      <c r="A143" s="81" t="s">
        <v>833</v>
      </c>
      <c r="B143" s="86" t="s">
        <v>834</v>
      </c>
      <c r="C143" s="86" t="s">
        <v>731</v>
      </c>
      <c r="D143" s="50">
        <f>ROUND( YEARFRAC( Tabel1[[#This Row],[Geb datum]], DATE(2025,12,31), 1 ), 2 )</f>
        <v>25.07</v>
      </c>
      <c r="E143" s="79">
        <v>36865</v>
      </c>
      <c r="F143" s="86" t="s">
        <v>11</v>
      </c>
      <c r="G143" s="86"/>
      <c r="H143" s="86" t="s">
        <v>203</v>
      </c>
      <c r="I143" s="93"/>
      <c r="J143" s="80"/>
      <c r="L143"/>
      <c r="M143"/>
      <c r="N143"/>
      <c r="O143"/>
      <c r="P143"/>
      <c r="Q143"/>
      <c r="R143"/>
      <c r="S143"/>
      <c r="T143"/>
      <c r="U143"/>
    </row>
    <row r="144" spans="1:21">
      <c r="A144" s="48" t="s">
        <v>835</v>
      </c>
      <c r="B144" s="147" t="s">
        <v>836</v>
      </c>
      <c r="C144" s="49" t="s">
        <v>837</v>
      </c>
      <c r="D144" s="50">
        <f>ROUND( YEARFRAC( Tabel1[[#This Row],[Geb datum]], DATE(2025,12,31), 1 ), 2 )</f>
        <v>26</v>
      </c>
      <c r="E144" s="79">
        <v>36526</v>
      </c>
      <c r="F144" s="50" t="s">
        <v>9</v>
      </c>
      <c r="G144" s="140"/>
      <c r="H144" s="50"/>
      <c r="I144" s="93"/>
      <c r="J144" s="80"/>
      <c r="L144"/>
      <c r="M144"/>
      <c r="N144"/>
      <c r="O144"/>
      <c r="P144"/>
      <c r="Q144"/>
      <c r="R144"/>
      <c r="S144"/>
      <c r="T144"/>
      <c r="U144"/>
    </row>
    <row r="145" spans="1:21">
      <c r="A145" s="48"/>
      <c r="B145" s="49" t="s">
        <v>838</v>
      </c>
      <c r="C145" s="49" t="s">
        <v>839</v>
      </c>
      <c r="D145" s="50">
        <f>ROUND( YEARFRAC( Tabel1[[#This Row],[Geb datum]], DATE(2025,12,31), 1 ), 2 )</f>
        <v>26.38</v>
      </c>
      <c r="E145" s="79">
        <v>36385</v>
      </c>
      <c r="F145" s="140" t="s">
        <v>11</v>
      </c>
      <c r="G145" s="140"/>
      <c r="H145" s="50" t="s">
        <v>9</v>
      </c>
      <c r="I145" s="93"/>
      <c r="J145" s="97"/>
      <c r="L145"/>
      <c r="M145"/>
      <c r="N145"/>
      <c r="O145"/>
      <c r="P145"/>
      <c r="Q145"/>
      <c r="R145"/>
      <c r="S145"/>
      <c r="T145"/>
      <c r="U145"/>
    </row>
    <row r="146" spans="1:21">
      <c r="A146" s="48" t="s">
        <v>840</v>
      </c>
      <c r="B146" s="49" t="s">
        <v>841</v>
      </c>
      <c r="C146" s="49" t="s">
        <v>842</v>
      </c>
      <c r="D146" s="50">
        <f>ROUND( YEARFRAC( Tabel1[[#This Row],[Geb datum]], DATE(2025,12,31), 1 ), 2 )</f>
        <v>26.87</v>
      </c>
      <c r="E146" s="79">
        <v>36207</v>
      </c>
      <c r="F146" s="50" t="s">
        <v>9</v>
      </c>
      <c r="G146" s="140"/>
      <c r="H146" s="50"/>
      <c r="I146" s="93"/>
      <c r="J146" s="97"/>
      <c r="L146"/>
      <c r="M146"/>
      <c r="N146"/>
      <c r="O146"/>
      <c r="P146"/>
      <c r="Q146"/>
      <c r="R146"/>
      <c r="S146"/>
      <c r="T146"/>
      <c r="U146"/>
    </row>
    <row r="147" spans="1:21">
      <c r="A147" s="48" t="s">
        <v>843</v>
      </c>
      <c r="B147" s="49" t="s">
        <v>844</v>
      </c>
      <c r="C147" s="49" t="s">
        <v>139</v>
      </c>
      <c r="D147" s="50">
        <f>ROUND( YEARFRAC( Tabel1[[#This Row],[Geb datum]], DATE(2025,12,31), 1 ), 2 )</f>
        <v>27.13</v>
      </c>
      <c r="E147" s="79">
        <v>36111</v>
      </c>
      <c r="F147" s="50" t="s">
        <v>1</v>
      </c>
      <c r="G147" s="140"/>
      <c r="H147" s="50" t="s">
        <v>42</v>
      </c>
      <c r="I147" s="93"/>
      <c r="J147" s="97"/>
      <c r="L147"/>
      <c r="M147"/>
      <c r="N147"/>
      <c r="O147"/>
      <c r="P147"/>
      <c r="Q147"/>
      <c r="R147"/>
      <c r="S147"/>
      <c r="T147"/>
      <c r="U147"/>
    </row>
    <row r="148" spans="1:21">
      <c r="A148" s="48" t="s">
        <v>845</v>
      </c>
      <c r="B148" s="49" t="s">
        <v>846</v>
      </c>
      <c r="C148" s="49" t="s">
        <v>847</v>
      </c>
      <c r="D148" s="50">
        <f>ROUND( YEARFRAC( Tabel1[[#This Row],[Geb datum]], DATE(2025,12,31), 1 ), 2 )</f>
        <v>27.32</v>
      </c>
      <c r="E148" s="79">
        <v>36042</v>
      </c>
      <c r="F148" s="140" t="s">
        <v>8</v>
      </c>
      <c r="G148" s="140"/>
      <c r="H148" s="50"/>
      <c r="I148" s="93"/>
      <c r="J148" s="97"/>
      <c r="L148"/>
      <c r="M148"/>
      <c r="N148"/>
      <c r="O148"/>
      <c r="P148"/>
      <c r="Q148"/>
      <c r="R148"/>
      <c r="S148"/>
      <c r="T148"/>
      <c r="U148"/>
    </row>
    <row r="149" spans="1:21">
      <c r="A149" s="81" t="s">
        <v>848</v>
      </c>
      <c r="B149" s="86" t="s">
        <v>849</v>
      </c>
      <c r="C149" s="86" t="s">
        <v>393</v>
      </c>
      <c r="D149" s="50">
        <f>ROUND( YEARFRAC( Tabel1[[#This Row],[Geb datum]], DATE(2025,12,31), 1 ), 2 )</f>
        <v>29.25</v>
      </c>
      <c r="E149" s="79">
        <v>35337</v>
      </c>
      <c r="F149" s="86" t="s">
        <v>95</v>
      </c>
      <c r="G149" s="86"/>
      <c r="H149" s="86" t="s">
        <v>75</v>
      </c>
      <c r="I149" s="93"/>
      <c r="J149" s="97"/>
      <c r="L149"/>
      <c r="M149"/>
      <c r="N149"/>
      <c r="O149"/>
      <c r="P149"/>
      <c r="Q149"/>
      <c r="R149"/>
      <c r="S149"/>
      <c r="T149"/>
      <c r="U149"/>
    </row>
    <row r="150" spans="1:21">
      <c r="A150" s="81" t="s">
        <v>850</v>
      </c>
      <c r="B150" s="86" t="s">
        <v>851</v>
      </c>
      <c r="C150" s="86" t="s">
        <v>139</v>
      </c>
      <c r="D150" s="50">
        <f>ROUND( YEARFRAC( Tabel1[[#This Row],[Geb datum]], DATE(2025,12,31), 1 ), 2 )</f>
        <v>29.64</v>
      </c>
      <c r="E150" s="79">
        <v>35195</v>
      </c>
      <c r="F150" s="86" t="s">
        <v>8</v>
      </c>
      <c r="G150" s="86"/>
      <c r="H150" s="86" t="s">
        <v>75</v>
      </c>
      <c r="I150" s="93"/>
      <c r="J150" s="97"/>
      <c r="L150"/>
      <c r="M150"/>
      <c r="N150"/>
      <c r="O150"/>
      <c r="P150"/>
      <c r="Q150"/>
      <c r="R150"/>
      <c r="S150"/>
      <c r="T150"/>
      <c r="U150"/>
    </row>
    <row r="151" spans="1:21">
      <c r="A151" s="81" t="s">
        <v>852</v>
      </c>
      <c r="B151" s="86" t="s">
        <v>853</v>
      </c>
      <c r="C151" s="86" t="s">
        <v>854</v>
      </c>
      <c r="D151" s="50">
        <f>ROUND( YEARFRAC( Tabel1[[#This Row],[Geb datum]], DATE(2025,12,31), 1 ), 2 )</f>
        <v>30.49</v>
      </c>
      <c r="E151" s="79">
        <v>34885</v>
      </c>
      <c r="F151" s="86" t="s">
        <v>1</v>
      </c>
      <c r="G151" s="86"/>
      <c r="H151" s="86" t="s">
        <v>153</v>
      </c>
      <c r="I151" s="93"/>
      <c r="J151" s="97"/>
      <c r="L151"/>
      <c r="M151"/>
      <c r="N151"/>
      <c r="O151"/>
      <c r="P151"/>
      <c r="Q151"/>
      <c r="R151"/>
      <c r="S151"/>
      <c r="T151"/>
      <c r="U151"/>
    </row>
    <row r="152" spans="1:21">
      <c r="A152" s="81" t="s">
        <v>855</v>
      </c>
      <c r="B152" s="86" t="s">
        <v>856</v>
      </c>
      <c r="C152" s="86" t="s">
        <v>857</v>
      </c>
      <c r="D152" s="50">
        <f>ROUND( YEARFRAC( Tabel1[[#This Row],[Geb datum]], DATE(2025,12,31), 1 ), 2 )</f>
        <v>31.13</v>
      </c>
      <c r="E152" s="79">
        <v>34650</v>
      </c>
      <c r="F152" s="86" t="s">
        <v>8</v>
      </c>
      <c r="G152" s="86"/>
      <c r="H152" s="86" t="s">
        <v>75</v>
      </c>
      <c r="I152" s="93"/>
      <c r="J152" s="97"/>
      <c r="L152"/>
      <c r="M152"/>
      <c r="N152"/>
      <c r="O152"/>
      <c r="P152"/>
      <c r="Q152"/>
      <c r="R152"/>
      <c r="S152"/>
      <c r="T152"/>
      <c r="U152"/>
    </row>
    <row r="153" spans="1:21">
      <c r="A153" s="81" t="s">
        <v>858</v>
      </c>
      <c r="B153" s="86" t="s">
        <v>859</v>
      </c>
      <c r="C153" s="86" t="s">
        <v>714</v>
      </c>
      <c r="D153" s="50">
        <f>ROUND( YEARFRAC( Tabel1[[#This Row],[Geb datum]], DATE(2025,12,31), 1 ), 2 )</f>
        <v>33.380000000000003</v>
      </c>
      <c r="E153" s="79">
        <v>33828</v>
      </c>
      <c r="F153" s="86" t="s">
        <v>8</v>
      </c>
      <c r="G153" s="86"/>
      <c r="H153" s="86" t="s">
        <v>75</v>
      </c>
      <c r="I153" s="93"/>
      <c r="J153" s="97"/>
      <c r="L153"/>
      <c r="M153"/>
      <c r="N153"/>
      <c r="O153"/>
      <c r="P153"/>
      <c r="Q153"/>
      <c r="R153"/>
      <c r="S153"/>
      <c r="T153"/>
      <c r="U153"/>
    </row>
    <row r="154" spans="1:21">
      <c r="A154" s="81" t="s">
        <v>860</v>
      </c>
      <c r="B154" s="86" t="s">
        <v>861</v>
      </c>
      <c r="C154" s="86" t="s">
        <v>862</v>
      </c>
      <c r="D154" s="50">
        <f>ROUND( YEARFRAC( Tabel1[[#This Row],[Geb datum]], DATE(2025,12,31), 1 ), 2 )</f>
        <v>33.75</v>
      </c>
      <c r="E154" s="79">
        <v>33696</v>
      </c>
      <c r="F154" s="86" t="s">
        <v>8</v>
      </c>
      <c r="G154" s="86"/>
      <c r="H154" s="86" t="s">
        <v>75</v>
      </c>
      <c r="I154" s="93"/>
      <c r="J154" s="97"/>
      <c r="L154"/>
      <c r="M154"/>
      <c r="N154"/>
      <c r="O154"/>
      <c r="P154"/>
      <c r="Q154"/>
      <c r="R154"/>
      <c r="S154"/>
      <c r="T154"/>
      <c r="U154"/>
    </row>
    <row r="155" spans="1:21">
      <c r="A155" s="81" t="s">
        <v>863</v>
      </c>
      <c r="B155" s="86" t="s">
        <v>864</v>
      </c>
      <c r="C155" s="86" t="s">
        <v>865</v>
      </c>
      <c r="D155" s="50">
        <f>ROUND( YEARFRAC( Tabel1[[#This Row],[Geb datum]], DATE(2025,12,31), 1 ), 2 )</f>
        <v>35.42</v>
      </c>
      <c r="E155" s="79">
        <v>33086</v>
      </c>
      <c r="F155" s="86" t="s">
        <v>13</v>
      </c>
      <c r="G155" s="86"/>
      <c r="H155" s="86" t="s">
        <v>13</v>
      </c>
      <c r="I155" s="93"/>
      <c r="J155" s="97"/>
      <c r="L155"/>
      <c r="M155"/>
      <c r="N155"/>
      <c r="O155"/>
      <c r="P155"/>
      <c r="Q155"/>
      <c r="R155"/>
      <c r="S155"/>
      <c r="T155"/>
      <c r="U155"/>
    </row>
    <row r="156" spans="1:21">
      <c r="A156" s="81" t="s">
        <v>866</v>
      </c>
      <c r="B156" s="86" t="s">
        <v>867</v>
      </c>
      <c r="C156" s="86" t="s">
        <v>828</v>
      </c>
      <c r="D156" s="50">
        <f>ROUND( YEARFRAC( Tabel1[[#This Row],[Geb datum]], DATE(2025,12,31), 1 ), 2 )</f>
        <v>36.08</v>
      </c>
      <c r="E156" s="79">
        <v>32843</v>
      </c>
      <c r="F156" s="86" t="s">
        <v>13</v>
      </c>
      <c r="G156" s="86"/>
      <c r="H156" s="86" t="s">
        <v>13</v>
      </c>
      <c r="I156" s="93"/>
      <c r="J156" s="97"/>
      <c r="L156"/>
      <c r="M156"/>
      <c r="N156"/>
      <c r="O156"/>
      <c r="P156"/>
      <c r="Q156"/>
      <c r="R156"/>
      <c r="S156"/>
      <c r="T156"/>
      <c r="U156"/>
    </row>
    <row r="157" spans="1:21">
      <c r="A157" s="81" t="s">
        <v>868</v>
      </c>
      <c r="B157" s="86" t="s">
        <v>869</v>
      </c>
      <c r="C157" s="86" t="s">
        <v>870</v>
      </c>
      <c r="D157" s="50">
        <f>ROUND( YEARFRAC( Tabel1[[#This Row],[Geb datum]], DATE(2025,12,31), 1 ), 2 )</f>
        <v>37.85</v>
      </c>
      <c r="E157" s="79">
        <v>32197</v>
      </c>
      <c r="F157" s="86" t="s">
        <v>13</v>
      </c>
      <c r="G157" s="86"/>
      <c r="H157" s="86" t="s">
        <v>13</v>
      </c>
      <c r="I157" s="93"/>
      <c r="J157" s="97"/>
      <c r="L157"/>
      <c r="M157"/>
      <c r="N157"/>
      <c r="O157"/>
      <c r="P157"/>
      <c r="Q157"/>
      <c r="R157"/>
      <c r="S157"/>
      <c r="T157"/>
      <c r="U157"/>
    </row>
    <row r="158" spans="1:21">
      <c r="A158" s="48" t="s">
        <v>871</v>
      </c>
      <c r="B158" s="49" t="s">
        <v>872</v>
      </c>
      <c r="C158" s="49" t="s">
        <v>873</v>
      </c>
      <c r="D158" s="50">
        <f>ROUND( YEARFRAC( Tabel1[[#This Row],[Geb datum]], DATE(2025,12,31), 1 ), 2 )</f>
        <v>38.25</v>
      </c>
      <c r="E158" s="79">
        <v>32050</v>
      </c>
      <c r="F158" s="140" t="s">
        <v>8</v>
      </c>
      <c r="G158" s="140"/>
      <c r="H158" s="50"/>
      <c r="I158" s="93"/>
      <c r="J158" s="97"/>
      <c r="L158"/>
      <c r="M158"/>
      <c r="N158"/>
      <c r="O158"/>
      <c r="P158"/>
      <c r="Q158"/>
      <c r="R158"/>
      <c r="S158"/>
      <c r="T158"/>
      <c r="U158"/>
    </row>
    <row r="159" spans="1:21">
      <c r="A159" s="81" t="s">
        <v>874</v>
      </c>
      <c r="B159" s="86" t="s">
        <v>875</v>
      </c>
      <c r="C159" s="86" t="s">
        <v>828</v>
      </c>
      <c r="D159" s="50">
        <f>ROUND( YEARFRAC( Tabel1[[#This Row],[Geb datum]], DATE(2025,12,31), 1 ), 2 )</f>
        <v>38.96</v>
      </c>
      <c r="E159" s="79">
        <v>31792</v>
      </c>
      <c r="F159" s="86" t="s">
        <v>13</v>
      </c>
      <c r="G159" s="86"/>
      <c r="H159" s="86" t="s">
        <v>13</v>
      </c>
      <c r="I159" s="93"/>
      <c r="J159" s="97"/>
      <c r="L159"/>
      <c r="M159"/>
      <c r="N159"/>
      <c r="O159"/>
      <c r="P159"/>
      <c r="Q159"/>
      <c r="R159"/>
      <c r="S159"/>
      <c r="T159"/>
      <c r="U159"/>
    </row>
    <row r="160" spans="1:21">
      <c r="A160" s="81" t="s">
        <v>876</v>
      </c>
      <c r="B160" s="86" t="s">
        <v>877</v>
      </c>
      <c r="C160" s="86" t="s">
        <v>530</v>
      </c>
      <c r="D160" s="50">
        <f>ROUND( YEARFRAC( Tabel1[[#This Row],[Geb datum]], DATE(2025,12,31), 1 ), 2 )</f>
        <v>39.119999999999997</v>
      </c>
      <c r="E160" s="79">
        <v>31732</v>
      </c>
      <c r="F160" s="86" t="s">
        <v>8</v>
      </c>
      <c r="G160" s="86"/>
      <c r="H160" s="86" t="s">
        <v>75</v>
      </c>
      <c r="I160" s="93"/>
      <c r="J160" s="97"/>
      <c r="L160"/>
      <c r="M160"/>
      <c r="N160"/>
      <c r="O160"/>
      <c r="P160"/>
      <c r="Q160"/>
      <c r="R160"/>
      <c r="S160"/>
      <c r="T160"/>
      <c r="U160"/>
    </row>
    <row r="161" spans="1:21">
      <c r="A161" s="81" t="s">
        <v>878</v>
      </c>
      <c r="B161" s="86" t="s">
        <v>879</v>
      </c>
      <c r="C161" s="86" t="s">
        <v>880</v>
      </c>
      <c r="D161" s="50">
        <f>ROUND( YEARFRAC( Tabel1[[#This Row],[Geb datum]], DATE(2025,12,31), 1 ), 2 )</f>
        <v>40.69</v>
      </c>
      <c r="E161" s="79">
        <v>31161</v>
      </c>
      <c r="F161" s="86" t="s">
        <v>881</v>
      </c>
      <c r="G161" s="86"/>
      <c r="H161" s="148">
        <v>3</v>
      </c>
      <c r="I161" s="149"/>
      <c r="J161" s="97"/>
      <c r="L161"/>
      <c r="M161"/>
      <c r="N161"/>
      <c r="O161"/>
      <c r="P161"/>
      <c r="Q161"/>
      <c r="R161"/>
      <c r="S161"/>
      <c r="T161"/>
      <c r="U161"/>
    </row>
    <row r="162" spans="1:21">
      <c r="A162" s="81" t="s">
        <v>882</v>
      </c>
      <c r="B162" s="86" t="s">
        <v>883</v>
      </c>
      <c r="C162" s="86" t="s">
        <v>884</v>
      </c>
      <c r="D162" s="50">
        <f>ROUND( YEARFRAC( Tabel1[[#This Row],[Geb datum]], DATE(2025,12,31), 1 ), 2 )</f>
        <v>40.89</v>
      </c>
      <c r="E162" s="79">
        <v>31086</v>
      </c>
      <c r="F162" s="86" t="s">
        <v>13</v>
      </c>
      <c r="G162" s="86"/>
      <c r="H162" s="86" t="s">
        <v>13</v>
      </c>
      <c r="I162" s="93"/>
      <c r="J162" s="97"/>
      <c r="L162"/>
      <c r="M162"/>
      <c r="N162"/>
      <c r="O162"/>
      <c r="P162"/>
      <c r="Q162"/>
      <c r="R162"/>
      <c r="S162"/>
      <c r="T162"/>
      <c r="U162"/>
    </row>
    <row r="163" spans="1:21">
      <c r="A163" s="48"/>
      <c r="B163" s="49" t="s">
        <v>885</v>
      </c>
      <c r="C163" s="49" t="s">
        <v>714</v>
      </c>
      <c r="D163" s="50">
        <f>ROUND( YEARFRAC( Tabel1[[#This Row],[Geb datum]], DATE(2025,12,31), 1 ), 2 )</f>
        <v>126</v>
      </c>
      <c r="E163" s="79"/>
      <c r="F163" s="50" t="s">
        <v>9</v>
      </c>
      <c r="G163" s="140"/>
      <c r="H163" s="50"/>
      <c r="I163" s="93"/>
      <c r="J163" s="97"/>
      <c r="L163"/>
      <c r="M163"/>
      <c r="N163"/>
      <c r="O163"/>
      <c r="P163"/>
      <c r="Q163"/>
      <c r="R163"/>
      <c r="S163"/>
      <c r="T163"/>
      <c r="U163"/>
    </row>
    <row r="164" spans="1:21">
      <c r="A164" s="48"/>
      <c r="B164" s="49"/>
      <c r="C164" s="49"/>
      <c r="D164" s="50">
        <f>ROUND( YEARFRAC( Tabel1[[#This Row],[Geb datum]], DATE(2025,12,31), 1 ), 2 )</f>
        <v>126</v>
      </c>
      <c r="E164" s="146"/>
      <c r="F164" s="50"/>
      <c r="G164" s="140"/>
      <c r="H164" s="50"/>
      <c r="I164" s="93"/>
      <c r="J164" s="97"/>
      <c r="L164"/>
      <c r="M164"/>
      <c r="N164"/>
      <c r="O164"/>
      <c r="P164"/>
      <c r="Q164"/>
      <c r="R164"/>
      <c r="S164"/>
      <c r="T164"/>
      <c r="U164"/>
    </row>
    <row r="165" spans="1:21">
      <c r="A165"/>
      <c r="B165"/>
      <c r="C165"/>
      <c r="D165"/>
      <c r="E165"/>
      <c r="F165"/>
      <c r="G165"/>
      <c r="H165"/>
      <c r="I165"/>
      <c r="J165"/>
      <c r="L165"/>
      <c r="M165"/>
      <c r="N165"/>
      <c r="O165"/>
      <c r="P165"/>
      <c r="Q165"/>
      <c r="R165"/>
      <c r="S165"/>
      <c r="T165"/>
      <c r="U165"/>
    </row>
    <row r="166" spans="1:21">
      <c r="A166"/>
      <c r="B166"/>
      <c r="C166"/>
      <c r="D166"/>
      <c r="E166"/>
      <c r="F166"/>
      <c r="G166"/>
      <c r="H166"/>
      <c r="I166"/>
      <c r="J166"/>
      <c r="L166"/>
      <c r="M166"/>
      <c r="N166"/>
      <c r="O166"/>
      <c r="P166"/>
      <c r="Q166"/>
      <c r="R166"/>
      <c r="S166"/>
      <c r="T166"/>
      <c r="U166"/>
    </row>
    <row r="167" spans="1:21">
      <c r="A167"/>
      <c r="B167"/>
      <c r="C167"/>
      <c r="D167"/>
      <c r="E167"/>
      <c r="F167"/>
      <c r="G167"/>
      <c r="H167"/>
      <c r="I167"/>
      <c r="J167"/>
      <c r="L167"/>
      <c r="M167"/>
      <c r="N167"/>
      <c r="O167"/>
      <c r="P167"/>
      <c r="Q167"/>
      <c r="R167"/>
      <c r="S167"/>
      <c r="T167"/>
      <c r="U167"/>
    </row>
    <row r="168" spans="1:21">
      <c r="A168"/>
      <c r="B168"/>
      <c r="C168"/>
      <c r="D168"/>
      <c r="E168"/>
      <c r="F168"/>
      <c r="G168"/>
      <c r="H168"/>
      <c r="I168"/>
      <c r="J168"/>
      <c r="L168"/>
      <c r="M168"/>
      <c r="N168"/>
      <c r="O168"/>
      <c r="P168"/>
      <c r="Q168"/>
      <c r="R168"/>
      <c r="S168"/>
      <c r="T168"/>
      <c r="U168"/>
    </row>
    <row r="169" spans="1:21">
      <c r="A169"/>
      <c r="B169"/>
      <c r="C169"/>
      <c r="D169"/>
      <c r="E169"/>
      <c r="F169"/>
      <c r="G169"/>
      <c r="H169"/>
      <c r="I169"/>
      <c r="J169"/>
      <c r="L169"/>
      <c r="M169"/>
      <c r="N169"/>
      <c r="O169"/>
      <c r="P169"/>
      <c r="Q169"/>
      <c r="R169"/>
      <c r="S169"/>
      <c r="T169"/>
      <c r="U169"/>
    </row>
    <row r="170" spans="1:21">
      <c r="A170"/>
      <c r="B170"/>
      <c r="C170"/>
      <c r="D170"/>
      <c r="E170"/>
      <c r="F170"/>
      <c r="G170"/>
      <c r="H170"/>
      <c r="I170"/>
      <c r="J170"/>
      <c r="L170"/>
      <c r="M170"/>
      <c r="N170"/>
      <c r="O170"/>
      <c r="P170"/>
      <c r="Q170"/>
      <c r="R170"/>
      <c r="S170"/>
      <c r="T170"/>
      <c r="U170"/>
    </row>
    <row r="171" spans="1:21">
      <c r="A171"/>
      <c r="B171"/>
      <c r="C171"/>
      <c r="D171"/>
      <c r="E171"/>
      <c r="F171"/>
      <c r="G171"/>
      <c r="H171"/>
      <c r="I171"/>
      <c r="J171"/>
      <c r="L171"/>
      <c r="M171"/>
      <c r="N171"/>
      <c r="O171"/>
      <c r="P171"/>
      <c r="Q171"/>
      <c r="R171"/>
      <c r="S171"/>
      <c r="T171"/>
      <c r="U171"/>
    </row>
    <row r="172" spans="1:21">
      <c r="A172"/>
      <c r="B172"/>
      <c r="C172"/>
      <c r="D172"/>
      <c r="E172"/>
      <c r="F172"/>
      <c r="G172"/>
      <c r="H172"/>
      <c r="I172"/>
      <c r="J172"/>
      <c r="L172"/>
      <c r="M172"/>
      <c r="N172"/>
      <c r="O172"/>
      <c r="P172"/>
      <c r="Q172"/>
      <c r="R172"/>
      <c r="S172"/>
      <c r="T172"/>
      <c r="U172"/>
    </row>
    <row r="173" spans="1:21">
      <c r="A173"/>
      <c r="B173"/>
      <c r="C173"/>
      <c r="D173"/>
      <c r="E173"/>
      <c r="F173"/>
      <c r="G173"/>
      <c r="H173"/>
      <c r="I173"/>
      <c r="J173"/>
      <c r="L173"/>
      <c r="M173"/>
      <c r="N173"/>
      <c r="O173"/>
      <c r="P173"/>
      <c r="Q173"/>
      <c r="R173"/>
      <c r="S173"/>
      <c r="T173"/>
      <c r="U173"/>
    </row>
    <row r="174" spans="1:21">
      <c r="A174"/>
      <c r="B174"/>
      <c r="C174"/>
      <c r="D174"/>
      <c r="E174"/>
      <c r="F174"/>
      <c r="G174"/>
      <c r="H174"/>
      <c r="I174"/>
      <c r="J174"/>
      <c r="L174"/>
      <c r="M174"/>
      <c r="N174"/>
      <c r="O174"/>
      <c r="P174"/>
      <c r="Q174"/>
      <c r="R174"/>
      <c r="S174"/>
      <c r="T174"/>
      <c r="U174"/>
    </row>
    <row r="175" spans="1:21">
      <c r="A175"/>
      <c r="B175"/>
      <c r="C175"/>
      <c r="D175"/>
      <c r="E175"/>
      <c r="F175"/>
      <c r="G175"/>
      <c r="H175"/>
      <c r="I175"/>
      <c r="J175"/>
      <c r="L175"/>
      <c r="M175"/>
      <c r="N175"/>
      <c r="O175"/>
      <c r="P175"/>
      <c r="Q175"/>
      <c r="R175"/>
      <c r="S175"/>
      <c r="T175"/>
      <c r="U175"/>
    </row>
    <row r="176" spans="1:21">
      <c r="A176"/>
      <c r="B176"/>
      <c r="C176"/>
      <c r="D176"/>
      <c r="E176"/>
      <c r="F176"/>
      <c r="G176"/>
      <c r="H176"/>
      <c r="I176"/>
      <c r="J176"/>
      <c r="L176"/>
      <c r="M176"/>
      <c r="N176"/>
      <c r="O176"/>
      <c r="P176"/>
      <c r="Q176"/>
      <c r="R176"/>
      <c r="S176"/>
      <c r="T176"/>
      <c r="U176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spans="1:10">
      <c r="A225"/>
      <c r="B225"/>
      <c r="C225"/>
      <c r="D225"/>
      <c r="E225"/>
      <c r="F225"/>
      <c r="G225"/>
      <c r="H225"/>
      <c r="I225"/>
      <c r="J225"/>
    </row>
    <row r="226" spans="1:10">
      <c r="A226"/>
      <c r="B226"/>
      <c r="C226"/>
      <c r="D226"/>
      <c r="E226"/>
      <c r="F226"/>
      <c r="G226"/>
      <c r="H226"/>
      <c r="I226"/>
      <c r="J226"/>
    </row>
    <row r="227" spans="1:10">
      <c r="A227"/>
      <c r="B227"/>
      <c r="C227"/>
      <c r="D227"/>
      <c r="E227"/>
      <c r="F227"/>
      <c r="G227"/>
      <c r="H227"/>
      <c r="I227"/>
      <c r="J227"/>
    </row>
    <row r="228" spans="1:10">
      <c r="A228"/>
      <c r="B228"/>
      <c r="C228"/>
      <c r="D228"/>
      <c r="E228"/>
      <c r="F228"/>
      <c r="G228"/>
      <c r="H228"/>
      <c r="I228"/>
      <c r="J228"/>
    </row>
    <row r="229" spans="1:10">
      <c r="A229"/>
      <c r="B229"/>
      <c r="C229"/>
      <c r="D229"/>
      <c r="E229"/>
      <c r="F229"/>
      <c r="G229"/>
      <c r="H229"/>
      <c r="I229"/>
      <c r="J229"/>
    </row>
    <row r="230" spans="1:10">
      <c r="A230"/>
      <c r="B230"/>
      <c r="C230"/>
      <c r="D230"/>
      <c r="E230"/>
      <c r="F230"/>
      <c r="G230"/>
      <c r="H230"/>
      <c r="I230"/>
      <c r="J230"/>
    </row>
    <row r="231" spans="1:10">
      <c r="A231"/>
      <c r="B231"/>
      <c r="C231"/>
      <c r="D231"/>
      <c r="E231"/>
      <c r="F231"/>
      <c r="G231"/>
      <c r="H231"/>
      <c r="I231"/>
      <c r="J231"/>
    </row>
    <row r="232" spans="1:10">
      <c r="A232"/>
      <c r="B232"/>
      <c r="C232"/>
      <c r="D232"/>
      <c r="E232"/>
      <c r="F232"/>
      <c r="G232"/>
      <c r="H232"/>
      <c r="I232"/>
      <c r="J232"/>
    </row>
    <row r="233" spans="1:10">
      <c r="A233"/>
      <c r="B233"/>
      <c r="C233"/>
      <c r="D233"/>
      <c r="E233"/>
      <c r="F233"/>
      <c r="G233"/>
      <c r="H233"/>
      <c r="I233"/>
      <c r="J233"/>
    </row>
    <row r="234" spans="1:10">
      <c r="A234"/>
      <c r="B234"/>
      <c r="C234"/>
      <c r="D234"/>
      <c r="E234"/>
      <c r="F234"/>
      <c r="G234"/>
      <c r="H234"/>
      <c r="I234"/>
      <c r="J234"/>
    </row>
    <row r="235" spans="1:10">
      <c r="A235"/>
      <c r="B235"/>
      <c r="C235"/>
      <c r="D235"/>
      <c r="E235"/>
      <c r="F235"/>
      <c r="G235"/>
      <c r="H235"/>
      <c r="I235"/>
      <c r="J235"/>
    </row>
    <row r="236" spans="1:10">
      <c r="A236"/>
      <c r="B236"/>
      <c r="C236"/>
      <c r="D236"/>
      <c r="E236"/>
      <c r="F236"/>
      <c r="G236"/>
      <c r="H236"/>
      <c r="I236"/>
      <c r="J236"/>
    </row>
    <row r="237" spans="1:10">
      <c r="A237"/>
      <c r="B237"/>
      <c r="C237"/>
      <c r="D237"/>
      <c r="E237"/>
      <c r="F237"/>
      <c r="G237"/>
      <c r="H237"/>
      <c r="I237"/>
      <c r="J237"/>
    </row>
    <row r="238" spans="1:10">
      <c r="A238"/>
      <c r="B238"/>
      <c r="C238"/>
      <c r="D238"/>
      <c r="E238"/>
      <c r="F238"/>
      <c r="G238"/>
      <c r="H238"/>
      <c r="I238"/>
      <c r="J238"/>
    </row>
    <row r="239" spans="1:10">
      <c r="A239"/>
      <c r="B239"/>
      <c r="C239"/>
      <c r="D239"/>
      <c r="E239"/>
      <c r="F239"/>
      <c r="G239"/>
      <c r="H239"/>
      <c r="I239"/>
      <c r="J239"/>
    </row>
    <row r="240" spans="1:10">
      <c r="A240"/>
      <c r="B240"/>
      <c r="C240"/>
      <c r="D240"/>
      <c r="E240"/>
      <c r="F240"/>
      <c r="G240"/>
      <c r="H240"/>
      <c r="I240"/>
      <c r="J240"/>
    </row>
    <row r="241" spans="1:10">
      <c r="A241"/>
      <c r="B241"/>
      <c r="C241"/>
      <c r="D241"/>
      <c r="E241"/>
      <c r="F241"/>
      <c r="G241"/>
      <c r="H241"/>
      <c r="I241"/>
      <c r="J241"/>
    </row>
    <row r="242" spans="1:10">
      <c r="A242"/>
      <c r="B242"/>
      <c r="C242"/>
      <c r="D242"/>
      <c r="E242"/>
      <c r="F242"/>
      <c r="G242"/>
      <c r="H242"/>
      <c r="I242"/>
      <c r="J242"/>
    </row>
    <row r="243" spans="1:10">
      <c r="A243"/>
      <c r="B243"/>
      <c r="C243"/>
      <c r="D243"/>
      <c r="E243"/>
      <c r="F243"/>
      <c r="G243"/>
      <c r="H243"/>
      <c r="I243"/>
      <c r="J243"/>
    </row>
    <row r="244" spans="1:10">
      <c r="A244"/>
      <c r="B244"/>
      <c r="C244"/>
      <c r="D244"/>
      <c r="E244"/>
      <c r="F244"/>
      <c r="G244"/>
      <c r="H244"/>
      <c r="I244"/>
      <c r="J244"/>
    </row>
    <row r="245" spans="1:10">
      <c r="A245"/>
      <c r="B245"/>
      <c r="C245"/>
      <c r="D245"/>
      <c r="E245"/>
      <c r="F245"/>
      <c r="G245"/>
      <c r="H245"/>
      <c r="I245"/>
      <c r="J245"/>
    </row>
    <row r="246" spans="1:10">
      <c r="A246"/>
      <c r="B246"/>
      <c r="C246"/>
      <c r="D246"/>
      <c r="E246"/>
      <c r="F246"/>
      <c r="G246"/>
      <c r="H246"/>
      <c r="I246"/>
      <c r="J246"/>
    </row>
    <row r="247" spans="1:10">
      <c r="A247"/>
      <c r="B247"/>
      <c r="C247"/>
      <c r="D247"/>
      <c r="E247"/>
      <c r="F247"/>
      <c r="G247"/>
      <c r="H247"/>
      <c r="I247"/>
      <c r="J247"/>
    </row>
    <row r="248" spans="1:10">
      <c r="A248"/>
      <c r="B248"/>
      <c r="C248"/>
      <c r="D248"/>
      <c r="E248"/>
      <c r="F248"/>
      <c r="G248"/>
      <c r="H248"/>
      <c r="I248"/>
      <c r="J248"/>
    </row>
    <row r="249" spans="1:10">
      <c r="A249"/>
      <c r="B249"/>
      <c r="C249"/>
      <c r="D249"/>
      <c r="E249"/>
      <c r="F249"/>
      <c r="G249"/>
      <c r="H249"/>
      <c r="I249"/>
      <c r="J249"/>
    </row>
    <row r="250" spans="1:10">
      <c r="A250"/>
      <c r="B250"/>
      <c r="C250"/>
      <c r="D250"/>
      <c r="E250"/>
      <c r="F250"/>
      <c r="G250"/>
      <c r="H250"/>
      <c r="I250"/>
      <c r="J250"/>
    </row>
    <row r="251" spans="1:10">
      <c r="A251"/>
      <c r="B251"/>
      <c r="C251"/>
      <c r="D251"/>
      <c r="E251"/>
      <c r="F251"/>
      <c r="G251"/>
      <c r="H251"/>
      <c r="I251"/>
      <c r="J251"/>
    </row>
    <row r="252" spans="1:10">
      <c r="A252"/>
      <c r="B252"/>
      <c r="C252"/>
      <c r="D252"/>
      <c r="E252"/>
      <c r="F252"/>
      <c r="G252"/>
      <c r="H252"/>
      <c r="I252"/>
      <c r="J252"/>
    </row>
    <row r="253" spans="1:10">
      <c r="A253"/>
      <c r="B253"/>
      <c r="C253"/>
      <c r="D253"/>
      <c r="E253"/>
      <c r="F253"/>
      <c r="G253"/>
      <c r="H253"/>
      <c r="I253"/>
      <c r="J253"/>
    </row>
    <row r="254" spans="1:10">
      <c r="A254"/>
      <c r="B254"/>
      <c r="C254"/>
      <c r="D254"/>
      <c r="E254"/>
      <c r="F254"/>
      <c r="G254"/>
      <c r="H254"/>
      <c r="I254"/>
      <c r="J254"/>
    </row>
    <row r="255" spans="1:10">
      <c r="A255"/>
      <c r="B255"/>
      <c r="C255"/>
      <c r="D255"/>
      <c r="E255"/>
      <c r="F255"/>
      <c r="G255"/>
      <c r="H255"/>
      <c r="I255"/>
      <c r="J255"/>
    </row>
    <row r="256" spans="1:10">
      <c r="A256"/>
      <c r="B256"/>
      <c r="C256"/>
      <c r="D256"/>
      <c r="E256"/>
      <c r="F256"/>
      <c r="G256"/>
      <c r="H256"/>
      <c r="I256"/>
      <c r="J256"/>
    </row>
    <row r="257" spans="1:10">
      <c r="A257"/>
      <c r="B257"/>
      <c r="C257"/>
      <c r="D257"/>
      <c r="E257"/>
      <c r="F257"/>
      <c r="G257"/>
      <c r="H257"/>
      <c r="I257"/>
      <c r="J257"/>
    </row>
    <row r="258" spans="1:10">
      <c r="A258"/>
      <c r="B258"/>
      <c r="C258"/>
      <c r="D258"/>
      <c r="E258"/>
      <c r="F258"/>
      <c r="G258"/>
      <c r="H258"/>
      <c r="I258"/>
      <c r="J258"/>
    </row>
    <row r="259" spans="1:10">
      <c r="A259"/>
      <c r="B259"/>
      <c r="C259"/>
      <c r="D259"/>
      <c r="E259"/>
      <c r="F259"/>
      <c r="G259"/>
      <c r="H259"/>
      <c r="I259"/>
      <c r="J259"/>
    </row>
    <row r="260" spans="1:10">
      <c r="A260"/>
      <c r="B260"/>
      <c r="C260"/>
      <c r="D260"/>
      <c r="E260"/>
      <c r="F260"/>
      <c r="G260"/>
      <c r="H260"/>
      <c r="I260"/>
      <c r="J260"/>
    </row>
  </sheetData>
  <sortState xmlns:xlrd2="http://schemas.microsoft.com/office/spreadsheetml/2017/richdata2" ref="L2:U130">
    <sortCondition ref="Q2:Q130"/>
  </sortState>
  <phoneticPr fontId="5" type="noConversion"/>
  <pageMargins left="0.7" right="0.7" top="0.75" bottom="0.75" header="0.3" footer="0.3"/>
  <pageSetup paperSize="9" orientation="portrait" horizontalDpi="4294967293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1C54A6-3A5E-43FC-9B3F-302B6D94D551}">
          <x14:formula1>
            <xm:f>notitieopties!$A$1:$A$10</xm:f>
          </x14:formula1>
          <xm:sqref>I2:I164 T2:T128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0984-CEAF-44A9-970B-CB6333034792}">
  <dimension ref="A1:DB44"/>
  <sheetViews>
    <sheetView workbookViewId="0">
      <selection activeCell="D48" sqref="D48"/>
    </sheetView>
  </sheetViews>
  <sheetFormatPr defaultRowHeight="15"/>
  <cols>
    <col min="1" max="1" width="11.85546875" customWidth="1"/>
    <col min="2" max="2" width="16" customWidth="1"/>
    <col min="4" max="4" width="17.85546875" customWidth="1"/>
    <col min="5" max="5" width="8.28515625" customWidth="1"/>
    <col min="8" max="8" width="14.85546875" customWidth="1"/>
    <col min="9" max="9" width="15.140625" customWidth="1"/>
    <col min="10" max="10" width="22.7109375" customWidth="1"/>
    <col min="11" max="106" width="2.7109375" customWidth="1"/>
  </cols>
  <sheetData>
    <row r="1" spans="1:106" ht="15.75" thickBot="1">
      <c r="K1" s="156" t="s">
        <v>886</v>
      </c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8"/>
      <c r="AI1" s="153" t="s">
        <v>887</v>
      </c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5"/>
      <c r="BG1" s="156" t="s">
        <v>888</v>
      </c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8"/>
      <c r="CE1" s="153" t="s">
        <v>889</v>
      </c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5"/>
    </row>
    <row r="2" spans="1:106" ht="72.75" customHeight="1">
      <c r="K2" s="99">
        <v>0.70833333333333337</v>
      </c>
      <c r="L2" s="100" t="s">
        <v>42</v>
      </c>
      <c r="M2" s="100" t="s">
        <v>42</v>
      </c>
      <c r="N2" s="101" t="s">
        <v>42</v>
      </c>
      <c r="O2" s="99">
        <v>0.75</v>
      </c>
      <c r="P2" s="100" t="s">
        <v>42</v>
      </c>
      <c r="Q2" s="100" t="s">
        <v>42</v>
      </c>
      <c r="R2" s="101" t="s">
        <v>42</v>
      </c>
      <c r="S2" s="99">
        <v>0.79166666666666663</v>
      </c>
      <c r="T2" s="100" t="s">
        <v>42</v>
      </c>
      <c r="U2" s="100" t="s">
        <v>42</v>
      </c>
      <c r="V2" s="101" t="s">
        <v>42</v>
      </c>
      <c r="W2" s="99">
        <v>0.83333333333333337</v>
      </c>
      <c r="X2" s="100" t="s">
        <v>42</v>
      </c>
      <c r="Y2" s="100" t="s">
        <v>42</v>
      </c>
      <c r="Z2" s="101" t="s">
        <v>42</v>
      </c>
      <c r="AA2" s="99">
        <v>0.875</v>
      </c>
      <c r="AB2" s="100" t="s">
        <v>42</v>
      </c>
      <c r="AC2" s="100" t="s">
        <v>42</v>
      </c>
      <c r="AD2" s="101" t="s">
        <v>42</v>
      </c>
      <c r="AE2" s="99">
        <v>0.91666666666666663</v>
      </c>
      <c r="AF2" s="100" t="s">
        <v>42</v>
      </c>
      <c r="AG2" s="100" t="s">
        <v>42</v>
      </c>
      <c r="AH2" s="101" t="s">
        <v>42</v>
      </c>
      <c r="AI2" s="108">
        <v>0.70833333333333337</v>
      </c>
      <c r="AJ2" s="109" t="s">
        <v>42</v>
      </c>
      <c r="AK2" s="109" t="s">
        <v>42</v>
      </c>
      <c r="AL2" s="110" t="s">
        <v>42</v>
      </c>
      <c r="AM2" s="108">
        <v>0.75</v>
      </c>
      <c r="AN2" s="109" t="s">
        <v>42</v>
      </c>
      <c r="AO2" s="109" t="s">
        <v>42</v>
      </c>
      <c r="AP2" s="110" t="s">
        <v>42</v>
      </c>
      <c r="AQ2" s="108">
        <v>0.79166666666666663</v>
      </c>
      <c r="AR2" s="109" t="s">
        <v>42</v>
      </c>
      <c r="AS2" s="109" t="s">
        <v>42</v>
      </c>
      <c r="AT2" s="110" t="s">
        <v>42</v>
      </c>
      <c r="AU2" s="108">
        <v>0.83333333333333337</v>
      </c>
      <c r="AV2" s="109" t="s">
        <v>42</v>
      </c>
      <c r="AW2" s="109" t="s">
        <v>42</v>
      </c>
      <c r="AX2" s="110" t="s">
        <v>42</v>
      </c>
      <c r="AY2" s="108">
        <v>0.875</v>
      </c>
      <c r="AZ2" s="109" t="s">
        <v>42</v>
      </c>
      <c r="BA2" s="109" t="s">
        <v>42</v>
      </c>
      <c r="BB2" s="110" t="s">
        <v>42</v>
      </c>
      <c r="BC2" s="108">
        <v>0.91666666666666663</v>
      </c>
      <c r="BD2" s="109" t="s">
        <v>42</v>
      </c>
      <c r="BE2" s="109" t="s">
        <v>42</v>
      </c>
      <c r="BF2" s="110" t="s">
        <v>42</v>
      </c>
      <c r="BG2" s="99">
        <v>0.70833333333333337</v>
      </c>
      <c r="BH2" s="100" t="s">
        <v>42</v>
      </c>
      <c r="BI2" s="100" t="s">
        <v>42</v>
      </c>
      <c r="BJ2" s="101" t="s">
        <v>42</v>
      </c>
      <c r="BK2" s="99">
        <v>0.75</v>
      </c>
      <c r="BL2" s="100" t="s">
        <v>42</v>
      </c>
      <c r="BM2" s="100" t="s">
        <v>42</v>
      </c>
      <c r="BN2" s="101" t="s">
        <v>42</v>
      </c>
      <c r="BO2" s="99">
        <v>0.79166666666666663</v>
      </c>
      <c r="BP2" s="100" t="s">
        <v>42</v>
      </c>
      <c r="BQ2" s="100" t="s">
        <v>42</v>
      </c>
      <c r="BR2" s="101" t="s">
        <v>42</v>
      </c>
      <c r="BS2" s="99">
        <v>0.83333333333333337</v>
      </c>
      <c r="BT2" s="100" t="s">
        <v>42</v>
      </c>
      <c r="BU2" s="100" t="s">
        <v>42</v>
      </c>
      <c r="BV2" s="101" t="s">
        <v>42</v>
      </c>
      <c r="BW2" s="99">
        <v>0.875</v>
      </c>
      <c r="BX2" s="100" t="s">
        <v>42</v>
      </c>
      <c r="BY2" s="100" t="s">
        <v>42</v>
      </c>
      <c r="BZ2" s="101" t="s">
        <v>42</v>
      </c>
      <c r="CA2" s="99">
        <v>0.91666666666666663</v>
      </c>
      <c r="CB2" s="100" t="s">
        <v>42</v>
      </c>
      <c r="CC2" s="100" t="s">
        <v>42</v>
      </c>
      <c r="CD2" s="101" t="s">
        <v>42</v>
      </c>
      <c r="CE2" s="108">
        <v>0.70833333333333337</v>
      </c>
      <c r="CF2" s="109" t="s">
        <v>42</v>
      </c>
      <c r="CG2" s="109" t="s">
        <v>42</v>
      </c>
      <c r="CH2" s="110" t="s">
        <v>42</v>
      </c>
      <c r="CI2" s="108">
        <v>0.75</v>
      </c>
      <c r="CJ2" s="109" t="s">
        <v>42</v>
      </c>
      <c r="CK2" s="109" t="s">
        <v>42</v>
      </c>
      <c r="CL2" s="110" t="s">
        <v>42</v>
      </c>
      <c r="CM2" s="108">
        <v>0.79166666666666663</v>
      </c>
      <c r="CN2" s="109" t="s">
        <v>42</v>
      </c>
      <c r="CO2" s="109" t="s">
        <v>42</v>
      </c>
      <c r="CP2" s="110" t="s">
        <v>42</v>
      </c>
      <c r="CQ2" s="108">
        <v>0.83333333333333337</v>
      </c>
      <c r="CR2" s="109" t="s">
        <v>42</v>
      </c>
      <c r="CS2" s="109" t="s">
        <v>42</v>
      </c>
      <c r="CT2" s="110" t="s">
        <v>42</v>
      </c>
      <c r="CU2" s="108">
        <v>0.875</v>
      </c>
      <c r="CV2" s="109" t="s">
        <v>42</v>
      </c>
      <c r="CW2" s="109" t="s">
        <v>42</v>
      </c>
      <c r="CX2" s="110" t="s">
        <v>42</v>
      </c>
      <c r="CY2" s="108">
        <v>0.91666666666666663</v>
      </c>
      <c r="CZ2" s="109" t="s">
        <v>42</v>
      </c>
      <c r="DA2" s="109" t="s">
        <v>42</v>
      </c>
      <c r="DB2" s="110" t="s">
        <v>42</v>
      </c>
    </row>
    <row r="3" spans="1:106">
      <c r="A3" t="s">
        <v>890</v>
      </c>
      <c r="B3" t="s">
        <v>891</v>
      </c>
      <c r="C3" t="s">
        <v>892</v>
      </c>
      <c r="D3" t="s">
        <v>893</v>
      </c>
      <c r="E3" t="s">
        <v>894</v>
      </c>
      <c r="F3" t="s">
        <v>895</v>
      </c>
      <c r="G3" t="s">
        <v>896</v>
      </c>
      <c r="H3" t="s">
        <v>897</v>
      </c>
      <c r="I3" t="s">
        <v>898</v>
      </c>
      <c r="K3" s="102"/>
      <c r="L3" s="103"/>
      <c r="M3" s="103"/>
      <c r="N3" s="104"/>
      <c r="O3" s="102"/>
      <c r="P3" s="103"/>
      <c r="Q3" s="103"/>
      <c r="R3" s="104"/>
      <c r="S3" s="102"/>
      <c r="T3" s="103"/>
      <c r="U3" s="103"/>
      <c r="V3" s="104"/>
      <c r="W3" s="102"/>
      <c r="X3" s="103"/>
      <c r="Y3" s="103"/>
      <c r="Z3" s="104"/>
      <c r="AA3" s="102"/>
      <c r="AB3" s="103"/>
      <c r="AC3" s="103"/>
      <c r="AD3" s="104"/>
      <c r="AE3" s="102"/>
      <c r="AF3" s="103"/>
      <c r="AG3" s="103"/>
      <c r="AH3" s="104"/>
      <c r="AI3" s="111"/>
      <c r="AJ3" s="112"/>
      <c r="AK3" s="112"/>
      <c r="AL3" s="113"/>
      <c r="AM3" s="111"/>
      <c r="AN3" s="112"/>
      <c r="AO3" s="112"/>
      <c r="AP3" s="113"/>
      <c r="AQ3" s="111"/>
      <c r="AR3" s="112"/>
      <c r="AS3" s="112"/>
      <c r="AT3" s="113"/>
      <c r="AU3" s="111"/>
      <c r="AV3" s="112"/>
      <c r="AW3" s="112"/>
      <c r="AX3" s="113"/>
      <c r="AY3" s="11"/>
      <c r="AZ3" s="120"/>
      <c r="BA3" s="120"/>
      <c r="BB3" s="121"/>
      <c r="BC3" s="119"/>
      <c r="BD3" s="120"/>
      <c r="BE3" s="120"/>
      <c r="BF3" s="121"/>
      <c r="BG3" s="102"/>
      <c r="BH3" s="103"/>
      <c r="BI3" s="103"/>
      <c r="BJ3" s="104"/>
      <c r="BK3" s="102"/>
      <c r="BL3" s="103"/>
      <c r="BM3" s="103"/>
      <c r="BN3" s="104"/>
      <c r="BO3" s="102"/>
      <c r="BP3" s="103"/>
      <c r="BQ3" s="103"/>
      <c r="BR3" s="104"/>
      <c r="BS3" s="102"/>
      <c r="BT3" s="103"/>
      <c r="BU3" s="103"/>
      <c r="BV3" s="104"/>
      <c r="BW3" s="102"/>
      <c r="BX3" s="103"/>
      <c r="BY3" s="103"/>
      <c r="BZ3" s="104"/>
      <c r="CA3" s="102"/>
      <c r="CB3" s="103"/>
      <c r="CC3" s="103"/>
      <c r="CD3" s="104"/>
      <c r="CE3" s="111"/>
      <c r="CF3" s="112"/>
      <c r="CG3" s="112"/>
      <c r="CH3" s="113"/>
      <c r="CI3" s="111"/>
      <c r="CJ3" s="112"/>
      <c r="CK3" s="112"/>
      <c r="CL3" s="113"/>
      <c r="CM3" s="111"/>
      <c r="CN3" s="112"/>
      <c r="CO3" s="112"/>
      <c r="CP3" s="113"/>
      <c r="CQ3" s="111"/>
      <c r="CR3" s="112"/>
      <c r="CS3" s="112"/>
      <c r="CT3" s="113"/>
      <c r="CU3" s="119"/>
      <c r="CV3" s="120"/>
      <c r="CW3" s="120"/>
      <c r="CX3" s="121"/>
      <c r="CY3" s="119"/>
      <c r="CZ3" s="120"/>
      <c r="DA3" s="120"/>
      <c r="DB3" s="121"/>
    </row>
    <row r="4" spans="1:106" ht="15" customHeight="1">
      <c r="A4" t="s">
        <v>899</v>
      </c>
      <c r="B4" t="s">
        <v>900</v>
      </c>
      <c r="C4" t="s">
        <v>1</v>
      </c>
      <c r="D4" t="s">
        <v>901</v>
      </c>
      <c r="K4" s="102"/>
      <c r="L4" s="103"/>
      <c r="M4" s="103"/>
      <c r="N4" s="104"/>
      <c r="O4" s="102"/>
      <c r="P4" s="103"/>
      <c r="Q4" s="103"/>
      <c r="R4" s="104"/>
      <c r="S4" s="102"/>
      <c r="T4" s="103"/>
      <c r="U4" s="103"/>
      <c r="V4" s="104"/>
      <c r="W4" s="102"/>
      <c r="X4" s="103"/>
      <c r="Y4" s="103"/>
      <c r="Z4" s="104"/>
      <c r="AA4" s="102"/>
      <c r="AB4" s="103"/>
      <c r="AC4" s="103"/>
      <c r="AD4" s="104"/>
      <c r="AE4" s="102"/>
      <c r="AF4" s="103"/>
      <c r="AG4" s="103"/>
      <c r="AH4" s="104"/>
      <c r="AI4" s="111"/>
      <c r="AJ4" s="112"/>
      <c r="AK4" s="112"/>
      <c r="AL4" s="113"/>
      <c r="AM4" s="111"/>
      <c r="AN4" s="112"/>
      <c r="AO4" s="112"/>
      <c r="AP4" s="113"/>
      <c r="AQ4" s="111"/>
      <c r="AR4" s="112"/>
      <c r="AS4" s="112"/>
      <c r="AT4" s="113"/>
      <c r="AU4" s="111"/>
      <c r="AV4" s="112"/>
      <c r="AW4" s="112"/>
      <c r="AX4" s="113"/>
      <c r="AY4" s="11"/>
      <c r="AZ4" s="120"/>
      <c r="BA4" s="120"/>
      <c r="BB4" s="121"/>
      <c r="BC4" s="119"/>
      <c r="BD4" s="120"/>
      <c r="BE4" s="120"/>
      <c r="BF4" s="121"/>
      <c r="BG4" s="102"/>
      <c r="BH4" s="103"/>
      <c r="BI4" s="103"/>
      <c r="BJ4" s="104"/>
      <c r="BK4" s="102"/>
      <c r="BL4" s="103"/>
      <c r="BM4" s="103"/>
      <c r="BN4" s="104"/>
      <c r="BO4" s="102"/>
      <c r="BP4" s="103"/>
      <c r="BQ4" s="103"/>
      <c r="BR4" s="104"/>
      <c r="BS4" s="102"/>
      <c r="BT4" s="103"/>
      <c r="BU4" s="103"/>
      <c r="BV4" s="104"/>
      <c r="BW4" s="102"/>
      <c r="BX4" s="103"/>
      <c r="BY4" s="103"/>
      <c r="BZ4" s="104"/>
      <c r="CA4" s="102"/>
      <c r="CB4" s="103"/>
      <c r="CC4" s="103"/>
      <c r="CD4" s="104"/>
      <c r="CE4" s="111"/>
      <c r="CF4" s="112"/>
      <c r="CG4" s="112"/>
      <c r="CH4" s="113"/>
      <c r="CI4" s="111"/>
      <c r="CJ4" s="112"/>
      <c r="CK4" s="112"/>
      <c r="CL4" s="113"/>
      <c r="CM4" s="111"/>
      <c r="CN4" s="112"/>
      <c r="CO4" s="112"/>
      <c r="CP4" s="113"/>
      <c r="CQ4" s="111"/>
      <c r="CR4" s="112"/>
      <c r="CS4" s="112"/>
      <c r="CT4" s="113"/>
      <c r="CU4" s="119"/>
      <c r="CV4" s="120"/>
      <c r="CW4" s="120"/>
      <c r="CX4" s="121"/>
      <c r="CY4" s="119"/>
      <c r="CZ4" s="120"/>
      <c r="DA4" s="120"/>
      <c r="DB4" s="121"/>
    </row>
    <row r="5" spans="1:106">
      <c r="A5" t="s">
        <v>899</v>
      </c>
      <c r="B5" t="s">
        <v>892</v>
      </c>
      <c r="C5" t="s">
        <v>6</v>
      </c>
      <c r="D5" t="s">
        <v>902</v>
      </c>
      <c r="E5" t="s">
        <v>903</v>
      </c>
      <c r="G5">
        <v>8</v>
      </c>
      <c r="I5">
        <v>1</v>
      </c>
      <c r="K5" s="102"/>
      <c r="L5" s="103"/>
      <c r="M5" s="103"/>
      <c r="N5" s="104"/>
      <c r="O5" s="102"/>
      <c r="P5" s="103"/>
      <c r="Q5" s="103"/>
      <c r="R5" s="104"/>
      <c r="S5" s="102"/>
      <c r="T5" s="103"/>
      <c r="U5" s="103"/>
      <c r="V5" s="104"/>
      <c r="W5" s="102"/>
      <c r="X5" s="103"/>
      <c r="Y5" s="103"/>
      <c r="Z5" s="104"/>
      <c r="AA5" s="102"/>
      <c r="AB5" s="103"/>
      <c r="AC5" s="103"/>
      <c r="AD5" s="104"/>
      <c r="AE5" s="102"/>
      <c r="AF5" s="103"/>
      <c r="AG5" s="103"/>
      <c r="AH5" s="104"/>
      <c r="AI5" s="111"/>
      <c r="AJ5" s="112"/>
      <c r="AK5" s="112"/>
      <c r="AL5" s="113"/>
      <c r="AM5" s="111"/>
      <c r="AN5" s="112"/>
      <c r="AO5" s="112"/>
      <c r="AP5" s="113"/>
      <c r="AQ5" s="111"/>
      <c r="AR5" s="112"/>
      <c r="AS5" s="112"/>
      <c r="AT5" s="113"/>
      <c r="AU5" s="111"/>
      <c r="AV5" s="112"/>
      <c r="AW5" s="112"/>
      <c r="AX5" s="113"/>
      <c r="AY5" s="119"/>
      <c r="AZ5" s="120"/>
      <c r="BA5" s="120"/>
      <c r="BB5" s="121"/>
      <c r="BC5" s="119"/>
      <c r="BD5" s="120"/>
      <c r="BE5" s="120"/>
      <c r="BF5" s="121"/>
      <c r="BG5" s="102"/>
      <c r="BH5" s="103"/>
      <c r="BI5" s="103"/>
      <c r="BJ5" s="104"/>
      <c r="BK5" s="102"/>
      <c r="BL5" s="103"/>
      <c r="BM5" s="103"/>
      <c r="BN5" s="104"/>
      <c r="BO5" s="102"/>
      <c r="BP5" s="103"/>
      <c r="BQ5" s="103"/>
      <c r="BR5" s="104"/>
      <c r="BS5" s="102"/>
      <c r="BT5" s="103"/>
      <c r="BU5" s="103"/>
      <c r="BV5" s="104"/>
      <c r="BW5" s="102"/>
      <c r="BX5" s="103"/>
      <c r="BY5" s="103"/>
      <c r="BZ5" s="104"/>
      <c r="CA5" s="102"/>
      <c r="CB5" s="103"/>
      <c r="CC5" s="103"/>
      <c r="CD5" s="104"/>
      <c r="CE5" s="111"/>
      <c r="CF5" s="112"/>
      <c r="CG5" s="112"/>
      <c r="CH5" s="113"/>
      <c r="CI5" s="111"/>
      <c r="CJ5" s="112"/>
      <c r="CK5" s="112"/>
      <c r="CL5" s="113"/>
      <c r="CM5" s="111"/>
      <c r="CN5" s="112"/>
      <c r="CO5" s="112"/>
      <c r="CP5" s="113"/>
      <c r="CQ5" s="111"/>
      <c r="CR5" s="112"/>
      <c r="CS5" s="112"/>
      <c r="CT5" s="113"/>
      <c r="CU5" s="119"/>
      <c r="CV5" s="120"/>
      <c r="CW5" s="120"/>
      <c r="CX5" s="121"/>
      <c r="CY5" s="119"/>
      <c r="CZ5" s="120"/>
      <c r="DA5" s="120"/>
      <c r="DB5" s="121"/>
    </row>
    <row r="6" spans="1:106">
      <c r="A6" t="s">
        <v>899</v>
      </c>
      <c r="B6" t="s">
        <v>892</v>
      </c>
      <c r="C6" t="s">
        <v>7</v>
      </c>
      <c r="D6" t="s">
        <v>904</v>
      </c>
      <c r="E6" t="s">
        <v>903</v>
      </c>
      <c r="G6">
        <v>8</v>
      </c>
      <c r="I6">
        <v>2</v>
      </c>
      <c r="K6" s="102"/>
      <c r="L6" s="103"/>
      <c r="M6" s="103"/>
      <c r="N6" s="104"/>
      <c r="O6" s="102"/>
      <c r="P6" s="103"/>
      <c r="Q6" s="103"/>
      <c r="R6" s="104"/>
      <c r="S6" s="102"/>
      <c r="T6" s="103"/>
      <c r="U6" s="103"/>
      <c r="V6" s="104"/>
      <c r="W6" s="102"/>
      <c r="X6" s="103"/>
      <c r="Y6" s="103"/>
      <c r="Z6" s="104"/>
      <c r="AA6" s="102"/>
      <c r="AB6" s="103"/>
      <c r="AC6" s="103"/>
      <c r="AD6" s="104"/>
      <c r="AE6" s="102"/>
      <c r="AF6" s="103"/>
      <c r="AG6" s="103"/>
      <c r="AH6" s="104"/>
      <c r="AI6" s="111"/>
      <c r="AJ6" s="112"/>
      <c r="AK6" s="112"/>
      <c r="AL6" s="113"/>
      <c r="AM6" s="111"/>
      <c r="AN6" s="112"/>
      <c r="AO6" s="112"/>
      <c r="AP6" s="113"/>
      <c r="AQ6" s="111"/>
      <c r="AR6" s="112"/>
      <c r="AS6" s="112"/>
      <c r="AT6" s="113"/>
      <c r="AU6" s="111"/>
      <c r="AV6" s="112"/>
      <c r="AW6" s="112"/>
      <c r="AX6" s="113"/>
      <c r="AY6" s="111"/>
      <c r="AZ6" s="112"/>
      <c r="BA6" s="112"/>
      <c r="BB6" s="113"/>
      <c r="BC6" s="111"/>
      <c r="BD6" s="112"/>
      <c r="BE6" s="112"/>
      <c r="BF6" s="113"/>
      <c r="BG6" s="102"/>
      <c r="BH6" s="103"/>
      <c r="BI6" s="103"/>
      <c r="BJ6" s="104"/>
      <c r="BK6" s="102"/>
      <c r="BL6" s="103"/>
      <c r="BM6" s="103"/>
      <c r="BN6" s="104"/>
      <c r="BO6" s="102"/>
      <c r="BP6" s="103"/>
      <c r="BQ6" s="103"/>
      <c r="BR6" s="104"/>
      <c r="BS6" s="102"/>
      <c r="BT6" s="103"/>
      <c r="BU6" s="103"/>
      <c r="BV6" s="104"/>
      <c r="BW6" s="102"/>
      <c r="BX6" s="103"/>
      <c r="BY6" s="103"/>
      <c r="BZ6" s="104"/>
      <c r="CA6" s="102"/>
      <c r="CB6" s="103"/>
      <c r="CC6" s="103"/>
      <c r="CD6" s="104"/>
      <c r="CE6" s="111"/>
      <c r="CF6" s="112"/>
      <c r="CG6" s="112"/>
      <c r="CH6" s="113"/>
      <c r="CI6" s="111"/>
      <c r="CJ6" s="112"/>
      <c r="CK6" s="112"/>
      <c r="CL6" s="113"/>
      <c r="CM6" s="111"/>
      <c r="CN6" s="112"/>
      <c r="CO6" s="112"/>
      <c r="CP6" s="113"/>
      <c r="CQ6" s="111"/>
      <c r="CR6" s="112"/>
      <c r="CS6" s="112"/>
      <c r="CT6" s="113"/>
      <c r="CU6" s="111"/>
      <c r="CV6" s="112"/>
      <c r="CW6" s="112"/>
      <c r="CX6" s="113"/>
      <c r="CY6" s="111"/>
      <c r="CZ6" s="112"/>
      <c r="DA6" s="112"/>
      <c r="DB6" s="113"/>
    </row>
    <row r="7" spans="1:106">
      <c r="A7" t="s">
        <v>899</v>
      </c>
      <c r="B7" t="s">
        <v>892</v>
      </c>
      <c r="C7" t="s">
        <v>8</v>
      </c>
      <c r="D7" t="s">
        <v>905</v>
      </c>
      <c r="E7" t="s">
        <v>903</v>
      </c>
      <c r="G7">
        <v>8</v>
      </c>
      <c r="I7">
        <v>3</v>
      </c>
      <c r="K7" s="102"/>
      <c r="L7" s="103"/>
      <c r="M7" s="103"/>
      <c r="N7" s="104"/>
      <c r="O7" s="102"/>
      <c r="P7" s="103"/>
      <c r="Q7" s="103"/>
      <c r="R7" s="104"/>
      <c r="S7" s="102"/>
      <c r="T7" s="103"/>
      <c r="U7" s="103"/>
      <c r="V7" s="104"/>
      <c r="W7" s="102"/>
      <c r="X7" s="103"/>
      <c r="Y7" s="103"/>
      <c r="Z7" s="104"/>
      <c r="AA7" s="102"/>
      <c r="AB7" s="103"/>
      <c r="AC7" s="103"/>
      <c r="AD7" s="104"/>
      <c r="AE7" s="102"/>
      <c r="AF7" s="103"/>
      <c r="AG7" s="103"/>
      <c r="AH7" s="104"/>
      <c r="AI7" s="111"/>
      <c r="AJ7" s="112"/>
      <c r="AK7" s="112"/>
      <c r="AL7" s="113"/>
      <c r="AM7" s="111"/>
      <c r="AN7" s="112"/>
      <c r="AO7" s="112"/>
      <c r="AP7" s="113"/>
      <c r="AQ7" s="111"/>
      <c r="AR7" s="112"/>
      <c r="AS7" s="112"/>
      <c r="AT7" s="113"/>
      <c r="AU7" s="111"/>
      <c r="AV7" s="112"/>
      <c r="AW7" s="112"/>
      <c r="AX7" s="113"/>
      <c r="AY7" s="111"/>
      <c r="AZ7" s="112"/>
      <c r="BA7" s="112"/>
      <c r="BB7" s="113"/>
      <c r="BC7" s="111"/>
      <c r="BD7" s="112"/>
      <c r="BE7" s="112"/>
      <c r="BF7" s="113"/>
      <c r="BG7" s="102"/>
      <c r="BH7" s="103"/>
      <c r="BI7" s="103"/>
      <c r="BJ7" s="104"/>
      <c r="BK7" s="102"/>
      <c r="BL7" s="103"/>
      <c r="BM7" s="103"/>
      <c r="BN7" s="104"/>
      <c r="BO7" s="102"/>
      <c r="BP7" s="103"/>
      <c r="BQ7" s="103"/>
      <c r="BR7" s="104"/>
      <c r="BS7" s="102"/>
      <c r="BT7" s="103"/>
      <c r="BU7" s="103"/>
      <c r="BV7" s="104"/>
      <c r="BW7" s="102"/>
      <c r="BX7" s="103"/>
      <c r="BY7" s="103"/>
      <c r="BZ7" s="104"/>
      <c r="CA7" s="102"/>
      <c r="CB7" s="103"/>
      <c r="CC7" s="103"/>
      <c r="CD7" s="104"/>
      <c r="CE7" s="111"/>
      <c r="CF7" s="112"/>
      <c r="CG7" s="112"/>
      <c r="CH7" s="113"/>
      <c r="CI7" s="111"/>
      <c r="CJ7" s="112"/>
      <c r="CK7" s="112"/>
      <c r="CL7" s="113"/>
      <c r="CM7" s="111"/>
      <c r="CN7" s="112"/>
      <c r="CO7" s="112"/>
      <c r="CP7" s="113"/>
      <c r="CQ7" s="111"/>
      <c r="CR7" s="112"/>
      <c r="CS7" s="112"/>
      <c r="CT7" s="113"/>
      <c r="CU7" s="111"/>
      <c r="CV7" s="112"/>
      <c r="CW7" s="112"/>
      <c r="CX7" s="113"/>
      <c r="CY7" s="111"/>
      <c r="CZ7" s="112"/>
      <c r="DA7" s="112"/>
      <c r="DB7" s="113"/>
    </row>
    <row r="8" spans="1:106">
      <c r="A8" t="s">
        <v>899</v>
      </c>
      <c r="B8" t="s">
        <v>892</v>
      </c>
      <c r="C8" t="s">
        <v>9</v>
      </c>
      <c r="D8" t="s">
        <v>906</v>
      </c>
      <c r="E8" t="s">
        <v>903</v>
      </c>
      <c r="G8">
        <v>8</v>
      </c>
      <c r="I8">
        <v>4</v>
      </c>
      <c r="K8" s="102"/>
      <c r="L8" s="103"/>
      <c r="M8" s="103"/>
      <c r="N8" s="104"/>
      <c r="O8" s="102"/>
      <c r="P8" s="103"/>
      <c r="Q8" s="103"/>
      <c r="R8" s="104"/>
      <c r="S8" s="102"/>
      <c r="T8" s="103"/>
      <c r="U8" s="103"/>
      <c r="V8" s="104"/>
      <c r="W8" s="102"/>
      <c r="X8" s="103"/>
      <c r="Y8" s="103"/>
      <c r="Z8" s="104"/>
      <c r="AA8" s="102"/>
      <c r="AB8" s="103"/>
      <c r="AC8" s="103"/>
      <c r="AD8" s="104"/>
      <c r="AE8" s="102"/>
      <c r="AF8" s="103"/>
      <c r="AG8" s="103"/>
      <c r="AH8" s="104"/>
      <c r="AI8" s="111"/>
      <c r="AJ8" s="112"/>
      <c r="AK8" s="112"/>
      <c r="AL8" s="113"/>
      <c r="AM8" s="111"/>
      <c r="AN8" s="112"/>
      <c r="AO8" s="112"/>
      <c r="AP8" s="113"/>
      <c r="AQ8" s="111"/>
      <c r="AR8" s="112"/>
      <c r="AS8" s="112"/>
      <c r="AT8" s="113"/>
      <c r="AU8" s="111"/>
      <c r="AV8" s="112"/>
      <c r="AW8" s="112"/>
      <c r="AX8" s="113"/>
      <c r="AY8" s="111"/>
      <c r="AZ8" s="112"/>
      <c r="BA8" s="112"/>
      <c r="BB8" s="113"/>
      <c r="BC8" s="111"/>
      <c r="BD8" s="112"/>
      <c r="BE8" s="112"/>
      <c r="BF8" s="113"/>
      <c r="BG8" s="102"/>
      <c r="BH8" s="103"/>
      <c r="BI8" s="103"/>
      <c r="BJ8" s="104"/>
      <c r="BK8" s="102"/>
      <c r="BL8" s="103"/>
      <c r="BM8" s="103"/>
      <c r="BN8" s="104"/>
      <c r="BO8" s="102"/>
      <c r="BP8" s="103"/>
      <c r="BQ8" s="103"/>
      <c r="BR8" s="104"/>
      <c r="BS8" s="102"/>
      <c r="BT8" s="103"/>
      <c r="BU8" s="103"/>
      <c r="BV8" s="104"/>
      <c r="BW8" s="102"/>
      <c r="BX8" s="103"/>
      <c r="BY8" s="103"/>
      <c r="BZ8" s="104"/>
      <c r="CA8" s="102"/>
      <c r="CB8" s="103"/>
      <c r="CC8" s="103"/>
      <c r="CD8" s="104"/>
      <c r="CE8" s="111"/>
      <c r="CF8" s="112"/>
      <c r="CG8" s="112"/>
      <c r="CH8" s="113"/>
      <c r="CI8" s="111"/>
      <c r="CJ8" s="112"/>
      <c r="CK8" s="112"/>
      <c r="CL8" s="113"/>
      <c r="CM8" s="111"/>
      <c r="CN8" s="112"/>
      <c r="CO8" s="112"/>
      <c r="CP8" s="113"/>
      <c r="CQ8" s="111"/>
      <c r="CR8" s="112"/>
      <c r="CS8" s="112"/>
      <c r="CT8" s="113"/>
      <c r="CU8" s="111"/>
      <c r="CV8" s="112"/>
      <c r="CW8" s="112"/>
      <c r="CX8" s="113"/>
      <c r="CY8" s="111"/>
      <c r="CZ8" s="112"/>
      <c r="DA8" s="112"/>
      <c r="DB8" s="113"/>
    </row>
    <row r="9" spans="1:106">
      <c r="A9" t="s">
        <v>899</v>
      </c>
      <c r="B9" t="s">
        <v>892</v>
      </c>
      <c r="C9" t="s">
        <v>10</v>
      </c>
      <c r="D9" t="s">
        <v>907</v>
      </c>
      <c r="E9" t="s">
        <v>908</v>
      </c>
      <c r="G9">
        <v>8</v>
      </c>
      <c r="I9">
        <v>5</v>
      </c>
      <c r="K9" s="102"/>
      <c r="L9" s="103"/>
      <c r="M9" s="103"/>
      <c r="N9" s="104"/>
      <c r="O9" s="102"/>
      <c r="P9" s="103"/>
      <c r="Q9" s="103"/>
      <c r="R9" s="104"/>
      <c r="S9" s="102"/>
      <c r="T9" s="103"/>
      <c r="U9" s="103"/>
      <c r="V9" s="104"/>
      <c r="W9" s="102"/>
      <c r="X9" s="103"/>
      <c r="Y9" s="103"/>
      <c r="Z9" s="104"/>
      <c r="AA9" s="102"/>
      <c r="AB9" s="103"/>
      <c r="AC9" s="103"/>
      <c r="AD9" s="104"/>
      <c r="AE9" s="102"/>
      <c r="AF9" s="103"/>
      <c r="AG9" s="103"/>
      <c r="AH9" s="104"/>
      <c r="AI9" s="111"/>
      <c r="AJ9" s="112"/>
      <c r="AK9" s="112"/>
      <c r="AL9" s="113"/>
      <c r="AM9" s="111"/>
      <c r="AN9" s="112"/>
      <c r="AO9" s="112"/>
      <c r="AP9" s="113"/>
      <c r="AQ9" s="111"/>
      <c r="AR9" s="112"/>
      <c r="AS9" s="112"/>
      <c r="AT9" s="113"/>
      <c r="AU9" s="111"/>
      <c r="AV9" s="112"/>
      <c r="AW9" s="112"/>
      <c r="AX9" s="113"/>
      <c r="AY9" s="111"/>
      <c r="AZ9" s="112"/>
      <c r="BA9" s="112"/>
      <c r="BB9" s="113"/>
      <c r="BC9" s="111"/>
      <c r="BD9" s="112"/>
      <c r="BE9" s="112"/>
      <c r="BF9" s="113"/>
      <c r="BG9" s="102"/>
      <c r="BH9" s="103"/>
      <c r="BI9" s="103"/>
      <c r="BJ9" s="104"/>
      <c r="BK9" s="102"/>
      <c r="BL9" s="103"/>
      <c r="BM9" s="103"/>
      <c r="BN9" s="104"/>
      <c r="BO9" s="102"/>
      <c r="BP9" s="103"/>
      <c r="BQ9" s="103"/>
      <c r="BR9" s="104"/>
      <c r="BS9" s="102"/>
      <c r="BT9" s="103"/>
      <c r="BU9" s="103"/>
      <c r="BV9" s="104"/>
      <c r="BW9" s="102"/>
      <c r="BX9" s="103"/>
      <c r="BY9" s="103"/>
      <c r="BZ9" s="104"/>
      <c r="CA9" s="102"/>
      <c r="CB9" s="103"/>
      <c r="CC9" s="103"/>
      <c r="CD9" s="104"/>
      <c r="CE9" s="111"/>
      <c r="CF9" s="112"/>
      <c r="CG9" s="112"/>
      <c r="CH9" s="113"/>
      <c r="CI9" s="111"/>
      <c r="CJ9" s="112"/>
      <c r="CK9" s="112"/>
      <c r="CL9" s="113"/>
      <c r="CM9" s="111"/>
      <c r="CN9" s="112"/>
      <c r="CO9" s="112"/>
      <c r="CP9" s="113"/>
      <c r="CQ9" s="111"/>
      <c r="CR9" s="112"/>
      <c r="CS9" s="112"/>
      <c r="CT9" s="113"/>
      <c r="CU9" s="111"/>
      <c r="CV9" s="112"/>
      <c r="CW9" s="112"/>
      <c r="CX9" s="113"/>
      <c r="CY9" s="111"/>
      <c r="CZ9" s="112"/>
      <c r="DA9" s="112"/>
      <c r="DB9" s="113"/>
    </row>
    <row r="10" spans="1:106">
      <c r="A10" t="s">
        <v>899</v>
      </c>
      <c r="B10" t="s">
        <v>892</v>
      </c>
      <c r="C10" t="s">
        <v>11</v>
      </c>
      <c r="D10" t="s">
        <v>909</v>
      </c>
      <c r="E10" t="s">
        <v>908</v>
      </c>
      <c r="G10">
        <v>8</v>
      </c>
      <c r="I10">
        <v>6</v>
      </c>
      <c r="K10" s="102"/>
      <c r="L10" s="103"/>
      <c r="M10" s="103"/>
      <c r="N10" s="104"/>
      <c r="O10" s="102"/>
      <c r="P10" s="103"/>
      <c r="Q10" s="103"/>
      <c r="R10" s="104"/>
      <c r="S10" s="102"/>
      <c r="T10" s="103"/>
      <c r="U10" s="103"/>
      <c r="V10" s="104"/>
      <c r="W10" s="102"/>
      <c r="X10" s="103"/>
      <c r="Y10" s="103"/>
      <c r="Z10" s="104"/>
      <c r="AA10" s="102"/>
      <c r="AB10" s="103"/>
      <c r="AC10" s="103"/>
      <c r="AD10" s="104"/>
      <c r="AE10" s="102"/>
      <c r="AF10" s="103"/>
      <c r="AG10" s="103"/>
      <c r="AH10" s="104"/>
      <c r="AI10" s="111"/>
      <c r="AJ10" s="112"/>
      <c r="AK10" s="112"/>
      <c r="AL10" s="113"/>
      <c r="AM10" s="111"/>
      <c r="AN10" s="112"/>
      <c r="AO10" s="112"/>
      <c r="AP10" s="113"/>
      <c r="AQ10" s="111"/>
      <c r="AR10" s="112"/>
      <c r="AS10" s="112"/>
      <c r="AT10" s="113"/>
      <c r="AU10" s="111"/>
      <c r="AV10" s="112"/>
      <c r="AW10" s="112"/>
      <c r="AX10" s="113"/>
      <c r="AY10" s="111"/>
      <c r="AZ10" s="112"/>
      <c r="BA10" s="112"/>
      <c r="BB10" s="113"/>
      <c r="BC10" s="111"/>
      <c r="BD10" s="112"/>
      <c r="BE10" s="112"/>
      <c r="BF10" s="113"/>
      <c r="BG10" s="102"/>
      <c r="BH10" s="103"/>
      <c r="BI10" s="103"/>
      <c r="BJ10" s="104"/>
      <c r="BK10" s="102"/>
      <c r="BL10" s="103"/>
      <c r="BM10" s="103"/>
      <c r="BN10" s="104"/>
      <c r="BO10" s="102"/>
      <c r="BP10" s="103"/>
      <c r="BQ10" s="103"/>
      <c r="BR10" s="104"/>
      <c r="BS10" s="102"/>
      <c r="BT10" s="103"/>
      <c r="BU10" s="103"/>
      <c r="BV10" s="104"/>
      <c r="BW10" s="102"/>
      <c r="BX10" s="103"/>
      <c r="BY10" s="103"/>
      <c r="BZ10" s="104"/>
      <c r="CA10" s="102"/>
      <c r="CB10" s="103"/>
      <c r="CC10" s="103"/>
      <c r="CD10" s="104"/>
      <c r="CE10" s="111"/>
      <c r="CF10" s="112"/>
      <c r="CG10" s="112"/>
      <c r="CH10" s="113"/>
      <c r="CI10" s="111"/>
      <c r="CJ10" s="112"/>
      <c r="CK10" s="112"/>
      <c r="CL10" s="113"/>
      <c r="CM10" s="111"/>
      <c r="CN10" s="112"/>
      <c r="CO10" s="112"/>
      <c r="CP10" s="113"/>
      <c r="CQ10" s="111"/>
      <c r="CR10" s="112"/>
      <c r="CS10" s="112"/>
      <c r="CT10" s="113"/>
      <c r="CU10" s="111"/>
      <c r="CV10" s="112"/>
      <c r="CW10" s="112"/>
      <c r="CX10" s="113"/>
      <c r="CY10" s="111"/>
      <c r="CZ10" s="112"/>
      <c r="DA10" s="112"/>
      <c r="DB10" s="113"/>
    </row>
    <row r="11" spans="1:106">
      <c r="A11" t="s">
        <v>881</v>
      </c>
      <c r="B11" t="s">
        <v>892</v>
      </c>
      <c r="C11" t="s">
        <v>12</v>
      </c>
      <c r="D11" t="s">
        <v>910</v>
      </c>
      <c r="E11" t="s">
        <v>908</v>
      </c>
      <c r="G11">
        <v>8</v>
      </c>
      <c r="H11">
        <v>18</v>
      </c>
      <c r="I11" t="s">
        <v>318</v>
      </c>
      <c r="K11" s="102"/>
      <c r="L11" s="103"/>
      <c r="M11" s="103"/>
      <c r="N11" s="104"/>
      <c r="O11" s="102"/>
      <c r="P11" s="103"/>
      <c r="Q11" s="103"/>
      <c r="R11" s="104"/>
      <c r="S11" s="102"/>
      <c r="T11" s="103"/>
      <c r="U11" s="103"/>
      <c r="V11" s="104"/>
      <c r="W11" s="102"/>
      <c r="X11" s="103"/>
      <c r="Y11" s="103"/>
      <c r="Z11" s="104"/>
      <c r="AA11" s="102"/>
      <c r="AB11" s="103"/>
      <c r="AC11" s="103"/>
      <c r="AD11" s="104"/>
      <c r="AE11" s="102"/>
      <c r="AF11" s="103"/>
      <c r="AG11" s="103"/>
      <c r="AH11" s="104"/>
      <c r="AI11" s="111"/>
      <c r="AJ11" s="112"/>
      <c r="AK11" s="112"/>
      <c r="AL11" s="113"/>
      <c r="AM11" s="111"/>
      <c r="AN11" s="112"/>
      <c r="AO11" s="112"/>
      <c r="AP11" s="113"/>
      <c r="AQ11" s="111"/>
      <c r="AR11" s="112"/>
      <c r="AS11" s="112"/>
      <c r="AT11" s="113"/>
      <c r="AU11" s="111"/>
      <c r="AV11" s="112"/>
      <c r="AW11" s="112"/>
      <c r="AX11" s="113"/>
      <c r="AY11" s="111"/>
      <c r="AZ11" s="112"/>
      <c r="BA11" s="112"/>
      <c r="BB11" s="113"/>
      <c r="BC11" s="111"/>
      <c r="BD11" s="112"/>
      <c r="BE11" s="112"/>
      <c r="BF11" s="113"/>
      <c r="BG11" s="102"/>
      <c r="BH11" s="103"/>
      <c r="BI11" s="103"/>
      <c r="BJ11" s="104"/>
      <c r="BK11" s="102"/>
      <c r="BL11" s="103"/>
      <c r="BM11" s="103"/>
      <c r="BN11" s="104"/>
      <c r="BO11" s="102"/>
      <c r="BP11" s="103"/>
      <c r="BQ11" s="103"/>
      <c r="BR11" s="104"/>
      <c r="BS11" s="102"/>
      <c r="BT11" s="103"/>
      <c r="BU11" s="103"/>
      <c r="BV11" s="104"/>
      <c r="BW11" s="102"/>
      <c r="BX11" s="103"/>
      <c r="BY11" s="103"/>
      <c r="BZ11" s="104"/>
      <c r="CA11" s="102"/>
      <c r="CB11" s="103"/>
      <c r="CC11" s="103"/>
      <c r="CD11" s="104"/>
      <c r="CE11" s="111"/>
      <c r="CF11" s="112"/>
      <c r="CG11" s="112"/>
      <c r="CH11" s="113"/>
      <c r="CI11" s="111"/>
      <c r="CJ11" s="112"/>
      <c r="CK11" s="112"/>
      <c r="CL11" s="113"/>
      <c r="CM11" s="111"/>
      <c r="CN11" s="112"/>
      <c r="CO11" s="112"/>
      <c r="CP11" s="113"/>
      <c r="CQ11" s="111"/>
      <c r="CR11" s="112"/>
      <c r="CS11" s="112"/>
      <c r="CT11" s="113"/>
      <c r="CU11" s="111"/>
      <c r="CV11" s="112"/>
      <c r="CW11" s="112"/>
      <c r="CX11" s="113"/>
      <c r="CY11" s="111"/>
      <c r="CZ11" s="112"/>
      <c r="DA11" s="112"/>
      <c r="DB11" s="113"/>
    </row>
    <row r="12" spans="1:106" ht="15" customHeight="1">
      <c r="A12" t="s">
        <v>899</v>
      </c>
      <c r="B12" t="s">
        <v>900</v>
      </c>
      <c r="C12" t="s">
        <v>2</v>
      </c>
      <c r="D12" t="s">
        <v>911</v>
      </c>
      <c r="K12" s="102"/>
      <c r="L12" s="103"/>
      <c r="M12" s="103"/>
      <c r="N12" s="104"/>
      <c r="O12" s="102"/>
      <c r="P12" s="103"/>
      <c r="Q12" s="103"/>
      <c r="R12" s="104"/>
      <c r="S12" s="102"/>
      <c r="T12" s="103"/>
      <c r="U12" s="103"/>
      <c r="V12" s="104"/>
      <c r="W12" s="102"/>
      <c r="X12" s="103"/>
      <c r="Y12" s="103"/>
      <c r="Z12" s="104"/>
      <c r="AA12" s="102"/>
      <c r="AB12" s="103"/>
      <c r="AC12" s="103"/>
      <c r="AD12" s="104"/>
      <c r="AE12" s="102"/>
      <c r="AF12" s="103"/>
      <c r="AG12" s="103"/>
      <c r="AH12" s="104"/>
      <c r="AI12" s="111"/>
      <c r="AJ12" s="112"/>
      <c r="AK12" s="112"/>
      <c r="AL12" s="113"/>
      <c r="AM12" s="111"/>
      <c r="AN12" s="112"/>
      <c r="AO12" s="112"/>
      <c r="AP12" s="113"/>
      <c r="AQ12" s="111"/>
      <c r="AR12" s="112"/>
      <c r="AS12" s="112"/>
      <c r="AT12" s="113"/>
      <c r="AU12" s="111"/>
      <c r="AV12" s="112"/>
      <c r="AW12" s="112"/>
      <c r="AX12" s="113"/>
      <c r="AY12" s="111"/>
      <c r="AZ12" s="112"/>
      <c r="BA12" s="112"/>
      <c r="BB12" s="113"/>
      <c r="BC12" s="111"/>
      <c r="BD12" s="112"/>
      <c r="BE12" s="112"/>
      <c r="BF12" s="113"/>
      <c r="BG12" s="102"/>
      <c r="BH12" s="103"/>
      <c r="BI12" s="103"/>
      <c r="BJ12" s="104"/>
      <c r="BK12" s="102"/>
      <c r="BL12" s="103"/>
      <c r="BM12" s="103"/>
      <c r="BN12" s="104"/>
      <c r="BO12" s="102"/>
      <c r="BP12" s="103"/>
      <c r="BQ12" s="103"/>
      <c r="BR12" s="104"/>
      <c r="BS12" s="102"/>
      <c r="BT12" s="103"/>
      <c r="BU12" s="103"/>
      <c r="BV12" s="104"/>
      <c r="BW12" s="102"/>
      <c r="BX12" s="103"/>
      <c r="BY12" s="103"/>
      <c r="BZ12" s="104"/>
      <c r="CA12" s="102"/>
      <c r="CB12" s="103"/>
      <c r="CC12" s="103"/>
      <c r="CD12" s="104"/>
      <c r="CE12" s="111"/>
      <c r="CF12" s="112"/>
      <c r="CG12" s="112"/>
      <c r="CH12" s="113"/>
      <c r="CI12" s="111"/>
      <c r="CJ12" s="112"/>
      <c r="CK12" s="112"/>
      <c r="CL12" s="113"/>
      <c r="CM12" s="111"/>
      <c r="CN12" s="112"/>
      <c r="CO12" s="112"/>
      <c r="CP12" s="113"/>
      <c r="CQ12" s="111"/>
      <c r="CR12" s="112"/>
      <c r="CS12" s="112"/>
      <c r="CT12" s="113"/>
      <c r="CU12" s="111"/>
      <c r="CV12" s="112"/>
      <c r="CW12" s="112"/>
      <c r="CX12" s="113"/>
      <c r="CY12" s="111"/>
      <c r="CZ12" s="112"/>
      <c r="DA12" s="112"/>
      <c r="DB12" s="113"/>
    </row>
    <row r="13" spans="1:106">
      <c r="A13" t="s">
        <v>899</v>
      </c>
      <c r="B13" t="s">
        <v>892</v>
      </c>
      <c r="C13" t="s">
        <v>912</v>
      </c>
      <c r="D13" t="s">
        <v>913</v>
      </c>
      <c r="E13" t="s">
        <v>903</v>
      </c>
      <c r="G13">
        <v>8</v>
      </c>
      <c r="I13" t="s">
        <v>311</v>
      </c>
      <c r="K13" s="102"/>
      <c r="L13" s="103"/>
      <c r="M13" s="103"/>
      <c r="N13" s="104"/>
      <c r="O13" s="102"/>
      <c r="P13" s="103"/>
      <c r="Q13" s="103"/>
      <c r="R13" s="104"/>
      <c r="S13" s="102"/>
      <c r="T13" s="103"/>
      <c r="U13" s="103"/>
      <c r="V13" s="104"/>
      <c r="W13" s="102"/>
      <c r="X13" s="103"/>
      <c r="Y13" s="103"/>
      <c r="Z13" s="104"/>
      <c r="AA13" s="102"/>
      <c r="AB13" s="103"/>
      <c r="AC13" s="103"/>
      <c r="AD13" s="104"/>
      <c r="AE13" s="102"/>
      <c r="AF13" s="103"/>
      <c r="AG13" s="103"/>
      <c r="AH13" s="104"/>
      <c r="AI13" s="111"/>
      <c r="AJ13" s="112"/>
      <c r="AK13" s="112"/>
      <c r="AL13" s="113"/>
      <c r="AM13" s="111"/>
      <c r="AN13" s="112"/>
      <c r="AO13" s="112"/>
      <c r="AP13" s="113"/>
      <c r="AQ13" s="111"/>
      <c r="AR13" s="120"/>
      <c r="AS13" s="120"/>
      <c r="AT13" s="121"/>
      <c r="AU13" s="119"/>
      <c r="AV13" s="120"/>
      <c r="AW13" s="120"/>
      <c r="AX13" s="113"/>
      <c r="AY13" s="111"/>
      <c r="AZ13" s="112"/>
      <c r="BA13" s="112"/>
      <c r="BB13" s="113"/>
      <c r="BC13" s="111"/>
      <c r="BD13" s="112"/>
      <c r="BE13" s="112"/>
      <c r="BF13" s="113"/>
      <c r="BG13" s="102"/>
      <c r="BH13" s="103"/>
      <c r="BI13" s="103"/>
      <c r="BJ13" s="104"/>
      <c r="BK13" s="102"/>
      <c r="BL13" s="103"/>
      <c r="BM13" s="103"/>
      <c r="BN13" s="104"/>
      <c r="BO13" s="102"/>
      <c r="BP13" s="103"/>
      <c r="BQ13" s="103"/>
      <c r="BR13" s="104"/>
      <c r="BS13" s="102"/>
      <c r="BT13" s="103"/>
      <c r="BU13" s="103"/>
      <c r="BV13" s="104"/>
      <c r="BW13" s="102"/>
      <c r="BX13" s="103"/>
      <c r="BY13" s="103"/>
      <c r="BZ13" s="104"/>
      <c r="CA13" s="102"/>
      <c r="CB13" s="103"/>
      <c r="CC13" s="103"/>
      <c r="CD13" s="104"/>
      <c r="CE13" s="111"/>
      <c r="CF13" s="112"/>
      <c r="CG13" s="112"/>
      <c r="CH13" s="113"/>
      <c r="CI13" s="111"/>
      <c r="CJ13" s="112"/>
      <c r="CK13" s="112"/>
      <c r="CL13" s="113"/>
      <c r="CM13" s="111"/>
      <c r="CN13" s="120"/>
      <c r="CO13" s="120"/>
      <c r="CP13" s="121"/>
      <c r="CQ13" s="119"/>
      <c r="CR13" s="120"/>
      <c r="CS13" s="120"/>
      <c r="CT13" s="113"/>
      <c r="CU13" s="111"/>
      <c r="CV13" s="112"/>
      <c r="CW13" s="112"/>
      <c r="CX13" s="113"/>
      <c r="CY13" s="111"/>
      <c r="CZ13" s="112"/>
      <c r="DA13" s="112"/>
      <c r="DB13" s="113"/>
    </row>
    <row r="14" spans="1:106">
      <c r="A14" t="s">
        <v>899</v>
      </c>
      <c r="B14" t="s">
        <v>892</v>
      </c>
      <c r="C14" t="s">
        <v>914</v>
      </c>
      <c r="D14" t="s">
        <v>914</v>
      </c>
      <c r="E14" t="s">
        <v>903</v>
      </c>
      <c r="G14">
        <v>8</v>
      </c>
      <c r="I14" t="s">
        <v>304</v>
      </c>
      <c r="K14" s="102"/>
      <c r="L14" s="103"/>
      <c r="M14" s="103"/>
      <c r="N14" s="104"/>
      <c r="O14" s="102"/>
      <c r="P14" s="103"/>
      <c r="Q14" s="103"/>
      <c r="R14" s="104"/>
      <c r="S14" s="102"/>
      <c r="T14" s="103"/>
      <c r="U14" s="103"/>
      <c r="V14" s="104"/>
      <c r="W14" s="102"/>
      <c r="X14" s="103"/>
      <c r="Y14" s="103"/>
      <c r="Z14" s="104"/>
      <c r="AA14" s="102"/>
      <c r="AB14" s="103"/>
      <c r="AC14" s="103"/>
      <c r="AD14" s="104"/>
      <c r="AE14" s="102"/>
      <c r="AF14" s="103"/>
      <c r="AG14" s="103"/>
      <c r="AH14" s="104"/>
      <c r="AI14" s="111"/>
      <c r="AJ14" s="112"/>
      <c r="AK14" s="112"/>
      <c r="AL14" s="113"/>
      <c r="AM14" s="111"/>
      <c r="AN14" s="112"/>
      <c r="AO14" s="112"/>
      <c r="AP14" s="113"/>
      <c r="AQ14" s="111"/>
      <c r="AR14" s="120"/>
      <c r="AS14" s="120"/>
      <c r="AT14" s="121"/>
      <c r="AU14" s="119"/>
      <c r="AV14" s="120"/>
      <c r="AW14" s="120"/>
      <c r="AX14" s="113"/>
      <c r="AY14" s="111"/>
      <c r="AZ14" s="112"/>
      <c r="BA14" s="112"/>
      <c r="BB14" s="113"/>
      <c r="BC14" s="111"/>
      <c r="BD14" s="112"/>
      <c r="BE14" s="112"/>
      <c r="BF14" s="113"/>
      <c r="BG14" s="102"/>
      <c r="BH14" s="103"/>
      <c r="BI14" s="103"/>
      <c r="BJ14" s="104"/>
      <c r="BK14" s="102"/>
      <c r="BL14" s="103"/>
      <c r="BM14" s="103"/>
      <c r="BN14" s="104"/>
      <c r="BO14" s="102"/>
      <c r="BP14" s="103"/>
      <c r="BQ14" s="103"/>
      <c r="BR14" s="104"/>
      <c r="BS14" s="102"/>
      <c r="BT14" s="103"/>
      <c r="BU14" s="103"/>
      <c r="BV14" s="104"/>
      <c r="BW14" s="102"/>
      <c r="BX14" s="103"/>
      <c r="BY14" s="103"/>
      <c r="BZ14" s="104"/>
      <c r="CA14" s="102"/>
      <c r="CB14" s="103"/>
      <c r="CC14" s="103"/>
      <c r="CD14" s="104"/>
      <c r="CE14" s="111"/>
      <c r="CF14" s="112"/>
      <c r="CG14" s="112"/>
      <c r="CH14" s="113"/>
      <c r="CI14" s="111"/>
      <c r="CJ14" s="112"/>
      <c r="CK14" s="112"/>
      <c r="CL14" s="113"/>
      <c r="CM14" s="111"/>
      <c r="CN14" s="120"/>
      <c r="CO14" s="120"/>
      <c r="CP14" s="121"/>
      <c r="CQ14" s="119"/>
      <c r="CR14" s="120"/>
      <c r="CS14" s="120"/>
      <c r="CT14" s="113"/>
      <c r="CU14" s="111"/>
      <c r="CV14" s="112"/>
      <c r="CW14" s="112"/>
      <c r="CX14" s="113"/>
      <c r="CY14" s="111"/>
      <c r="CZ14" s="112"/>
      <c r="DA14" s="112"/>
      <c r="DB14" s="113"/>
    </row>
    <row r="15" spans="1:106" ht="15" customHeight="1">
      <c r="A15" t="s">
        <v>899</v>
      </c>
      <c r="B15" t="s">
        <v>900</v>
      </c>
      <c r="C15" t="s">
        <v>3</v>
      </c>
      <c r="D15" t="s">
        <v>915</v>
      </c>
      <c r="K15" s="102"/>
      <c r="L15" s="103"/>
      <c r="M15" s="103"/>
      <c r="N15" s="104"/>
      <c r="O15" s="102"/>
      <c r="P15" s="103"/>
      <c r="Q15" s="103"/>
      <c r="R15" s="104"/>
      <c r="S15" s="102"/>
      <c r="T15" s="103"/>
      <c r="U15" s="103"/>
      <c r="V15" s="104"/>
      <c r="W15" s="102"/>
      <c r="X15" s="103"/>
      <c r="Y15" s="103"/>
      <c r="Z15" s="104"/>
      <c r="AA15" s="102"/>
      <c r="AB15" s="103"/>
      <c r="AC15" s="103"/>
      <c r="AD15" s="104"/>
      <c r="AE15" s="102"/>
      <c r="AF15" s="103"/>
      <c r="AG15" s="103"/>
      <c r="AH15" s="104"/>
      <c r="AI15" s="111"/>
      <c r="AJ15" s="112"/>
      <c r="AK15" s="112"/>
      <c r="AL15" s="113"/>
      <c r="AM15" s="111"/>
      <c r="AN15" s="112"/>
      <c r="AO15" s="112"/>
      <c r="AP15" s="113"/>
      <c r="AQ15" s="111"/>
      <c r="AR15" s="112"/>
      <c r="AS15" s="112"/>
      <c r="AT15" s="113"/>
      <c r="AU15" s="111"/>
      <c r="AV15" s="112"/>
      <c r="AW15" s="112"/>
      <c r="AX15" s="113"/>
      <c r="AY15" s="111"/>
      <c r="AZ15" s="112"/>
      <c r="BA15" s="112"/>
      <c r="BB15" s="113"/>
      <c r="BC15" s="111"/>
      <c r="BD15" s="112"/>
      <c r="BE15" s="112"/>
      <c r="BF15" s="113"/>
      <c r="BG15" s="102"/>
      <c r="BH15" s="103"/>
      <c r="BI15" s="103"/>
      <c r="BJ15" s="104"/>
      <c r="BK15" s="102"/>
      <c r="BL15" s="103"/>
      <c r="BM15" s="103"/>
      <c r="BN15" s="104"/>
      <c r="BO15" s="102"/>
      <c r="BP15" s="103"/>
      <c r="BQ15" s="103"/>
      <c r="BR15" s="104"/>
      <c r="BS15" s="102"/>
      <c r="BT15" s="103"/>
      <c r="BU15" s="103"/>
      <c r="BV15" s="104"/>
      <c r="BW15" s="102"/>
      <c r="BX15" s="103"/>
      <c r="BY15" s="103"/>
      <c r="BZ15" s="104"/>
      <c r="CA15" s="102"/>
      <c r="CB15" s="103"/>
      <c r="CC15" s="103"/>
      <c r="CD15" s="104"/>
      <c r="CE15" s="111"/>
      <c r="CF15" s="112"/>
      <c r="CG15" s="112"/>
      <c r="CH15" s="113"/>
      <c r="CI15" s="111"/>
      <c r="CJ15" s="112"/>
      <c r="CK15" s="112"/>
      <c r="CL15" s="113"/>
      <c r="CM15" s="111"/>
      <c r="CN15" s="112"/>
      <c r="CO15" s="112"/>
      <c r="CP15" s="113"/>
      <c r="CQ15" s="111"/>
      <c r="CR15" s="112"/>
      <c r="CS15" s="112"/>
      <c r="CT15" s="113"/>
      <c r="CU15" s="111"/>
      <c r="CV15" s="112"/>
      <c r="CW15" s="112"/>
      <c r="CX15" s="113"/>
      <c r="CY15" s="111"/>
      <c r="CZ15" s="112"/>
      <c r="DA15" s="112"/>
      <c r="DB15" s="113"/>
    </row>
    <row r="16" spans="1:106">
      <c r="A16" t="s">
        <v>899</v>
      </c>
      <c r="B16" t="s">
        <v>892</v>
      </c>
      <c r="C16" t="s">
        <v>15</v>
      </c>
      <c r="D16" t="s">
        <v>15</v>
      </c>
      <c r="E16" t="s">
        <v>903</v>
      </c>
      <c r="G16">
        <v>8</v>
      </c>
      <c r="I16" t="s">
        <v>366</v>
      </c>
      <c r="K16" s="102"/>
      <c r="L16" s="103"/>
      <c r="M16" s="103"/>
      <c r="N16" s="104"/>
      <c r="O16" s="102"/>
      <c r="P16" s="103"/>
      <c r="Q16" s="103"/>
      <c r="R16" s="104"/>
      <c r="S16" s="102"/>
      <c r="T16" s="103"/>
      <c r="U16" s="103"/>
      <c r="V16" s="104"/>
      <c r="W16" s="102"/>
      <c r="X16" s="103"/>
      <c r="Y16" s="103"/>
      <c r="Z16" s="104"/>
      <c r="AA16" s="102"/>
      <c r="AB16" s="103"/>
      <c r="AC16" s="103"/>
      <c r="AD16" s="104"/>
      <c r="AE16" s="102"/>
      <c r="AF16" s="103"/>
      <c r="AG16" s="103"/>
      <c r="AH16" s="104"/>
      <c r="AI16" s="111"/>
      <c r="AJ16" s="112"/>
      <c r="AK16" s="112"/>
      <c r="AL16" s="113"/>
      <c r="AM16" s="119"/>
      <c r="AN16" s="120"/>
      <c r="AO16" s="120"/>
      <c r="AP16" s="121"/>
      <c r="AQ16" s="119"/>
      <c r="AR16" s="112"/>
      <c r="AS16" s="112"/>
      <c r="AT16" s="113"/>
      <c r="AU16" s="111"/>
      <c r="AV16" s="112"/>
      <c r="AW16" s="112"/>
      <c r="AX16" s="113"/>
      <c r="AY16" s="111"/>
      <c r="AZ16" s="112"/>
      <c r="BA16" s="112"/>
      <c r="BB16" s="113"/>
      <c r="BC16" s="111"/>
      <c r="BD16" s="112"/>
      <c r="BE16" s="112"/>
      <c r="BF16" s="113"/>
      <c r="BG16" s="102"/>
      <c r="BH16" s="103"/>
      <c r="BI16" s="103"/>
      <c r="BJ16" s="104"/>
      <c r="BK16" s="102"/>
      <c r="BL16" s="103"/>
      <c r="BM16" s="103"/>
      <c r="BN16" s="104"/>
      <c r="BO16" s="102"/>
      <c r="BP16" s="103"/>
      <c r="BQ16" s="103"/>
      <c r="BR16" s="104"/>
      <c r="BS16" s="102"/>
      <c r="BT16" s="103"/>
      <c r="BU16" s="103"/>
      <c r="BV16" s="104"/>
      <c r="BW16" s="102"/>
      <c r="BX16" s="103"/>
      <c r="BY16" s="103"/>
      <c r="BZ16" s="104"/>
      <c r="CA16" s="102"/>
      <c r="CB16" s="103"/>
      <c r="CC16" s="103"/>
      <c r="CD16" s="104"/>
      <c r="CE16" s="111"/>
      <c r="CF16" s="112"/>
      <c r="CG16" s="112"/>
      <c r="CH16" s="113"/>
      <c r="CI16" s="119"/>
      <c r="CJ16" s="120"/>
      <c r="CK16" s="120"/>
      <c r="CL16" s="121"/>
      <c r="CM16" s="119"/>
      <c r="CN16" s="112"/>
      <c r="CO16" s="112"/>
      <c r="CP16" s="113"/>
      <c r="CQ16" s="111"/>
      <c r="CR16" s="112"/>
      <c r="CS16" s="112"/>
      <c r="CT16" s="113"/>
      <c r="CU16" s="111"/>
      <c r="CV16" s="112"/>
      <c r="CW16" s="112"/>
      <c r="CX16" s="113"/>
      <c r="CY16" s="111"/>
      <c r="CZ16" s="112"/>
      <c r="DA16" s="112"/>
      <c r="DB16" s="113"/>
    </row>
    <row r="17" spans="1:106">
      <c r="A17" t="s">
        <v>899</v>
      </c>
      <c r="B17" t="s">
        <v>892</v>
      </c>
      <c r="C17" t="s">
        <v>16</v>
      </c>
      <c r="D17" t="s">
        <v>16</v>
      </c>
      <c r="E17" t="s">
        <v>903</v>
      </c>
      <c r="G17">
        <v>8</v>
      </c>
      <c r="I17" t="s">
        <v>916</v>
      </c>
      <c r="K17" s="102"/>
      <c r="L17" s="103"/>
      <c r="M17" s="103"/>
      <c r="N17" s="104"/>
      <c r="O17" s="102"/>
      <c r="P17" s="103"/>
      <c r="Q17" s="103"/>
      <c r="R17" s="104"/>
      <c r="S17" s="102"/>
      <c r="T17" s="103"/>
      <c r="U17" s="103"/>
      <c r="V17" s="104"/>
      <c r="W17" s="102"/>
      <c r="X17" s="103"/>
      <c r="Y17" s="103"/>
      <c r="Z17" s="104"/>
      <c r="AA17" s="102"/>
      <c r="AB17" s="103"/>
      <c r="AC17" s="103"/>
      <c r="AD17" s="104"/>
      <c r="AE17" s="102"/>
      <c r="AF17" s="103"/>
      <c r="AG17" s="103"/>
      <c r="AH17" s="104"/>
      <c r="AI17" s="111"/>
      <c r="AJ17" s="112"/>
      <c r="AK17" s="112"/>
      <c r="AL17" s="113"/>
      <c r="AM17" s="119"/>
      <c r="AN17" s="120"/>
      <c r="AO17" s="120"/>
      <c r="AP17" s="121"/>
      <c r="AQ17" s="119"/>
      <c r="AR17" s="112"/>
      <c r="AS17" s="112"/>
      <c r="AT17" s="113"/>
      <c r="AU17" s="111"/>
      <c r="AV17" s="112"/>
      <c r="AW17" s="112"/>
      <c r="AX17" s="113"/>
      <c r="AY17" s="111"/>
      <c r="AZ17" s="112"/>
      <c r="BA17" s="112"/>
      <c r="BB17" s="113"/>
      <c r="BC17" s="111"/>
      <c r="BD17" s="112"/>
      <c r="BE17" s="112"/>
      <c r="BF17" s="113"/>
      <c r="BG17" s="102"/>
      <c r="BH17" s="103"/>
      <c r="BI17" s="103"/>
      <c r="BJ17" s="104"/>
      <c r="BK17" s="102"/>
      <c r="BL17" s="103"/>
      <c r="BM17" s="103"/>
      <c r="BN17" s="104"/>
      <c r="BO17" s="102"/>
      <c r="BP17" s="103"/>
      <c r="BQ17" s="103"/>
      <c r="BR17" s="104"/>
      <c r="BS17" s="102"/>
      <c r="BT17" s="103"/>
      <c r="BU17" s="103"/>
      <c r="BV17" s="104"/>
      <c r="BW17" s="102"/>
      <c r="BX17" s="103"/>
      <c r="BY17" s="103"/>
      <c r="BZ17" s="104"/>
      <c r="CA17" s="102"/>
      <c r="CB17" s="103"/>
      <c r="CC17" s="103"/>
      <c r="CD17" s="104"/>
      <c r="CE17" s="111"/>
      <c r="CF17" s="112"/>
      <c r="CG17" s="112"/>
      <c r="CH17" s="113"/>
      <c r="CI17" s="119"/>
      <c r="CJ17" s="120"/>
      <c r="CK17" s="120"/>
      <c r="CL17" s="121"/>
      <c r="CM17" s="119"/>
      <c r="CN17" s="112"/>
      <c r="CO17" s="112"/>
      <c r="CP17" s="113"/>
      <c r="CQ17" s="111"/>
      <c r="CR17" s="112"/>
      <c r="CS17" s="112"/>
      <c r="CT17" s="113"/>
      <c r="CU17" s="111"/>
      <c r="CV17" s="112"/>
      <c r="CW17" s="112"/>
      <c r="CX17" s="113"/>
      <c r="CY17" s="111"/>
      <c r="CZ17" s="112"/>
      <c r="DA17" s="112"/>
      <c r="DB17" s="113"/>
    </row>
    <row r="18" spans="1:106" ht="15" hidden="1" customHeight="1">
      <c r="A18" t="s">
        <v>917</v>
      </c>
      <c r="B18" t="s">
        <v>900</v>
      </c>
      <c r="C18" t="s">
        <v>4</v>
      </c>
      <c r="D18" t="s">
        <v>4</v>
      </c>
      <c r="I18" t="s">
        <v>918</v>
      </c>
      <c r="K18" s="102"/>
      <c r="L18" s="103"/>
      <c r="M18" s="103"/>
      <c r="N18" s="104"/>
      <c r="O18" s="102"/>
      <c r="P18" s="103"/>
      <c r="Q18" s="103"/>
      <c r="R18" s="104"/>
      <c r="S18" s="102"/>
      <c r="T18" s="103"/>
      <c r="U18" s="103"/>
      <c r="V18" s="104"/>
      <c r="W18" s="102"/>
      <c r="X18" s="103"/>
      <c r="Y18" s="103"/>
      <c r="Z18" s="104"/>
      <c r="AA18" s="102"/>
      <c r="AB18" s="103"/>
      <c r="AC18" s="103"/>
      <c r="AD18" s="104"/>
      <c r="AE18" s="102"/>
      <c r="AF18" s="103"/>
      <c r="AG18" s="103"/>
      <c r="AH18" s="104"/>
      <c r="AI18" s="111"/>
      <c r="AJ18" s="112"/>
      <c r="AK18" s="112"/>
      <c r="AL18" s="113"/>
      <c r="AM18" s="111"/>
      <c r="AN18" s="112"/>
      <c r="AO18" s="112"/>
      <c r="AP18" s="113"/>
      <c r="AQ18" s="111"/>
      <c r="AR18" s="112"/>
      <c r="AS18" s="112"/>
      <c r="AT18" s="113"/>
      <c r="AU18" s="111"/>
      <c r="AV18" s="112"/>
      <c r="AW18" s="112"/>
      <c r="AX18" s="113"/>
      <c r="AY18" s="111"/>
      <c r="AZ18" s="112"/>
      <c r="BA18" s="112"/>
      <c r="BB18" s="113"/>
      <c r="BC18" s="111"/>
      <c r="BD18" s="112"/>
      <c r="BE18" s="112"/>
      <c r="BF18" s="113"/>
      <c r="BG18" s="102"/>
      <c r="BH18" s="103"/>
      <c r="BI18" s="103"/>
      <c r="BJ18" s="104"/>
      <c r="BK18" s="102"/>
      <c r="BL18" s="103"/>
      <c r="BM18" s="103"/>
      <c r="BN18" s="104"/>
      <c r="BO18" s="102"/>
      <c r="BP18" s="103"/>
      <c r="BQ18" s="103"/>
      <c r="BR18" s="104"/>
      <c r="BS18" s="102"/>
      <c r="BT18" s="103"/>
      <c r="BU18" s="103"/>
      <c r="BV18" s="104"/>
      <c r="BW18" s="102"/>
      <c r="BX18" s="103"/>
      <c r="BY18" s="103"/>
      <c r="BZ18" s="104"/>
      <c r="CA18" s="102"/>
      <c r="CB18" s="103"/>
      <c r="CC18" s="103"/>
      <c r="CD18" s="104"/>
      <c r="CE18" s="111"/>
      <c r="CF18" s="112"/>
      <c r="CG18" s="112"/>
      <c r="CH18" s="113"/>
      <c r="CI18" s="111"/>
      <c r="CJ18" s="112"/>
      <c r="CK18" s="112"/>
      <c r="CL18" s="113"/>
      <c r="CM18" s="111"/>
      <c r="CN18" s="112"/>
      <c r="CO18" s="112"/>
      <c r="CP18" s="113"/>
      <c r="CQ18" s="111"/>
      <c r="CR18" s="112"/>
      <c r="CS18" s="112"/>
      <c r="CT18" s="113"/>
      <c r="CU18" s="111"/>
      <c r="CV18" s="112"/>
      <c r="CW18" s="112"/>
      <c r="CX18" s="113"/>
      <c r="CY18" s="111"/>
      <c r="CZ18" s="112"/>
      <c r="DA18" s="112"/>
      <c r="DB18" s="113"/>
    </row>
    <row r="19" spans="1:106">
      <c r="A19" t="s">
        <v>899</v>
      </c>
      <c r="B19" t="s">
        <v>892</v>
      </c>
      <c r="C19" t="s">
        <v>21</v>
      </c>
      <c r="D19" t="s">
        <v>21</v>
      </c>
      <c r="E19" t="s">
        <v>903</v>
      </c>
      <c r="G19">
        <v>8</v>
      </c>
      <c r="I19" t="s">
        <v>918</v>
      </c>
      <c r="K19" s="102"/>
      <c r="L19" s="103"/>
      <c r="M19" s="103"/>
      <c r="N19" s="104"/>
      <c r="O19" s="102"/>
      <c r="P19" s="103"/>
      <c r="Q19" s="103"/>
      <c r="R19" s="104"/>
      <c r="S19" s="102"/>
      <c r="T19" s="103"/>
      <c r="U19" s="103"/>
      <c r="V19" s="104"/>
      <c r="W19" s="102"/>
      <c r="X19" s="103"/>
      <c r="Y19" s="103"/>
      <c r="Z19" s="104"/>
      <c r="AA19" s="102"/>
      <c r="AB19" s="103"/>
      <c r="AC19" s="103"/>
      <c r="AD19" s="104"/>
      <c r="AE19" s="102"/>
      <c r="AF19" s="103"/>
      <c r="AG19" s="103"/>
      <c r="AH19" s="104"/>
      <c r="AI19" s="111"/>
      <c r="AJ19" s="112"/>
      <c r="AK19" s="112"/>
      <c r="AL19" s="113"/>
      <c r="AM19" s="111"/>
      <c r="AN19" s="112"/>
      <c r="AO19" s="112"/>
      <c r="AP19" s="133"/>
      <c r="AQ19" s="130"/>
      <c r="AR19" s="131"/>
      <c r="AS19" s="131"/>
      <c r="AT19" s="132"/>
      <c r="AU19" s="130"/>
      <c r="AV19" s="112"/>
      <c r="AW19" s="112"/>
      <c r="AX19" s="113"/>
      <c r="AY19" s="111"/>
      <c r="AZ19" s="112"/>
      <c r="BA19" s="112"/>
      <c r="BB19" s="113"/>
      <c r="BC19" s="111"/>
      <c r="BD19" s="112"/>
      <c r="BE19" s="112"/>
      <c r="BF19" s="113"/>
      <c r="BG19" s="102"/>
      <c r="BH19" s="103"/>
      <c r="BI19" s="103"/>
      <c r="BJ19" s="104"/>
      <c r="BK19" s="102"/>
      <c r="BL19" s="103"/>
      <c r="BM19" s="103"/>
      <c r="BN19" s="104"/>
      <c r="BO19" s="102"/>
      <c r="BP19" s="103"/>
      <c r="BQ19" s="103"/>
      <c r="BR19" s="104"/>
      <c r="BS19" s="102"/>
      <c r="BT19" s="103"/>
      <c r="BU19" s="103"/>
      <c r="BV19" s="104"/>
      <c r="BW19" s="102"/>
      <c r="BX19" s="103"/>
      <c r="BY19" s="103"/>
      <c r="BZ19" s="104"/>
      <c r="CA19" s="102"/>
      <c r="CB19" s="103"/>
      <c r="CC19" s="103"/>
      <c r="CD19" s="104"/>
      <c r="CE19" s="111"/>
      <c r="CF19" s="112"/>
      <c r="CG19" s="112"/>
      <c r="CH19" s="113"/>
      <c r="CI19" s="111"/>
      <c r="CJ19" s="112"/>
      <c r="CK19" s="112"/>
      <c r="CL19" s="113"/>
      <c r="CM19" s="130"/>
      <c r="CN19" s="131"/>
      <c r="CO19" s="131"/>
      <c r="CP19" s="132"/>
      <c r="CQ19" s="130"/>
      <c r="CR19" s="112"/>
      <c r="CS19" s="112"/>
      <c r="CT19" s="113"/>
      <c r="CU19" s="111"/>
      <c r="CV19" s="112"/>
      <c r="CW19" s="112"/>
      <c r="CX19" s="113"/>
      <c r="CY19" s="111"/>
      <c r="CZ19" s="112"/>
      <c r="DA19" s="112"/>
      <c r="DB19" s="113"/>
    </row>
    <row r="20" spans="1:106" ht="15" hidden="1" customHeight="1">
      <c r="A20" t="s">
        <v>917</v>
      </c>
      <c r="B20" t="s">
        <v>892</v>
      </c>
      <c r="C20" t="s">
        <v>919</v>
      </c>
      <c r="D20" t="s">
        <v>919</v>
      </c>
      <c r="E20" t="s">
        <v>903</v>
      </c>
      <c r="G20">
        <v>8</v>
      </c>
      <c r="K20" s="102"/>
      <c r="L20" s="103"/>
      <c r="M20" s="103"/>
      <c r="N20" s="104"/>
      <c r="O20" s="102"/>
      <c r="P20" s="103"/>
      <c r="Q20" s="103"/>
      <c r="R20" s="104"/>
      <c r="S20" s="102"/>
      <c r="T20" s="103"/>
      <c r="U20" s="103"/>
      <c r="V20" s="104"/>
      <c r="W20" s="102"/>
      <c r="X20" s="103"/>
      <c r="Y20" s="103"/>
      <c r="Z20" s="104"/>
      <c r="AA20" s="102"/>
      <c r="AB20" s="103"/>
      <c r="AC20" s="103"/>
      <c r="AD20" s="104"/>
      <c r="AE20" s="102"/>
      <c r="AF20" s="103"/>
      <c r="AG20" s="103"/>
      <c r="AH20" s="104"/>
      <c r="AI20" s="111"/>
      <c r="AJ20" s="112"/>
      <c r="AK20" s="112"/>
      <c r="AL20" s="113"/>
      <c r="AM20" s="111"/>
      <c r="AN20" s="112"/>
      <c r="AO20" s="112"/>
      <c r="AP20" s="113"/>
      <c r="AQ20" s="111"/>
      <c r="AR20" s="112"/>
      <c r="AS20" s="112"/>
      <c r="AT20" s="113"/>
      <c r="AU20" s="111"/>
      <c r="AV20" s="112"/>
      <c r="AW20" s="112"/>
      <c r="AX20" s="113"/>
      <c r="AY20" s="111"/>
      <c r="AZ20" s="112"/>
      <c r="BA20" s="112"/>
      <c r="BB20" s="113"/>
      <c r="BC20" s="111"/>
      <c r="BD20" s="112"/>
      <c r="BE20" s="112"/>
      <c r="BF20" s="113"/>
      <c r="BG20" s="102"/>
      <c r="BH20" s="103"/>
      <c r="BI20" s="103"/>
      <c r="BJ20" s="104"/>
      <c r="BK20" s="102"/>
      <c r="BL20" s="103"/>
      <c r="BM20" s="103"/>
      <c r="BN20" s="104"/>
      <c r="BO20" s="102"/>
      <c r="BP20" s="103"/>
      <c r="BQ20" s="103"/>
      <c r="BR20" s="104"/>
      <c r="BS20" s="102"/>
      <c r="BT20" s="103"/>
      <c r="BU20" s="103"/>
      <c r="BV20" s="104"/>
      <c r="BW20" s="102"/>
      <c r="BX20" s="103"/>
      <c r="BY20" s="103"/>
      <c r="BZ20" s="104"/>
      <c r="CA20" s="102"/>
      <c r="CB20" s="103"/>
      <c r="CC20" s="103"/>
      <c r="CD20" s="104"/>
      <c r="CE20" s="111"/>
      <c r="CF20" s="112"/>
      <c r="CG20" s="112"/>
      <c r="CH20" s="113"/>
      <c r="CI20" s="111"/>
      <c r="CJ20" s="112"/>
      <c r="CK20" s="112"/>
      <c r="CL20" s="113"/>
      <c r="CM20" s="111"/>
      <c r="CN20" s="112"/>
      <c r="CO20" s="112"/>
      <c r="CP20" s="113"/>
      <c r="CQ20" s="111"/>
      <c r="CR20" s="112"/>
      <c r="CS20" s="112"/>
      <c r="CT20" s="113"/>
      <c r="CU20" s="111"/>
      <c r="CV20" s="112"/>
      <c r="CW20" s="112"/>
      <c r="CX20" s="113"/>
      <c r="CY20" s="111"/>
      <c r="CZ20" s="112"/>
      <c r="DA20" s="112"/>
      <c r="DB20" s="113"/>
    </row>
    <row r="21" spans="1:106">
      <c r="A21" t="s">
        <v>899</v>
      </c>
      <c r="B21" t="s">
        <v>892</v>
      </c>
      <c r="C21" t="s">
        <v>920</v>
      </c>
      <c r="D21" t="s">
        <v>921</v>
      </c>
      <c r="E21" t="s">
        <v>908</v>
      </c>
      <c r="F21" t="s">
        <v>14</v>
      </c>
      <c r="G21">
        <v>8</v>
      </c>
      <c r="H21">
        <v>15.5</v>
      </c>
      <c r="I21" t="s">
        <v>407</v>
      </c>
      <c r="K21" s="102"/>
      <c r="L21" s="103"/>
      <c r="M21" s="103"/>
      <c r="N21" s="104"/>
      <c r="O21" s="102"/>
      <c r="P21" s="103"/>
      <c r="Q21" s="103"/>
      <c r="R21" s="104"/>
      <c r="S21" s="102"/>
      <c r="T21" s="103"/>
      <c r="U21" s="103"/>
      <c r="V21" s="104"/>
      <c r="W21" s="102"/>
      <c r="X21" s="103"/>
      <c r="Y21" s="103"/>
      <c r="Z21" s="104"/>
      <c r="AA21" s="102"/>
      <c r="AB21" s="103"/>
      <c r="AC21" s="103"/>
      <c r="AD21" s="104"/>
      <c r="AE21" s="102"/>
      <c r="AF21" s="103"/>
      <c r="AG21" s="103"/>
      <c r="AH21" s="104"/>
      <c r="AI21" s="111"/>
      <c r="AJ21" s="112"/>
      <c r="AK21" s="112"/>
      <c r="AL21" s="113"/>
      <c r="AM21" s="111"/>
      <c r="AN21" s="112"/>
      <c r="AO21" s="112"/>
      <c r="AP21" s="113"/>
      <c r="AQ21" s="111"/>
      <c r="AR21" s="112"/>
      <c r="AS21" s="112"/>
      <c r="AT21" s="113"/>
      <c r="AU21" s="111"/>
      <c r="AV21" s="112"/>
      <c r="AW21" s="112"/>
      <c r="AX21" s="113"/>
      <c r="AY21" s="111"/>
      <c r="AZ21" s="112"/>
      <c r="BA21" s="112"/>
      <c r="BB21" s="113"/>
      <c r="BC21" s="111"/>
      <c r="BD21" s="112"/>
      <c r="BE21" s="112"/>
      <c r="BF21" s="113"/>
      <c r="BG21" s="102"/>
      <c r="BH21" s="103"/>
      <c r="BI21" s="103"/>
      <c r="BJ21" s="104"/>
      <c r="BK21" s="102"/>
      <c r="BL21" s="103"/>
      <c r="BM21" s="103"/>
      <c r="BN21" s="104"/>
      <c r="BO21" s="102"/>
      <c r="BP21" s="103"/>
      <c r="BQ21" s="103"/>
      <c r="BR21" s="104"/>
      <c r="BS21" s="102"/>
      <c r="BT21" s="103"/>
      <c r="BU21" s="103"/>
      <c r="BV21" s="104"/>
      <c r="BW21" s="102"/>
      <c r="BX21" s="103"/>
      <c r="BY21" s="103"/>
      <c r="BZ21" s="104"/>
      <c r="CA21" s="102"/>
      <c r="CB21" s="103"/>
      <c r="CC21" s="103"/>
      <c r="CD21" s="104"/>
      <c r="CE21" s="111"/>
      <c r="CF21" s="112"/>
      <c r="CG21" s="112"/>
      <c r="CH21" s="113"/>
      <c r="CI21" s="111"/>
      <c r="CJ21" s="112"/>
      <c r="CK21" s="112"/>
      <c r="CL21" s="113"/>
      <c r="CM21" s="111"/>
      <c r="CN21" s="112"/>
      <c r="CO21" s="112"/>
      <c r="CP21" s="113"/>
      <c r="CQ21" s="111"/>
      <c r="CR21" s="112"/>
      <c r="CS21" s="112"/>
      <c r="CT21" s="113"/>
      <c r="CU21" s="111"/>
      <c r="CV21" s="112"/>
      <c r="CW21" s="112"/>
      <c r="CX21" s="113"/>
      <c r="CY21" s="111"/>
      <c r="CZ21" s="112"/>
      <c r="DA21" s="112"/>
      <c r="DB21" s="113"/>
    </row>
    <row r="22" spans="1:106">
      <c r="A22" t="s">
        <v>899</v>
      </c>
      <c r="B22" t="s">
        <v>892</v>
      </c>
      <c r="C22" t="s">
        <v>922</v>
      </c>
      <c r="D22" t="s">
        <v>923</v>
      </c>
      <c r="E22" t="s">
        <v>908</v>
      </c>
      <c r="F22" t="s">
        <v>14</v>
      </c>
      <c r="G22">
        <v>8</v>
      </c>
      <c r="H22">
        <v>15.5</v>
      </c>
      <c r="I22" t="s">
        <v>436</v>
      </c>
      <c r="K22" s="102"/>
      <c r="L22" s="103"/>
      <c r="M22" s="103"/>
      <c r="N22" s="104"/>
      <c r="O22" s="102"/>
      <c r="P22" s="103"/>
      <c r="Q22" s="103"/>
      <c r="R22" s="104"/>
      <c r="S22" s="102"/>
      <c r="T22" s="103"/>
      <c r="U22" s="103"/>
      <c r="V22" s="104"/>
      <c r="W22" s="102"/>
      <c r="X22" s="103"/>
      <c r="Y22" s="103"/>
      <c r="Z22" s="104"/>
      <c r="AA22" s="102"/>
      <c r="AB22" s="103"/>
      <c r="AC22" s="103"/>
      <c r="AD22" s="104"/>
      <c r="AE22" s="102"/>
      <c r="AF22" s="103"/>
      <c r="AG22" s="103"/>
      <c r="AH22" s="104"/>
      <c r="AI22" s="111"/>
      <c r="AJ22" s="112"/>
      <c r="AK22" s="112"/>
      <c r="AL22" s="113"/>
      <c r="AM22" s="111"/>
      <c r="AN22" s="112"/>
      <c r="AO22" s="112"/>
      <c r="AP22" s="113"/>
      <c r="AQ22" s="111"/>
      <c r="AR22" s="112"/>
      <c r="AS22" s="112"/>
      <c r="AT22" s="113"/>
      <c r="AU22" s="111"/>
      <c r="AV22" s="112"/>
      <c r="AW22" s="112"/>
      <c r="AX22" s="113"/>
      <c r="AY22" s="111"/>
      <c r="AZ22" s="112"/>
      <c r="BA22" s="112"/>
      <c r="BB22" s="113"/>
      <c r="BC22" s="111"/>
      <c r="BD22" s="112"/>
      <c r="BE22" s="112"/>
      <c r="BF22" s="113"/>
      <c r="BG22" s="102"/>
      <c r="BH22" s="103"/>
      <c r="BI22" s="103"/>
      <c r="BJ22" s="104"/>
      <c r="BK22" s="102"/>
      <c r="BL22" s="103"/>
      <c r="BM22" s="103"/>
      <c r="BN22" s="104"/>
      <c r="BO22" s="102"/>
      <c r="BP22" s="103"/>
      <c r="BQ22" s="103"/>
      <c r="BR22" s="104"/>
      <c r="BS22" s="102"/>
      <c r="BT22" s="103"/>
      <c r="BU22" s="103"/>
      <c r="BV22" s="104"/>
      <c r="BW22" s="102"/>
      <c r="BX22" s="103"/>
      <c r="BY22" s="103"/>
      <c r="BZ22" s="104"/>
      <c r="CA22" s="102"/>
      <c r="CB22" s="103"/>
      <c r="CC22" s="103"/>
      <c r="CD22" s="104"/>
      <c r="CE22" s="111"/>
      <c r="CF22" s="112"/>
      <c r="CG22" s="112"/>
      <c r="CH22" s="113"/>
      <c r="CI22" s="111"/>
      <c r="CJ22" s="112"/>
      <c r="CK22" s="112"/>
      <c r="CL22" s="113"/>
      <c r="CM22" s="111"/>
      <c r="CN22" s="112"/>
      <c r="CO22" s="112"/>
      <c r="CP22" s="113"/>
      <c r="CQ22" s="111"/>
      <c r="CR22" s="112"/>
      <c r="CS22" s="112"/>
      <c r="CT22" s="113"/>
      <c r="CU22" s="111"/>
      <c r="CV22" s="112"/>
      <c r="CW22" s="112"/>
      <c r="CX22" s="113"/>
      <c r="CY22" s="111"/>
      <c r="CZ22" s="112"/>
      <c r="DA22" s="112"/>
      <c r="DB22" s="113"/>
    </row>
    <row r="23" spans="1:106">
      <c r="A23" t="s">
        <v>899</v>
      </c>
      <c r="B23" t="s">
        <v>892</v>
      </c>
      <c r="C23" t="s">
        <v>924</v>
      </c>
      <c r="D23" t="s">
        <v>925</v>
      </c>
      <c r="E23" t="s">
        <v>908</v>
      </c>
      <c r="F23" t="s">
        <v>20</v>
      </c>
      <c r="G23">
        <v>8</v>
      </c>
      <c r="H23">
        <v>14</v>
      </c>
      <c r="I23" t="s">
        <v>411</v>
      </c>
      <c r="K23" s="102"/>
      <c r="L23" s="103"/>
      <c r="M23" s="103"/>
      <c r="N23" s="104"/>
      <c r="O23" s="102"/>
      <c r="P23" s="103"/>
      <c r="Q23" s="103"/>
      <c r="R23" s="104"/>
      <c r="S23" s="102"/>
      <c r="T23" s="103"/>
      <c r="U23" s="103"/>
      <c r="V23" s="104"/>
      <c r="W23" s="102"/>
      <c r="X23" s="103"/>
      <c r="Y23" s="103"/>
      <c r="Z23" s="104"/>
      <c r="AA23" s="102"/>
      <c r="AB23" s="103"/>
      <c r="AC23" s="103"/>
      <c r="AD23" s="104"/>
      <c r="AE23" s="102"/>
      <c r="AF23" s="103"/>
      <c r="AG23" s="103"/>
      <c r="AH23" s="104"/>
      <c r="AI23" s="111"/>
      <c r="AJ23" s="112"/>
      <c r="AK23" s="112"/>
      <c r="AL23" s="113"/>
      <c r="AM23" s="111"/>
      <c r="AN23" s="112"/>
      <c r="AO23" s="112"/>
      <c r="AP23" s="113"/>
      <c r="AQ23" s="111"/>
      <c r="AR23" s="112"/>
      <c r="AS23" s="112"/>
      <c r="AT23" s="113"/>
      <c r="AU23" s="111"/>
      <c r="AV23" s="112"/>
      <c r="AW23" s="112"/>
      <c r="AX23" s="113"/>
      <c r="AY23" s="111"/>
      <c r="AZ23" s="112"/>
      <c r="BA23" s="112"/>
      <c r="BB23" s="113"/>
      <c r="BC23" s="111"/>
      <c r="BD23" s="112"/>
      <c r="BE23" s="112"/>
      <c r="BF23" s="113"/>
      <c r="BG23" s="102"/>
      <c r="BH23" s="103"/>
      <c r="BI23" s="103"/>
      <c r="BJ23" s="104"/>
      <c r="BK23" s="102"/>
      <c r="BL23" s="103"/>
      <c r="BM23" s="103"/>
      <c r="BN23" s="104"/>
      <c r="BO23" s="102"/>
      <c r="BP23" s="103"/>
      <c r="BQ23" s="103"/>
      <c r="BR23" s="104"/>
      <c r="BS23" s="102"/>
      <c r="BT23" s="103"/>
      <c r="BU23" s="103"/>
      <c r="BV23" s="104"/>
      <c r="BW23" s="102"/>
      <c r="BX23" s="103"/>
      <c r="BY23" s="103"/>
      <c r="BZ23" s="104"/>
      <c r="CA23" s="102"/>
      <c r="CB23" s="103"/>
      <c r="CC23" s="103"/>
      <c r="CD23" s="104"/>
      <c r="CE23" s="111"/>
      <c r="CF23" s="112"/>
      <c r="CG23" s="112"/>
      <c r="CH23" s="113"/>
      <c r="CI23" s="111"/>
      <c r="CJ23" s="112"/>
      <c r="CK23" s="112"/>
      <c r="CL23" s="113"/>
      <c r="CM23" s="111"/>
      <c r="CN23" s="112"/>
      <c r="CO23" s="112"/>
      <c r="CP23" s="113"/>
      <c r="CQ23" s="111"/>
      <c r="CR23" s="112"/>
      <c r="CS23" s="112"/>
      <c r="CT23" s="113"/>
      <c r="CU23" s="111"/>
      <c r="CV23" s="112"/>
      <c r="CW23" s="112"/>
      <c r="CX23" s="113"/>
      <c r="CY23" s="111"/>
      <c r="CZ23" s="112"/>
      <c r="DA23" s="112"/>
      <c r="DB23" s="113"/>
    </row>
    <row r="24" spans="1:106">
      <c r="A24" t="s">
        <v>899</v>
      </c>
      <c r="B24" t="s">
        <v>892</v>
      </c>
      <c r="C24" t="s">
        <v>926</v>
      </c>
      <c r="D24" t="s">
        <v>927</v>
      </c>
      <c r="E24" t="s">
        <v>908</v>
      </c>
      <c r="F24" t="s">
        <v>20</v>
      </c>
      <c r="G24">
        <v>8</v>
      </c>
      <c r="H24">
        <v>14</v>
      </c>
      <c r="I24" t="s">
        <v>418</v>
      </c>
      <c r="K24" s="102"/>
      <c r="L24" s="103"/>
      <c r="M24" s="103"/>
      <c r="N24" s="104"/>
      <c r="O24" s="102"/>
      <c r="P24" s="103"/>
      <c r="Q24" s="103"/>
      <c r="R24" s="104"/>
      <c r="S24" s="102"/>
      <c r="T24" s="103"/>
      <c r="U24" s="103"/>
      <c r="V24" s="104"/>
      <c r="W24" s="102"/>
      <c r="X24" s="103"/>
      <c r="Y24" s="103"/>
      <c r="Z24" s="104"/>
      <c r="AA24" s="102"/>
      <c r="AB24" s="103"/>
      <c r="AC24" s="103"/>
      <c r="AD24" s="104"/>
      <c r="AE24" s="102"/>
      <c r="AF24" s="103"/>
      <c r="AG24" s="103"/>
      <c r="AH24" s="104"/>
      <c r="AI24" s="111"/>
      <c r="AJ24" s="112"/>
      <c r="AK24" s="112"/>
      <c r="AL24" s="113"/>
      <c r="AM24" s="111"/>
      <c r="AN24" s="112"/>
      <c r="AO24" s="112"/>
      <c r="AP24" s="113"/>
      <c r="AQ24" s="111"/>
      <c r="AR24" s="112"/>
      <c r="AS24" s="112"/>
      <c r="AT24" s="113"/>
      <c r="AU24" s="111"/>
      <c r="AV24" s="112"/>
      <c r="AW24" s="112"/>
      <c r="AX24" s="113"/>
      <c r="AY24" s="111"/>
      <c r="AZ24" s="112"/>
      <c r="BA24" s="112"/>
      <c r="BB24" s="113"/>
      <c r="BC24" s="111"/>
      <c r="BD24" s="112"/>
      <c r="BE24" s="112"/>
      <c r="BF24" s="113"/>
      <c r="BG24" s="102"/>
      <c r="BH24" s="103"/>
      <c r="BI24" s="103"/>
      <c r="BJ24" s="104"/>
      <c r="BK24" s="102"/>
      <c r="BL24" s="103"/>
      <c r="BM24" s="103"/>
      <c r="BN24" s="104"/>
      <c r="BO24" s="102"/>
      <c r="BP24" s="103"/>
      <c r="BQ24" s="103"/>
      <c r="BR24" s="104"/>
      <c r="BS24" s="102"/>
      <c r="BT24" s="103"/>
      <c r="BU24" s="103"/>
      <c r="BV24" s="104"/>
      <c r="BW24" s="102"/>
      <c r="BX24" s="103"/>
      <c r="BY24" s="103"/>
      <c r="BZ24" s="104"/>
      <c r="CA24" s="102"/>
      <c r="CB24" s="103"/>
      <c r="CC24" s="103"/>
      <c r="CD24" s="104"/>
      <c r="CE24" s="111"/>
      <c r="CF24" s="112"/>
      <c r="CG24" s="112"/>
      <c r="CH24" s="113"/>
      <c r="CI24" s="111"/>
      <c r="CJ24" s="112"/>
      <c r="CK24" s="112"/>
      <c r="CL24" s="113"/>
      <c r="CM24" s="111"/>
      <c r="CN24" s="112"/>
      <c r="CO24" s="112"/>
      <c r="CP24" s="113"/>
      <c r="CQ24" s="111"/>
      <c r="CR24" s="112"/>
      <c r="CS24" s="112"/>
      <c r="CT24" s="113"/>
      <c r="CU24" s="111"/>
      <c r="CV24" s="112"/>
      <c r="CW24" s="112"/>
      <c r="CX24" s="113"/>
      <c r="CY24" s="111"/>
      <c r="CZ24" s="112"/>
      <c r="DA24" s="112"/>
      <c r="DB24" s="113"/>
    </row>
    <row r="25" spans="1:106">
      <c r="A25" t="s">
        <v>899</v>
      </c>
      <c r="B25" t="s">
        <v>892</v>
      </c>
      <c r="C25" t="s">
        <v>928</v>
      </c>
      <c r="D25" t="s">
        <v>929</v>
      </c>
      <c r="E25" t="s">
        <v>908</v>
      </c>
      <c r="F25" t="s">
        <v>20</v>
      </c>
      <c r="G25">
        <v>8</v>
      </c>
      <c r="H25">
        <v>12.5</v>
      </c>
      <c r="I25" t="s">
        <v>351</v>
      </c>
      <c r="K25" s="102"/>
      <c r="L25" s="103"/>
      <c r="M25" s="103"/>
      <c r="N25" s="104"/>
      <c r="O25" s="102"/>
      <c r="P25" s="103"/>
      <c r="Q25" s="103"/>
      <c r="R25" s="104"/>
      <c r="S25" s="102"/>
      <c r="T25" s="103"/>
      <c r="U25" s="103"/>
      <c r="V25" s="104"/>
      <c r="W25" s="102"/>
      <c r="X25" s="103"/>
      <c r="Y25" s="103"/>
      <c r="Z25" s="104"/>
      <c r="AA25" s="102"/>
      <c r="AB25" s="103"/>
      <c r="AC25" s="103"/>
      <c r="AD25" s="104"/>
      <c r="AE25" s="102"/>
      <c r="AF25" s="103"/>
      <c r="AG25" s="103"/>
      <c r="AH25" s="104"/>
      <c r="AI25" s="111"/>
      <c r="AJ25" s="112"/>
      <c r="AK25" s="112"/>
      <c r="AL25" s="113"/>
      <c r="AM25" s="111"/>
      <c r="AN25" s="112"/>
      <c r="AO25" s="112"/>
      <c r="AP25" s="113"/>
      <c r="AQ25" s="111"/>
      <c r="AR25" s="112"/>
      <c r="AS25" s="112"/>
      <c r="AT25" s="113"/>
      <c r="AU25" s="111"/>
      <c r="AV25" s="112"/>
      <c r="AW25" s="112"/>
      <c r="AX25" s="113"/>
      <c r="AY25" s="111"/>
      <c r="AZ25" s="112"/>
      <c r="BA25" s="112"/>
      <c r="BB25" s="113"/>
      <c r="BC25" s="111"/>
      <c r="BD25" s="112"/>
      <c r="BE25" s="112"/>
      <c r="BF25" s="113"/>
      <c r="BG25" s="102"/>
      <c r="BH25" s="103"/>
      <c r="BI25" s="103"/>
      <c r="BJ25" s="104"/>
      <c r="BK25" s="102"/>
      <c r="BL25" s="103"/>
      <c r="BM25" s="103"/>
      <c r="BN25" s="104"/>
      <c r="BO25" s="102"/>
      <c r="BP25" s="103"/>
      <c r="BQ25" s="103"/>
      <c r="BR25" s="104"/>
      <c r="BS25" s="102"/>
      <c r="BT25" s="103"/>
      <c r="BU25" s="103"/>
      <c r="BV25" s="104"/>
      <c r="BW25" s="102"/>
      <c r="BX25" s="103"/>
      <c r="BY25" s="103"/>
      <c r="BZ25" s="104"/>
      <c r="CA25" s="102"/>
      <c r="CB25" s="103"/>
      <c r="CC25" s="103"/>
      <c r="CD25" s="104"/>
      <c r="CE25" s="111"/>
      <c r="CF25" s="112"/>
      <c r="CG25" s="112"/>
      <c r="CH25" s="113"/>
      <c r="CI25" s="111"/>
      <c r="CJ25" s="112"/>
      <c r="CK25" s="112"/>
      <c r="CL25" s="113"/>
      <c r="CM25" s="111"/>
      <c r="CN25" s="112"/>
      <c r="CO25" s="112"/>
      <c r="CP25" s="113"/>
      <c r="CQ25" s="111"/>
      <c r="CR25" s="112"/>
      <c r="CS25" s="112"/>
      <c r="CT25" s="113"/>
      <c r="CU25" s="111"/>
      <c r="CV25" s="112"/>
      <c r="CW25" s="112"/>
      <c r="CX25" s="113"/>
      <c r="CY25" s="111"/>
      <c r="CZ25" s="112"/>
      <c r="DA25" s="112"/>
      <c r="DB25" s="113"/>
    </row>
    <row r="26" spans="1:106">
      <c r="A26" t="s">
        <v>899</v>
      </c>
      <c r="B26" t="s">
        <v>892</v>
      </c>
      <c r="C26" t="s">
        <v>930</v>
      </c>
      <c r="D26" t="s">
        <v>931</v>
      </c>
      <c r="E26" t="s">
        <v>908</v>
      </c>
      <c r="F26" t="s">
        <v>20</v>
      </c>
      <c r="G26">
        <v>8</v>
      </c>
      <c r="H26">
        <v>12.5</v>
      </c>
      <c r="I26" t="s">
        <v>294</v>
      </c>
      <c r="K26" s="102"/>
      <c r="L26" s="103"/>
      <c r="M26" s="103"/>
      <c r="N26" s="104"/>
      <c r="O26" s="102"/>
      <c r="P26" s="103"/>
      <c r="Q26" s="103"/>
      <c r="R26" s="104"/>
      <c r="S26" s="102"/>
      <c r="T26" s="103"/>
      <c r="U26" s="103"/>
      <c r="V26" s="104"/>
      <c r="W26" s="102"/>
      <c r="X26" s="103"/>
      <c r="Y26" s="103"/>
      <c r="Z26" s="104"/>
      <c r="AA26" s="102"/>
      <c r="AB26" s="103"/>
      <c r="AC26" s="103"/>
      <c r="AD26" s="104"/>
      <c r="AE26" s="102"/>
      <c r="AF26" s="103"/>
      <c r="AG26" s="103"/>
      <c r="AH26" s="104"/>
      <c r="AI26" s="111"/>
      <c r="AJ26" s="112"/>
      <c r="AK26" s="112"/>
      <c r="AL26" s="113"/>
      <c r="AM26" s="111"/>
      <c r="AN26" s="112"/>
      <c r="AO26" s="112"/>
      <c r="AP26" s="113"/>
      <c r="AQ26" s="111"/>
      <c r="AR26" s="112"/>
      <c r="AS26" s="112"/>
      <c r="AT26" s="113"/>
      <c r="AU26" s="111"/>
      <c r="AV26" s="112"/>
      <c r="AW26" s="112"/>
      <c r="AX26" s="113"/>
      <c r="AY26" s="111"/>
      <c r="AZ26" s="112"/>
      <c r="BA26" s="112"/>
      <c r="BB26" s="113"/>
      <c r="BC26" s="111"/>
      <c r="BD26" s="112"/>
      <c r="BE26" s="112"/>
      <c r="BF26" s="113"/>
      <c r="BG26" s="102"/>
      <c r="BH26" s="103"/>
      <c r="BI26" s="103"/>
      <c r="BJ26" s="104"/>
      <c r="BK26" s="102"/>
      <c r="BL26" s="103"/>
      <c r="BM26" s="103"/>
      <c r="BN26" s="104"/>
      <c r="BO26" s="102"/>
      <c r="BP26" s="103"/>
      <c r="BQ26" s="103"/>
      <c r="BR26" s="104"/>
      <c r="BS26" s="102"/>
      <c r="BT26" s="103"/>
      <c r="BU26" s="103"/>
      <c r="BV26" s="104"/>
      <c r="BW26" s="102"/>
      <c r="BX26" s="103"/>
      <c r="BY26" s="103"/>
      <c r="BZ26" s="104"/>
      <c r="CA26" s="102"/>
      <c r="CB26" s="103"/>
      <c r="CC26" s="103"/>
      <c r="CD26" s="104"/>
      <c r="CE26" s="111"/>
      <c r="CF26" s="112"/>
      <c r="CG26" s="112"/>
      <c r="CH26" s="113"/>
      <c r="CI26" s="111"/>
      <c r="CJ26" s="112"/>
      <c r="CK26" s="112"/>
      <c r="CL26" s="113"/>
      <c r="CM26" s="111"/>
      <c r="CN26" s="112"/>
      <c r="CO26" s="112"/>
      <c r="CP26" s="113"/>
      <c r="CQ26" s="111"/>
      <c r="CR26" s="112"/>
      <c r="CS26" s="112"/>
      <c r="CT26" s="113"/>
      <c r="CU26" s="111"/>
      <c r="CV26" s="112"/>
      <c r="CW26" s="112"/>
      <c r="CX26" s="113"/>
      <c r="CY26" s="111"/>
      <c r="CZ26" s="112"/>
      <c r="DA26" s="112"/>
      <c r="DB26" s="113"/>
    </row>
    <row r="27" spans="1:106">
      <c r="A27" t="s">
        <v>899</v>
      </c>
      <c r="B27" t="s">
        <v>892</v>
      </c>
      <c r="C27" t="s">
        <v>932</v>
      </c>
      <c r="D27" t="s">
        <v>933</v>
      </c>
      <c r="E27" t="s">
        <v>908</v>
      </c>
      <c r="F27" t="s">
        <v>26</v>
      </c>
      <c r="G27">
        <v>8</v>
      </c>
      <c r="H27">
        <v>12</v>
      </c>
      <c r="I27" t="s">
        <v>275</v>
      </c>
      <c r="K27" s="102"/>
      <c r="L27" s="103"/>
      <c r="M27" s="103"/>
      <c r="N27" s="104"/>
      <c r="O27" s="130"/>
      <c r="P27" s="131"/>
      <c r="Q27" s="131"/>
      <c r="R27" s="132"/>
      <c r="S27" s="102"/>
      <c r="T27" s="103"/>
      <c r="U27" s="103"/>
      <c r="V27" s="104"/>
      <c r="W27" s="102"/>
      <c r="X27" s="103"/>
      <c r="Y27" s="103"/>
      <c r="Z27" s="104"/>
      <c r="AA27" s="102"/>
      <c r="AB27" s="103"/>
      <c r="AC27" s="103"/>
      <c r="AD27" s="104"/>
      <c r="AE27" s="102"/>
      <c r="AF27" s="103"/>
      <c r="AG27" s="103"/>
      <c r="AH27" s="104"/>
      <c r="AI27" s="111"/>
      <c r="AJ27" s="112"/>
      <c r="AK27" s="112"/>
      <c r="AL27" s="113"/>
      <c r="AM27" s="111"/>
      <c r="AN27" s="112"/>
      <c r="AO27" s="112"/>
      <c r="AP27" s="113"/>
      <c r="AQ27" s="111"/>
      <c r="AR27" s="112"/>
      <c r="AS27" s="112"/>
      <c r="AT27" s="113"/>
      <c r="AU27" s="111"/>
      <c r="AV27" s="112"/>
      <c r="AW27" s="112"/>
      <c r="AX27" s="113"/>
      <c r="AY27" s="111"/>
      <c r="AZ27" s="112"/>
      <c r="BA27" s="112"/>
      <c r="BB27" s="113"/>
      <c r="BC27" s="111"/>
      <c r="BD27" s="112"/>
      <c r="BE27" s="112"/>
      <c r="BF27" s="113"/>
      <c r="BG27" s="102"/>
      <c r="BH27" s="103"/>
      <c r="BI27" s="103"/>
      <c r="BJ27" s="104"/>
      <c r="BK27" s="119"/>
      <c r="BL27" s="120"/>
      <c r="BM27" s="120"/>
      <c r="BN27" s="121"/>
      <c r="BO27" s="102"/>
      <c r="BP27" s="103"/>
      <c r="BQ27" s="103"/>
      <c r="BR27" s="104"/>
      <c r="BS27" s="102"/>
      <c r="BT27" s="103"/>
      <c r="BU27" s="103"/>
      <c r="BV27" s="104"/>
      <c r="BW27" s="102"/>
      <c r="BX27" s="103"/>
      <c r="BY27" s="103"/>
      <c r="BZ27" s="104"/>
      <c r="CA27" s="102"/>
      <c r="CB27" s="103"/>
      <c r="CC27" s="103"/>
      <c r="CD27" s="104"/>
      <c r="CE27" s="111"/>
      <c r="CF27" s="112"/>
      <c r="CG27" s="112"/>
      <c r="CH27" s="113"/>
      <c r="CI27" s="111"/>
      <c r="CJ27" s="112"/>
      <c r="CK27" s="112"/>
      <c r="CL27" s="113"/>
      <c r="CM27" s="111"/>
      <c r="CN27" s="112"/>
      <c r="CO27" s="112"/>
      <c r="CP27" s="113"/>
      <c r="CQ27" s="111"/>
      <c r="CR27" s="112"/>
      <c r="CS27" s="112"/>
      <c r="CT27" s="113"/>
      <c r="CU27" s="111"/>
      <c r="CV27" s="112"/>
      <c r="CW27" s="112"/>
      <c r="CX27" s="113"/>
      <c r="CY27" s="111"/>
      <c r="CZ27" s="112"/>
      <c r="DA27" s="112"/>
      <c r="DB27" s="113"/>
    </row>
    <row r="28" spans="1:106">
      <c r="A28" t="s">
        <v>899</v>
      </c>
      <c r="B28" t="s">
        <v>892</v>
      </c>
      <c r="C28" t="s">
        <v>934</v>
      </c>
      <c r="D28" t="s">
        <v>935</v>
      </c>
      <c r="E28" t="s">
        <v>908</v>
      </c>
      <c r="F28" t="s">
        <v>26</v>
      </c>
      <c r="G28">
        <v>8</v>
      </c>
      <c r="H28">
        <v>12</v>
      </c>
      <c r="I28" t="s">
        <v>288</v>
      </c>
      <c r="K28" s="102"/>
      <c r="L28" s="103"/>
      <c r="M28" s="103"/>
      <c r="N28" s="104"/>
      <c r="O28" s="130"/>
      <c r="P28" s="131"/>
      <c r="Q28" s="131"/>
      <c r="R28" s="132"/>
      <c r="S28" s="102"/>
      <c r="T28" s="103"/>
      <c r="U28" s="103"/>
      <c r="V28" s="104"/>
      <c r="W28" s="102"/>
      <c r="X28" s="103"/>
      <c r="Y28" s="103"/>
      <c r="Z28" s="104"/>
      <c r="AA28" s="102"/>
      <c r="AB28" s="103"/>
      <c r="AC28" s="103"/>
      <c r="AD28" s="104"/>
      <c r="AE28" s="102"/>
      <c r="AF28" s="103"/>
      <c r="AG28" s="103"/>
      <c r="AH28" s="104"/>
      <c r="AI28" s="111"/>
      <c r="AJ28" s="112"/>
      <c r="AK28" s="112"/>
      <c r="AL28" s="113"/>
      <c r="AM28" s="111"/>
      <c r="AN28" s="112"/>
      <c r="AO28" s="112"/>
      <c r="AP28" s="113"/>
      <c r="AQ28" s="111"/>
      <c r="AR28" s="112"/>
      <c r="AS28" s="112"/>
      <c r="AT28" s="113"/>
      <c r="AU28" s="111"/>
      <c r="AV28" s="112"/>
      <c r="AW28" s="112"/>
      <c r="AX28" s="113"/>
      <c r="AY28" s="111"/>
      <c r="AZ28" s="112"/>
      <c r="BA28" s="112"/>
      <c r="BB28" s="113"/>
      <c r="BC28" s="111"/>
      <c r="BD28" s="112"/>
      <c r="BE28" s="112"/>
      <c r="BF28" s="113"/>
      <c r="BG28" s="102"/>
      <c r="BH28" s="103"/>
      <c r="BI28" s="103"/>
      <c r="BJ28" s="104"/>
      <c r="BK28" s="119"/>
      <c r="BL28" s="120"/>
      <c r="BM28" s="120"/>
      <c r="BN28" s="121"/>
      <c r="BO28" s="102"/>
      <c r="BP28" s="103"/>
      <c r="BQ28" s="103"/>
      <c r="BR28" s="104"/>
      <c r="BS28" s="102"/>
      <c r="BT28" s="103"/>
      <c r="BU28" s="103"/>
      <c r="BV28" s="104"/>
      <c r="BW28" s="102"/>
      <c r="BX28" s="103"/>
      <c r="BY28" s="103"/>
      <c r="BZ28" s="104"/>
      <c r="CA28" s="102"/>
      <c r="CB28" s="103"/>
      <c r="CC28" s="103"/>
      <c r="CD28" s="104"/>
      <c r="CE28" s="111"/>
      <c r="CF28" s="112"/>
      <c r="CG28" s="112"/>
      <c r="CH28" s="113"/>
      <c r="CI28" s="111"/>
      <c r="CJ28" s="112"/>
      <c r="CK28" s="112"/>
      <c r="CL28" s="113"/>
      <c r="CM28" s="111"/>
      <c r="CN28" s="112"/>
      <c r="CO28" s="112"/>
      <c r="CP28" s="113"/>
      <c r="CQ28" s="111"/>
      <c r="CR28" s="112"/>
      <c r="CS28" s="112"/>
      <c r="CT28" s="113"/>
      <c r="CU28" s="111"/>
      <c r="CV28" s="112"/>
      <c r="CW28" s="112"/>
      <c r="CX28" s="113"/>
      <c r="CY28" s="111"/>
      <c r="CZ28" s="112"/>
      <c r="DA28" s="112"/>
      <c r="DB28" s="113"/>
    </row>
    <row r="29" spans="1:106">
      <c r="A29" t="s">
        <v>899</v>
      </c>
      <c r="B29" t="s">
        <v>892</v>
      </c>
      <c r="C29" t="s">
        <v>936</v>
      </c>
      <c r="D29" t="s">
        <v>937</v>
      </c>
      <c r="E29" t="s">
        <v>908</v>
      </c>
      <c r="F29" t="s">
        <v>26</v>
      </c>
      <c r="G29">
        <v>8</v>
      </c>
      <c r="H29">
        <v>11</v>
      </c>
      <c r="I29" t="s">
        <v>235</v>
      </c>
      <c r="K29" s="102"/>
      <c r="L29" s="103"/>
      <c r="M29" s="103"/>
      <c r="N29" s="104"/>
      <c r="O29" s="119"/>
      <c r="P29" s="120"/>
      <c r="Q29" s="120"/>
      <c r="R29" s="121"/>
      <c r="S29" s="102"/>
      <c r="T29" s="103"/>
      <c r="U29" s="103"/>
      <c r="V29" s="104"/>
      <c r="W29" s="102"/>
      <c r="X29" s="103"/>
      <c r="Y29" s="103"/>
      <c r="Z29" s="104"/>
      <c r="AA29" s="102"/>
      <c r="AB29" s="103"/>
      <c r="AC29" s="103"/>
      <c r="AD29" s="104"/>
      <c r="AE29" s="102"/>
      <c r="AF29" s="103"/>
      <c r="AG29" s="103"/>
      <c r="AH29" s="104"/>
      <c r="AI29" s="111"/>
      <c r="AJ29" s="112"/>
      <c r="AK29" s="112"/>
      <c r="AL29" s="113"/>
      <c r="AM29" s="111"/>
      <c r="AN29" s="112"/>
      <c r="AO29" s="112"/>
      <c r="AP29" s="113"/>
      <c r="AQ29" s="111"/>
      <c r="AR29" s="112"/>
      <c r="AS29" s="112"/>
      <c r="AT29" s="113"/>
      <c r="AU29" s="111"/>
      <c r="AV29" s="112"/>
      <c r="AW29" s="112"/>
      <c r="AX29" s="113"/>
      <c r="AY29" s="111"/>
      <c r="AZ29" s="112"/>
      <c r="BA29" s="112"/>
      <c r="BB29" s="113"/>
      <c r="BC29" s="111"/>
      <c r="BD29" s="112"/>
      <c r="BE29" s="112"/>
      <c r="BF29" s="113"/>
      <c r="BG29" s="102"/>
      <c r="BH29" s="103"/>
      <c r="BI29" s="103"/>
      <c r="BJ29" s="104"/>
      <c r="BK29" s="130"/>
      <c r="BL29" s="131"/>
      <c r="BM29" s="131"/>
      <c r="BN29" s="132"/>
      <c r="BO29" s="102"/>
      <c r="BP29" s="103"/>
      <c r="BQ29" s="103"/>
      <c r="BR29" s="104"/>
      <c r="BS29" s="102"/>
      <c r="BT29" s="103"/>
      <c r="BU29" s="103"/>
      <c r="BV29" s="104"/>
      <c r="BW29" s="102"/>
      <c r="BX29" s="103"/>
      <c r="BY29" s="103"/>
      <c r="BZ29" s="104"/>
      <c r="CA29" s="102"/>
      <c r="CB29" s="103"/>
      <c r="CC29" s="103"/>
      <c r="CD29" s="104"/>
      <c r="CE29" s="111"/>
      <c r="CF29" s="112"/>
      <c r="CG29" s="112"/>
      <c r="CH29" s="113"/>
      <c r="CI29" s="111"/>
      <c r="CJ29" s="112"/>
      <c r="CK29" s="112"/>
      <c r="CL29" s="113"/>
      <c r="CM29" s="111"/>
      <c r="CN29" s="112"/>
      <c r="CO29" s="112"/>
      <c r="CP29" s="113"/>
      <c r="CQ29" s="111"/>
      <c r="CR29" s="112"/>
      <c r="CS29" s="112"/>
      <c r="CT29" s="113"/>
      <c r="CU29" s="111"/>
      <c r="CV29" s="112"/>
      <c r="CW29" s="112"/>
      <c r="CX29" s="113"/>
      <c r="CY29" s="111"/>
      <c r="CZ29" s="112"/>
      <c r="DA29" s="112"/>
      <c r="DB29" s="113"/>
    </row>
    <row r="30" spans="1:106">
      <c r="A30" t="s">
        <v>899</v>
      </c>
      <c r="B30" t="s">
        <v>892</v>
      </c>
      <c r="C30" t="s">
        <v>30</v>
      </c>
      <c r="D30" t="s">
        <v>938</v>
      </c>
      <c r="E30" t="s">
        <v>908</v>
      </c>
      <c r="F30" t="s">
        <v>26</v>
      </c>
      <c r="G30">
        <v>8</v>
      </c>
      <c r="H30">
        <v>10.5</v>
      </c>
      <c r="I30" t="s">
        <v>223</v>
      </c>
      <c r="K30" s="102"/>
      <c r="L30" s="103"/>
      <c r="M30" s="103"/>
      <c r="N30" s="104"/>
      <c r="O30" s="119"/>
      <c r="P30" s="120"/>
      <c r="Q30" s="120"/>
      <c r="R30" s="121"/>
      <c r="S30" s="102"/>
      <c r="T30" s="103"/>
      <c r="U30" s="103"/>
      <c r="V30" s="104"/>
      <c r="W30" s="102"/>
      <c r="X30" s="103"/>
      <c r="Y30" s="103"/>
      <c r="Z30" s="104"/>
      <c r="AA30" s="102"/>
      <c r="AB30" s="103"/>
      <c r="AC30" s="103"/>
      <c r="AD30" s="104"/>
      <c r="AE30" s="102"/>
      <c r="AF30" s="103"/>
      <c r="AG30" s="103"/>
      <c r="AH30" s="104"/>
      <c r="AI30" s="111"/>
      <c r="AJ30" s="112"/>
      <c r="AK30" s="112"/>
      <c r="AL30" s="113"/>
      <c r="AM30" s="111"/>
      <c r="AN30" s="112"/>
      <c r="AO30" s="112"/>
      <c r="AP30" s="113"/>
      <c r="AQ30" s="111"/>
      <c r="AR30" s="112"/>
      <c r="AS30" s="112"/>
      <c r="AT30" s="113"/>
      <c r="AU30" s="111"/>
      <c r="AV30" s="112"/>
      <c r="AW30" s="112"/>
      <c r="AX30" s="113"/>
      <c r="AY30" s="111"/>
      <c r="AZ30" s="112"/>
      <c r="BA30" s="112"/>
      <c r="BB30" s="113"/>
      <c r="BC30" s="111"/>
      <c r="BD30" s="112"/>
      <c r="BE30" s="112"/>
      <c r="BF30" s="113"/>
      <c r="BG30" s="102"/>
      <c r="BH30" s="103"/>
      <c r="BI30" s="103"/>
      <c r="BJ30" s="104"/>
      <c r="BK30" s="130"/>
      <c r="BL30" s="131"/>
      <c r="BM30" s="131"/>
      <c r="BN30" s="132"/>
      <c r="BO30" s="102"/>
      <c r="BP30" s="103"/>
      <c r="BQ30" s="103"/>
      <c r="BR30" s="104"/>
      <c r="BS30" s="102"/>
      <c r="BT30" s="103"/>
      <c r="BU30" s="103"/>
      <c r="BV30" s="104"/>
      <c r="BW30" s="102"/>
      <c r="BX30" s="103"/>
      <c r="BY30" s="103"/>
      <c r="BZ30" s="104"/>
      <c r="CA30" s="102"/>
      <c r="CB30" s="103"/>
      <c r="CC30" s="103"/>
      <c r="CD30" s="104"/>
      <c r="CE30" s="111"/>
      <c r="CF30" s="112"/>
      <c r="CG30" s="112"/>
      <c r="CH30" s="113"/>
      <c r="CI30" s="111"/>
      <c r="CJ30" s="112"/>
      <c r="CK30" s="112"/>
      <c r="CL30" s="113"/>
      <c r="CM30" s="111"/>
      <c r="CN30" s="112"/>
      <c r="CO30" s="112"/>
      <c r="CP30" s="113"/>
      <c r="CQ30" s="111"/>
      <c r="CR30" s="112"/>
      <c r="CS30" s="112"/>
      <c r="CT30" s="113"/>
      <c r="CU30" s="111"/>
      <c r="CV30" s="112"/>
      <c r="CW30" s="112"/>
      <c r="CX30" s="113"/>
      <c r="CY30" s="111"/>
      <c r="CZ30" s="112"/>
      <c r="DA30" s="112"/>
      <c r="DB30" s="113"/>
    </row>
    <row r="31" spans="1:106">
      <c r="A31" t="s">
        <v>899</v>
      </c>
      <c r="B31" t="s">
        <v>892</v>
      </c>
      <c r="C31" t="s">
        <v>33</v>
      </c>
      <c r="D31" t="s">
        <v>939</v>
      </c>
      <c r="E31" t="s">
        <v>908</v>
      </c>
      <c r="F31" t="s">
        <v>32</v>
      </c>
      <c r="G31">
        <v>4</v>
      </c>
      <c r="H31">
        <v>10</v>
      </c>
      <c r="I31" t="s">
        <v>187</v>
      </c>
      <c r="K31" s="119"/>
      <c r="L31" s="120"/>
      <c r="M31" s="120"/>
      <c r="N31" s="121"/>
      <c r="O31" s="102"/>
      <c r="P31" s="103"/>
      <c r="Q31" s="103"/>
      <c r="R31" s="104"/>
      <c r="S31" s="102"/>
      <c r="T31" s="103"/>
      <c r="U31" s="103"/>
      <c r="V31" s="104"/>
      <c r="W31" s="102"/>
      <c r="X31" s="103"/>
      <c r="Y31" s="103"/>
      <c r="Z31" s="104"/>
      <c r="AA31" s="102"/>
      <c r="AB31" s="103"/>
      <c r="AC31" s="103"/>
      <c r="AD31" s="104"/>
      <c r="AE31" s="102"/>
      <c r="AF31" s="103"/>
      <c r="AG31" s="103"/>
      <c r="AH31" s="104"/>
      <c r="AI31" s="111"/>
      <c r="AJ31" s="112"/>
      <c r="AK31" s="112"/>
      <c r="AL31" s="113"/>
      <c r="AM31" s="111"/>
      <c r="AN31" s="112"/>
      <c r="AO31" s="112"/>
      <c r="AP31" s="113"/>
      <c r="AQ31" s="111"/>
      <c r="AR31" s="112"/>
      <c r="AS31" s="112"/>
      <c r="AT31" s="113"/>
      <c r="AU31" s="111"/>
      <c r="AV31" s="112"/>
      <c r="AW31" s="112"/>
      <c r="AX31" s="113"/>
      <c r="AY31" s="111"/>
      <c r="AZ31" s="112"/>
      <c r="BA31" s="112"/>
      <c r="BB31" s="113"/>
      <c r="BC31" s="111"/>
      <c r="BD31" s="112"/>
      <c r="BE31" s="112"/>
      <c r="BF31" s="113"/>
      <c r="BG31" s="130"/>
      <c r="BH31" s="131"/>
      <c r="BI31" s="131"/>
      <c r="BJ31" s="132"/>
      <c r="BK31" s="102"/>
      <c r="BL31" s="103"/>
      <c r="BM31" s="103"/>
      <c r="BN31" s="104"/>
      <c r="BO31" s="102"/>
      <c r="BP31" s="103"/>
      <c r="BQ31" s="103"/>
      <c r="BR31" s="104"/>
      <c r="BS31" s="102"/>
      <c r="BT31" s="103"/>
      <c r="BU31" s="103"/>
      <c r="BV31" s="104"/>
      <c r="BW31" s="102"/>
      <c r="BX31" s="103"/>
      <c r="BY31" s="103"/>
      <c r="BZ31" s="104"/>
      <c r="CA31" s="102"/>
      <c r="CB31" s="103"/>
      <c r="CC31" s="103"/>
      <c r="CD31" s="104"/>
      <c r="CE31" s="111"/>
      <c r="CF31" s="112"/>
      <c r="CG31" s="112"/>
      <c r="CH31" s="113"/>
      <c r="CI31" s="111"/>
      <c r="CJ31" s="112"/>
      <c r="CK31" s="112"/>
      <c r="CL31" s="113"/>
      <c r="CM31" s="111"/>
      <c r="CN31" s="112"/>
      <c r="CO31" s="112"/>
      <c r="CP31" s="113"/>
      <c r="CQ31" s="111"/>
      <c r="CR31" s="112"/>
      <c r="CS31" s="112"/>
      <c r="CT31" s="113"/>
      <c r="CU31" s="111"/>
      <c r="CV31" s="112"/>
      <c r="CW31" s="112"/>
      <c r="CX31" s="113"/>
      <c r="CY31" s="111"/>
      <c r="CZ31" s="112"/>
      <c r="DA31" s="112"/>
      <c r="DB31" s="113"/>
    </row>
    <row r="32" spans="1:106">
      <c r="A32" t="s">
        <v>899</v>
      </c>
      <c r="B32" t="s">
        <v>892</v>
      </c>
      <c r="C32" t="s">
        <v>34</v>
      </c>
      <c r="D32" t="s">
        <v>940</v>
      </c>
      <c r="E32" t="s">
        <v>908</v>
      </c>
      <c r="F32" t="s">
        <v>32</v>
      </c>
      <c r="G32">
        <v>4</v>
      </c>
      <c r="H32">
        <v>9.5</v>
      </c>
      <c r="I32" t="s">
        <v>163</v>
      </c>
      <c r="K32" s="119"/>
      <c r="L32" s="120"/>
      <c r="M32" s="120"/>
      <c r="N32" s="121"/>
      <c r="O32" s="102"/>
      <c r="P32" s="103"/>
      <c r="Q32" s="103"/>
      <c r="R32" s="104"/>
      <c r="S32" s="102"/>
      <c r="T32" s="103"/>
      <c r="U32" s="103"/>
      <c r="V32" s="104"/>
      <c r="W32" s="102"/>
      <c r="X32" s="103"/>
      <c r="Y32" s="103"/>
      <c r="Z32" s="104"/>
      <c r="AA32" s="102"/>
      <c r="AB32" s="103"/>
      <c r="AC32" s="103"/>
      <c r="AD32" s="104"/>
      <c r="AE32" s="102"/>
      <c r="AF32" s="103"/>
      <c r="AG32" s="103"/>
      <c r="AH32" s="104"/>
      <c r="AI32" s="111"/>
      <c r="AJ32" s="112"/>
      <c r="AK32" s="112"/>
      <c r="AL32" s="113"/>
      <c r="AM32" s="111"/>
      <c r="AN32" s="112"/>
      <c r="AO32" s="112"/>
      <c r="AP32" s="113"/>
      <c r="AQ32" s="111"/>
      <c r="AR32" s="112"/>
      <c r="AS32" s="112"/>
      <c r="AT32" s="113"/>
      <c r="AU32" s="111"/>
      <c r="AV32" s="112"/>
      <c r="AW32" s="112"/>
      <c r="AX32" s="113"/>
      <c r="AY32" s="111"/>
      <c r="AZ32" s="112"/>
      <c r="BA32" s="112"/>
      <c r="BB32" s="113"/>
      <c r="BC32" s="111"/>
      <c r="BD32" s="112"/>
      <c r="BE32" s="112"/>
      <c r="BF32" s="113"/>
      <c r="BG32" s="130"/>
      <c r="BH32" s="131"/>
      <c r="BI32" s="131"/>
      <c r="BJ32" s="132"/>
      <c r="BK32" s="102"/>
      <c r="BL32" s="103"/>
      <c r="BM32" s="103"/>
      <c r="BN32" s="104"/>
      <c r="BO32" s="102"/>
      <c r="BP32" s="103"/>
      <c r="BQ32" s="103"/>
      <c r="BR32" s="104"/>
      <c r="BS32" s="102"/>
      <c r="BT32" s="103"/>
      <c r="BU32" s="103"/>
      <c r="BV32" s="104"/>
      <c r="BW32" s="102"/>
      <c r="BX32" s="103"/>
      <c r="BY32" s="103"/>
      <c r="BZ32" s="104"/>
      <c r="CA32" s="102"/>
      <c r="CB32" s="103"/>
      <c r="CC32" s="103"/>
      <c r="CD32" s="104"/>
      <c r="CE32" s="111"/>
      <c r="CF32" s="112"/>
      <c r="CG32" s="112"/>
      <c r="CH32" s="113"/>
      <c r="CI32" s="111"/>
      <c r="CJ32" s="112"/>
      <c r="CK32" s="112"/>
      <c r="CL32" s="113"/>
      <c r="CM32" s="111"/>
      <c r="CN32" s="112"/>
      <c r="CO32" s="112"/>
      <c r="CP32" s="113"/>
      <c r="CQ32" s="111"/>
      <c r="CR32" s="112"/>
      <c r="CS32" s="112"/>
      <c r="CT32" s="113"/>
      <c r="CU32" s="111"/>
      <c r="CV32" s="112"/>
      <c r="CW32" s="112"/>
      <c r="CX32" s="113"/>
      <c r="CY32" s="111"/>
      <c r="CZ32" s="112"/>
      <c r="DA32" s="112"/>
      <c r="DB32" s="113"/>
    </row>
    <row r="33" spans="1:106">
      <c r="A33" t="s">
        <v>899</v>
      </c>
      <c r="B33" t="s">
        <v>892</v>
      </c>
      <c r="C33" t="s">
        <v>35</v>
      </c>
      <c r="D33" t="s">
        <v>941</v>
      </c>
      <c r="E33" t="s">
        <v>908</v>
      </c>
      <c r="F33" t="s">
        <v>32</v>
      </c>
      <c r="G33">
        <v>4</v>
      </c>
      <c r="H33">
        <v>8.5</v>
      </c>
      <c r="I33" t="s">
        <v>116</v>
      </c>
      <c r="K33" s="119"/>
      <c r="L33" s="120"/>
      <c r="M33" s="120"/>
      <c r="N33" s="121"/>
      <c r="O33" s="102"/>
      <c r="P33" s="103"/>
      <c r="Q33" s="103"/>
      <c r="R33" s="104"/>
      <c r="S33" s="102"/>
      <c r="T33" s="103"/>
      <c r="U33" s="103"/>
      <c r="V33" s="104"/>
      <c r="W33" s="102"/>
      <c r="X33" s="103"/>
      <c r="Y33" s="103"/>
      <c r="Z33" s="104"/>
      <c r="AA33" s="102"/>
      <c r="AB33" s="103"/>
      <c r="AC33" s="103"/>
      <c r="AD33" s="104"/>
      <c r="AE33" s="102"/>
      <c r="AF33" s="103"/>
      <c r="AG33" s="103"/>
      <c r="AH33" s="104"/>
      <c r="AI33" s="111"/>
      <c r="AJ33" s="112"/>
      <c r="AK33" s="112"/>
      <c r="AL33" s="113"/>
      <c r="AM33" s="111"/>
      <c r="AN33" s="112"/>
      <c r="AO33" s="112"/>
      <c r="AP33" s="113"/>
      <c r="AQ33" s="111"/>
      <c r="AR33" s="112"/>
      <c r="AS33" s="112"/>
      <c r="AT33" s="113"/>
      <c r="AU33" s="111"/>
      <c r="AV33" s="112"/>
      <c r="AW33" s="112"/>
      <c r="AX33" s="113"/>
      <c r="AY33" s="111"/>
      <c r="AZ33" s="112"/>
      <c r="BA33" s="112"/>
      <c r="BB33" s="113"/>
      <c r="BC33" s="111"/>
      <c r="BD33" s="112"/>
      <c r="BE33" s="112"/>
      <c r="BF33" s="113"/>
      <c r="BG33" s="130"/>
      <c r="BH33" s="131"/>
      <c r="BI33" s="131"/>
      <c r="BJ33" s="132"/>
      <c r="BK33" s="102"/>
      <c r="BL33" s="103"/>
      <c r="BM33" s="103"/>
      <c r="BN33" s="104"/>
      <c r="BO33" s="102"/>
      <c r="BP33" s="103"/>
      <c r="BQ33" s="103"/>
      <c r="BR33" s="104"/>
      <c r="BS33" s="102"/>
      <c r="BT33" s="103"/>
      <c r="BU33" s="103"/>
      <c r="BV33" s="104"/>
      <c r="BW33" s="102"/>
      <c r="BX33" s="103"/>
      <c r="BY33" s="103"/>
      <c r="BZ33" s="104"/>
      <c r="CA33" s="102"/>
      <c r="CB33" s="103"/>
      <c r="CC33" s="103"/>
      <c r="CD33" s="104"/>
      <c r="CE33" s="111"/>
      <c r="CF33" s="112"/>
      <c r="CG33" s="112"/>
      <c r="CH33" s="113"/>
      <c r="CI33" s="111"/>
      <c r="CJ33" s="112"/>
      <c r="CK33" s="112"/>
      <c r="CL33" s="113"/>
      <c r="CM33" s="111"/>
      <c r="CN33" s="112"/>
      <c r="CO33" s="112"/>
      <c r="CP33" s="113"/>
      <c r="CQ33" s="111"/>
      <c r="CR33" s="112"/>
      <c r="CS33" s="112"/>
      <c r="CT33" s="113"/>
      <c r="CU33" s="111"/>
      <c r="CV33" s="112"/>
      <c r="CW33" s="112"/>
      <c r="CX33" s="113"/>
      <c r="CY33" s="111"/>
      <c r="CZ33" s="112"/>
      <c r="DA33" s="112"/>
      <c r="DB33" s="113"/>
    </row>
    <row r="34" spans="1:106">
      <c r="A34" t="s">
        <v>899</v>
      </c>
      <c r="B34" t="s">
        <v>892</v>
      </c>
      <c r="C34" t="s">
        <v>36</v>
      </c>
      <c r="D34" t="s">
        <v>942</v>
      </c>
      <c r="E34" t="s">
        <v>908</v>
      </c>
      <c r="F34" t="s">
        <v>32</v>
      </c>
      <c r="G34">
        <v>4</v>
      </c>
      <c r="H34">
        <v>8.5</v>
      </c>
      <c r="I34" t="s">
        <v>130</v>
      </c>
      <c r="K34" s="119"/>
      <c r="L34" s="120"/>
      <c r="M34" s="120"/>
      <c r="N34" s="121"/>
      <c r="O34" s="102"/>
      <c r="P34" s="103"/>
      <c r="Q34" s="103"/>
      <c r="R34" s="104"/>
      <c r="S34" s="102"/>
      <c r="T34" s="103"/>
      <c r="U34" s="103"/>
      <c r="V34" s="104"/>
      <c r="W34" s="102"/>
      <c r="X34" s="103"/>
      <c r="Y34" s="103"/>
      <c r="Z34" s="104"/>
      <c r="AA34" s="102"/>
      <c r="AB34" s="103"/>
      <c r="AC34" s="103"/>
      <c r="AD34" s="104"/>
      <c r="AE34" s="102"/>
      <c r="AF34" s="103"/>
      <c r="AG34" s="103"/>
      <c r="AH34" s="104"/>
      <c r="AI34" s="111"/>
      <c r="AJ34" s="112"/>
      <c r="AK34" s="112"/>
      <c r="AL34" s="113"/>
      <c r="AM34" s="111"/>
      <c r="AN34" s="112"/>
      <c r="AO34" s="112"/>
      <c r="AP34" s="113"/>
      <c r="AQ34" s="111"/>
      <c r="AR34" s="112"/>
      <c r="AS34" s="112"/>
      <c r="AT34" s="113"/>
      <c r="AU34" s="111"/>
      <c r="AV34" s="112"/>
      <c r="AW34" s="112"/>
      <c r="AX34" s="113"/>
      <c r="AY34" s="111"/>
      <c r="AZ34" s="112"/>
      <c r="BA34" s="112"/>
      <c r="BB34" s="113"/>
      <c r="BC34" s="111"/>
      <c r="BD34" s="112"/>
      <c r="BE34" s="112"/>
      <c r="BF34" s="113"/>
      <c r="BG34" s="130"/>
      <c r="BH34" s="131"/>
      <c r="BI34" s="131"/>
      <c r="BJ34" s="132"/>
      <c r="BK34" s="102"/>
      <c r="BL34" s="103"/>
      <c r="BM34" s="103"/>
      <c r="BN34" s="104"/>
      <c r="BO34" s="102"/>
      <c r="BP34" s="103"/>
      <c r="BQ34" s="103"/>
      <c r="BR34" s="104"/>
      <c r="BS34" s="102"/>
      <c r="BT34" s="103"/>
      <c r="BU34" s="103"/>
      <c r="BV34" s="104"/>
      <c r="BW34" s="102"/>
      <c r="BX34" s="103"/>
      <c r="BY34" s="103"/>
      <c r="BZ34" s="104"/>
      <c r="CA34" s="102"/>
      <c r="CB34" s="103"/>
      <c r="CC34" s="103"/>
      <c r="CD34" s="104"/>
      <c r="CE34" s="111"/>
      <c r="CF34" s="112"/>
      <c r="CG34" s="112"/>
      <c r="CH34" s="113"/>
      <c r="CI34" s="111"/>
      <c r="CJ34" s="112"/>
      <c r="CK34" s="112"/>
      <c r="CL34" s="113"/>
      <c r="CM34" s="111"/>
      <c r="CN34" s="112"/>
      <c r="CO34" s="112"/>
      <c r="CP34" s="113"/>
      <c r="CQ34" s="111"/>
      <c r="CR34" s="112"/>
      <c r="CS34" s="112"/>
      <c r="CT34" s="113"/>
      <c r="CU34" s="111"/>
      <c r="CV34" s="112"/>
      <c r="CW34" s="112"/>
      <c r="CX34" s="113"/>
      <c r="CY34" s="111"/>
      <c r="CZ34" s="112"/>
      <c r="DA34" s="112"/>
      <c r="DB34" s="113"/>
    </row>
    <row r="35" spans="1:106">
      <c r="A35" t="s">
        <v>899</v>
      </c>
      <c r="B35" t="s">
        <v>892</v>
      </c>
      <c r="C35" t="s">
        <v>38</v>
      </c>
      <c r="D35" t="s">
        <v>943</v>
      </c>
      <c r="E35" t="s">
        <v>908</v>
      </c>
      <c r="F35" t="s">
        <v>32</v>
      </c>
      <c r="G35">
        <v>4</v>
      </c>
      <c r="H35">
        <v>8.5</v>
      </c>
      <c r="I35" t="s">
        <v>944</v>
      </c>
      <c r="K35" s="127"/>
      <c r="L35" s="128"/>
      <c r="M35" s="128"/>
      <c r="N35" s="129"/>
      <c r="O35" s="102"/>
      <c r="P35" s="103"/>
      <c r="Q35" s="103"/>
      <c r="R35" s="104"/>
      <c r="S35" s="102"/>
      <c r="T35" s="103"/>
      <c r="U35" s="103"/>
      <c r="V35" s="104"/>
      <c r="W35" s="102"/>
      <c r="X35" s="103"/>
      <c r="Y35" s="103"/>
      <c r="Z35" s="104"/>
      <c r="AA35" s="102"/>
      <c r="AB35" s="103"/>
      <c r="AC35" s="103"/>
      <c r="AD35" s="104"/>
      <c r="AE35" s="102"/>
      <c r="AF35" s="103"/>
      <c r="AG35" s="103"/>
      <c r="AH35" s="104"/>
      <c r="AI35" s="111"/>
      <c r="AJ35" s="112"/>
      <c r="AK35" s="112"/>
      <c r="AL35" s="113"/>
      <c r="AM35" s="111"/>
      <c r="AN35" s="112"/>
      <c r="AO35" s="112"/>
      <c r="AP35" s="113"/>
      <c r="AQ35" s="111"/>
      <c r="AR35" s="112"/>
      <c r="AS35" s="112"/>
      <c r="AT35" s="113"/>
      <c r="AU35" s="111"/>
      <c r="AV35" s="112"/>
      <c r="AW35" s="112"/>
      <c r="AX35" s="113"/>
      <c r="AY35" s="111"/>
      <c r="AZ35" s="112"/>
      <c r="BA35" s="112"/>
      <c r="BB35" s="113"/>
      <c r="BC35" s="111"/>
      <c r="BD35" s="112"/>
      <c r="BE35" s="112"/>
      <c r="BF35" s="113"/>
      <c r="BG35" s="119"/>
      <c r="BH35" s="120"/>
      <c r="BI35" s="120"/>
      <c r="BJ35" s="121"/>
      <c r="BK35" s="102"/>
      <c r="BL35" s="103"/>
      <c r="BM35" s="103"/>
      <c r="BN35" s="104"/>
      <c r="BO35" s="102"/>
      <c r="BP35" s="103"/>
      <c r="BQ35" s="103"/>
      <c r="BR35" s="104"/>
      <c r="BS35" s="102"/>
      <c r="BT35" s="103"/>
      <c r="BU35" s="103"/>
      <c r="BV35" s="104"/>
      <c r="BW35" s="102"/>
      <c r="BX35" s="103"/>
      <c r="BY35" s="103"/>
      <c r="BZ35" s="104"/>
      <c r="CA35" s="102"/>
      <c r="CB35" s="103"/>
      <c r="CC35" s="103"/>
      <c r="CD35" s="104"/>
      <c r="CE35" s="111"/>
      <c r="CF35" s="112"/>
      <c r="CG35" s="112"/>
      <c r="CH35" s="113"/>
      <c r="CI35" s="111"/>
      <c r="CJ35" s="112"/>
      <c r="CK35" s="112"/>
      <c r="CL35" s="113"/>
      <c r="CM35" s="111"/>
      <c r="CN35" s="112"/>
      <c r="CO35" s="112"/>
      <c r="CP35" s="113"/>
      <c r="CQ35" s="111"/>
      <c r="CR35" s="112"/>
      <c r="CS35" s="112"/>
      <c r="CT35" s="113"/>
      <c r="CU35" s="111"/>
      <c r="CV35" s="112"/>
      <c r="CW35" s="112"/>
      <c r="CX35" s="113"/>
      <c r="CY35" s="111"/>
      <c r="CZ35" s="112"/>
      <c r="DA35" s="112"/>
      <c r="DB35" s="113"/>
    </row>
    <row r="36" spans="1:106">
      <c r="A36" t="s">
        <v>899</v>
      </c>
      <c r="B36" t="s">
        <v>892</v>
      </c>
      <c r="C36" t="s">
        <v>39</v>
      </c>
      <c r="D36" t="s">
        <v>945</v>
      </c>
      <c r="E36" t="s">
        <v>908</v>
      </c>
      <c r="F36" t="s">
        <v>37</v>
      </c>
      <c r="G36">
        <v>4</v>
      </c>
      <c r="H36">
        <v>7.5</v>
      </c>
      <c r="I36" t="s">
        <v>123</v>
      </c>
      <c r="K36" s="102"/>
      <c r="L36" s="103"/>
      <c r="M36" s="103"/>
      <c r="N36" s="104"/>
      <c r="O36" s="102"/>
      <c r="P36" s="103"/>
      <c r="Q36" s="103"/>
      <c r="R36" s="104"/>
      <c r="S36" s="102"/>
      <c r="T36" s="103"/>
      <c r="U36" s="103"/>
      <c r="V36" s="104"/>
      <c r="W36" s="102"/>
      <c r="X36" s="103"/>
      <c r="Y36" s="103"/>
      <c r="Z36" s="104"/>
      <c r="AA36" s="102"/>
      <c r="AB36" s="103"/>
      <c r="AC36" s="103"/>
      <c r="AD36" s="104"/>
      <c r="AE36" s="102"/>
      <c r="AF36" s="103"/>
      <c r="AG36" s="103"/>
      <c r="AH36" s="104"/>
      <c r="AI36" s="111"/>
      <c r="AJ36" s="112"/>
      <c r="AK36" s="112"/>
      <c r="AL36" s="113"/>
      <c r="AM36" s="111"/>
      <c r="AN36" s="112"/>
      <c r="AO36" s="112"/>
      <c r="AP36" s="113"/>
      <c r="AQ36" s="111"/>
      <c r="AR36" s="112"/>
      <c r="AS36" s="112"/>
      <c r="AT36" s="113"/>
      <c r="AU36" s="111"/>
      <c r="AV36" s="112"/>
      <c r="AW36" s="112"/>
      <c r="AX36" s="113"/>
      <c r="AY36" s="111"/>
      <c r="AZ36" s="112"/>
      <c r="BA36" s="112"/>
      <c r="BB36" s="113"/>
      <c r="BC36" s="111"/>
      <c r="BD36" s="112"/>
      <c r="BE36" s="112"/>
      <c r="BF36" s="113"/>
      <c r="BG36" s="119"/>
      <c r="BH36" s="120"/>
      <c r="BI36" s="120"/>
      <c r="BJ36" s="121"/>
      <c r="BK36" s="102"/>
      <c r="BL36" s="103"/>
      <c r="BM36" s="103"/>
      <c r="BN36" s="104"/>
      <c r="BO36" s="102"/>
      <c r="BP36" s="103"/>
      <c r="BQ36" s="103"/>
      <c r="BR36" s="104"/>
      <c r="BS36" s="102"/>
      <c r="BT36" s="103"/>
      <c r="BU36" s="103"/>
      <c r="BV36" s="104"/>
      <c r="BW36" s="102"/>
      <c r="BX36" s="103"/>
      <c r="BY36" s="103"/>
      <c r="BZ36" s="104"/>
      <c r="CA36" s="102"/>
      <c r="CB36" s="103"/>
      <c r="CC36" s="103"/>
      <c r="CD36" s="104"/>
      <c r="CE36" s="111"/>
      <c r="CF36" s="112"/>
      <c r="CG36" s="112"/>
      <c r="CH36" s="113"/>
      <c r="CI36" s="111"/>
      <c r="CJ36" s="112"/>
      <c r="CK36" s="112"/>
      <c r="CL36" s="113"/>
      <c r="CM36" s="111"/>
      <c r="CN36" s="112"/>
      <c r="CO36" s="112"/>
      <c r="CP36" s="113"/>
      <c r="CQ36" s="111"/>
      <c r="CR36" s="112"/>
      <c r="CS36" s="112"/>
      <c r="CT36" s="113"/>
      <c r="CU36" s="111"/>
      <c r="CV36" s="112"/>
      <c r="CW36" s="112"/>
      <c r="CX36" s="113"/>
      <c r="CY36" s="111"/>
      <c r="CZ36" s="112"/>
      <c r="DA36" s="112"/>
      <c r="DB36" s="113"/>
    </row>
    <row r="37" spans="1:106">
      <c r="A37" t="s">
        <v>899</v>
      </c>
      <c r="B37" t="s">
        <v>892</v>
      </c>
      <c r="C37" t="s">
        <v>40</v>
      </c>
      <c r="D37" t="s">
        <v>946</v>
      </c>
      <c r="E37" t="s">
        <v>908</v>
      </c>
      <c r="F37" t="s">
        <v>37</v>
      </c>
      <c r="G37">
        <v>4</v>
      </c>
      <c r="H37">
        <v>7</v>
      </c>
      <c r="I37" t="s">
        <v>79</v>
      </c>
      <c r="K37" s="102"/>
      <c r="L37" s="103"/>
      <c r="M37" s="103"/>
      <c r="N37" s="104"/>
      <c r="O37" s="102"/>
      <c r="P37" s="103"/>
      <c r="Q37" s="103"/>
      <c r="R37" s="104"/>
      <c r="S37" s="102"/>
      <c r="T37" s="103"/>
      <c r="U37" s="103"/>
      <c r="V37" s="104"/>
      <c r="W37" s="102"/>
      <c r="X37" s="103"/>
      <c r="Y37" s="103"/>
      <c r="Z37" s="104"/>
      <c r="AA37" s="102"/>
      <c r="AB37" s="103"/>
      <c r="AC37" s="103"/>
      <c r="AD37" s="104"/>
      <c r="AE37" s="102"/>
      <c r="AF37" s="103"/>
      <c r="AG37" s="103"/>
      <c r="AH37" s="104"/>
      <c r="AI37" s="111"/>
      <c r="AJ37" s="112"/>
      <c r="AK37" s="112"/>
      <c r="AL37" s="113"/>
      <c r="AM37" s="111"/>
      <c r="AN37" s="112"/>
      <c r="AO37" s="112"/>
      <c r="AP37" s="113"/>
      <c r="AQ37" s="111"/>
      <c r="AR37" s="112"/>
      <c r="AS37" s="112"/>
      <c r="AT37" s="113"/>
      <c r="AU37" s="111"/>
      <c r="AV37" s="112"/>
      <c r="AW37" s="112"/>
      <c r="AX37" s="113"/>
      <c r="AY37" s="111"/>
      <c r="AZ37" s="112"/>
      <c r="BA37" s="112"/>
      <c r="BB37" s="113"/>
      <c r="BC37" s="111"/>
      <c r="BD37" s="112"/>
      <c r="BE37" s="112"/>
      <c r="BF37" s="113"/>
      <c r="BG37" s="119"/>
      <c r="BH37" s="120"/>
      <c r="BI37" s="120"/>
      <c r="BJ37" s="121"/>
      <c r="BK37" s="102"/>
      <c r="BL37" s="103"/>
      <c r="BM37" s="103"/>
      <c r="BN37" s="104"/>
      <c r="BO37" s="102"/>
      <c r="BP37" s="103"/>
      <c r="BQ37" s="103"/>
      <c r="BR37" s="104"/>
      <c r="BS37" s="102"/>
      <c r="BT37" s="103"/>
      <c r="BU37" s="103"/>
      <c r="BV37" s="104"/>
      <c r="BW37" s="102"/>
      <c r="BX37" s="103"/>
      <c r="BY37" s="103"/>
      <c r="BZ37" s="104"/>
      <c r="CA37" s="102"/>
      <c r="CB37" s="103"/>
      <c r="CC37" s="103"/>
      <c r="CD37" s="104"/>
      <c r="CE37" s="111"/>
      <c r="CF37" s="112"/>
      <c r="CG37" s="112"/>
      <c r="CH37" s="113"/>
      <c r="CI37" s="111"/>
      <c r="CJ37" s="112"/>
      <c r="CK37" s="112"/>
      <c r="CL37" s="113"/>
      <c r="CM37" s="111"/>
      <c r="CN37" s="112"/>
      <c r="CO37" s="112"/>
      <c r="CP37" s="113"/>
      <c r="CQ37" s="111"/>
      <c r="CR37" s="112"/>
      <c r="CS37" s="112"/>
      <c r="CT37" s="113"/>
      <c r="CU37" s="111"/>
      <c r="CV37" s="112"/>
      <c r="CW37" s="112"/>
      <c r="CX37" s="113"/>
      <c r="CY37" s="111"/>
      <c r="CZ37" s="112"/>
      <c r="DA37" s="112"/>
      <c r="DB37" s="113"/>
    </row>
    <row r="38" spans="1:106">
      <c r="A38" t="s">
        <v>899</v>
      </c>
      <c r="B38" t="s">
        <v>892</v>
      </c>
      <c r="C38" t="s">
        <v>947</v>
      </c>
      <c r="D38" t="s">
        <v>948</v>
      </c>
      <c r="E38" t="s">
        <v>908</v>
      </c>
      <c r="F38" t="s">
        <v>37</v>
      </c>
      <c r="G38">
        <v>4</v>
      </c>
      <c r="H38">
        <v>6.5</v>
      </c>
      <c r="I38" t="s">
        <v>949</v>
      </c>
      <c r="K38" s="102"/>
      <c r="L38" s="103"/>
      <c r="M38" s="103"/>
      <c r="N38" s="104"/>
      <c r="O38" s="102"/>
      <c r="P38" s="103"/>
      <c r="Q38" s="103"/>
      <c r="R38" s="104"/>
      <c r="S38" s="102"/>
      <c r="T38" s="103"/>
      <c r="U38" s="103"/>
      <c r="V38" s="104"/>
      <c r="W38" s="102"/>
      <c r="X38" s="103"/>
      <c r="Y38" s="103"/>
      <c r="Z38" s="104"/>
      <c r="AA38" s="102"/>
      <c r="AB38" s="103"/>
      <c r="AC38" s="103"/>
      <c r="AD38" s="104"/>
      <c r="AE38" s="102"/>
      <c r="AF38" s="103"/>
      <c r="AG38" s="103"/>
      <c r="AH38" s="104"/>
      <c r="AI38" s="111"/>
      <c r="AJ38" s="112"/>
      <c r="AK38" s="112"/>
      <c r="AL38" s="113"/>
      <c r="AM38" s="111"/>
      <c r="AN38" s="112"/>
      <c r="AO38" s="112"/>
      <c r="AP38" s="113"/>
      <c r="AQ38" s="111"/>
      <c r="AR38" s="112"/>
      <c r="AS38" s="112"/>
      <c r="AT38" s="113"/>
      <c r="AU38" s="111"/>
      <c r="AV38" s="112"/>
      <c r="AW38" s="112"/>
      <c r="AX38" s="113"/>
      <c r="AY38" s="111"/>
      <c r="AZ38" s="112"/>
      <c r="BA38" s="112"/>
      <c r="BB38" s="113"/>
      <c r="BC38" s="111"/>
      <c r="BD38" s="112"/>
      <c r="BE38" s="112"/>
      <c r="BF38" s="113"/>
      <c r="BG38" s="119"/>
      <c r="BH38" s="120"/>
      <c r="BI38" s="120"/>
      <c r="BJ38" s="121"/>
      <c r="BK38" s="102"/>
      <c r="BL38" s="103"/>
      <c r="BM38" s="103"/>
      <c r="BN38" s="104"/>
      <c r="BO38" s="102"/>
      <c r="BP38" s="103"/>
      <c r="BQ38" s="103"/>
      <c r="BR38" s="104"/>
      <c r="BS38" s="102"/>
      <c r="BT38" s="103"/>
      <c r="BU38" s="103"/>
      <c r="BV38" s="104"/>
      <c r="BW38" s="102"/>
      <c r="BX38" s="103"/>
      <c r="BY38" s="103"/>
      <c r="BZ38" s="104"/>
      <c r="CA38" s="102"/>
      <c r="CB38" s="103"/>
      <c r="CC38" s="103"/>
      <c r="CD38" s="104"/>
      <c r="CE38" s="111"/>
      <c r="CF38" s="112"/>
      <c r="CG38" s="112"/>
      <c r="CH38" s="113"/>
      <c r="CI38" s="111"/>
      <c r="CJ38" s="112"/>
      <c r="CK38" s="112"/>
      <c r="CL38" s="113"/>
      <c r="CM38" s="111"/>
      <c r="CN38" s="112"/>
      <c r="CO38" s="112"/>
      <c r="CP38" s="113"/>
      <c r="CQ38" s="111"/>
      <c r="CR38" s="112"/>
      <c r="CS38" s="112"/>
      <c r="CT38" s="113"/>
      <c r="CU38" s="111"/>
      <c r="CV38" s="112"/>
      <c r="CW38" s="112"/>
      <c r="CX38" s="113"/>
      <c r="CY38" s="111"/>
      <c r="CZ38" s="112"/>
      <c r="DA38" s="112"/>
      <c r="DB38" s="113"/>
    </row>
    <row r="39" spans="1:106" ht="15.75" hidden="1" thickBot="1">
      <c r="A39" t="s">
        <v>917</v>
      </c>
      <c r="B39" t="s">
        <v>892</v>
      </c>
      <c r="C39" t="s">
        <v>41</v>
      </c>
      <c r="K39" s="105"/>
      <c r="L39" s="106"/>
      <c r="M39" s="106"/>
      <c r="N39" s="107"/>
      <c r="O39" s="105"/>
      <c r="P39" s="106"/>
      <c r="Q39" s="106"/>
      <c r="R39" s="107"/>
      <c r="S39" s="105"/>
      <c r="T39" s="106"/>
      <c r="U39" s="106"/>
      <c r="V39" s="107"/>
      <c r="W39" s="105"/>
      <c r="X39" s="106"/>
      <c r="Y39" s="106"/>
      <c r="Z39" s="107"/>
      <c r="AA39" s="105"/>
      <c r="AB39" s="106"/>
      <c r="AC39" s="106"/>
      <c r="AD39" s="107"/>
      <c r="AE39" s="105"/>
      <c r="AF39" s="106"/>
      <c r="AG39" s="106"/>
      <c r="AH39" s="107"/>
      <c r="AI39" s="114"/>
      <c r="AJ39" s="115"/>
      <c r="AK39" s="115"/>
      <c r="AL39" s="116"/>
      <c r="AM39" s="114"/>
      <c r="AN39" s="115"/>
      <c r="AO39" s="115"/>
      <c r="AP39" s="116"/>
      <c r="AQ39" s="114"/>
      <c r="AR39" s="115"/>
      <c r="AS39" s="115"/>
      <c r="AT39" s="116"/>
      <c r="AU39" s="114"/>
      <c r="AV39" s="115"/>
      <c r="AW39" s="115"/>
      <c r="AX39" s="116"/>
      <c r="AY39" s="114"/>
      <c r="AZ39" s="115"/>
      <c r="BA39" s="115"/>
      <c r="BB39" s="116"/>
      <c r="BC39" s="114"/>
      <c r="BD39" s="115"/>
      <c r="BE39" s="115"/>
      <c r="BF39" s="116"/>
      <c r="BG39" s="105"/>
      <c r="BH39" s="106"/>
      <c r="BI39" s="106"/>
      <c r="BJ39" s="107"/>
      <c r="BK39" s="105"/>
      <c r="BL39" s="106"/>
      <c r="BM39" s="106"/>
      <c r="BN39" s="107"/>
      <c r="BO39" s="105"/>
      <c r="BP39" s="106"/>
      <c r="BQ39" s="106"/>
      <c r="BR39" s="107"/>
      <c r="BS39" s="105"/>
      <c r="BT39" s="106"/>
      <c r="BU39" s="106"/>
      <c r="BV39" s="107"/>
      <c r="BW39" s="105"/>
      <c r="BX39" s="106"/>
      <c r="BY39" s="106"/>
      <c r="BZ39" s="107"/>
      <c r="CA39" s="105"/>
      <c r="CB39" s="106"/>
      <c r="CC39" s="106"/>
      <c r="CD39" s="107"/>
      <c r="CE39" s="114"/>
      <c r="CF39" s="115"/>
      <c r="CG39" s="115"/>
      <c r="CH39" s="116"/>
      <c r="CI39" s="114"/>
      <c r="CJ39" s="115"/>
      <c r="CK39" s="115"/>
      <c r="CL39" s="116"/>
      <c r="CM39" s="114"/>
      <c r="CN39" s="115"/>
      <c r="CO39" s="115"/>
      <c r="CP39" s="116"/>
      <c r="CQ39" s="114"/>
      <c r="CR39" s="115"/>
      <c r="CS39" s="115"/>
      <c r="CT39" s="116"/>
      <c r="CU39" s="114"/>
      <c r="CV39" s="115"/>
      <c r="CW39" s="115"/>
      <c r="CX39" s="116"/>
      <c r="CY39" s="114"/>
      <c r="CZ39" s="115"/>
      <c r="DA39" s="115"/>
      <c r="DB39" s="116"/>
    </row>
    <row r="40" spans="1:106" hidden="1">
      <c r="A40" t="s">
        <v>917</v>
      </c>
      <c r="B40" t="s">
        <v>892</v>
      </c>
      <c r="C40" t="s">
        <v>950</v>
      </c>
      <c r="K40" s="122"/>
      <c r="DB40" s="123"/>
    </row>
    <row r="41" spans="1:106" ht="15.75" hidden="1" thickBot="1">
      <c r="C41" t="s">
        <v>951</v>
      </c>
      <c r="D41" t="s">
        <v>43</v>
      </c>
      <c r="E41" t="s">
        <v>908</v>
      </c>
      <c r="F41" t="s">
        <v>42</v>
      </c>
      <c r="K41" s="105"/>
      <c r="L41" s="106"/>
      <c r="M41" s="106"/>
      <c r="N41" s="107"/>
      <c r="O41" s="105"/>
      <c r="P41" s="106"/>
      <c r="Q41" s="106"/>
      <c r="R41" s="107"/>
      <c r="S41" s="105"/>
      <c r="T41" s="106"/>
      <c r="U41" s="106"/>
      <c r="V41" s="107"/>
      <c r="W41" s="105"/>
      <c r="X41" s="106"/>
      <c r="Y41" s="106"/>
      <c r="Z41" s="107"/>
      <c r="AA41" s="105"/>
      <c r="AB41" s="106"/>
      <c r="AC41" s="106"/>
      <c r="AD41" s="107"/>
      <c r="AE41" s="105"/>
      <c r="AF41" s="106"/>
      <c r="AG41" s="106"/>
      <c r="AH41" s="107"/>
      <c r="AI41" s="114"/>
      <c r="AJ41" s="115"/>
      <c r="AK41" s="115"/>
      <c r="AL41" s="116"/>
      <c r="AM41" s="114"/>
      <c r="AN41" s="115"/>
      <c r="AO41" s="115"/>
      <c r="AP41" s="116"/>
      <c r="AQ41" s="114"/>
      <c r="AR41" s="115"/>
      <c r="AS41" s="115"/>
      <c r="AT41" s="116"/>
      <c r="AU41" s="114"/>
      <c r="AV41" s="115"/>
      <c r="AW41" s="115"/>
      <c r="AX41" s="116"/>
      <c r="AY41" s="114"/>
      <c r="AZ41" s="115"/>
      <c r="BA41" s="115"/>
      <c r="BB41" s="116"/>
      <c r="BC41" s="114"/>
      <c r="BD41" s="115"/>
      <c r="BE41" s="115"/>
      <c r="BF41" s="116"/>
      <c r="BG41" s="124"/>
      <c r="BH41" s="125"/>
      <c r="BI41" s="125"/>
      <c r="BJ41" s="126"/>
      <c r="BK41" s="105"/>
      <c r="BL41" s="106"/>
      <c r="BM41" s="106"/>
      <c r="BN41" s="107"/>
      <c r="BO41" s="105"/>
      <c r="BP41" s="106"/>
      <c r="BQ41" s="106"/>
      <c r="BR41" s="107"/>
      <c r="BS41" s="105"/>
      <c r="BT41" s="106"/>
      <c r="BU41" s="106"/>
      <c r="BV41" s="107"/>
      <c r="BW41" s="105"/>
      <c r="BX41" s="106"/>
      <c r="BY41" s="106"/>
      <c r="BZ41" s="107"/>
      <c r="CA41" s="105"/>
      <c r="CB41" s="106"/>
      <c r="CC41" s="106"/>
      <c r="CD41" s="107"/>
      <c r="CE41" s="114"/>
      <c r="CF41" s="115"/>
      <c r="CG41" s="115"/>
      <c r="CH41" s="116"/>
      <c r="CI41" s="114"/>
      <c r="CJ41" s="115"/>
      <c r="CK41" s="115"/>
      <c r="CL41" s="116"/>
      <c r="CM41" s="114"/>
      <c r="CN41" s="115"/>
      <c r="CO41" s="115"/>
      <c r="CP41" s="116"/>
      <c r="CQ41" s="114"/>
      <c r="CR41" s="115"/>
      <c r="CS41" s="115"/>
      <c r="CT41" s="116"/>
      <c r="CU41" s="114"/>
      <c r="CV41" s="115"/>
      <c r="CW41" s="115"/>
      <c r="CX41" s="116"/>
      <c r="CY41" s="114"/>
      <c r="CZ41" s="115"/>
      <c r="DA41" s="115"/>
      <c r="DB41" s="116"/>
    </row>
    <row r="42" spans="1:106">
      <c r="K42" s="11"/>
      <c r="L42" t="s">
        <v>952</v>
      </c>
    </row>
    <row r="43" spans="1:106">
      <c r="K43" s="117"/>
      <c r="L43" t="s">
        <v>953</v>
      </c>
    </row>
    <row r="44" spans="1:106">
      <c r="K44" s="118"/>
      <c r="L44" t="s">
        <v>954</v>
      </c>
    </row>
  </sheetData>
  <mergeCells count="4">
    <mergeCell ref="CE1:DB1"/>
    <mergeCell ref="K1:AH1"/>
    <mergeCell ref="AI1:BF1"/>
    <mergeCell ref="BG1:CD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F588-D9E6-4952-AE10-A5104F67D952}">
  <sheetPr>
    <tabColor theme="3"/>
  </sheetPr>
  <dimension ref="A1:H73"/>
  <sheetViews>
    <sheetView workbookViewId="0">
      <selection activeCell="A9" sqref="A9"/>
    </sheetView>
  </sheetViews>
  <sheetFormatPr defaultColWidth="8.7109375" defaultRowHeight="15"/>
  <cols>
    <col min="1" max="1" width="36.7109375" bestFit="1" customWidth="1"/>
    <col min="2" max="2" width="12.7109375" customWidth="1"/>
    <col min="3" max="3" width="24" customWidth="1"/>
    <col min="4" max="4" width="15.7109375" customWidth="1"/>
    <col min="5" max="5" width="16" bestFit="1" customWidth="1"/>
    <col min="6" max="6" width="15.7109375" customWidth="1"/>
  </cols>
  <sheetData>
    <row r="1" spans="1:8">
      <c r="A1" t="s">
        <v>893</v>
      </c>
      <c r="B1" t="s">
        <v>892</v>
      </c>
      <c r="C1" t="s">
        <v>955</v>
      </c>
      <c r="D1" t="s">
        <v>956</v>
      </c>
      <c r="E1" t="s">
        <v>957</v>
      </c>
      <c r="F1" t="s">
        <v>958</v>
      </c>
      <c r="G1" t="s">
        <v>959</v>
      </c>
      <c r="H1" t="s">
        <v>960</v>
      </c>
    </row>
    <row r="2" spans="1:8">
      <c r="A2" t="s">
        <v>961</v>
      </c>
      <c r="B2" t="s">
        <v>1</v>
      </c>
      <c r="C2" t="s">
        <v>962</v>
      </c>
    </row>
    <row r="3" spans="1:8">
      <c r="A3" t="s">
        <v>963</v>
      </c>
      <c r="B3" t="s">
        <v>1</v>
      </c>
      <c r="C3" t="s">
        <v>962</v>
      </c>
    </row>
    <row r="4" spans="1:8">
      <c r="A4" t="s">
        <v>964</v>
      </c>
      <c r="B4" t="s">
        <v>1</v>
      </c>
      <c r="C4" t="s">
        <v>965</v>
      </c>
      <c r="D4" t="s">
        <v>1</v>
      </c>
      <c r="E4" t="s">
        <v>1</v>
      </c>
      <c r="F4" t="s">
        <v>966</v>
      </c>
    </row>
    <row r="5" spans="1:8">
      <c r="A5" t="s">
        <v>967</v>
      </c>
      <c r="B5" t="s">
        <v>1</v>
      </c>
      <c r="C5" t="s">
        <v>968</v>
      </c>
      <c r="D5" t="s">
        <v>31</v>
      </c>
      <c r="E5" t="s">
        <v>969</v>
      </c>
    </row>
    <row r="6" spans="1:8">
      <c r="A6" t="s">
        <v>970</v>
      </c>
      <c r="B6" t="s">
        <v>1</v>
      </c>
      <c r="C6" t="s">
        <v>971</v>
      </c>
      <c r="D6" t="s">
        <v>1</v>
      </c>
      <c r="E6" t="s">
        <v>1</v>
      </c>
      <c r="F6" t="s">
        <v>972</v>
      </c>
    </row>
    <row r="7" spans="1:8">
      <c r="A7" t="s">
        <v>973</v>
      </c>
      <c r="B7" s="61" t="s">
        <v>1</v>
      </c>
      <c r="C7" t="s">
        <v>974</v>
      </c>
      <c r="D7" t="s">
        <v>318</v>
      </c>
      <c r="E7" s="61" t="s">
        <v>275</v>
      </c>
      <c r="F7" t="s">
        <v>975</v>
      </c>
    </row>
    <row r="8" spans="1:8">
      <c r="A8" t="s">
        <v>976</v>
      </c>
      <c r="B8" t="s">
        <v>1</v>
      </c>
      <c r="C8" t="s">
        <v>977</v>
      </c>
      <c r="D8" t="s">
        <v>1</v>
      </c>
      <c r="E8" t="s">
        <v>1</v>
      </c>
      <c r="F8" t="s">
        <v>972</v>
      </c>
    </row>
    <row r="9" spans="1:8">
      <c r="A9" t="s">
        <v>978</v>
      </c>
      <c r="B9" t="s">
        <v>8</v>
      </c>
      <c r="C9" t="s">
        <v>979</v>
      </c>
      <c r="D9" t="s">
        <v>31</v>
      </c>
      <c r="E9" t="s">
        <v>8</v>
      </c>
    </row>
    <row r="10" spans="1:8">
      <c r="A10" t="s">
        <v>980</v>
      </c>
      <c r="B10" t="s">
        <v>9</v>
      </c>
      <c r="C10" t="s">
        <v>981</v>
      </c>
      <c r="D10" t="s">
        <v>31</v>
      </c>
      <c r="E10" t="s">
        <v>9</v>
      </c>
    </row>
    <row r="11" spans="1:8">
      <c r="A11" t="s">
        <v>982</v>
      </c>
      <c r="B11" t="s">
        <v>2</v>
      </c>
      <c r="C11" t="s">
        <v>983</v>
      </c>
      <c r="E11" t="s">
        <v>1</v>
      </c>
      <c r="F11" t="s">
        <v>984</v>
      </c>
    </row>
    <row r="12" spans="1:8">
      <c r="A12" t="s">
        <v>985</v>
      </c>
      <c r="B12" t="s">
        <v>2</v>
      </c>
      <c r="C12" t="s">
        <v>983</v>
      </c>
      <c r="D12" t="s">
        <v>42</v>
      </c>
      <c r="E12" t="s">
        <v>116</v>
      </c>
      <c r="F12" t="s">
        <v>984</v>
      </c>
    </row>
    <row r="13" spans="1:8">
      <c r="A13" t="s">
        <v>986</v>
      </c>
      <c r="B13" t="s">
        <v>2</v>
      </c>
      <c r="C13" t="s">
        <v>987</v>
      </c>
      <c r="D13" t="s">
        <v>988</v>
      </c>
      <c r="E13" t="s">
        <v>42</v>
      </c>
      <c r="F13" t="s">
        <v>989</v>
      </c>
    </row>
    <row r="14" spans="1:8">
      <c r="A14" t="s">
        <v>990</v>
      </c>
      <c r="B14" t="s">
        <v>2</v>
      </c>
      <c r="C14" t="s">
        <v>987</v>
      </c>
      <c r="D14" t="s">
        <v>988</v>
      </c>
      <c r="E14" t="s">
        <v>42</v>
      </c>
      <c r="F14" t="s">
        <v>989</v>
      </c>
    </row>
    <row r="15" spans="1:8">
      <c r="A15" t="s">
        <v>991</v>
      </c>
      <c r="B15" t="s">
        <v>3</v>
      </c>
      <c r="C15" t="s">
        <v>992</v>
      </c>
      <c r="D15" t="s">
        <v>31</v>
      </c>
      <c r="E15" t="s">
        <v>993</v>
      </c>
      <c r="F15" t="s">
        <v>984</v>
      </c>
    </row>
    <row r="16" spans="1:8">
      <c r="A16" t="s">
        <v>994</v>
      </c>
      <c r="B16" t="s">
        <v>3</v>
      </c>
      <c r="C16" t="s">
        <v>992</v>
      </c>
      <c r="D16" t="s">
        <v>995</v>
      </c>
      <c r="E16" t="s">
        <v>993</v>
      </c>
      <c r="F16" t="s">
        <v>996</v>
      </c>
    </row>
    <row r="17" spans="1:8">
      <c r="A17" t="s">
        <v>997</v>
      </c>
      <c r="B17" s="61" t="s">
        <v>3</v>
      </c>
      <c r="C17" t="s">
        <v>998</v>
      </c>
      <c r="D17" t="s">
        <v>31</v>
      </c>
      <c r="E17" s="61" t="s">
        <v>351</v>
      </c>
      <c r="F17" t="s">
        <v>984</v>
      </c>
    </row>
    <row r="18" spans="1:8">
      <c r="A18" t="s">
        <v>999</v>
      </c>
      <c r="B18" s="61" t="s">
        <v>3</v>
      </c>
      <c r="C18" t="s">
        <v>998</v>
      </c>
      <c r="D18" t="s">
        <v>31</v>
      </c>
      <c r="E18" s="61" t="s">
        <v>351</v>
      </c>
      <c r="F18" t="s">
        <v>975</v>
      </c>
    </row>
    <row r="19" spans="1:8">
      <c r="A19" s="6" t="s">
        <v>1000</v>
      </c>
      <c r="B19" t="s">
        <v>3</v>
      </c>
      <c r="C19" t="s">
        <v>1001</v>
      </c>
      <c r="E19" t="s">
        <v>3</v>
      </c>
    </row>
    <row r="20" spans="1:8">
      <c r="A20" t="s">
        <v>1002</v>
      </c>
      <c r="B20" t="s">
        <v>3</v>
      </c>
      <c r="C20" t="s">
        <v>1003</v>
      </c>
    </row>
    <row r="21" spans="1:8">
      <c r="A21" t="s">
        <v>1004</v>
      </c>
      <c r="B21" t="s">
        <v>21</v>
      </c>
      <c r="C21" t="s">
        <v>981</v>
      </c>
      <c r="D21" t="s">
        <v>1005</v>
      </c>
      <c r="E21" t="s">
        <v>426</v>
      </c>
      <c r="F21" t="s">
        <v>996</v>
      </c>
    </row>
    <row r="22" spans="1:8">
      <c r="A22" t="s">
        <v>1006</v>
      </c>
      <c r="B22" t="s">
        <v>21</v>
      </c>
      <c r="C22" t="s">
        <v>981</v>
      </c>
      <c r="E22" t="s">
        <v>969</v>
      </c>
    </row>
    <row r="23" spans="1:8">
      <c r="A23" t="s">
        <v>1007</v>
      </c>
      <c r="B23" s="61" t="s">
        <v>17</v>
      </c>
      <c r="C23" t="s">
        <v>981</v>
      </c>
      <c r="E23" s="61" t="s">
        <v>436</v>
      </c>
    </row>
    <row r="24" spans="1:8">
      <c r="A24" t="s">
        <v>1008</v>
      </c>
      <c r="B24" s="61" t="s">
        <v>17</v>
      </c>
      <c r="C24" t="s">
        <v>981</v>
      </c>
      <c r="D24" t="s">
        <v>988</v>
      </c>
      <c r="E24" s="61" t="s">
        <v>436</v>
      </c>
      <c r="F24" t="s">
        <v>996</v>
      </c>
    </row>
    <row r="25" spans="1:8">
      <c r="A25" t="s">
        <v>1009</v>
      </c>
      <c r="B25" s="61" t="s">
        <v>18</v>
      </c>
      <c r="C25" t="s">
        <v>981</v>
      </c>
      <c r="D25" t="s">
        <v>31</v>
      </c>
      <c r="E25" s="61" t="s">
        <v>407</v>
      </c>
      <c r="F25" t="s">
        <v>989</v>
      </c>
    </row>
    <row r="26" spans="1:8">
      <c r="A26" t="s">
        <v>1010</v>
      </c>
      <c r="B26" t="s">
        <v>22</v>
      </c>
      <c r="C26" t="s">
        <v>981</v>
      </c>
    </row>
    <row r="27" spans="1:8">
      <c r="A27" t="s">
        <v>1011</v>
      </c>
      <c r="B27" t="s">
        <v>22</v>
      </c>
      <c r="C27" t="s">
        <v>981</v>
      </c>
    </row>
    <row r="28" spans="1:8">
      <c r="A28" t="s">
        <v>1012</v>
      </c>
      <c r="B28" t="s">
        <v>23</v>
      </c>
      <c r="C28" t="s">
        <v>981</v>
      </c>
      <c r="D28" t="s">
        <v>1013</v>
      </c>
      <c r="F28" t="s">
        <v>989</v>
      </c>
    </row>
    <row r="29" spans="1:8">
      <c r="A29" t="s">
        <v>1014</v>
      </c>
      <c r="B29" t="s">
        <v>23</v>
      </c>
      <c r="C29" t="s">
        <v>981</v>
      </c>
      <c r="E29" t="s">
        <v>116</v>
      </c>
      <c r="F29" t="s">
        <v>1015</v>
      </c>
    </row>
    <row r="30" spans="1:8">
      <c r="A30" t="s">
        <v>1016</v>
      </c>
      <c r="B30" t="s">
        <v>23</v>
      </c>
      <c r="C30" t="s">
        <v>981</v>
      </c>
      <c r="E30" t="s">
        <v>116</v>
      </c>
      <c r="F30" t="s">
        <v>1015</v>
      </c>
    </row>
    <row r="31" spans="1:8">
      <c r="A31" t="s">
        <v>1017</v>
      </c>
      <c r="B31" t="s">
        <v>24</v>
      </c>
      <c r="C31" t="s">
        <v>981</v>
      </c>
    </row>
    <row r="32" spans="1:8">
      <c r="A32" t="s">
        <v>1018</v>
      </c>
      <c r="B32" t="s">
        <v>24</v>
      </c>
      <c r="C32" t="s">
        <v>981</v>
      </c>
      <c r="E32" t="s">
        <v>294</v>
      </c>
      <c r="H32" t="s">
        <v>1019</v>
      </c>
    </row>
    <row r="33" spans="1:6">
      <c r="A33" t="s">
        <v>1020</v>
      </c>
      <c r="B33" t="s">
        <v>25</v>
      </c>
      <c r="C33" t="s">
        <v>981</v>
      </c>
      <c r="E33" t="s">
        <v>411</v>
      </c>
    </row>
    <row r="34" spans="1:6">
      <c r="A34" t="s">
        <v>1021</v>
      </c>
      <c r="B34" s="61" t="s">
        <v>25</v>
      </c>
      <c r="C34" t="s">
        <v>981</v>
      </c>
      <c r="D34" t="s">
        <v>31</v>
      </c>
      <c r="E34" s="61" t="s">
        <v>411</v>
      </c>
      <c r="F34" t="s">
        <v>984</v>
      </c>
    </row>
    <row r="35" spans="1:6">
      <c r="A35" t="s">
        <v>1022</v>
      </c>
      <c r="B35" t="s">
        <v>25</v>
      </c>
      <c r="C35" t="s">
        <v>981</v>
      </c>
      <c r="E35" t="s">
        <v>411</v>
      </c>
      <c r="F35" t="s">
        <v>1023</v>
      </c>
    </row>
    <row r="36" spans="1:6">
      <c r="A36" t="s">
        <v>1024</v>
      </c>
      <c r="B36" s="61" t="s">
        <v>27</v>
      </c>
      <c r="C36" t="s">
        <v>981</v>
      </c>
      <c r="D36" t="s">
        <v>12</v>
      </c>
      <c r="E36" s="61" t="s">
        <v>418</v>
      </c>
      <c r="F36" t="s">
        <v>1023</v>
      </c>
    </row>
    <row r="37" spans="1:6">
      <c r="A37" t="s">
        <v>1025</v>
      </c>
      <c r="B37" s="61" t="s">
        <v>27</v>
      </c>
      <c r="C37" t="s">
        <v>981</v>
      </c>
      <c r="D37" t="s">
        <v>12</v>
      </c>
      <c r="E37" s="61" t="s">
        <v>418</v>
      </c>
      <c r="F37" t="s">
        <v>1023</v>
      </c>
    </row>
    <row r="38" spans="1:6">
      <c r="A38" t="s">
        <v>1026</v>
      </c>
      <c r="B38" s="61" t="s">
        <v>28</v>
      </c>
      <c r="C38" t="s">
        <v>981</v>
      </c>
      <c r="D38" t="s">
        <v>31</v>
      </c>
      <c r="E38" s="61" t="s">
        <v>351</v>
      </c>
      <c r="F38" t="s">
        <v>975</v>
      </c>
    </row>
    <row r="39" spans="1:6">
      <c r="A39" t="s">
        <v>1027</v>
      </c>
      <c r="B39" s="61" t="s">
        <v>28</v>
      </c>
      <c r="C39" t="s">
        <v>981</v>
      </c>
      <c r="D39" t="s">
        <v>31</v>
      </c>
      <c r="E39" s="61" t="s">
        <v>275</v>
      </c>
      <c r="F39" t="s">
        <v>975</v>
      </c>
    </row>
    <row r="40" spans="1:6">
      <c r="A40" t="s">
        <v>1028</v>
      </c>
      <c r="B40" t="s">
        <v>29</v>
      </c>
      <c r="C40" t="s">
        <v>981</v>
      </c>
      <c r="D40" t="s">
        <v>31</v>
      </c>
      <c r="E40" t="s">
        <v>235</v>
      </c>
      <c r="F40" t="s">
        <v>975</v>
      </c>
    </row>
    <row r="41" spans="1:6">
      <c r="A41" t="s">
        <v>1029</v>
      </c>
      <c r="B41" t="s">
        <v>29</v>
      </c>
      <c r="C41" t="s">
        <v>981</v>
      </c>
      <c r="D41" t="s">
        <v>31</v>
      </c>
      <c r="E41" t="s">
        <v>235</v>
      </c>
      <c r="F41" t="s">
        <v>989</v>
      </c>
    </row>
    <row r="42" spans="1:6">
      <c r="A42" t="s">
        <v>1030</v>
      </c>
      <c r="B42" t="s">
        <v>29</v>
      </c>
      <c r="C42" t="s">
        <v>1031</v>
      </c>
    </row>
    <row r="43" spans="1:6">
      <c r="A43" t="s">
        <v>1032</v>
      </c>
      <c r="B43" s="61" t="s">
        <v>30</v>
      </c>
      <c r="C43" t="s">
        <v>981</v>
      </c>
      <c r="D43" t="s">
        <v>42</v>
      </c>
      <c r="E43" s="61" t="s">
        <v>223</v>
      </c>
      <c r="F43" t="s">
        <v>984</v>
      </c>
    </row>
    <row r="44" spans="1:6">
      <c r="A44" t="s">
        <v>1033</v>
      </c>
      <c r="B44" t="s">
        <v>30</v>
      </c>
      <c r="C44" t="s">
        <v>981</v>
      </c>
    </row>
    <row r="45" spans="1:6">
      <c r="A45" t="s">
        <v>1034</v>
      </c>
      <c r="B45" t="s">
        <v>30</v>
      </c>
      <c r="C45" t="s">
        <v>981</v>
      </c>
    </row>
    <row r="46" spans="1:6">
      <c r="A46" t="s">
        <v>1035</v>
      </c>
      <c r="B46" t="s">
        <v>33</v>
      </c>
      <c r="C46" t="s">
        <v>981</v>
      </c>
      <c r="E46" t="s">
        <v>187</v>
      </c>
    </row>
    <row r="47" spans="1:6">
      <c r="A47" t="s">
        <v>1036</v>
      </c>
      <c r="B47" t="s">
        <v>33</v>
      </c>
      <c r="C47" t="s">
        <v>981</v>
      </c>
      <c r="D47" t="s">
        <v>31</v>
      </c>
      <c r="E47" t="s">
        <v>187</v>
      </c>
    </row>
    <row r="48" spans="1:6">
      <c r="A48" t="s">
        <v>1037</v>
      </c>
      <c r="B48" t="s">
        <v>34</v>
      </c>
      <c r="C48" t="s">
        <v>981</v>
      </c>
      <c r="D48" t="s">
        <v>31</v>
      </c>
      <c r="E48" t="s">
        <v>163</v>
      </c>
    </row>
    <row r="49" spans="1:8">
      <c r="A49" t="s">
        <v>1038</v>
      </c>
      <c r="B49" t="s">
        <v>34</v>
      </c>
      <c r="C49" t="s">
        <v>981</v>
      </c>
      <c r="D49" t="s">
        <v>31</v>
      </c>
      <c r="E49" t="s">
        <v>163</v>
      </c>
    </row>
    <row r="50" spans="1:8">
      <c r="A50" t="s">
        <v>1039</v>
      </c>
      <c r="B50" t="s">
        <v>34</v>
      </c>
      <c r="C50" t="s">
        <v>981</v>
      </c>
    </row>
    <row r="51" spans="1:8">
      <c r="A51" t="s">
        <v>1040</v>
      </c>
      <c r="B51" t="s">
        <v>35</v>
      </c>
      <c r="C51" t="s">
        <v>981</v>
      </c>
    </row>
    <row r="52" spans="1:8">
      <c r="A52" t="s">
        <v>1041</v>
      </c>
      <c r="B52" t="s">
        <v>35</v>
      </c>
      <c r="C52" t="s">
        <v>1042</v>
      </c>
    </row>
    <row r="53" spans="1:8">
      <c r="A53" t="s">
        <v>985</v>
      </c>
      <c r="B53" t="s">
        <v>36</v>
      </c>
      <c r="C53" t="s">
        <v>1043</v>
      </c>
      <c r="D53" t="s">
        <v>42</v>
      </c>
      <c r="E53" t="s">
        <v>116</v>
      </c>
      <c r="F53" t="s">
        <v>984</v>
      </c>
      <c r="H53" t="s">
        <v>1044</v>
      </c>
    </row>
    <row r="54" spans="1:8">
      <c r="A54" t="s">
        <v>1041</v>
      </c>
      <c r="B54" t="s">
        <v>36</v>
      </c>
      <c r="C54" t="s">
        <v>1042</v>
      </c>
    </row>
    <row r="55" spans="1:8">
      <c r="A55" t="s">
        <v>1045</v>
      </c>
      <c r="B55" t="s">
        <v>38</v>
      </c>
      <c r="C55" t="s">
        <v>1046</v>
      </c>
    </row>
    <row r="56" spans="1:8">
      <c r="A56" t="s">
        <v>1047</v>
      </c>
      <c r="B56" t="s">
        <v>38</v>
      </c>
      <c r="C56" t="s">
        <v>1048</v>
      </c>
      <c r="D56" t="s">
        <v>31</v>
      </c>
      <c r="E56" t="s">
        <v>426</v>
      </c>
      <c r="F56" t="s">
        <v>984</v>
      </c>
    </row>
    <row r="57" spans="1:8">
      <c r="A57" t="s">
        <v>1049</v>
      </c>
      <c r="B57" t="s">
        <v>38</v>
      </c>
      <c r="C57" t="s">
        <v>1042</v>
      </c>
    </row>
    <row r="58" spans="1:8">
      <c r="A58" t="s">
        <v>1050</v>
      </c>
      <c r="B58" t="s">
        <v>38</v>
      </c>
      <c r="C58" t="s">
        <v>1042</v>
      </c>
    </row>
    <row r="59" spans="1:8">
      <c r="A59" t="s">
        <v>1051</v>
      </c>
      <c r="B59" t="s">
        <v>39</v>
      </c>
      <c r="C59" t="s">
        <v>981</v>
      </c>
      <c r="H59" t="s">
        <v>1052</v>
      </c>
    </row>
    <row r="60" spans="1:8">
      <c r="A60" t="s">
        <v>1053</v>
      </c>
      <c r="B60" t="s">
        <v>39</v>
      </c>
      <c r="C60" t="s">
        <v>981</v>
      </c>
      <c r="H60" t="s">
        <v>1052</v>
      </c>
    </row>
    <row r="61" spans="1:8">
      <c r="A61" t="s">
        <v>1047</v>
      </c>
      <c r="B61" t="s">
        <v>39</v>
      </c>
      <c r="C61" t="s">
        <v>1048</v>
      </c>
    </row>
    <row r="62" spans="1:8">
      <c r="A62" t="s">
        <v>1054</v>
      </c>
      <c r="B62" t="s">
        <v>40</v>
      </c>
      <c r="C62" t="s">
        <v>981</v>
      </c>
      <c r="H62" t="s">
        <v>1052</v>
      </c>
    </row>
    <row r="63" spans="1:8">
      <c r="A63" t="s">
        <v>1047</v>
      </c>
      <c r="B63" t="s">
        <v>40</v>
      </c>
      <c r="C63" t="s">
        <v>1048</v>
      </c>
    </row>
    <row r="64" spans="1:8">
      <c r="A64" t="s">
        <v>1055</v>
      </c>
      <c r="B64" t="s">
        <v>40</v>
      </c>
      <c r="C64" t="s">
        <v>1042</v>
      </c>
    </row>
    <row r="65" spans="1:3">
      <c r="A65" t="s">
        <v>1056</v>
      </c>
      <c r="B65" t="s">
        <v>40</v>
      </c>
      <c r="C65" t="s">
        <v>1042</v>
      </c>
    </row>
    <row r="66" spans="1:3">
      <c r="A66" t="s">
        <v>1057</v>
      </c>
      <c r="B66" t="s">
        <v>44</v>
      </c>
      <c r="C66" t="s">
        <v>1042</v>
      </c>
    </row>
    <row r="67" spans="1:3">
      <c r="A67" t="s">
        <v>1058</v>
      </c>
      <c r="B67" t="s">
        <v>44</v>
      </c>
      <c r="C67" t="s">
        <v>1042</v>
      </c>
    </row>
    <row r="68" spans="1:3">
      <c r="A68" t="s">
        <v>1059</v>
      </c>
      <c r="B68" t="s">
        <v>44</v>
      </c>
      <c r="C68" t="s">
        <v>1042</v>
      </c>
    </row>
    <row r="69" spans="1:3">
      <c r="A69" t="s">
        <v>1060</v>
      </c>
      <c r="B69" t="s">
        <v>44</v>
      </c>
      <c r="C69" t="s">
        <v>1042</v>
      </c>
    </row>
    <row r="70" spans="1:3">
      <c r="A70" t="s">
        <v>1061</v>
      </c>
      <c r="B70" t="s">
        <v>44</v>
      </c>
      <c r="C70" t="s">
        <v>1031</v>
      </c>
    </row>
    <row r="71" spans="1:3">
      <c r="A71" t="s">
        <v>1062</v>
      </c>
      <c r="B71" t="s">
        <v>44</v>
      </c>
      <c r="C71" t="s">
        <v>1031</v>
      </c>
    </row>
    <row r="72" spans="1:3">
      <c r="A72" t="s">
        <v>1018</v>
      </c>
      <c r="B72" t="s">
        <v>44</v>
      </c>
      <c r="C72" t="s">
        <v>1031</v>
      </c>
    </row>
    <row r="73" spans="1:3">
      <c r="A73" t="s">
        <v>1063</v>
      </c>
      <c r="B73" t="s">
        <v>44</v>
      </c>
      <c r="C73" t="s">
        <v>1031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DD83-2D15-4BBB-B0DC-59D54EC077E6}">
  <dimension ref="A1:G63"/>
  <sheetViews>
    <sheetView zoomScale="80" workbookViewId="0">
      <selection activeCell="A3" sqref="A3"/>
    </sheetView>
  </sheetViews>
  <sheetFormatPr defaultColWidth="8.7109375" defaultRowHeight="15"/>
  <cols>
    <col min="1" max="1" width="14" customWidth="1"/>
    <col min="2" max="2" width="71.42578125" customWidth="1"/>
    <col min="3" max="3" width="19.140625" customWidth="1"/>
    <col min="4" max="4" width="86.42578125" bestFit="1" customWidth="1"/>
    <col min="5" max="6" width="17.7109375" customWidth="1"/>
  </cols>
  <sheetData>
    <row r="1" spans="1:7">
      <c r="A1" s="52" t="s">
        <v>1064</v>
      </c>
      <c r="B1" s="52" t="s">
        <v>1065</v>
      </c>
      <c r="C1" s="52" t="s">
        <v>1066</v>
      </c>
      <c r="D1" s="52" t="s">
        <v>1067</v>
      </c>
      <c r="E1" s="52" t="s">
        <v>1068</v>
      </c>
      <c r="F1" s="52" t="s">
        <v>1069</v>
      </c>
      <c r="G1" t="s">
        <v>1070</v>
      </c>
    </row>
    <row r="2" spans="1:7">
      <c r="D2" s="56"/>
    </row>
    <row r="3" spans="1:7">
      <c r="A3" s="55"/>
    </row>
    <row r="19" spans="6:6">
      <c r="F19" s="55"/>
    </row>
    <row r="20" spans="6:6">
      <c r="F20" s="55"/>
    </row>
    <row r="22" spans="6:6">
      <c r="F22" s="55"/>
    </row>
    <row r="23" spans="6:6">
      <c r="F23" s="55"/>
    </row>
    <row r="34" spans="6:6">
      <c r="F34" s="55"/>
    </row>
    <row r="35" spans="6:6">
      <c r="F35" s="55"/>
    </row>
    <row r="36" spans="6:6">
      <c r="F36" s="55"/>
    </row>
    <row r="45" spans="6:6">
      <c r="F45" s="55"/>
    </row>
    <row r="46" spans="6:6">
      <c r="F46" s="55"/>
    </row>
    <row r="49" spans="2:6">
      <c r="F49" s="55"/>
    </row>
    <row r="61" spans="2:6">
      <c r="B61" t="s">
        <v>1071</v>
      </c>
    </row>
    <row r="62" spans="2:6">
      <c r="B62" t="s">
        <v>1072</v>
      </c>
    </row>
    <row r="63" spans="2:6">
      <c r="B63" t="s">
        <v>1073</v>
      </c>
    </row>
  </sheetData>
  <autoFilter ref="A1:E1" xr:uid="{2539DD83-2D15-4BBB-B0DC-59D54EC077E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AB5B-6BA2-421E-82CB-C84FAEB11354}">
  <sheetPr>
    <tabColor theme="9"/>
  </sheetPr>
  <dimension ref="A1:X128"/>
  <sheetViews>
    <sheetView topLeftCell="A69" zoomScale="80" zoomScaleNormal="80" workbookViewId="0">
      <selection activeCell="B2" sqref="B2:C23"/>
    </sheetView>
  </sheetViews>
  <sheetFormatPr defaultColWidth="8.7109375" defaultRowHeight="15"/>
  <cols>
    <col min="1" max="1" width="4.7109375" customWidth="1"/>
    <col min="2" max="2" width="24.7109375" customWidth="1"/>
    <col min="3" max="3" width="27" bestFit="1" customWidth="1"/>
    <col min="4" max="4" width="3.42578125" customWidth="1"/>
    <col min="5" max="6" width="24.7109375" customWidth="1"/>
    <col min="7" max="7" width="2.5703125" customWidth="1"/>
    <col min="8" max="9" width="24.7109375" customWidth="1"/>
    <col min="10" max="10" width="3.42578125" customWidth="1"/>
    <col min="11" max="12" width="24.7109375" customWidth="1"/>
    <col min="13" max="13" width="3.7109375" customWidth="1"/>
    <col min="14" max="15" width="24.7109375" customWidth="1"/>
    <col min="16" max="16" width="3.7109375" customWidth="1"/>
    <col min="17" max="18" width="24.7109375" customWidth="1"/>
    <col min="19" max="19" width="4.28515625" customWidth="1"/>
    <col min="20" max="21" width="24.7109375" customWidth="1"/>
    <col min="23" max="24" width="24.7109375" customWidth="1"/>
  </cols>
  <sheetData>
    <row r="1" spans="1:12" ht="13.5" customHeight="1" thickBot="1"/>
    <row r="2" spans="1:12" ht="15.75" customHeight="1" thickBot="1">
      <c r="A2" s="152" t="s">
        <v>0</v>
      </c>
      <c r="B2" s="59" t="s">
        <v>1</v>
      </c>
      <c r="C2" s="63"/>
      <c r="E2" s="59" t="s">
        <v>2</v>
      </c>
      <c r="F2" s="63"/>
      <c r="H2" s="59" t="s">
        <v>3</v>
      </c>
      <c r="I2" s="63"/>
      <c r="K2" s="59" t="s">
        <v>4</v>
      </c>
      <c r="L2" s="63"/>
    </row>
    <row r="3" spans="1:12" ht="15.75" thickBot="1">
      <c r="A3" s="152"/>
      <c r="B3" s="8" t="s">
        <v>1074</v>
      </c>
      <c r="C3" s="64" t="s">
        <v>1075</v>
      </c>
      <c r="E3" s="8" t="s">
        <v>1074</v>
      </c>
      <c r="F3" s="64" t="s">
        <v>1075</v>
      </c>
      <c r="H3" s="8" t="s">
        <v>1074</v>
      </c>
      <c r="I3" s="64" t="s">
        <v>1075</v>
      </c>
      <c r="K3" s="8" t="s">
        <v>1074</v>
      </c>
      <c r="L3" s="64" t="s">
        <v>1075</v>
      </c>
    </row>
    <row r="4" spans="1:12">
      <c r="A4" s="152"/>
      <c r="B4" s="60" t="str" cm="1">
        <f t="array" ref="B4:B14">_xlfn._xlws.FILTER(Spelerslijst!$B:$B,Spelerslijst!$F:$F=B$2,"")</f>
        <v>Klooster, C. (Carmen) van der</v>
      </c>
      <c r="C4" s="65" t="str" cm="1">
        <f t="array" ref="C4:C14">_xlfn._xlws.FILTER(Spelerslijst!$M:$M,Spelerslijst!$Q:$Q=B$2,"")</f>
        <v>Strijen, L.A. van (Lars)</v>
      </c>
      <c r="E4" s="3" t="str" cm="1">
        <f t="array" ref="E4:E12">_xlfn._xlws.FILTER(Spelerslijst!$B:$B,Spelerslijst!$F:$F=E$2,"")</f>
        <v>Klooster, D. (Danique) van der</v>
      </c>
      <c r="F4" s="65" t="str" cm="1">
        <f t="array" ref="F4:F12">_xlfn._xlws.FILTER(Spelerslijst!$M:$M,Spelerslijst!$Q:$Q=E$2,"")</f>
        <v>Dongen, F.P.B. (Freek) van</v>
      </c>
      <c r="H4" s="3" t="str" cm="1">
        <f t="array" ref="H4:H13">_xlfn._xlws.FILTER(Spelerslijst!$B:$B,Spelerslijst!$F:$F=H$2,"")</f>
        <v>Kleingeld, J.N. (Julia)</v>
      </c>
      <c r="I4" s="65" t="str" cm="1">
        <f t="array" ref="I4:I11">_xlfn._xlws.FILTER(Spelerslijst!$M:$M,Spelerslijst!$Q:$Q=H$2,"")</f>
        <v>Pichel, T. (Timo)</v>
      </c>
      <c r="K4" s="3" t="str" cm="1">
        <f t="array" ref="K4">_xlfn._xlws.FILTER(Spelerslijst!$B:$B,Spelerslijst!$F:$F=K$2,"")</f>
        <v/>
      </c>
      <c r="L4" s="65" t="str" cm="1">
        <f t="array" ref="L4">_xlfn._xlws.FILTER(Spelerslijst!$M:$M,Spelerslijst!$Q:$Q=K$2,"")</f>
        <v/>
      </c>
    </row>
    <row r="5" spans="1:12">
      <c r="A5" s="152"/>
      <c r="B5" s="6" t="str">
        <v>Fasbender, L. (Lindi)</v>
      </c>
      <c r="C5" s="66" t="str">
        <v>Klink, M (Marijn)</v>
      </c>
      <c r="E5" s="6" t="str">
        <v>Reuvers, L. (Lisa)</v>
      </c>
      <c r="F5" s="66" t="str">
        <v>Bäcker, C.J. (Tijn)</v>
      </c>
      <c r="H5" s="6" t="str">
        <v>Stomp, N. (Noa)</v>
      </c>
      <c r="I5" s="66" t="str">
        <v>Vliet, K.M. (Kian)</v>
      </c>
      <c r="K5" s="6"/>
      <c r="L5" s="66"/>
    </row>
    <row r="6" spans="1:12">
      <c r="A6" s="152"/>
      <c r="B6" s="6" t="str">
        <v>Boshoven, S.A.E. (Sara)</v>
      </c>
      <c r="C6" s="66" t="str">
        <v>Driesprong, B. (Bart)</v>
      </c>
      <c r="E6" s="6" t="str">
        <v>Burgt, E. (Elize) van de</v>
      </c>
      <c r="F6" s="66" t="str">
        <v>Vliet, T. (Tycho)</v>
      </c>
      <c r="H6" s="6" t="str">
        <v>Burgt, F. (Feline) van de</v>
      </c>
      <c r="I6" s="66" t="str">
        <v>Sempel, J.D. (Jasper)</v>
      </c>
      <c r="K6" s="6"/>
      <c r="L6" s="66"/>
    </row>
    <row r="7" spans="1:12">
      <c r="A7" s="152"/>
      <c r="B7" s="6" t="str">
        <v>Groeneweg, R.K. (Roos)</v>
      </c>
      <c r="C7" s="66" t="str">
        <v>Klink, O.C. (Olivier)</v>
      </c>
      <c r="E7" s="6" t="str">
        <v>Voorbij, D.M. (Doeska)</v>
      </c>
      <c r="F7" s="66" t="str">
        <v>Zwanenburg, J. (Jack)</v>
      </c>
      <c r="H7" s="6" t="str">
        <v>Boer, E.M. (Esmée) de</v>
      </c>
      <c r="I7" s="66" t="str">
        <v>Hovestadt, D. (Diederik)</v>
      </c>
      <c r="K7" s="6"/>
      <c r="L7" s="66"/>
    </row>
    <row r="8" spans="1:12">
      <c r="A8" s="152"/>
      <c r="B8" s="6" t="str">
        <v>Driesprong, M. (Meike)</v>
      </c>
      <c r="C8" s="66" t="str">
        <v>Gent, T. (Tim) van</v>
      </c>
      <c r="E8" s="6" t="str">
        <v>Linden, B.S. (Benthe) van der</v>
      </c>
      <c r="F8" s="66" t="str">
        <v>Valk, J.B. (Jarno)</v>
      </c>
      <c r="H8" s="6" t="str">
        <v>Engelfriet, D. (Demi)</v>
      </c>
      <c r="I8" s="66" t="str">
        <v>Bemer, J.L.E. (Jarno)</v>
      </c>
      <c r="K8" s="6"/>
      <c r="L8" s="66"/>
    </row>
    <row r="9" spans="1:12">
      <c r="A9" s="152"/>
      <c r="B9" s="6" t="str">
        <v>Fernhout, L. (Loïs)</v>
      </c>
      <c r="C9" s="66" t="str">
        <v>Groeneweg, T. (Tim)</v>
      </c>
      <c r="E9" s="6" t="str">
        <v>Verboom, S. (Stella)</v>
      </c>
      <c r="F9" s="66" t="str">
        <v>Dekker, O.C. (Onno) den</v>
      </c>
      <c r="H9" s="6" t="str">
        <v>Jongkind, F.W.J. (Floortje)</v>
      </c>
      <c r="I9" s="66" t="str">
        <v>Sas, N. (Niek)</v>
      </c>
      <c r="K9" s="6"/>
      <c r="L9" s="66"/>
    </row>
    <row r="10" spans="1:12">
      <c r="A10" s="152"/>
      <c r="B10" s="6" t="str">
        <v>Teerds, E.L. (Eva)</v>
      </c>
      <c r="C10" s="66" t="str">
        <v>Uijl, D. (Daniel) den</v>
      </c>
      <c r="E10" s="6" t="str">
        <v>Kilsdonk, S.A (Sophie)</v>
      </c>
      <c r="F10" s="66" t="str">
        <v>Sas, M. (Maarten)</v>
      </c>
      <c r="H10" s="6" t="str">
        <v>Volker, T.N. (Tess)</v>
      </c>
      <c r="I10" s="66" t="str">
        <v>Ven, J. (Jonas) van de</v>
      </c>
      <c r="K10" s="6"/>
      <c r="L10" s="66"/>
    </row>
    <row r="11" spans="1:12">
      <c r="A11" s="152"/>
      <c r="B11" s="6" t="str">
        <v>Oppe, M. (Milou)</v>
      </c>
      <c r="C11" s="66" t="str">
        <v>Timmer, J. (Jordan)</v>
      </c>
      <c r="E11" s="6" t="str">
        <v>Manduapessy, M. (Merel)</v>
      </c>
      <c r="F11" s="66" t="str">
        <v>Camphens, T. (Tijn)</v>
      </c>
      <c r="H11" s="6" t="str">
        <v>Lindhout, D. (Demi)</v>
      </c>
      <c r="I11" s="66" t="str">
        <v>Vos, T. (Thomas)</v>
      </c>
      <c r="K11" s="6"/>
      <c r="L11" s="66"/>
    </row>
    <row r="12" spans="1:12">
      <c r="A12" s="152"/>
      <c r="B12" s="6" t="str">
        <v>Dijk, D. (Demi) van</v>
      </c>
      <c r="C12" s="66" t="str">
        <v>Koster, S. (Senne)</v>
      </c>
      <c r="E12" s="6" t="str">
        <v>Haas, A. (Amber) de</v>
      </c>
      <c r="F12" s="66" t="str">
        <v>Heersping, D.B.A.C. (Dani)</v>
      </c>
      <c r="H12" s="6" t="str">
        <v>Bemer, G.M.E. (Githa)</v>
      </c>
      <c r="I12" s="66"/>
      <c r="K12" s="6"/>
      <c r="L12" s="66"/>
    </row>
    <row r="13" spans="1:12">
      <c r="A13" s="152"/>
      <c r="B13" s="6" t="str">
        <v>Dommisse, R. (Robin)</v>
      </c>
      <c r="C13" s="66" t="str">
        <v>Burgt, S. (Seth) van de</v>
      </c>
      <c r="E13" s="6"/>
      <c r="F13" s="66"/>
      <c r="H13" s="6" t="str">
        <v>Lohuis, F.A.C. (Floor)</v>
      </c>
      <c r="I13" s="66"/>
      <c r="K13" s="6"/>
      <c r="L13" s="66"/>
    </row>
    <row r="14" spans="1:12">
      <c r="A14" s="152"/>
      <c r="B14" s="6" t="str">
        <v>Klink, X (Xanne)</v>
      </c>
      <c r="C14" s="66" t="str">
        <v>Vaartmans, J.A. (Jordi)</v>
      </c>
      <c r="E14" s="6"/>
      <c r="F14" s="66"/>
      <c r="H14" s="6"/>
      <c r="I14" s="66"/>
      <c r="K14" s="6"/>
      <c r="L14" s="66"/>
    </row>
    <row r="15" spans="1:12" ht="15.75" thickBot="1">
      <c r="A15" s="152"/>
      <c r="B15" s="6"/>
      <c r="C15" s="66"/>
      <c r="E15" s="6"/>
      <c r="F15" s="66"/>
      <c r="H15" s="6"/>
      <c r="I15" s="66"/>
      <c r="K15" s="6"/>
      <c r="L15" s="66"/>
    </row>
    <row r="16" spans="1:12">
      <c r="A16" s="152"/>
      <c r="B16" s="12" t="str" cm="1">
        <f t="array" ref="B16:B22">_xlfn._xlws.FILTER(Staf!$C:$C,Staf!$B:$B=Teamsamenstelling!B2,"")</f>
        <v>Trainer/Coach S1</v>
      </c>
      <c r="C16" s="14" t="str" cm="1">
        <f t="array" ref="C16:C22">_xlfn._xlws.FILTER(Staf!$A:$A,Staf!$B:$B=Teamsamenstelling!B2,"")</f>
        <v>Menno Kop</v>
      </c>
      <c r="E16" s="12" t="str" cm="1">
        <f t="array" ref="E16:E19">_xlfn._xlws.FILTER(Staf!$C:$C,Staf!$B:$B=Teamsamenstelling!M2,"")</f>
        <v>Trainer/Coach U19-1</v>
      </c>
      <c r="F16" s="14" t="str" cm="1">
        <f t="array" ref="F16:F19">_xlfn._xlws.FILTER(Staf!$A:$A,Staf!$B:$B=Teamsamenstelling!M2,"")</f>
        <v>Arthyn Muller</v>
      </c>
      <c r="H16" s="12" t="str" cm="1">
        <f t="array" ref="H16:H21">_xlfn._xlws.FILTER(Staf!$C:$C,Staf!$B:$B=Teamsamenstelling!X2,"")</f>
        <v>Trainer/Coach U17-1</v>
      </c>
      <c r="I16" s="14" t="str" cm="1">
        <f t="array" ref="I16:I21">_xlfn._xlws.FILTER(Staf!$A:$A,Staf!$B:$B=Teamsamenstelling!X2,"")</f>
        <v>Jasper Kleingeld</v>
      </c>
      <c r="K16" s="12" t="e" cm="1">
        <f t="array" ref="K16">_xlfn._xlws.FILTER(Staf!$C:$C,Staf!$B:$B=#REF!,"")</f>
        <v>#REF!</v>
      </c>
      <c r="L16" s="14"/>
    </row>
    <row r="17" spans="1:24">
      <c r="A17" s="152"/>
      <c r="B17" s="15" t="str">
        <v>Trainer/Coach S1</v>
      </c>
      <c r="C17" s="17" t="str">
        <v>Niels Mastijn</v>
      </c>
      <c r="E17" s="15" t="str">
        <v>Trainer/Coach U19-1</v>
      </c>
      <c r="F17" s="17" t="str">
        <v>Lianne Stomp - vd Burgt</v>
      </c>
      <c r="H17" s="15" t="str">
        <v>Trainer/Coach U17-1</v>
      </c>
      <c r="I17" s="17" t="str">
        <v>Mees Oppe</v>
      </c>
      <c r="K17" s="15"/>
      <c r="L17" s="17"/>
    </row>
    <row r="18" spans="1:24">
      <c r="A18" s="152"/>
      <c r="B18" s="15" t="str">
        <v>Trainer/Coach S2</v>
      </c>
      <c r="C18" s="17" t="str">
        <v>Rene te Witt</v>
      </c>
      <c r="E18" s="15" t="str">
        <v>Trainer/Coach U19-2</v>
      </c>
      <c r="F18" s="17" t="str">
        <v>Jens Lohuis</v>
      </c>
      <c r="H18" s="15" t="str">
        <v>Trainer/Coach U17-2</v>
      </c>
      <c r="I18" s="17" t="str">
        <v>Alex de Boer</v>
      </c>
      <c r="K18" s="15"/>
      <c r="L18" s="17"/>
    </row>
    <row r="19" spans="1:24">
      <c r="A19" s="152"/>
      <c r="B19" s="15" t="str">
        <v>Teammanager S2</v>
      </c>
      <c r="C19" s="17" t="str">
        <v>Fred Lichteveld</v>
      </c>
      <c r="E19" s="15" t="str">
        <v>Trainer/Coach U19-2</v>
      </c>
      <c r="F19" s="17" t="str">
        <v>Joël Wietses</v>
      </c>
      <c r="H19" s="15" t="str">
        <v>Trainer/Coach U17-2</v>
      </c>
      <c r="I19" s="17" t="str">
        <v>Tom van de Ven</v>
      </c>
      <c r="K19" s="15"/>
      <c r="L19" s="17"/>
    </row>
    <row r="20" spans="1:24">
      <c r="A20" s="152"/>
      <c r="B20" s="15" t="str">
        <v>Fysio</v>
      </c>
      <c r="C20" s="17" t="str">
        <v>Ruben Kamerbeek</v>
      </c>
      <c r="E20" s="15"/>
      <c r="F20" s="17"/>
      <c r="H20" s="15" t="str">
        <v>Teammanager U17</v>
      </c>
      <c r="I20" s="17" t="str">
        <v>Alex van de Klooster</v>
      </c>
      <c r="K20" s="15"/>
      <c r="L20" s="17"/>
    </row>
    <row r="21" spans="1:24">
      <c r="A21" s="152"/>
      <c r="B21" s="15" t="str">
        <v>Verzorger</v>
      </c>
      <c r="C21" s="17" t="str">
        <v>Anouk de Jongh</v>
      </c>
      <c r="E21" s="15"/>
      <c r="F21" s="17"/>
      <c r="H21" s="15" t="str">
        <v>Ondersteuning U17</v>
      </c>
      <c r="I21" s="17" t="str">
        <v>Bas de Jong</v>
      </c>
      <c r="K21" s="15"/>
      <c r="L21" s="17"/>
    </row>
    <row r="22" spans="1:24">
      <c r="A22" s="152"/>
      <c r="B22" s="15" t="str">
        <v>Analist S1</v>
      </c>
      <c r="C22" s="17" t="str">
        <v>Joris van den Neucker</v>
      </c>
      <c r="E22" s="15"/>
      <c r="F22" s="17"/>
      <c r="H22" s="15"/>
      <c r="I22" s="17"/>
      <c r="K22" s="15"/>
      <c r="L22" s="17"/>
    </row>
    <row r="23" spans="1:24" ht="15.75" thickBot="1">
      <c r="A23" s="152"/>
      <c r="B23" s="18"/>
      <c r="C23" s="20"/>
      <c r="E23" s="18"/>
      <c r="F23" s="20"/>
      <c r="H23" s="18"/>
      <c r="I23" s="20"/>
      <c r="K23" s="18"/>
      <c r="L23" s="20"/>
    </row>
    <row r="24" spans="1:24" ht="15.75" thickBot="1"/>
    <row r="25" spans="1:24" ht="15.75" thickBot="1">
      <c r="A25" s="152" t="s">
        <v>5</v>
      </c>
      <c r="B25" s="21" t="s">
        <v>6</v>
      </c>
      <c r="C25" s="21"/>
      <c r="E25" s="21" t="s">
        <v>7</v>
      </c>
      <c r="F25" s="21"/>
      <c r="H25" s="59" t="s">
        <v>8</v>
      </c>
      <c r="I25" s="63"/>
      <c r="K25" s="59" t="s">
        <v>9</v>
      </c>
      <c r="L25" s="63"/>
      <c r="N25" s="59" t="s">
        <v>10</v>
      </c>
      <c r="O25" s="63"/>
      <c r="Q25" s="59" t="s">
        <v>11</v>
      </c>
      <c r="R25" s="63"/>
      <c r="T25" s="59" t="s">
        <v>12</v>
      </c>
      <c r="U25" s="63"/>
      <c r="W25" s="59" t="s">
        <v>13</v>
      </c>
      <c r="X25" s="63"/>
    </row>
    <row r="26" spans="1:24" ht="15.75" thickBot="1">
      <c r="A26" s="152"/>
      <c r="B26" s="8" t="s">
        <v>1074</v>
      </c>
      <c r="C26" s="64" t="s">
        <v>1075</v>
      </c>
      <c r="E26" s="8" t="s">
        <v>1074</v>
      </c>
      <c r="F26" s="64" t="s">
        <v>1075</v>
      </c>
      <c r="H26" s="8" t="s">
        <v>1074</v>
      </c>
      <c r="I26" s="64" t="s">
        <v>1075</v>
      </c>
      <c r="K26" s="8" t="s">
        <v>1074</v>
      </c>
      <c r="L26" s="64" t="s">
        <v>1075</v>
      </c>
      <c r="N26" s="8" t="s">
        <v>1074</v>
      </c>
      <c r="O26" s="64" t="s">
        <v>1075</v>
      </c>
      <c r="Q26" s="8" t="s">
        <v>1074</v>
      </c>
      <c r="R26" s="64" t="s">
        <v>1075</v>
      </c>
      <c r="T26" s="8" t="s">
        <v>1074</v>
      </c>
      <c r="U26" s="64" t="s">
        <v>1075</v>
      </c>
      <c r="W26" s="8" t="s">
        <v>1074</v>
      </c>
      <c r="X26" s="64" t="s">
        <v>1075</v>
      </c>
    </row>
    <row r="27" spans="1:24">
      <c r="A27" s="152"/>
      <c r="B27" s="3" t="str" cm="1">
        <f t="array" ref="B27">_xlfn._xlws.FILTER(Spelerslijst!$B:$B,Spelerslijst!$F:$F=B$25,"")</f>
        <v/>
      </c>
      <c r="C27" s="3" t="str" cm="1">
        <f t="array" ref="C27">_xlfn._xlws.FILTER(Spelerslijst!$M:$M,Spelerslijst!$Q:$Q=B$25,"")</f>
        <v/>
      </c>
      <c r="E27" s="3" t="str" cm="1">
        <f t="array" ref="E27">_xlfn._xlws.FILTER(Spelerslijst!$B:$B,Spelerslijst!$F:$F=E$25,"")</f>
        <v/>
      </c>
      <c r="F27" s="3" t="str" cm="1">
        <f t="array" ref="F27">_xlfn._xlws.FILTER(Spelerslijst!$M:$M,Spelerslijst!$Q:$Q=E$25,"")</f>
        <v/>
      </c>
      <c r="H27" s="3" t="str" cm="1">
        <f t="array" ref="H27:H33">_xlfn._xlws.FILTER(Spelerslijst!$B:$B,Spelerslijst!$F:$F=H$25,"")</f>
        <v xml:space="preserve">Visser, R. (Renske) </v>
      </c>
      <c r="I27" s="65" t="str" cm="1">
        <f t="array" ref="I27:I32">_xlfn._xlws.FILTER(Spelerslijst!$M:$M,Spelerslijst!$Q:$Q=H$25,"")</f>
        <v>Vlaming, R. (Roy) de</v>
      </c>
      <c r="K27" s="3" t="str" cm="1">
        <f t="array" ref="K27:K35">_xlfn._xlws.FILTER(Spelerslijst!$B:$B,Spelerslijst!$F:$F=K$25,"")</f>
        <v>Jongh, A. (Anouk) de</v>
      </c>
      <c r="L27" s="65" t="str" cm="1">
        <f t="array" ref="L27:L31">_xlfn._xlws.FILTER(Spelerslijst!$M:$M,Spelerslijst!$Q:$Q=K$25,"")</f>
        <v>Baars, L.A. (Luuk)</v>
      </c>
      <c r="N27" s="3" t="str" cm="1">
        <f t="array" ref="N27:N32">_xlfn._xlws.FILTER(Spelerslijst!$B:$B,Spelerslijst!$F:$F=N$25,"")</f>
        <v>Valk, M.E. (Marlies)</v>
      </c>
      <c r="O27" s="65" t="str" cm="1">
        <f t="array" ref="O27:O30">_xlfn._xlws.FILTER(Spelerslijst!$M:$M,Spelerslijst!$Q:$Q=N$25,"")</f>
        <v>Schindler, M. (Mark)</v>
      </c>
      <c r="Q27" s="3" t="str" cm="1">
        <f t="array" ref="Q27:Q33">_xlfn._xlws.FILTER(Spelerslijst!$B:$B,Spelerslijst!$F:$F=Q$25,"")</f>
        <v>Bozuwa, J. (Julia)</v>
      </c>
      <c r="R27" s="65" t="str" cm="1">
        <f t="array" ref="R27:R34">_xlfn._xlws.FILTER(Spelerslijst!$M:$M,Spelerslijst!$Q:$Q=Q$25,"")</f>
        <v>Dubbeld, R. (Ruben)</v>
      </c>
      <c r="T27" s="3" t="str" cm="1">
        <f t="array" ref="T27">_xlfn._xlws.FILTER(Spelerslijst!$B:$B,Spelerslijst!$F:$F=T$25,"")</f>
        <v/>
      </c>
      <c r="U27" s="65" t="str" cm="1">
        <f t="array" ref="U27">_xlfn._xlws.FILTER(Spelerslijst!$M:$M,Spelerslijst!$Q:$Q=T$25,"")</f>
        <v/>
      </c>
      <c r="W27" s="3" t="str" cm="1">
        <f t="array" ref="W27:W31">_xlfn._xlws.FILTER(Spelerslijst!$B:$B,Spelerslijst!$F:$F=W$25,"")</f>
        <v>Brand, L (Liesbeth)</v>
      </c>
      <c r="X27" s="65" t="str" cm="1">
        <f t="array" ref="X27:X29">_xlfn._xlws.FILTER(Spelerslijst!$M:$M,Spelerslijst!$Q:$Q=W$25,"")</f>
        <v>Kooij, C.W. (Wilco)</v>
      </c>
    </row>
    <row r="28" spans="1:24">
      <c r="A28" s="152"/>
      <c r="B28" s="6"/>
      <c r="C28" s="6"/>
      <c r="E28" s="6"/>
      <c r="F28" s="6"/>
      <c r="H28" s="6" t="str">
        <v>Leijdsman, R. (Robin)</v>
      </c>
      <c r="I28" s="66" t="str">
        <v>Isarin, T P (Thomas)</v>
      </c>
      <c r="K28" s="6" t="str">
        <v>Quarré, E.A. (Elena)</v>
      </c>
      <c r="L28" s="66" t="str">
        <v>Fasbender, T. (Tijmen)</v>
      </c>
      <c r="N28" s="6" t="str">
        <v>Pierse, A.W. (Anniek)</v>
      </c>
      <c r="O28" s="66" t="str">
        <v>Flach, J.H. (Joram)</v>
      </c>
      <c r="Q28" s="6" t="str">
        <v>Versnel, V. (Vivienne)</v>
      </c>
      <c r="R28" s="66" t="str">
        <v>Kooper, C. (Ché)</v>
      </c>
      <c r="T28" s="6"/>
      <c r="U28" s="66"/>
      <c r="W28" s="6" t="str">
        <v>Starre-Scheurwater, K. (Kim) van der</v>
      </c>
      <c r="X28" s="66" t="str">
        <v>Jong, M. (Michiel) 't</v>
      </c>
    </row>
    <row r="29" spans="1:24">
      <c r="A29" s="152"/>
      <c r="B29" s="6"/>
      <c r="C29" s="6"/>
      <c r="E29" s="6"/>
      <c r="F29" s="6"/>
      <c r="H29" s="6" t="str">
        <v>Kalkeren-Verweij, M. (Mirthe) van</v>
      </c>
      <c r="I29" s="66" t="str">
        <v>Houwerzijl, E. (Emiel)</v>
      </c>
      <c r="K29" s="6" t="str">
        <v>Wensen, M. (Maud)</v>
      </c>
      <c r="L29" s="66" t="str">
        <v>Wietses, J. (Joël)</v>
      </c>
      <c r="N29" s="6" t="str">
        <v>Koote, L.D. (Laura)</v>
      </c>
      <c r="O29" s="66" t="str">
        <v>Driel, Q. (Quinten) van</v>
      </c>
      <c r="Q29" s="6" t="str">
        <v>Witman, K. (Kimberley)</v>
      </c>
      <c r="R29" s="66" t="str">
        <v>Boon, T. (Thijs)</v>
      </c>
      <c r="T29" s="6"/>
      <c r="U29" s="66"/>
      <c r="W29" s="6" t="str">
        <v>Opstal-Haksteen, T.K. (Tamara) van</v>
      </c>
      <c r="X29" s="66" t="str">
        <v>Ploeg, H (Hans)</v>
      </c>
    </row>
    <row r="30" spans="1:24">
      <c r="A30" s="152"/>
      <c r="B30" s="6"/>
      <c r="C30" s="6"/>
      <c r="E30" s="6"/>
      <c r="F30" s="6"/>
      <c r="H30" s="6" t="str">
        <v>Gurp, M (Merel) van</v>
      </c>
      <c r="I30" s="66" t="str">
        <v>Gent, L (Lex) van</v>
      </c>
      <c r="K30" s="6" t="str">
        <v>Lievaart, C.A. (Carlijn)</v>
      </c>
      <c r="L30" s="66" t="str">
        <v>Lohuis, J.A. (Jens)</v>
      </c>
      <c r="N30" s="6" t="str">
        <v>Wit, N.M.T. (Nadia) de</v>
      </c>
      <c r="O30" s="66" t="str">
        <v>Wijgaart, R.L.H. (Rick) van de</v>
      </c>
      <c r="Q30" s="6" t="str">
        <v>Friebel, A. (Angela)</v>
      </c>
      <c r="R30" s="66" t="str">
        <v>Kuijper, D.V. (David)</v>
      </c>
      <c r="T30" s="6"/>
      <c r="U30" s="66"/>
      <c r="W30" s="6" t="str">
        <v>Heesterbeek, K. (Kim)</v>
      </c>
      <c r="X30" s="66"/>
    </row>
    <row r="31" spans="1:24">
      <c r="A31" s="152"/>
      <c r="B31" s="6"/>
      <c r="C31" s="6"/>
      <c r="E31" s="6"/>
      <c r="F31" s="6"/>
      <c r="H31" s="6" t="str">
        <v>Ardon, L (Linda)</v>
      </c>
      <c r="I31" s="66" t="str">
        <v>Brugge, B.R. (Bart) van der</v>
      </c>
      <c r="K31" s="6" t="str">
        <v>Mol, L.N.A. (Laura)</v>
      </c>
      <c r="L31" s="66" t="str">
        <v>- Heer S1/S2</v>
      </c>
      <c r="N31" s="6" t="str">
        <v>Wit, S.E.E. (Syrah) de</v>
      </c>
      <c r="O31" s="66"/>
      <c r="Q31" s="6" t="str">
        <v>Dubbeld, S. (Sanne)</v>
      </c>
      <c r="R31" s="66" t="str">
        <v>Vlaming, J.C. (Jens) de</v>
      </c>
      <c r="T31" s="6"/>
      <c r="U31" s="66"/>
      <c r="W31" s="6" t="str">
        <v>Veld, D. (Dorien) in 't</v>
      </c>
      <c r="X31" s="66"/>
    </row>
    <row r="32" spans="1:24">
      <c r="A32" s="152"/>
      <c r="B32" s="6"/>
      <c r="C32" s="6"/>
      <c r="E32" s="6"/>
      <c r="F32" s="6"/>
      <c r="H32" s="6" t="str">
        <v>Batenburg, H. (Hanneke)</v>
      </c>
      <c r="I32" s="66" t="str">
        <v>Peuter, F. (Freek)</v>
      </c>
      <c r="K32" s="6" t="str">
        <v>Dommisse, K. (Kim)</v>
      </c>
      <c r="L32" s="66"/>
      <c r="N32" s="6" t="str">
        <v>Schram, L.J. (Lara)</v>
      </c>
      <c r="O32" s="66"/>
      <c r="Q32" s="6" t="str">
        <v>Dubbeld, T. (Tessa)</v>
      </c>
      <c r="R32" s="66" t="str">
        <v>Koornneef, W.J. (Wouter)</v>
      </c>
      <c r="T32" s="6"/>
      <c r="U32" s="66"/>
      <c r="W32" s="6"/>
      <c r="X32" s="66"/>
    </row>
    <row r="33" spans="1:24">
      <c r="A33" s="152"/>
      <c r="B33" s="6"/>
      <c r="C33" s="6"/>
      <c r="E33" s="6"/>
      <c r="F33" s="6"/>
      <c r="H33" s="6" t="str">
        <v>Ploeg, L (Lieke)</v>
      </c>
      <c r="I33" s="66"/>
      <c r="K33" s="6" t="str">
        <v>- Dame S1/S2</v>
      </c>
      <c r="L33" s="66"/>
      <c r="N33" s="6"/>
      <c r="O33" s="66"/>
      <c r="Q33" s="6" t="str">
        <v>Hulsker, N.M. (Nina)</v>
      </c>
      <c r="R33" s="66" t="str">
        <v>Koornneef, T.J. (Tommie)</v>
      </c>
      <c r="T33" s="6"/>
      <c r="U33" s="66"/>
      <c r="W33" s="6"/>
      <c r="X33" s="66"/>
    </row>
    <row r="34" spans="1:24">
      <c r="A34" s="152"/>
      <c r="B34" s="6"/>
      <c r="C34" s="6"/>
      <c r="E34" s="6"/>
      <c r="F34" s="6"/>
      <c r="H34" s="6"/>
      <c r="I34" s="66"/>
      <c r="K34" s="6" t="str">
        <v>Knippenberg, R. (Rachel)</v>
      </c>
      <c r="L34" s="66"/>
      <c r="N34" s="6"/>
      <c r="O34" s="66"/>
      <c r="Q34" s="6"/>
      <c r="R34" s="66" t="str">
        <v>Pille, M.A. (Menno)</v>
      </c>
      <c r="T34" s="6"/>
      <c r="U34" s="66"/>
      <c r="W34" s="6"/>
      <c r="X34" s="66"/>
    </row>
    <row r="35" spans="1:24" ht="15.75" thickBot="1">
      <c r="A35" s="152"/>
      <c r="B35" s="6"/>
      <c r="C35" s="6"/>
      <c r="E35" s="6"/>
      <c r="F35" s="6"/>
      <c r="H35" s="6"/>
      <c r="I35" s="66"/>
      <c r="K35" s="6" t="str">
        <v>Hoffman, M. (Merel)</v>
      </c>
      <c r="L35" s="66"/>
      <c r="N35" s="6"/>
      <c r="O35" s="66"/>
      <c r="Q35" s="6"/>
      <c r="R35" s="66"/>
      <c r="T35" s="6"/>
      <c r="U35" s="66"/>
      <c r="W35" s="6"/>
      <c r="X35" s="66"/>
    </row>
    <row r="36" spans="1:24">
      <c r="A36" s="152"/>
      <c r="B36" s="12" t="str" cm="1">
        <f t="array" ref="B36">_xlfn._xlws.FILTER(Staf!$C:$C,Staf!$B:$B=Teamsamenstelling!B29,"")</f>
        <v/>
      </c>
      <c r="C36" s="13"/>
      <c r="E36" s="12" t="str" cm="1">
        <f t="array" ref="E36">_xlfn._xlws.FILTER(Staf!$C:$C,Staf!$B:$B=Teamsamenstelling!M29,"")</f>
        <v/>
      </c>
      <c r="F36" s="13"/>
      <c r="H36" s="12" t="str" cm="1">
        <f t="array" ref="H36">_xlfn._xlws.FILTER(Staf!$C:$C,Staf!$B:$B=Teamsamenstelling!X29,"")</f>
        <v>Begeleider</v>
      </c>
      <c r="I36" s="14" t="str" cm="1">
        <f t="array" ref="I36">_xlfn._xlws.FILTER(Staf!$A:$A,Staf!$B:$B=Teamsamenstelling!X29,"")</f>
        <v>Kim Ardon</v>
      </c>
      <c r="K36" s="12" t="str" cm="1">
        <f t="array" ref="K36">_xlfn._xlws.FILTER(Staf!$C:$C,Staf!$B:$B=Teamsamenstelling!AI29,"")</f>
        <v>Trainer/Coach</v>
      </c>
      <c r="L36" s="14" t="str" cm="1">
        <f t="array" ref="L36">_xlfn._xlws.FILTER(Staf!$A:$A,Staf!$B:$B=Teamsamenstelling!AI29,"")</f>
        <v>Dio Naaktgeboren</v>
      </c>
      <c r="N36" s="12" t="str" cm="1">
        <f t="array" ref="N36">_xlfn._xlws.FILTER(Staf!$C:$C,Staf!$B:$B=Teamsamenstelling!AT29,"")</f>
        <v/>
      </c>
      <c r="O36" s="14" t="str" cm="1">
        <f t="array" ref="O36">_xlfn._xlws.FILTER(Staf!$A:$A,Staf!$B:$B=Teamsamenstelling!AT29,"")</f>
        <v/>
      </c>
      <c r="Q36" s="12" t="str" cm="1">
        <f t="array" ref="Q36">_xlfn._xlws.FILTER(Staf!$C:$C,Staf!$B:$B=Teamsamenstelling!BE29,"")</f>
        <v/>
      </c>
      <c r="R36" s="14" t="str" cm="1">
        <f t="array" ref="R36">_xlfn._xlws.FILTER(Staf!$A:$A,Staf!$B:$B=Teamsamenstelling!BE29,"")</f>
        <v/>
      </c>
      <c r="T36" s="12" t="str" cm="1">
        <f t="array" ref="T36">_xlfn._xlws.FILTER(Staf!$C:$C,Staf!$B:$B=Teamsamenstelling!BP29,"")</f>
        <v/>
      </c>
      <c r="U36" s="14"/>
      <c r="W36" s="12" t="str" cm="1">
        <f t="array" ref="W36">_xlfn._xlws.FILTER(Staf!$C:$C,Staf!$B:$B=Teamsamenstelling!CA29,"")</f>
        <v/>
      </c>
      <c r="X36" s="14"/>
    </row>
    <row r="37" spans="1:24">
      <c r="A37" s="152"/>
      <c r="B37" s="15"/>
      <c r="C37" s="16"/>
      <c r="E37" s="15"/>
      <c r="F37" s="16"/>
      <c r="H37" s="15"/>
      <c r="I37" s="17"/>
      <c r="K37" s="15"/>
      <c r="L37" s="17"/>
      <c r="N37" s="15"/>
      <c r="O37" s="17"/>
      <c r="Q37" s="15"/>
      <c r="R37" s="17"/>
      <c r="T37" s="15"/>
      <c r="U37" s="17"/>
      <c r="W37" s="15"/>
      <c r="X37" s="17"/>
    </row>
    <row r="38" spans="1:24" ht="15.75" thickBot="1">
      <c r="A38" s="152"/>
      <c r="B38" s="18"/>
      <c r="C38" s="19"/>
      <c r="E38" s="18"/>
      <c r="F38" s="19"/>
      <c r="H38" s="18"/>
      <c r="I38" s="20"/>
      <c r="K38" s="18"/>
      <c r="L38" s="20"/>
      <c r="N38" s="18"/>
      <c r="O38" s="20"/>
      <c r="Q38" s="18"/>
      <c r="R38" s="20"/>
      <c r="T38" s="18"/>
      <c r="U38" s="20"/>
      <c r="W38" s="18"/>
      <c r="X38" s="20"/>
    </row>
    <row r="39" spans="1:24" ht="15.75" thickBot="1"/>
    <row r="40" spans="1:24" ht="15.75" thickBot="1">
      <c r="A40" s="152" t="s">
        <v>14</v>
      </c>
      <c r="B40" s="59" t="s">
        <v>15</v>
      </c>
      <c r="C40" s="63"/>
      <c r="E40" s="59" t="s">
        <v>16</v>
      </c>
      <c r="F40" s="63"/>
      <c r="H40" s="59" t="s">
        <v>920</v>
      </c>
      <c r="I40" s="63"/>
      <c r="K40" s="59" t="s">
        <v>922</v>
      </c>
      <c r="L40" s="63"/>
      <c r="N40" s="141" t="s">
        <v>19</v>
      </c>
      <c r="O40" s="63"/>
    </row>
    <row r="41" spans="1:24" ht="15.75" thickBot="1">
      <c r="A41" s="152"/>
      <c r="B41" s="8" t="s">
        <v>1074</v>
      </c>
      <c r="C41" s="64" t="s">
        <v>1075</v>
      </c>
      <c r="E41" s="8" t="s">
        <v>1074</v>
      </c>
      <c r="F41" s="64" t="s">
        <v>1075</v>
      </c>
      <c r="H41" s="8" t="s">
        <v>1074</v>
      </c>
      <c r="I41" s="64" t="s">
        <v>1075</v>
      </c>
      <c r="K41" s="8" t="s">
        <v>1074</v>
      </c>
      <c r="L41" s="64" t="s">
        <v>1075</v>
      </c>
      <c r="N41" s="8" t="s">
        <v>1074</v>
      </c>
      <c r="O41" s="64" t="s">
        <v>1075</v>
      </c>
    </row>
    <row r="42" spans="1:24">
      <c r="A42" s="152"/>
      <c r="B42" s="3" t="str" cm="1">
        <f t="array" ref="B42">_xlfn._xlws.FILTER(Spelerslijst!$B:$B,Spelerslijst!$F:$F=B$40,"")</f>
        <v/>
      </c>
      <c r="C42" s="65" t="str" cm="1">
        <f t="array" ref="C42">_xlfn._xlws.FILTER(Spelerslijst!$M:$M,Spelerslijst!$Q:$Q=B$40,"")</f>
        <v/>
      </c>
      <c r="E42" s="3" t="str" cm="1">
        <f t="array" ref="E42">_xlfn._xlws.FILTER(Spelerslijst!$B:$B,Spelerslijst!$F:$F=E$40,"")</f>
        <v/>
      </c>
      <c r="F42" s="65" t="str" cm="1">
        <f t="array" ref="F42">_xlfn._xlws.FILTER(Spelerslijst!$M:$M,Spelerslijst!$Q:$Q=E$40,"")</f>
        <v/>
      </c>
      <c r="H42" s="3" t="str" cm="1">
        <f t="array" ref="H42">_xlfn._xlws.FILTER(Spelerslijst!$B:$B,Spelerslijst!$F:$F=H$40,"")</f>
        <v/>
      </c>
      <c r="I42" s="65" t="str" cm="1">
        <f t="array" ref="I42">_xlfn._xlws.FILTER(Spelerslijst!$M:$M,Spelerslijst!$Q:$Q=H$40,"")</f>
        <v/>
      </c>
      <c r="K42" s="3" t="str" cm="1">
        <f t="array" ref="K42">_xlfn._xlws.FILTER(Spelerslijst!$B:$B,Spelerslijst!$F:$F=K$40,"")</f>
        <v/>
      </c>
      <c r="L42" s="65" t="str" cm="1">
        <f t="array" ref="L42">_xlfn._xlws.FILTER(Spelerslijst!$M:$M,Spelerslijst!$Q:$Q=K$40,"")</f>
        <v/>
      </c>
      <c r="N42" s="3" t="str" cm="1">
        <f t="array" ref="N42">_xlfn._xlws.FILTER(Spelerslijst!$B:$B,Spelerslijst!$F:$F=N40,"")</f>
        <v/>
      </c>
      <c r="O42" s="65" t="str" cm="1">
        <f t="array" ref="O42">_xlfn._xlws.FILTER(Spelerslijst!$M:$M,Spelerslijst!$Q:$Q=N40,"")</f>
        <v/>
      </c>
    </row>
    <row r="43" spans="1:24">
      <c r="A43" s="152"/>
      <c r="B43" s="6"/>
      <c r="C43" s="66"/>
      <c r="E43" s="6"/>
      <c r="F43" s="66"/>
      <c r="H43" s="6"/>
      <c r="I43" s="66"/>
      <c r="K43" s="6"/>
      <c r="L43" s="66"/>
      <c r="N43" s="6"/>
      <c r="O43" s="66"/>
    </row>
    <row r="44" spans="1:24">
      <c r="A44" s="152"/>
      <c r="B44" s="6"/>
      <c r="C44" s="66"/>
      <c r="E44" s="6"/>
      <c r="F44" s="66"/>
      <c r="H44" s="6"/>
      <c r="I44" s="66"/>
      <c r="K44" s="6"/>
      <c r="L44" s="66"/>
      <c r="N44" s="6"/>
      <c r="O44" s="66"/>
    </row>
    <row r="45" spans="1:24">
      <c r="A45" s="152"/>
      <c r="B45" s="6"/>
      <c r="C45" s="66"/>
      <c r="E45" s="6"/>
      <c r="F45" s="66"/>
      <c r="H45" s="6"/>
      <c r="I45" s="66"/>
      <c r="K45" s="6"/>
      <c r="L45" s="66"/>
      <c r="N45" s="6"/>
      <c r="O45" s="66"/>
    </row>
    <row r="46" spans="1:24">
      <c r="A46" s="152"/>
      <c r="B46" s="6"/>
      <c r="C46" s="66"/>
      <c r="E46" s="6"/>
      <c r="F46" s="66"/>
      <c r="H46" s="6"/>
      <c r="I46" s="66"/>
      <c r="K46" s="6"/>
      <c r="L46" s="66"/>
      <c r="N46" s="6"/>
      <c r="O46" s="66"/>
    </row>
    <row r="47" spans="1:24">
      <c r="A47" s="152"/>
      <c r="B47" s="6"/>
      <c r="C47" s="66"/>
      <c r="E47" s="6"/>
      <c r="F47" s="66"/>
      <c r="H47" s="6"/>
      <c r="I47" s="66"/>
      <c r="K47" s="6"/>
      <c r="L47" s="66"/>
      <c r="N47" s="6"/>
      <c r="O47" s="66"/>
    </row>
    <row r="48" spans="1:24">
      <c r="A48" s="152"/>
      <c r="B48" s="6"/>
      <c r="C48" s="66"/>
      <c r="E48" s="6"/>
      <c r="F48" s="66"/>
      <c r="H48" s="6"/>
      <c r="I48" s="66"/>
      <c r="K48" s="6"/>
      <c r="L48" s="66"/>
      <c r="N48" s="6"/>
      <c r="O48" s="66"/>
    </row>
    <row r="49" spans="1:15">
      <c r="A49" s="152"/>
      <c r="B49" s="6"/>
      <c r="C49" s="66"/>
      <c r="E49" s="6"/>
      <c r="F49" s="66"/>
      <c r="H49" s="6"/>
      <c r="I49" s="66"/>
      <c r="K49" s="6"/>
      <c r="L49" s="66"/>
      <c r="N49" s="6"/>
      <c r="O49" s="66"/>
    </row>
    <row r="50" spans="1:15" ht="15.75" thickBot="1">
      <c r="A50" s="152"/>
      <c r="B50" s="6"/>
      <c r="C50" s="66"/>
      <c r="E50" s="6"/>
      <c r="F50" s="66"/>
      <c r="H50" s="6"/>
      <c r="I50" s="66"/>
      <c r="K50" s="6"/>
      <c r="L50" s="66"/>
      <c r="N50" s="6"/>
      <c r="O50" s="66"/>
    </row>
    <row r="51" spans="1:15">
      <c r="A51" s="152"/>
      <c r="B51" s="12" t="str" cm="1">
        <f t="array" ref="B51">_xlfn._xlws.FILTER(Staf!$C:$C,Staf!$B:$B=Teamsamenstelling!B45,"")</f>
        <v/>
      </c>
      <c r="C51" s="14" t="str" cm="1">
        <f t="array" ref="C51">_xlfn._xlws.FILTER(Staf!$A:$A,Staf!$B:$B=Teamsamenstelling!B45,"")</f>
        <v/>
      </c>
      <c r="E51" s="12" t="str" cm="1">
        <f t="array" ref="E51">_xlfn._xlws.FILTER(Staf!$C:$C,Staf!$B:$B=Teamsamenstelling!M45,"")</f>
        <v/>
      </c>
      <c r="F51" s="14" t="str" cm="1">
        <f t="array" ref="F51">_xlfn._xlws.FILTER(Staf!$A:$A,Staf!$B:$B=Teamsamenstelling!M45,"")</f>
        <v/>
      </c>
      <c r="H51" s="12" t="str" cm="1">
        <f t="array" ref="H51:H52">_xlfn._xlws.FILTER(Staf!$C:$C,Staf!$B:$B=Teamsamenstelling!X45,"")</f>
        <v>Trainer/Coach</v>
      </c>
      <c r="I51" s="14" t="str" cm="1">
        <f t="array" ref="I51:I52">_xlfn._xlws.FILTER(Staf!$A:$A,Staf!$B:$B=Teamsamenstelling!X45,"")</f>
        <v>Luuk Baars</v>
      </c>
      <c r="K51" s="12" t="str" cm="1">
        <f t="array" ref="K51">_xlfn._xlws.FILTER(Staf!$C:$C,Staf!$B:$B=Teamsamenstelling!AI45,"")</f>
        <v>Trainer/Coach</v>
      </c>
      <c r="L51" s="14" t="str" cm="1">
        <f t="array" ref="L51">_xlfn._xlws.FILTER(Staf!$A:$A,Staf!$B:$B=Teamsamenstelling!AI45,"")</f>
        <v>Martijn van der Wiel</v>
      </c>
      <c r="N51" s="12" t="str" cm="1">
        <f t="array" ref="N51">_xlfn._xlws.FILTER(Staf!$C:$C,Staf!$B:$B=Teamsamenstelling!AT45,"")</f>
        <v/>
      </c>
      <c r="O51" s="14" t="str" cm="1">
        <f t="array" ref="O51">_xlfn._xlws.FILTER(Staf!$A:$A,Staf!$B:$B=Teamsamenstelling!AT45,"")</f>
        <v/>
      </c>
    </row>
    <row r="52" spans="1:15">
      <c r="A52" s="152"/>
      <c r="B52" s="15"/>
      <c r="C52" s="17"/>
      <c r="E52" s="15"/>
      <c r="F52" s="17"/>
      <c r="H52" s="15" t="str">
        <v>Trainer/Coach</v>
      </c>
      <c r="I52" s="17" t="str">
        <v>Maud van Wensen</v>
      </c>
      <c r="K52" s="15"/>
      <c r="L52" s="17"/>
      <c r="N52" s="15"/>
      <c r="O52" s="17"/>
    </row>
    <row r="53" spans="1:15" ht="15.75" thickBot="1">
      <c r="A53" s="152"/>
      <c r="B53" s="18"/>
      <c r="C53" s="20"/>
      <c r="E53" s="18"/>
      <c r="F53" s="20"/>
      <c r="H53" s="18"/>
      <c r="I53" s="20"/>
      <c r="K53" s="18"/>
      <c r="L53" s="20"/>
      <c r="N53" s="18"/>
      <c r="O53" s="20"/>
    </row>
    <row r="54" spans="1:15" ht="15.75" thickBot="1"/>
    <row r="55" spans="1:15" ht="15.75" thickBot="1">
      <c r="A55" s="152" t="s">
        <v>20</v>
      </c>
      <c r="B55" s="59" t="s">
        <v>21</v>
      </c>
      <c r="C55" s="63"/>
      <c r="E55" s="59" t="s">
        <v>924</v>
      </c>
      <c r="F55" s="63"/>
      <c r="H55" s="59" t="s">
        <v>926</v>
      </c>
      <c r="I55" s="63"/>
      <c r="K55" s="59" t="s">
        <v>928</v>
      </c>
      <c r="L55" s="63"/>
      <c r="N55" s="59" t="s">
        <v>930</v>
      </c>
      <c r="O55" s="63"/>
    </row>
    <row r="56" spans="1:15" ht="15.75" thickBot="1">
      <c r="A56" s="152"/>
      <c r="B56" s="8" t="s">
        <v>1074</v>
      </c>
      <c r="C56" s="64" t="s">
        <v>1075</v>
      </c>
      <c r="E56" s="8" t="s">
        <v>1074</v>
      </c>
      <c r="F56" s="64" t="s">
        <v>1075</v>
      </c>
      <c r="H56" s="8" t="s">
        <v>1074</v>
      </c>
      <c r="I56" s="64" t="s">
        <v>1075</v>
      </c>
      <c r="K56" s="8" t="s">
        <v>1074</v>
      </c>
      <c r="L56" s="64" t="s">
        <v>1075</v>
      </c>
      <c r="N56" s="8" t="s">
        <v>1074</v>
      </c>
      <c r="O56" s="64" t="s">
        <v>1075</v>
      </c>
    </row>
    <row r="57" spans="1:15">
      <c r="A57" s="152"/>
      <c r="B57" s="3" t="str" cm="1">
        <f t="array" ref="B57:B60">_xlfn._xlws.FILTER(Spelerslijst!$B:$B,Spelerslijst!$F:$F=B$55,"")</f>
        <v>Rooij, E.J. (Eva) van</v>
      </c>
      <c r="C57" s="65" t="str" cm="1">
        <f t="array" ref="C57:C61">_xlfn._xlws.FILTER(Spelerslijst!$M:$M,Spelerslijst!$Q:$Q=B$55,"")</f>
        <v>Belder, L. (Lenn)</v>
      </c>
      <c r="E57" s="3" t="str" cm="1">
        <f t="array" ref="E57">_xlfn._xlws.FILTER(Spelerslijst!$B:$B,Spelerslijst!$F:$F=E$55,"")</f>
        <v/>
      </c>
      <c r="F57" s="65" t="str" cm="1">
        <f t="array" ref="F57">_xlfn._xlws.FILTER(Spelerslijst!$M:$M,Spelerslijst!$Q:$Q=E$55,"")</f>
        <v/>
      </c>
      <c r="H57" s="3" t="str" cm="1">
        <f t="array" ref="H57">_xlfn._xlws.FILTER(Spelerslijst!$B:$B,Spelerslijst!$F:$F=H$55,"")</f>
        <v/>
      </c>
      <c r="I57" s="65" t="str" cm="1">
        <f t="array" ref="I57">_xlfn._xlws.FILTER(Spelerslijst!$M:$M,Spelerslijst!$Q:$Q=H$55,"")</f>
        <v/>
      </c>
      <c r="K57" s="3" t="str" cm="1">
        <f t="array" ref="K57">_xlfn._xlws.FILTER(Spelerslijst!$B:$B,Spelerslijst!$F:$F=K$55,"")</f>
        <v/>
      </c>
      <c r="L57" s="65" t="str" cm="1">
        <f t="array" ref="L57">_xlfn._xlws.FILTER(Spelerslijst!$M:$M,Spelerslijst!$Q:$Q=K$55,"")</f>
        <v/>
      </c>
      <c r="N57" s="3" t="str" cm="1">
        <f t="array" ref="N57">_xlfn._xlws.FILTER(Spelerslijst!$B:$B,Spelerslijst!$F:$F=N$55,"")</f>
        <v/>
      </c>
      <c r="O57" s="65" t="str" cm="1">
        <f t="array" ref="O57">_xlfn._xlws.FILTER(Spelerslijst!$M:$M,Spelerslijst!$Q:$Q=N$55,"")</f>
        <v/>
      </c>
    </row>
    <row r="58" spans="1:15">
      <c r="A58" s="152"/>
      <c r="B58" s="6" t="str">
        <v>Waard, O.J. (Olivia) de</v>
      </c>
      <c r="C58" s="66" t="str">
        <v>Dekker, T.J. (Tiemen) den</v>
      </c>
      <c r="E58" s="6"/>
      <c r="F58" s="66"/>
      <c r="H58" s="6"/>
      <c r="I58" s="66"/>
      <c r="K58" s="6"/>
      <c r="L58" s="66"/>
      <c r="N58" s="6"/>
      <c r="O58" s="66"/>
    </row>
    <row r="59" spans="1:15">
      <c r="A59" s="152"/>
      <c r="B59" s="6" t="str">
        <v>Camphens, S. (Saar)</v>
      </c>
      <c r="C59" s="66" t="str">
        <v>Heersping, S. (Sander)</v>
      </c>
      <c r="E59" s="6"/>
      <c r="F59" s="66"/>
      <c r="H59" s="6"/>
      <c r="I59" s="66"/>
      <c r="K59" s="6"/>
      <c r="L59" s="66"/>
      <c r="N59" s="6"/>
      <c r="O59" s="66"/>
    </row>
    <row r="60" spans="1:15">
      <c r="A60" s="152"/>
      <c r="B60" s="6" t="str">
        <v>Nijman, F.J.J. (Famke)</v>
      </c>
      <c r="C60" s="66" t="str">
        <v>Reus, M.F. (Matthijs) de</v>
      </c>
      <c r="E60" s="6"/>
      <c r="F60" s="66"/>
      <c r="H60" s="6"/>
      <c r="I60" s="142"/>
      <c r="K60" s="6"/>
      <c r="L60" s="66"/>
      <c r="N60" s="6"/>
      <c r="O60" s="66"/>
    </row>
    <row r="61" spans="1:15">
      <c r="A61" s="152"/>
      <c r="B61" s="6"/>
      <c r="C61" s="66" t="str">
        <v>Laban, F.C. (Freek)</v>
      </c>
      <c r="E61" s="6"/>
      <c r="F61" s="66"/>
      <c r="H61" s="6"/>
      <c r="I61" s="66"/>
      <c r="K61" s="60"/>
      <c r="L61" s="66"/>
      <c r="N61" s="6"/>
      <c r="O61" s="66"/>
    </row>
    <row r="62" spans="1:15">
      <c r="A62" s="152"/>
      <c r="B62" s="6"/>
      <c r="C62" s="66"/>
      <c r="E62" s="6"/>
      <c r="F62" s="66"/>
      <c r="H62" s="6"/>
      <c r="I62" s="66"/>
      <c r="K62" s="6"/>
      <c r="L62" s="66"/>
      <c r="N62" s="6"/>
      <c r="O62" s="66"/>
    </row>
    <row r="63" spans="1:15">
      <c r="A63" s="152"/>
      <c r="B63" s="6"/>
      <c r="C63" s="66"/>
      <c r="E63" s="6"/>
      <c r="F63" s="66"/>
      <c r="H63" s="6"/>
      <c r="I63" s="66"/>
      <c r="K63" s="6"/>
      <c r="L63" s="66"/>
      <c r="N63" s="6"/>
      <c r="O63" s="66"/>
    </row>
    <row r="64" spans="1:15">
      <c r="A64" s="152"/>
      <c r="B64" s="6"/>
      <c r="C64" s="66"/>
      <c r="E64" s="6"/>
      <c r="F64" s="66"/>
      <c r="H64" s="6"/>
      <c r="I64" s="66"/>
      <c r="K64" s="6"/>
      <c r="L64" s="66"/>
      <c r="N64" s="6"/>
      <c r="O64" s="66"/>
    </row>
    <row r="65" spans="1:15">
      <c r="A65" s="152"/>
      <c r="B65" s="6"/>
      <c r="C65" s="66"/>
      <c r="E65" s="6"/>
      <c r="F65" s="66"/>
      <c r="H65" s="6"/>
      <c r="I65" s="66"/>
      <c r="K65" s="6"/>
      <c r="L65" s="66"/>
      <c r="N65" s="6"/>
      <c r="O65" s="66"/>
    </row>
    <row r="66" spans="1:15" ht="15.75" thickBot="1">
      <c r="A66" s="152"/>
      <c r="B66" s="6"/>
      <c r="C66" s="66"/>
      <c r="E66" s="6"/>
      <c r="F66" s="66"/>
      <c r="H66" s="6"/>
      <c r="I66" s="66"/>
      <c r="K66" s="6"/>
      <c r="L66" s="66"/>
      <c r="N66" s="6"/>
      <c r="O66" s="66"/>
    </row>
    <row r="67" spans="1:15">
      <c r="A67" s="152"/>
      <c r="B67" s="12" t="str" cm="1">
        <f t="array" ref="B67:B68">_xlfn._xlws.FILTER(Staf!$C:$C,Staf!$B:$B=Teamsamenstelling!B60,"")</f>
        <v>Trainer/Coach</v>
      </c>
      <c r="C67" s="14" t="str" cm="1">
        <f t="array" ref="C67:C68">_xlfn._xlws.FILTER(Staf!$A:$A,Staf!$B:$B=Teamsamenstelling!B60,"")</f>
        <v>Milou Oppe</v>
      </c>
      <c r="E67" s="12" t="str" cm="1">
        <f t="array" ref="E67:E68">_xlfn._xlws.FILTER(Staf!$C:$C,Staf!$B:$B=Teamsamenstelling!M60,"")</f>
        <v>Trainer/Coach</v>
      </c>
      <c r="F67" s="14" t="str" cm="1">
        <f t="array" ref="F67:F68">_xlfn._xlws.FILTER(Staf!$A:$A,Staf!$B:$B=Teamsamenstelling!M60,"")</f>
        <v>Chris Gerritsen</v>
      </c>
      <c r="H67" s="12" t="str" cm="1">
        <f t="array" ref="H67:H69">_xlfn._xlws.FILTER(Staf!$C:$C,Staf!$B:$B=Teamsamenstelling!X60,"")</f>
        <v>Trainer/Coach</v>
      </c>
      <c r="I67" s="14" t="str" cm="1">
        <f t="array" ref="I67:I69">_xlfn._xlws.FILTER(Staf!$A:$A,Staf!$B:$B=Teamsamenstelling!X60,"")</f>
        <v>Niek Driesprong</v>
      </c>
      <c r="K67" s="12" t="str" cm="1">
        <f t="array" ref="K67:K68">_xlfn._xlws.FILTER(Staf!$C:$C,Staf!$B:$B=Teamsamenstelling!AI60,"")</f>
        <v>Trainer/Coach</v>
      </c>
      <c r="L67" s="14" t="str" cm="1">
        <f t="array" ref="L67:L68">_xlfn._xlws.FILTER(Staf!$A:$A,Staf!$B:$B=Teamsamenstelling!AI60,"")</f>
        <v>Justin Vos</v>
      </c>
      <c r="N67" s="12" t="str" cm="1">
        <f t="array" ref="N67:N69">_xlfn._xlws.FILTER(Staf!$C:$C,Staf!$B:$B=Teamsamenstelling!AT60,"")</f>
        <v>Trainer/Coach</v>
      </c>
      <c r="O67" s="14" t="str" cm="1">
        <f t="array" ref="O67:O69">_xlfn._xlws.FILTER(Staf!$A:$A,Staf!$B:$B=Teamsamenstelling!AT60,"")</f>
        <v>Kimberley Witman</v>
      </c>
    </row>
    <row r="68" spans="1:15">
      <c r="A68" s="152"/>
      <c r="B68" s="15" t="str">
        <v>Trainer/Coach</v>
      </c>
      <c r="C68" s="17" t="str">
        <v>Rob van Dongen</v>
      </c>
      <c r="E68" s="15" t="str">
        <v>Trainer/Coach</v>
      </c>
      <c r="F68" s="17" t="str">
        <v>Fieneke Lotgerink</v>
      </c>
      <c r="H68" s="15" t="str">
        <v>Trainer/Coach</v>
      </c>
      <c r="I68" s="17" t="str">
        <v>Seth vd Burgt</v>
      </c>
      <c r="K68" s="15" t="str">
        <v>Trainer/Coach</v>
      </c>
      <c r="L68" s="17" t="str">
        <v>Sara Boshoven</v>
      </c>
      <c r="N68" s="15" t="str">
        <v>Trainer/Coach</v>
      </c>
      <c r="O68" s="17" t="str">
        <v>Robert Koster</v>
      </c>
    </row>
    <row r="69" spans="1:15" ht="15.75" thickBot="1">
      <c r="A69" s="152"/>
      <c r="B69" s="18"/>
      <c r="C69" s="20"/>
      <c r="E69" s="18"/>
      <c r="F69" s="20"/>
      <c r="H69" s="18" t="str">
        <v>Trainer/Coach</v>
      </c>
      <c r="I69" s="20" t="str">
        <v>Sophie Kilsdonk</v>
      </c>
      <c r="K69" s="18"/>
      <c r="L69" s="20"/>
      <c r="N69" s="18" t="str">
        <v>Trainer/Coach</v>
      </c>
      <c r="O69" s="20" t="str">
        <v>Senne Koster</v>
      </c>
    </row>
    <row r="70" spans="1:15" ht="15.75" thickBot="1"/>
    <row r="71" spans="1:15" ht="15.75" thickBot="1">
      <c r="A71" s="152" t="s">
        <v>26</v>
      </c>
      <c r="B71" s="59" t="s">
        <v>932</v>
      </c>
      <c r="C71" s="63"/>
      <c r="E71" s="59" t="s">
        <v>934</v>
      </c>
      <c r="F71" s="63"/>
      <c r="H71" s="59" t="s">
        <v>936</v>
      </c>
      <c r="I71" s="63"/>
      <c r="K71" s="59" t="s">
        <v>30</v>
      </c>
      <c r="L71" s="63"/>
      <c r="N71" s="59" t="s">
        <v>31</v>
      </c>
      <c r="O71" s="63"/>
    </row>
    <row r="72" spans="1:15" ht="15.75" thickBot="1">
      <c r="A72" s="152"/>
      <c r="B72" s="8" t="s">
        <v>1074</v>
      </c>
      <c r="C72" s="64" t="s">
        <v>1075</v>
      </c>
      <c r="E72" s="8" t="s">
        <v>1074</v>
      </c>
      <c r="F72" s="64" t="s">
        <v>1075</v>
      </c>
      <c r="H72" s="8" t="s">
        <v>1074</v>
      </c>
      <c r="I72" s="64" t="s">
        <v>1075</v>
      </c>
      <c r="K72" s="8" t="s">
        <v>1074</v>
      </c>
      <c r="L72" s="64" t="s">
        <v>1075</v>
      </c>
      <c r="N72" s="8" t="s">
        <v>1074</v>
      </c>
      <c r="O72" s="64" t="s">
        <v>1075</v>
      </c>
    </row>
    <row r="73" spans="1:15">
      <c r="A73" s="152"/>
      <c r="B73" s="3" t="str" cm="1">
        <f t="array" ref="B73">_xlfn._xlws.FILTER(Spelerslijst!$B:$B,Spelerslijst!$F:$F=B$71,"")</f>
        <v/>
      </c>
      <c r="C73" s="65" t="str" cm="1">
        <f t="array" ref="C73">_xlfn._xlws.FILTER(Spelerslijst!$M:$M,Spelerslijst!$Q:$Q=B$71,"")</f>
        <v/>
      </c>
      <c r="E73" s="3" t="str" cm="1">
        <f t="array" ref="E73">_xlfn._xlws.FILTER(Spelerslijst!$B:$B,Spelerslijst!$F:$F=E$71,"")</f>
        <v/>
      </c>
      <c r="F73" s="65" t="str" cm="1">
        <f t="array" ref="F73">_xlfn._xlws.FILTER(Spelerslijst!$M:$M,Spelerslijst!$Q:$Q=E$71,"")</f>
        <v/>
      </c>
      <c r="H73" s="3" t="str" cm="1">
        <f t="array" ref="H73">_xlfn._xlws.FILTER(Spelerslijst!$B:$B,Spelerslijst!$F:$F=H$71,"")</f>
        <v/>
      </c>
      <c r="I73" s="65" t="str" cm="1">
        <f t="array" ref="I73">_xlfn._xlws.FILTER(Spelerslijst!$M:$M,Spelerslijst!$Q:$Q=H$71,"")</f>
        <v/>
      </c>
      <c r="K73" s="3" t="str" cm="1">
        <f t="array" ref="K73:K76">_xlfn._xlws.FILTER(Spelerslijst!$B:$B,Spelerslijst!$F:$F=K71,"")</f>
        <v>Bergh, A.J. (Aniek) van den</v>
      </c>
      <c r="L73" s="65" t="str" cm="1">
        <f t="array" ref="L73:L77">_xlfn._xlws.FILTER(Spelerslijst!$M:$M,Spelerslijst!$Q:$Q=K$71,"")</f>
        <v>Verberkt, G.J. (Gideon)</v>
      </c>
      <c r="N73" s="3" t="str" cm="1">
        <f t="array" ref="N73">_xlfn._xlws.FILTER(Spelerslijst!$B:$B,Spelerslijst!$F:$F=N$71,"")</f>
        <v/>
      </c>
      <c r="O73" s="65" t="str" cm="1">
        <f t="array" ref="O73">_xlfn._xlws.FILTER(Spelerslijst!$M:$M,Spelerslijst!$Q:$Q=N$71,"")</f>
        <v/>
      </c>
    </row>
    <row r="74" spans="1:15">
      <c r="A74" s="152"/>
      <c r="B74" s="6"/>
      <c r="C74" s="66"/>
      <c r="E74" s="6"/>
      <c r="F74" s="66"/>
      <c r="H74" s="6"/>
      <c r="I74" s="66"/>
      <c r="K74" s="6" t="str">
        <v>Torbali, N. (Nehir)</v>
      </c>
      <c r="L74" s="66" t="str">
        <v>Boekee, R.D. (Rens)</v>
      </c>
      <c r="N74" s="6"/>
      <c r="O74" s="66"/>
    </row>
    <row r="75" spans="1:15">
      <c r="A75" s="152"/>
      <c r="B75" s="6"/>
      <c r="C75" s="66"/>
      <c r="E75" s="6"/>
      <c r="F75" s="66"/>
      <c r="H75" s="6"/>
      <c r="I75" s="66"/>
      <c r="K75" s="6" t="str">
        <v>Twist, J.J. (Julia) van</v>
      </c>
      <c r="L75" s="66" t="str">
        <v>Weijde, J. (Jasper) van der</v>
      </c>
      <c r="N75" s="6"/>
      <c r="O75" s="66"/>
    </row>
    <row r="76" spans="1:15">
      <c r="A76" s="152"/>
      <c r="B76" s="6"/>
      <c r="C76" s="66"/>
      <c r="E76" s="6"/>
      <c r="F76" s="66"/>
      <c r="H76" s="6"/>
      <c r="I76" s="66"/>
      <c r="K76" s="6" t="str">
        <v>Kombe, S.N. (Nesrin)</v>
      </c>
      <c r="L76" s="66" t="str">
        <v>Stel, T. (Tom) van der</v>
      </c>
      <c r="N76" s="6"/>
      <c r="O76" s="66"/>
    </row>
    <row r="77" spans="1:15">
      <c r="A77" s="152"/>
      <c r="B77" s="60"/>
      <c r="C77" s="66"/>
      <c r="E77" s="6"/>
      <c r="F77" s="66"/>
      <c r="H77" s="6"/>
      <c r="I77" s="66"/>
      <c r="K77" s="6"/>
      <c r="L77" s="66" t="str">
        <v>Sijde, T. (Timo) van der</v>
      </c>
      <c r="N77" s="6"/>
      <c r="O77" s="66"/>
    </row>
    <row r="78" spans="1:15">
      <c r="A78" s="152"/>
      <c r="B78" s="6"/>
      <c r="C78" s="66"/>
      <c r="E78" s="6"/>
      <c r="F78" s="66"/>
      <c r="H78" s="6"/>
      <c r="I78" s="66"/>
      <c r="K78" s="6"/>
      <c r="L78" s="66"/>
      <c r="N78" s="6"/>
      <c r="O78" s="66"/>
    </row>
    <row r="79" spans="1:15">
      <c r="A79" s="152"/>
      <c r="B79" s="6"/>
      <c r="C79" s="66"/>
      <c r="E79" s="6"/>
      <c r="F79" s="66"/>
      <c r="H79" s="6"/>
      <c r="I79" s="66"/>
      <c r="K79" s="6"/>
      <c r="L79" s="66"/>
      <c r="N79" s="6"/>
      <c r="O79" s="66"/>
    </row>
    <row r="80" spans="1:15">
      <c r="A80" s="152"/>
      <c r="B80" s="6"/>
      <c r="C80" s="66"/>
      <c r="E80" s="6"/>
      <c r="F80" s="66"/>
      <c r="H80" s="6"/>
      <c r="I80" s="66"/>
      <c r="K80" s="6"/>
      <c r="L80" s="66"/>
      <c r="N80" s="6"/>
      <c r="O80" s="66"/>
    </row>
    <row r="81" spans="1:21" ht="15.75" thickBot="1">
      <c r="A81" s="152"/>
      <c r="B81" s="6"/>
      <c r="C81" s="66"/>
      <c r="E81" s="6"/>
      <c r="F81" s="66"/>
      <c r="H81" s="6"/>
      <c r="I81" s="66"/>
      <c r="K81" s="6"/>
      <c r="L81" s="66"/>
      <c r="N81" s="6"/>
      <c r="O81" s="66"/>
    </row>
    <row r="82" spans="1:21">
      <c r="A82" s="152"/>
      <c r="B82" s="12" t="str" cm="1">
        <f t="array" ref="B82:B83">_xlfn._xlws.FILTER(Staf!$C:$C,Staf!$B:$B=Teamsamenstelling!B76,"")</f>
        <v>Trainer/Coach</v>
      </c>
      <c r="C82" s="14" t="str" cm="1">
        <f t="array" ref="C82:C83">_xlfn._xlws.FILTER(Staf!$A:$A,Staf!$B:$B=Teamsamenstelling!B76,"")</f>
        <v>Nadia de Wit</v>
      </c>
      <c r="E82" s="12" t="str" cm="1">
        <f t="array" ref="E82:E83">_xlfn._xlws.FILTER(Staf!$C:$C,Staf!$B:$B=Teamsamenstelling!M76,"")</f>
        <v>Trainer/Coach</v>
      </c>
      <c r="F82" s="14" t="str" cm="1">
        <f t="array" ref="F82:F83">_xlfn._xlws.FILTER(Staf!$A:$A,Staf!$B:$B=Teamsamenstelling!M76,"")</f>
        <v>Marcel St. Nicolaas</v>
      </c>
      <c r="H82" s="12" t="str" cm="1">
        <f t="array" ref="H82:H84">_xlfn._xlws.FILTER(Staf!$C:$C,Staf!$B:$B=Teamsamenstelling!X76,"")</f>
        <v>Trainer/Coach</v>
      </c>
      <c r="I82" s="14" t="str" cm="1">
        <f t="array" ref="I82:I84">_xlfn._xlws.FILTER(Staf!$A:$A,Staf!$B:$B=Teamsamenstelling!X76,"")</f>
        <v>Liesbeth Wibbens</v>
      </c>
      <c r="K82" s="12" t="str" cm="1">
        <f t="array" ref="K82:K84">_xlfn._xlws.FILTER(Staf!$C:$C,Staf!$B:$B=Teamsamenstelling!AI76,"")</f>
        <v>Trainer/Coach</v>
      </c>
      <c r="L82" s="14" t="str" cm="1">
        <f t="array" ref="L82:L84">_xlfn._xlws.FILTER(Staf!$A:$A,Staf!$B:$B=Teamsamenstelling!AI76,"")</f>
        <v>Ilonka Bouwknegt</v>
      </c>
      <c r="N82" s="12" t="str" cm="1">
        <f t="array" ref="N82">_xlfn._xlws.FILTER(Staf!$C:$C,Staf!$B:$B=Teamsamenstelling!AT76,"")</f>
        <v/>
      </c>
      <c r="O82" s="14"/>
    </row>
    <row r="83" spans="1:21">
      <c r="A83" s="152"/>
      <c r="B83" s="15" t="str">
        <v>Trainer/Coach</v>
      </c>
      <c r="C83" s="17" t="str">
        <v>Syrah de Wit</v>
      </c>
      <c r="E83" s="15" t="str">
        <v>Trainer/Coach</v>
      </c>
      <c r="F83" s="17" t="str">
        <v>Sjoerd van Ameijden</v>
      </c>
      <c r="H83" s="15" t="str">
        <v>Trainer/Coach</v>
      </c>
      <c r="I83" s="17" t="str">
        <v>Monique te Witt</v>
      </c>
      <c r="K83" s="15" t="str">
        <v>Trainer/Coach</v>
      </c>
      <c r="L83" s="17" t="str">
        <v>Joaz Post</v>
      </c>
      <c r="N83" s="15"/>
      <c r="O83" s="17"/>
    </row>
    <row r="84" spans="1:21" ht="15.75" thickBot="1">
      <c r="A84" s="152"/>
      <c r="B84" s="18"/>
      <c r="C84" s="20"/>
      <c r="E84" s="18"/>
      <c r="F84" s="20"/>
      <c r="H84" s="18" t="str">
        <v>Trainer</v>
      </c>
      <c r="I84" s="20" t="str">
        <v>Gertjan Ploeg</v>
      </c>
      <c r="K84" s="18" t="str">
        <v>Trainer/Coach</v>
      </c>
      <c r="L84" s="20" t="str">
        <v>Nikki Baas</v>
      </c>
      <c r="N84" s="18"/>
      <c r="O84" s="20"/>
    </row>
    <row r="85" spans="1:21" ht="15.75" thickBot="1"/>
    <row r="86" spans="1:21" ht="15.75" thickBot="1">
      <c r="A86" s="152" t="s">
        <v>32</v>
      </c>
      <c r="B86" s="59" t="s">
        <v>33</v>
      </c>
      <c r="C86" s="63"/>
      <c r="E86" s="59" t="s">
        <v>34</v>
      </c>
      <c r="F86" s="63"/>
      <c r="H86" s="59" t="s">
        <v>35</v>
      </c>
      <c r="I86" s="63"/>
      <c r="K86" s="59" t="s">
        <v>36</v>
      </c>
      <c r="L86" s="63"/>
      <c r="N86" s="59"/>
      <c r="O86" s="63"/>
      <c r="Q86" s="59" t="s">
        <v>31</v>
      </c>
      <c r="R86" s="63"/>
      <c r="T86" s="59" t="s">
        <v>31</v>
      </c>
      <c r="U86" s="63"/>
    </row>
    <row r="87" spans="1:21" ht="15.75" thickBot="1">
      <c r="A87" s="152"/>
      <c r="B87" s="8" t="s">
        <v>1074</v>
      </c>
      <c r="C87" s="64" t="s">
        <v>1075</v>
      </c>
      <c r="E87" s="8" t="s">
        <v>1074</v>
      </c>
      <c r="F87" s="64" t="s">
        <v>1075</v>
      </c>
      <c r="H87" s="8" t="s">
        <v>1074</v>
      </c>
      <c r="I87" s="64" t="s">
        <v>1075</v>
      </c>
      <c r="K87" s="8" t="s">
        <v>1074</v>
      </c>
      <c r="L87" s="64" t="s">
        <v>1075</v>
      </c>
      <c r="N87" s="8" t="s">
        <v>1074</v>
      </c>
      <c r="O87" s="64" t="s">
        <v>1075</v>
      </c>
      <c r="Q87" s="8" t="s">
        <v>1074</v>
      </c>
      <c r="R87" s="64" t="s">
        <v>1075</v>
      </c>
      <c r="T87" s="8" t="s">
        <v>1074</v>
      </c>
      <c r="U87" s="64" t="s">
        <v>1075</v>
      </c>
    </row>
    <row r="88" spans="1:21">
      <c r="A88" s="152"/>
      <c r="B88" s="3" t="str" cm="1">
        <f t="array" ref="B88:B93">_xlfn._xlws.FILTER(Spelerslijst!$B:$B,Spelerslijst!$F:$F=B$86,"")</f>
        <v>Gemert, F. (Fien) van</v>
      </c>
      <c r="C88" s="65" t="str" cm="1">
        <f t="array" ref="C88">_xlfn._xlws.FILTER(Spelerslijst!$M:$M,Spelerslijst!$Q:$Q=B$86,"")</f>
        <v/>
      </c>
      <c r="E88" s="58" t="str" cm="1">
        <f t="array" ref="E88:E91">_xlfn._xlws.FILTER(Spelerslijst!$B:$B,Spelerslijst!$F:$F=E$86,"")</f>
        <v>Jacobs, V. (Vive)</v>
      </c>
      <c r="F88" s="143" t="str" cm="1">
        <f t="array" ref="F88:F89">_xlfn._xlws.FILTER(Spelerslijst!$M:$M,Spelerslijst!$Q:$Q=E$86,"")</f>
        <v>Nawar, D (David)</v>
      </c>
      <c r="H88" s="3" t="str" cm="1">
        <f t="array" ref="H88:H90">_xlfn._xlws.FILTER(Spelerslijst!$B:$B,Spelerslijst!$F:$F=H$86,"")</f>
        <v>Jong, L.T.M. (Louisa) de</v>
      </c>
      <c r="I88" s="65" t="str" cm="1">
        <f t="array" ref="I88:I89">_xlfn._xlws.FILTER(Spelerslijst!$M:$M,Spelerslijst!$Q:$Q=H$86,"")</f>
        <v>Ploeg, L. (Luuk)</v>
      </c>
      <c r="K88" s="3" t="str" cm="1">
        <f t="array" ref="K88:K90">_xlfn._xlws.FILTER(Spelerslijst!$B:$B,Spelerslijst!$F:$F=K$86,"")</f>
        <v>Mans, L. (Lara)</v>
      </c>
      <c r="L88" s="65" t="str" cm="1">
        <f t="array" ref="L88:L89">_xlfn._xlws.FILTER(Spelerslijst!$M:$M,Spelerslijst!$Q:$Q=K$86,"")</f>
        <v>Burgh, J.A. (James) van der</v>
      </c>
      <c r="N88" s="3" t="e" cm="1" vm="1">
        <f t="array" aca="1" ref="N88" ca="1">_xlfn._xlws.FILTER(Spelerslijst!$B:$B,Spelerslijst!$F:$F=N$86,"")</f>
        <v>#VALUE!</v>
      </c>
      <c r="O88" s="65" t="e" cm="1" vm="2">
        <f t="array" aca="1" ref="O88" ca="1">_xlfn._xlws.FILTER(Spelerslijst!$M:$M,Spelerslijst!$Q:$Q=N$86,"")</f>
        <v>#VALUE!</v>
      </c>
      <c r="Q88" s="3" t="str" cm="1">
        <f t="array" ref="Q88">_xlfn._xlws.FILTER(Spelerslijst!$B:$B,Spelerslijst!$F:$F=Q$86,"")</f>
        <v/>
      </c>
      <c r="R88" s="65" t="str" cm="1">
        <f t="array" ref="R88">_xlfn._xlws.FILTER(Spelerslijst!$M:$M,Spelerslijst!$Q:$Q=Q$86,"")</f>
        <v/>
      </c>
      <c r="T88" s="3" t="str" cm="1">
        <f t="array" ref="T88">_xlfn._xlws.FILTER(Spelerslijst!$B:$B,Spelerslijst!$F:$F=T$86,"")</f>
        <v/>
      </c>
      <c r="U88" s="65" t="str" cm="1">
        <f t="array" ref="U88">_xlfn._xlws.FILTER(Spelerslijst!$M:$M,Spelerslijst!$Q:$Q=T$86,"")</f>
        <v/>
      </c>
    </row>
    <row r="89" spans="1:21">
      <c r="A89" s="152"/>
      <c r="B89" s="6" t="str">
        <v>Bakker, K. (Karlijn)</v>
      </c>
      <c r="C89" s="66"/>
      <c r="E89" s="6" t="str">
        <v>Berg, W. (Wies) van den</v>
      </c>
      <c r="F89" s="66" t="str">
        <v>Mol, L.A. (Lucien)</v>
      </c>
      <c r="H89" s="6" t="str">
        <v>Lange, S. (Sanna) de</v>
      </c>
      <c r="I89" s="66" t="str">
        <v>Jong, S. (Sepp) de</v>
      </c>
      <c r="K89" s="6" t="str">
        <v>Burgt, L. (Livia) van de</v>
      </c>
      <c r="L89" s="66" t="str">
        <v>Alberts, A. (Amos)</v>
      </c>
      <c r="N89" s="6"/>
      <c r="O89" s="66"/>
      <c r="Q89" s="6"/>
      <c r="R89" s="66"/>
      <c r="T89" s="6"/>
      <c r="U89" s="66"/>
    </row>
    <row r="90" spans="1:21">
      <c r="A90" s="152"/>
      <c r="B90" s="6" t="str">
        <v>Bouman, I. (Imme)</v>
      </c>
      <c r="C90" s="66"/>
      <c r="E90" s="6" t="str">
        <v>Gerritsen, J. (Jaylinn)</v>
      </c>
      <c r="F90" s="66"/>
      <c r="H90" s="6" t="str">
        <v>Rombouts, T. (Tess)</v>
      </c>
      <c r="I90" s="66"/>
      <c r="K90" s="6" t="str">
        <v>Stomp, A. (Alisa)</v>
      </c>
      <c r="L90" s="66"/>
      <c r="N90" s="6"/>
      <c r="O90" s="66"/>
      <c r="Q90" s="6"/>
      <c r="R90" s="66"/>
      <c r="T90" s="6"/>
      <c r="U90" s="66"/>
    </row>
    <row r="91" spans="1:21">
      <c r="A91" s="152"/>
      <c r="B91" s="6" t="str">
        <v>Boog, S.L. (Suze)</v>
      </c>
      <c r="C91" s="66"/>
      <c r="E91" s="6" t="str">
        <v>Haseth, L. (Lieve) de</v>
      </c>
      <c r="F91" s="66"/>
      <c r="H91" s="6"/>
      <c r="I91" s="66"/>
      <c r="K91" s="6"/>
      <c r="L91" s="66"/>
      <c r="N91" s="6"/>
      <c r="O91" s="66"/>
      <c r="Q91" s="6"/>
      <c r="R91" s="66"/>
      <c r="T91" s="6"/>
      <c r="U91" s="66"/>
    </row>
    <row r="92" spans="1:21">
      <c r="A92" s="152"/>
      <c r="B92" s="6" t="str">
        <v>Kampman, J. (Jalou)</v>
      </c>
      <c r="C92" s="66"/>
      <c r="E92" s="6"/>
      <c r="F92" s="66"/>
      <c r="H92" s="6"/>
      <c r="I92" s="66"/>
      <c r="K92" s="6"/>
      <c r="L92" s="66"/>
      <c r="N92" s="6"/>
      <c r="O92" s="66"/>
      <c r="Q92" s="6"/>
      <c r="R92" s="66"/>
      <c r="T92" s="6"/>
      <c r="U92" s="66"/>
    </row>
    <row r="93" spans="1:21" ht="15.75" thickBot="1">
      <c r="A93" s="152"/>
      <c r="B93" s="6" t="str">
        <v>Naeije, E.A. (Eloise)</v>
      </c>
      <c r="C93" s="66"/>
      <c r="E93" s="6"/>
      <c r="F93" s="66"/>
      <c r="H93" s="6"/>
      <c r="I93" s="66"/>
      <c r="K93" s="6"/>
      <c r="L93" s="66"/>
      <c r="N93" s="6"/>
      <c r="O93" s="66"/>
      <c r="Q93" s="6"/>
      <c r="R93" s="66"/>
      <c r="T93" s="6"/>
      <c r="U93" s="66"/>
    </row>
    <row r="94" spans="1:21">
      <c r="A94" s="152"/>
      <c r="B94" s="12" t="str" cm="1">
        <f t="array" ref="B94:B95">_xlfn._xlws.FILTER(Staf!$C:$C,Staf!$B:$B=Teamsamenstelling!B91,"")</f>
        <v>Trainer/Coach</v>
      </c>
      <c r="C94" s="14" t="str" cm="1">
        <f t="array" ref="C94:C95">_xlfn._xlws.FILTER(Staf!$A:$A,Staf!$B:$B=Teamsamenstelling!B91,"")</f>
        <v>Lieke Bakker</v>
      </c>
      <c r="E94" s="12" t="str" cm="1">
        <f t="array" ref="E94:E96">_xlfn._xlws.FILTER(Staf!$C:$C,Staf!$B:$B=Teamsamenstelling!M91,"")</f>
        <v>Trainer/Coach</v>
      </c>
      <c r="F94" s="14" t="str" cm="1">
        <f t="array" ref="F94:F96">_xlfn._xlws.FILTER(Staf!$A:$A,Staf!$B:$B=Teamsamenstelling!M91,"")</f>
        <v>Jet van Trooijen</v>
      </c>
      <c r="H94" s="12" t="str" cm="1">
        <f t="array" ref="H94:H95">_xlfn._xlws.FILTER(Staf!$C:$C,Staf!$B:$B=Teamsamenstelling!X91,"")</f>
        <v>Trainer/Coach</v>
      </c>
      <c r="I94" s="14" t="str" cm="1">
        <f t="array" ref="I94:I95">_xlfn._xlws.FILTER(Staf!$A:$A,Staf!$B:$B=Teamsamenstelling!X91,"")</f>
        <v>Celia de Lange</v>
      </c>
      <c r="K94" s="12" t="str" cm="1">
        <f t="array" ref="K94:K95">_xlfn._xlws.FILTER(Staf!$C:$C,Staf!$B:$B=Teamsamenstelling!AI91,"")</f>
        <v>Trainer/coach</v>
      </c>
      <c r="L94" s="14" t="str" cm="1">
        <f t="array" ref="L94:L95">_xlfn._xlws.FILTER(Staf!$A:$A,Staf!$B:$B=Teamsamenstelling!AI91,"")</f>
        <v>Lianne Stomp - vd Burgt</v>
      </c>
      <c r="N94" s="12" t="str" cm="1">
        <f t="array" ref="N94">_xlfn._xlws.FILTER(Staf!$C:$C,Staf!$B:$B=Teamsamenstelling!AT91,"")</f>
        <v/>
      </c>
      <c r="O94" s="14" t="str" cm="1">
        <f t="array" ref="O94">_xlfn._xlws.FILTER(Staf!$A:$A,Staf!$B:$B=Teamsamenstelling!AT91,"")</f>
        <v/>
      </c>
      <c r="Q94" s="12" t="str" cm="1">
        <f t="array" ref="Q94">_xlfn._xlws.FILTER(Staf!$C:$C,Staf!$B:$B=Teamsamenstelling!BE91,"")</f>
        <v/>
      </c>
      <c r="R94" s="14"/>
      <c r="T94" s="12" t="str" cm="1">
        <f t="array" ref="T94">_xlfn._xlws.FILTER(Staf!$C:$C,Staf!$B:$B=Teamsamenstelling!BP91,"")</f>
        <v/>
      </c>
      <c r="U94" s="14"/>
    </row>
    <row r="95" spans="1:21">
      <c r="A95" s="152"/>
      <c r="B95" s="15" t="str">
        <v>Trainer/Coach</v>
      </c>
      <c r="C95" s="17" t="str">
        <v>Matthijs de Jongh</v>
      </c>
      <c r="E95" s="15" t="str">
        <v>Trainer/Coach</v>
      </c>
      <c r="F95" s="17" t="str">
        <v>Kimberly Jacobs</v>
      </c>
      <c r="H95" s="15" t="str">
        <v>Assistent-trainer</v>
      </c>
      <c r="I95" s="17" t="str">
        <v>Thijs Vos</v>
      </c>
      <c r="K95" s="15" t="str">
        <v>Assistent-trainer</v>
      </c>
      <c r="L95" s="17" t="str">
        <v>Thijs Vos</v>
      </c>
      <c r="N95" s="15"/>
      <c r="O95" s="17"/>
      <c r="Q95" s="15"/>
      <c r="R95" s="17"/>
      <c r="T95" s="15"/>
      <c r="U95" s="17"/>
    </row>
    <row r="96" spans="1:21" ht="15.75" thickBot="1">
      <c r="A96" s="152"/>
      <c r="B96" s="18"/>
      <c r="C96" s="20"/>
      <c r="E96" s="18" t="str">
        <v>Trainer/Coach</v>
      </c>
      <c r="F96" s="20" t="str">
        <v>Paula Malschaert</v>
      </c>
      <c r="H96" s="18"/>
      <c r="I96" s="20"/>
      <c r="K96" s="18"/>
      <c r="L96" s="20"/>
      <c r="N96" s="18"/>
      <c r="O96" s="20"/>
      <c r="Q96" s="18"/>
      <c r="R96" s="20"/>
      <c r="T96" s="18"/>
      <c r="U96" s="20"/>
    </row>
    <row r="97" spans="1:15" ht="15.75" thickBot="1"/>
    <row r="98" spans="1:15" ht="15.75" thickBot="1">
      <c r="A98" s="152" t="s">
        <v>37</v>
      </c>
      <c r="B98" s="59" t="s">
        <v>38</v>
      </c>
      <c r="C98" s="63"/>
      <c r="E98" s="59" t="s">
        <v>39</v>
      </c>
      <c r="F98" s="63"/>
      <c r="H98" s="59" t="s">
        <v>40</v>
      </c>
      <c r="I98" s="63"/>
      <c r="K98" s="59" t="s">
        <v>41</v>
      </c>
      <c r="L98" s="63"/>
      <c r="N98" s="59" t="s">
        <v>42</v>
      </c>
      <c r="O98" s="63"/>
    </row>
    <row r="99" spans="1:15" ht="15.75" thickBot="1">
      <c r="A99" s="152"/>
      <c r="B99" s="8" t="s">
        <v>1074</v>
      </c>
      <c r="C99" s="64" t="s">
        <v>1075</v>
      </c>
      <c r="E99" s="8" t="s">
        <v>1074</v>
      </c>
      <c r="F99" s="64" t="s">
        <v>1075</v>
      </c>
      <c r="H99" s="8" t="s">
        <v>1074</v>
      </c>
      <c r="I99" s="64" t="s">
        <v>1075</v>
      </c>
      <c r="K99" s="8" t="s">
        <v>1074</v>
      </c>
      <c r="L99" s="64" t="s">
        <v>1075</v>
      </c>
      <c r="N99" s="8" t="s">
        <v>1074</v>
      </c>
      <c r="O99" s="64" t="s">
        <v>1075</v>
      </c>
    </row>
    <row r="100" spans="1:15">
      <c r="A100" s="152"/>
      <c r="B100" s="3" t="str" cm="1">
        <f t="array" ref="B100:B102">_xlfn._xlws.FILTER(Spelerslijst!$B:$B,Spelerslijst!$F:$F=B$98,"")</f>
        <v>Schaardenburg, L. (Luna) van</v>
      </c>
      <c r="C100" s="65" t="str" cm="1">
        <f t="array" ref="C100:C102">_xlfn._xlws.FILTER(Spelerslijst!$M:$M,Spelerslijst!$Q:$Q=B$98,"")</f>
        <v>Wingerden, E.J. (Elroy) van</v>
      </c>
      <c r="E100" s="3" t="str" cm="1">
        <f t="array" ref="E100:E102">_xlfn._xlws.FILTER(Spelerslijst!$B:$B,Spelerslijst!$F:$F=E$98,"")</f>
        <v>Haren, C.M. (Cato) van</v>
      </c>
      <c r="F100" s="65" t="str" cm="1">
        <f t="array" ref="F100:F102">_xlfn._xlws.FILTER(Spelerslijst!$M:$M,Spelerslijst!$Q:$Q=E$98,"")</f>
        <v>Nekkers, Q. (Quinn)</v>
      </c>
      <c r="H100" s="3" t="str" cm="1">
        <f t="array" ref="H100:H102">_xlfn._xlws.FILTER(Spelerslijst!$B:$B,Spelerslijst!$F:$F=H$98,"")</f>
        <v>Merwe, F. (Floor) van de</v>
      </c>
      <c r="I100" s="65" t="str" cm="1">
        <f t="array" ref="I100:I102">_xlfn._xlws.FILTER(Spelerslijst!$M:$M,Spelerslijst!$Q:$Q=H$98,"")</f>
        <v>Houweling, J. (Jeftha)</v>
      </c>
      <c r="K100" s="3" t="str" cm="1">
        <f t="array" ref="K100">_xlfn._xlws.FILTER(Spelerslijst!$B:$B,Spelerslijst!$F:$F=K$98,"")</f>
        <v/>
      </c>
      <c r="L100" s="65" t="str" cm="1">
        <f t="array" ref="L100">_xlfn._xlws.FILTER(Spelerslijst!$M:$M,Spelerslijst!$Q:$Q=K$98,"")</f>
        <v/>
      </c>
      <c r="N100" s="3" t="str" cm="1">
        <f t="array" ref="N100">_xlfn._xlws.FILTER(Spelerslijst!$B:$B,Spelerslijst!$F:$F=N$98,"")</f>
        <v/>
      </c>
      <c r="O100" s="65" t="str" cm="1">
        <f t="array" ref="O100">_xlfn._xlws.FILTER(Spelerslijst!$M:$M,Spelerslijst!$Q:$Q=N$98,"")</f>
        <v/>
      </c>
    </row>
    <row r="101" spans="1:15">
      <c r="A101" s="152"/>
      <c r="B101" s="6" t="str">
        <v>Ariadne</v>
      </c>
      <c r="C101" s="66" t="str">
        <v>Koolstra, H. (Hidde)</v>
      </c>
      <c r="E101" s="6" t="str">
        <v>Struijk, F. (Fay)</v>
      </c>
      <c r="F101" s="66" t="str">
        <v>Roos, L. (Lucas)</v>
      </c>
      <c r="H101" s="6" t="str">
        <v>Burgt, L. (Leah) van de</v>
      </c>
      <c r="I101" s="66" t="str">
        <v>Groot, F. (Finn) de</v>
      </c>
      <c r="K101" s="6"/>
      <c r="L101" s="66"/>
      <c r="N101" s="6"/>
      <c r="O101" s="66"/>
    </row>
    <row r="102" spans="1:15">
      <c r="A102" s="152"/>
      <c r="B102" s="6" t="str">
        <v>Nawar, M. (Mayvin)</v>
      </c>
      <c r="C102" s="66" t="str">
        <v>Ploeg, F. (Finn)</v>
      </c>
      <c r="E102" s="6" t="str">
        <v>Nienes, N. (Nova) van</v>
      </c>
      <c r="F102" s="66" t="str">
        <v>Wingerden, B.R. (Branley) van</v>
      </c>
      <c r="H102" s="6" t="str">
        <v>Tol, K. (Karlijn) van</v>
      </c>
      <c r="I102" s="66" t="str">
        <v>Verberkt, R.J. (Ruben)</v>
      </c>
      <c r="K102" s="6"/>
      <c r="L102" s="66"/>
      <c r="N102" s="6"/>
      <c r="O102" s="66"/>
    </row>
    <row r="103" spans="1:15">
      <c r="A103" s="152"/>
      <c r="B103" s="6"/>
      <c r="C103" s="66"/>
      <c r="E103" s="6"/>
      <c r="F103" s="66"/>
      <c r="H103" s="6"/>
      <c r="I103" s="66"/>
      <c r="K103" s="6"/>
      <c r="L103" s="66"/>
      <c r="N103" s="6"/>
      <c r="O103" s="66"/>
    </row>
    <row r="104" spans="1:15">
      <c r="A104" s="152"/>
      <c r="B104" s="6"/>
      <c r="C104" s="66"/>
      <c r="E104" s="6"/>
      <c r="F104" s="66"/>
      <c r="H104" s="6"/>
      <c r="I104" s="66"/>
      <c r="K104" s="6"/>
      <c r="L104" s="66"/>
      <c r="N104" s="6"/>
      <c r="O104" s="66"/>
    </row>
    <row r="105" spans="1:15" ht="15.75" thickBot="1">
      <c r="A105" s="152"/>
      <c r="B105" s="6"/>
      <c r="C105" s="66"/>
      <c r="E105" s="6"/>
      <c r="F105" s="66"/>
      <c r="H105" s="6"/>
      <c r="I105" s="66"/>
      <c r="K105" s="6"/>
      <c r="L105" s="66"/>
      <c r="N105" s="6"/>
      <c r="O105" s="66"/>
    </row>
    <row r="106" spans="1:15">
      <c r="A106" s="152"/>
      <c r="B106" s="12" t="str" cm="1">
        <f t="array" ref="B106:B109">_xlfn._xlws.FILTER(Staf!$C:$C,Staf!$B:$B=Teamsamenstelling!B103,"")</f>
        <v>Coach</v>
      </c>
      <c r="C106" s="14" t="str" cm="1">
        <f t="array" ref="C106:C109">_xlfn._xlws.FILTER(Staf!$A:$A,Staf!$B:$B=Teamsamenstelling!B103,"")</f>
        <v>Henno Ploeg</v>
      </c>
      <c r="E106" s="12" t="str" cm="1">
        <f t="array" ref="E106:E108">_xlfn._xlws.FILTER(Staf!$C:$C,Staf!$B:$B=Teamsamenstelling!M103,"")</f>
        <v>Trainer/Coach</v>
      </c>
      <c r="F106" s="14" t="str" cm="1">
        <f t="array" ref="F106:F108">_xlfn._xlws.FILTER(Staf!$A:$A,Staf!$B:$B=Teamsamenstelling!M103,"")</f>
        <v>Danique van der Klooster</v>
      </c>
      <c r="H106" s="12" t="str" cm="1">
        <f t="array" ref="H106:H109">_xlfn._xlws.FILTER(Staf!$C:$C,Staf!$B:$B=Teamsamenstelling!X103,"")</f>
        <v>Trainer/Coach</v>
      </c>
      <c r="I106" s="14" t="str" cm="1">
        <f t="array" ref="I106:I109">_xlfn._xlws.FILTER(Staf!$A:$A,Staf!$B:$B=Teamsamenstelling!X103,"")</f>
        <v>Merle Nobel</v>
      </c>
      <c r="K106" s="12" t="str" cm="1">
        <f t="array" ref="K106">_xlfn._xlws.FILTER(Staf!$C:$C,Staf!$B:$B=Teamsamenstelling!AI103,"")</f>
        <v/>
      </c>
      <c r="L106" s="14" t="str" cm="1">
        <f t="array" ref="L106">_xlfn._xlws.FILTER(Staf!$A:$A,Staf!$B:$B=Teamsamenstelling!AI103,"")</f>
        <v/>
      </c>
      <c r="N106" s="12" t="str" cm="1">
        <f t="array" ref="N106">_xlfn._xlws.FILTER(Staf!$C:$C,Staf!$B:$B=Teamsamenstelling!AT103,"")</f>
        <v/>
      </c>
      <c r="O106" s="14"/>
    </row>
    <row r="107" spans="1:15">
      <c r="A107" s="152"/>
      <c r="B107" s="15" t="str">
        <v>Hoofdtrainer F</v>
      </c>
      <c r="C107" s="17" t="str">
        <v>Antjan Laban</v>
      </c>
      <c r="E107" s="15" t="str">
        <v>Trainer/Coach</v>
      </c>
      <c r="F107" s="17" t="str">
        <v>Jordy Vaartmans</v>
      </c>
      <c r="H107" s="15" t="str">
        <v>Hoofdtrainer F</v>
      </c>
      <c r="I107" s="17" t="str">
        <v>Antjan Laban</v>
      </c>
      <c r="K107" s="15"/>
      <c r="L107" s="17"/>
      <c r="N107" s="15"/>
      <c r="O107" s="17"/>
    </row>
    <row r="108" spans="1:15">
      <c r="A108" s="152"/>
      <c r="B108" s="15" t="str">
        <v>Assistent-trainer</v>
      </c>
      <c r="C108" s="17" t="str">
        <v>Freek Laban</v>
      </c>
      <c r="E108" s="15" t="str">
        <v>Hoofdtrainer F</v>
      </c>
      <c r="F108" s="17" t="str">
        <v>Antjan Laban</v>
      </c>
      <c r="H108" s="15" t="str">
        <v>Assistent-trainer</v>
      </c>
      <c r="I108" s="17" t="str">
        <v>Esmée de Boer</v>
      </c>
      <c r="K108" s="15"/>
      <c r="L108" s="17"/>
      <c r="N108" s="15"/>
      <c r="O108" s="17"/>
    </row>
    <row r="109" spans="1:15" ht="15.75" thickBot="1">
      <c r="A109" s="152"/>
      <c r="B109" s="18" t="str">
        <v>Assistent-trainer</v>
      </c>
      <c r="C109" s="20" t="str">
        <v>Sander Heersping</v>
      </c>
      <c r="E109" s="18"/>
      <c r="F109" s="20"/>
      <c r="H109" s="18" t="str">
        <v>Assistent-trainer</v>
      </c>
      <c r="I109" s="20" t="str">
        <v>Tess Volker</v>
      </c>
      <c r="K109" s="18"/>
      <c r="L109" s="20"/>
      <c r="N109" s="18"/>
      <c r="O109" s="20"/>
    </row>
    <row r="110" spans="1:15" ht="15.75" thickBot="1"/>
    <row r="111" spans="1:15" ht="15.75" thickBot="1">
      <c r="A111" s="152" t="s">
        <v>43</v>
      </c>
      <c r="B111" s="59" t="s">
        <v>44</v>
      </c>
      <c r="C111" s="63"/>
    </row>
    <row r="112" spans="1:15" ht="15.75" thickBot="1">
      <c r="A112" s="152"/>
      <c r="B112" s="8" t="s">
        <v>1074</v>
      </c>
      <c r="C112" s="64" t="s">
        <v>1075</v>
      </c>
    </row>
    <row r="113" spans="1:3">
      <c r="A113" s="152"/>
      <c r="B113" s="3" t="str" cm="1">
        <f t="array" ref="B113">_xlfn._xlws.FILTER(Spelerslijst!$B:$B,Spelerslijst!$F:$F=B$111,"")</f>
        <v>Groot, S. (Senna) de</v>
      </c>
      <c r="C113" s="65" t="str" cm="1">
        <f t="array" ref="C113">_xlfn._xlws.FILTER(Spelerslijst!$M:$M,Spelerslijst!$Q:$Q=B$111,"")</f>
        <v>Bezemer, O. (Olle)</v>
      </c>
    </row>
    <row r="114" spans="1:3">
      <c r="A114" s="152"/>
      <c r="B114" s="6"/>
      <c r="C114" s="66"/>
    </row>
    <row r="115" spans="1:3">
      <c r="A115" s="152"/>
      <c r="B115" s="6"/>
      <c r="C115" s="66"/>
    </row>
    <row r="116" spans="1:3">
      <c r="A116" s="152"/>
      <c r="B116" s="6"/>
      <c r="C116" s="66"/>
    </row>
    <row r="117" spans="1:3">
      <c r="A117" s="152"/>
      <c r="B117" s="6"/>
      <c r="C117" s="66"/>
    </row>
    <row r="118" spans="1:3">
      <c r="A118" s="152"/>
      <c r="B118" s="6"/>
      <c r="C118" s="66"/>
    </row>
    <row r="119" spans="1:3">
      <c r="A119" s="152"/>
      <c r="B119" s="6"/>
      <c r="C119" s="66"/>
    </row>
    <row r="120" spans="1:3" ht="15.75" thickBot="1">
      <c r="A120" s="152"/>
      <c r="B120" s="6"/>
      <c r="C120" s="66"/>
    </row>
    <row r="121" spans="1:3">
      <c r="A121" s="152"/>
      <c r="B121" s="12" t="str" cm="1">
        <f t="array" ref="B121:B128">_xlfn._xlws.FILTER(Staf!$C:$C,Staf!$B:$B=Teamsamenstelling!B116,"")</f>
        <v>Assistent-trainer</v>
      </c>
      <c r="C121" s="14" t="str" cm="1">
        <f t="array" ref="C121:C128">_xlfn._xlws.FILTER(Staf!$A:$A,Staf!$B:$B=Teamsamenstelling!B116,"")</f>
        <v>Eva van Rooij</v>
      </c>
    </row>
    <row r="122" spans="1:3">
      <c r="A122" s="152"/>
      <c r="B122" s="15" t="str">
        <v>Assistent-trainer</v>
      </c>
      <c r="C122" s="17" t="str">
        <v>Jeslynn Vos</v>
      </c>
    </row>
    <row r="123" spans="1:3" ht="15.75" thickBot="1">
      <c r="A123" s="152"/>
      <c r="B123" s="18" t="str">
        <v>Assistent-trainer</v>
      </c>
      <c r="C123" s="20" t="str">
        <v>Mila de Wit</v>
      </c>
    </row>
    <row r="124" spans="1:3">
      <c r="B124" t="str">
        <v>Assistent-trainer</v>
      </c>
      <c r="C124" t="str">
        <v>Saar Camphens</v>
      </c>
    </row>
    <row r="125" spans="1:3">
      <c r="B125" t="str">
        <v>Trainer</v>
      </c>
      <c r="C125" t="str">
        <v>Linda Ardon</v>
      </c>
    </row>
    <row r="126" spans="1:3">
      <c r="B126" t="str">
        <v>Trainer</v>
      </c>
      <c r="C126" t="str">
        <v>Ruben Dubbeld</v>
      </c>
    </row>
    <row r="127" spans="1:3">
      <c r="B127" t="str">
        <v>Trainer</v>
      </c>
      <c r="C127" t="str">
        <v>Sara Boshoven</v>
      </c>
    </row>
    <row r="128" spans="1:3">
      <c r="B128" t="str">
        <v>Trainer</v>
      </c>
      <c r="C128" t="str">
        <v>Tessa Dubbled</v>
      </c>
    </row>
  </sheetData>
  <mergeCells count="8">
    <mergeCell ref="A111:A123"/>
    <mergeCell ref="A2:A23"/>
    <mergeCell ref="A25:A38"/>
    <mergeCell ref="A40:A53"/>
    <mergeCell ref="A55:A69"/>
    <mergeCell ref="A71:A84"/>
    <mergeCell ref="A86:A96"/>
    <mergeCell ref="A98:A109"/>
  </mergeCells>
  <conditionalFormatting sqref="E1:F3 B1:C1048576 H1:I1048576 K1:L1048576 N1:O1048576 Q1:R1048576 T1:U1048576 W1:X1048576 F4:F15 E4:E25 F20:F25 E26:F1048576">
    <cfRule type="expression" dxfId="18" priority="4">
      <formula>#REF!&lt;&gt;0</formula>
    </cfRule>
    <cfRule type="expression" dxfId="17" priority="5">
      <formula>#REF!&lt;&gt;0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6F42-7DCB-44F4-B848-35E3940B68E0}">
  <sheetPr>
    <tabColor theme="5"/>
  </sheetPr>
  <dimension ref="A1:N29"/>
  <sheetViews>
    <sheetView topLeftCell="B1" zoomScale="115" zoomScaleNormal="115" workbookViewId="0">
      <selection activeCell="E11" sqref="E11"/>
    </sheetView>
  </sheetViews>
  <sheetFormatPr defaultColWidth="8.7109375" defaultRowHeight="15"/>
  <cols>
    <col min="1" max="1" width="9.7109375" bestFit="1" customWidth="1"/>
    <col min="2" max="2" width="21" bestFit="1" customWidth="1"/>
    <col min="3" max="3" width="23.85546875" bestFit="1" customWidth="1"/>
    <col min="4" max="4" width="17.7109375" bestFit="1" customWidth="1"/>
    <col min="5" max="5" width="17.7109375" customWidth="1"/>
    <col min="6" max="6" width="11.28515625" style="84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1.28515625" style="84" bestFit="1" customWidth="1"/>
    <col min="14" max="14" width="13.7109375" bestFit="1" customWidth="1"/>
  </cols>
  <sheetData>
    <row r="1" spans="1:14">
      <c r="A1" s="23" t="s">
        <v>45</v>
      </c>
      <c r="B1" s="23" t="s">
        <v>46</v>
      </c>
      <c r="C1" s="23" t="s">
        <v>47</v>
      </c>
      <c r="D1" s="23" t="s">
        <v>48</v>
      </c>
      <c r="E1" s="23" t="s">
        <v>48</v>
      </c>
      <c r="F1" s="85" t="s">
        <v>49</v>
      </c>
      <c r="G1" s="23" t="s">
        <v>1076</v>
      </c>
      <c r="I1" s="11" t="s">
        <v>45</v>
      </c>
      <c r="J1" s="11" t="s">
        <v>46</v>
      </c>
      <c r="K1" s="11" t="s">
        <v>47</v>
      </c>
      <c r="L1" s="11" t="s">
        <v>48</v>
      </c>
      <c r="M1" s="82" t="s">
        <v>49</v>
      </c>
      <c r="N1" s="11" t="s">
        <v>1076</v>
      </c>
    </row>
    <row r="2" spans="1:14">
      <c r="A2" s="24" t="str" cm="1">
        <f t="array" ref="A2:A8">_xlfn._xlws.FILTER(Spelerslijst!A:A,Spelerslijst!$F:$F="Stopt","")</f>
        <v>NMX55K8</v>
      </c>
      <c r="B2" s="24" t="str" cm="1">
        <f t="array" ref="B2:B8">_xlfn._xlws.FILTER(Spelerslijst!A:A,Spelerslijst!$F:$F="Stopt","")</f>
        <v>NMX55K8</v>
      </c>
      <c r="C2" s="24" t="str" cm="1">
        <f t="array" ref="C2:C8">_xlfn._xlws.FILTER(Spelerslijst!B:B,Spelerslijst!$F:$F="Stopt","")</f>
        <v>Baas, J. (Julia)</v>
      </c>
      <c r="D2" s="24" t="str" cm="1">
        <f t="array" ref="D2:D8">_xlfn._xlws.FILTER(Spelerslijst!C:C,Spelerslijst!$F:$F="Stopt","")</f>
        <v>Julia</v>
      </c>
      <c r="E2" s="24" cm="1">
        <f t="array" ref="E2:E8">_xlfn._xlws.FILTER(Spelerslijst!D:D,Spelerslijst!$F:$F="Stopt","")</f>
        <v>9.1</v>
      </c>
      <c r="F2" s="83" cm="1">
        <f t="array" ref="F2:F8">_xlfn._xlws.FILTER(Spelerslijst!E:E,Spelerslijst!$F:$F="Stopt","")</f>
        <v>42696</v>
      </c>
      <c r="G2" s="24" t="str" cm="1">
        <f t="array" ref="G2:G8">_xlfn._xlws.FILTER(Spelerslijst!F:F,Spelerslijst!$F:$F="Stopt","")</f>
        <v>Stopt</v>
      </c>
      <c r="I2" s="24" t="str" cm="1">
        <f t="array" ref="I2:I11">_xlfn._xlws.FILTER(Spelerslijst!L:L,Spelerslijst!$Q:$Q="Stopt","")</f>
        <v>NGW00S1</v>
      </c>
      <c r="J2" s="24" t="str" cm="1">
        <f t="array" ref="J2:J11">_xlfn._xlws.FILTER(Spelerslijst!M:M,Spelerslijst!$Q:$Q="Stopt","")</f>
        <v>Booy, J (Jan)</v>
      </c>
      <c r="K2" s="24" t="str" cm="1">
        <f t="array" ref="K2:K11">_xlfn._xlws.FILTER(Spelerslijst!N:N,Spelerslijst!$Q:$Q="Stopt","")</f>
        <v>Jan</v>
      </c>
      <c r="L2" s="24" cm="1">
        <f t="array" ref="L2:L11">_xlfn._xlws.FILTER(Spelerslijst!O:O,Spelerslijst!$Q:$Q="Stopt","")</f>
        <v>35.380000000000003</v>
      </c>
      <c r="M2" s="83" cm="1">
        <f t="array" ref="M2:M11">_xlfn._xlws.FILTER(Spelerslijst!P:P,Spelerslijst!$Q:$Q="Stopt","")</f>
        <v>33100</v>
      </c>
      <c r="N2" s="24" t="str" cm="1">
        <f t="array" ref="N2:N11">_xlfn._xlws.FILTER(Spelerslijst!Q:Q,Spelerslijst!$Q:$Q="Stopt","")</f>
        <v>Stopt</v>
      </c>
    </row>
    <row r="3" spans="1:14">
      <c r="A3" s="24" t="str">
        <v>NMM21T3</v>
      </c>
      <c r="B3" s="24" t="str">
        <v>NMM21T3</v>
      </c>
      <c r="C3" s="24" t="str">
        <v>Boogaart, L. (Lenthe) van den</v>
      </c>
      <c r="D3" s="24" t="str">
        <v>Lenthe</v>
      </c>
      <c r="E3" s="24">
        <v>12.23</v>
      </c>
      <c r="F3" s="83">
        <v>41557</v>
      </c>
      <c r="G3" s="24" t="str">
        <v>Stopt</v>
      </c>
      <c r="I3" s="24" t="str">
        <v>NGT16K5</v>
      </c>
      <c r="J3" s="24" t="str">
        <v>Naaktgeboren, S. (Stefan)</v>
      </c>
      <c r="K3" s="24" t="str">
        <v>Stefan</v>
      </c>
      <c r="L3" s="24">
        <v>34.99</v>
      </c>
      <c r="M3" s="83">
        <v>33241</v>
      </c>
      <c r="N3" s="24" t="str">
        <v>Stopt</v>
      </c>
    </row>
    <row r="4" spans="1:14">
      <c r="A4" s="24" t="str">
        <v>NMN07F4</v>
      </c>
      <c r="B4" s="24" t="str">
        <v>NMN07F4</v>
      </c>
      <c r="C4" s="24" t="str">
        <v>Barbaroux, M.N. (Manon)</v>
      </c>
      <c r="D4" s="24" t="str">
        <v>Manon</v>
      </c>
      <c r="E4" s="24">
        <v>14.74</v>
      </c>
      <c r="F4" s="83">
        <v>40637</v>
      </c>
      <c r="G4" s="24" t="str">
        <v>Stopt</v>
      </c>
      <c r="I4" s="24" t="str">
        <v>NJF24X2</v>
      </c>
      <c r="J4" s="24" t="str">
        <v>Kalkeren, R. (Robin) van</v>
      </c>
      <c r="K4" s="24" t="str">
        <v>Robin</v>
      </c>
      <c r="L4" s="24">
        <v>29.5</v>
      </c>
      <c r="M4" s="83">
        <v>35246</v>
      </c>
      <c r="N4" s="24" t="str">
        <v>Stopt</v>
      </c>
    </row>
    <row r="5" spans="1:14">
      <c r="A5" s="24" t="str">
        <v>NLP78N3</v>
      </c>
      <c r="B5" s="24" t="str">
        <v>NLP78N3</v>
      </c>
      <c r="C5" s="24" t="str">
        <v>Wolleswinkel, I.M.S. (Iza)</v>
      </c>
      <c r="D5" s="24" t="str">
        <v>Iza</v>
      </c>
      <c r="E5" s="24">
        <v>18.329999999999998</v>
      </c>
      <c r="F5" s="83">
        <v>39328</v>
      </c>
      <c r="G5" s="24" t="str">
        <v>Stopt</v>
      </c>
      <c r="I5" s="24" t="str">
        <v>NJF95S5</v>
      </c>
      <c r="J5" s="24" t="str">
        <v>Mans, B. (Bob)</v>
      </c>
      <c r="K5" s="24" t="str">
        <v>Bob</v>
      </c>
      <c r="L5" s="24">
        <v>29.16</v>
      </c>
      <c r="M5" s="83">
        <v>35372</v>
      </c>
      <c r="N5" s="24" t="str">
        <v>Stopt</v>
      </c>
    </row>
    <row r="6" spans="1:14">
      <c r="A6" s="24" t="str">
        <v>NLJ47P3</v>
      </c>
      <c r="B6" s="24" t="str">
        <v>NLJ47P3</v>
      </c>
      <c r="C6" s="24" t="str">
        <v>Everdingen, T. (Tessa) van</v>
      </c>
      <c r="D6" s="24" t="str">
        <v>Tessa</v>
      </c>
      <c r="E6" s="24">
        <v>19.5</v>
      </c>
      <c r="F6" s="83">
        <v>38900</v>
      </c>
      <c r="G6" s="24" t="str">
        <v>Stopt</v>
      </c>
      <c r="I6" s="24" t="str">
        <v>NJD65S8</v>
      </c>
      <c r="J6" s="24" t="str">
        <v>Dijk, J. (Joeri) van</v>
      </c>
      <c r="K6" s="24" t="str">
        <v>Joeri</v>
      </c>
      <c r="L6" s="24">
        <v>27.79</v>
      </c>
      <c r="M6" s="83">
        <v>35873</v>
      </c>
      <c r="N6" s="24" t="str">
        <v>Stopt</v>
      </c>
    </row>
    <row r="7" spans="1:14">
      <c r="A7" s="24" t="str">
        <v>NLB70T7</v>
      </c>
      <c r="B7" s="24" t="str">
        <v>NLB70T7</v>
      </c>
      <c r="C7" s="24" t="str">
        <v>Boeije, A.J. (Amber)</v>
      </c>
      <c r="D7" s="24" t="str">
        <v>Amber</v>
      </c>
      <c r="E7" s="24">
        <v>20.65</v>
      </c>
      <c r="F7" s="83">
        <v>38480</v>
      </c>
      <c r="G7" s="24" t="str">
        <v>Stopt</v>
      </c>
      <c r="I7" s="24" t="str">
        <v>NKR20M2</v>
      </c>
      <c r="J7" s="24" t="str">
        <v>Seevinck, T. (Tim)</v>
      </c>
      <c r="K7" s="24" t="str">
        <v>Tim</v>
      </c>
      <c r="L7" s="24">
        <v>22.15</v>
      </c>
      <c r="M7" s="83">
        <v>37932</v>
      </c>
      <c r="N7" s="24" t="str">
        <v>Stopt</v>
      </c>
    </row>
    <row r="8" spans="1:14">
      <c r="A8" s="24" t="str">
        <v>NJG13L1</v>
      </c>
      <c r="B8" s="24" t="str">
        <v>NJG13L1</v>
      </c>
      <c r="C8" s="24" t="str">
        <v>Ardon, E. (Esther)</v>
      </c>
      <c r="D8" s="24" t="str">
        <v>Esther</v>
      </c>
      <c r="E8" s="24">
        <v>29.25</v>
      </c>
      <c r="F8" s="83">
        <v>35337</v>
      </c>
      <c r="G8" s="24" t="str">
        <v>Stopt</v>
      </c>
      <c r="I8" s="24" t="str">
        <v>NKX56T0</v>
      </c>
      <c r="J8" s="24" t="str">
        <v>Verhagen, L.A.J. (Laurens)</v>
      </c>
      <c r="K8" s="24" t="str">
        <v>Laurens</v>
      </c>
      <c r="L8" s="24">
        <v>21.72</v>
      </c>
      <c r="M8" s="83">
        <v>38090</v>
      </c>
      <c r="N8" s="24" t="str">
        <v>Stopt</v>
      </c>
    </row>
    <row r="9" spans="1:14">
      <c r="A9" s="24"/>
      <c r="B9" s="24"/>
      <c r="C9" s="24"/>
      <c r="D9" s="24"/>
      <c r="E9" s="24"/>
      <c r="F9" s="83"/>
      <c r="G9" s="24"/>
      <c r="I9" s="24" t="str">
        <v>NLD36P9</v>
      </c>
      <c r="J9" s="24" t="str">
        <v>Driesprong, N. (Niek)</v>
      </c>
      <c r="K9" s="24" t="str">
        <v>Niek</v>
      </c>
      <c r="L9" s="24">
        <v>17.43</v>
      </c>
      <c r="M9" s="83">
        <v>39655</v>
      </c>
      <c r="N9" s="24" t="str">
        <v>Stopt</v>
      </c>
    </row>
    <row r="10" spans="1:14">
      <c r="A10" s="24"/>
      <c r="B10" s="24"/>
      <c r="C10" s="24"/>
      <c r="D10" s="24"/>
      <c r="E10" s="24"/>
      <c r="F10" s="83"/>
      <c r="G10" s="24"/>
      <c r="I10" s="24" t="str">
        <v>NMJ10P4</v>
      </c>
      <c r="J10" s="24" t="str">
        <v>Boshoven, C. (Casper)</v>
      </c>
      <c r="K10" s="24" t="str">
        <v>Casper</v>
      </c>
      <c r="L10" s="24">
        <v>17.37</v>
      </c>
      <c r="M10" s="83">
        <v>39676</v>
      </c>
      <c r="N10" s="24" t="str">
        <v>Stopt</v>
      </c>
    </row>
    <row r="11" spans="1:14">
      <c r="A11" s="24"/>
      <c r="B11" s="24"/>
      <c r="C11" s="24"/>
      <c r="D11" s="24"/>
      <c r="E11" s="24"/>
      <c r="F11" s="83"/>
      <c r="G11" s="24"/>
      <c r="I11" s="24" t="str">
        <v>NMF22Q8</v>
      </c>
      <c r="J11" s="24" t="str">
        <v>Jacobs, X. (Xavi)</v>
      </c>
      <c r="K11" s="24" t="str">
        <v>Xavi</v>
      </c>
      <c r="L11" s="24">
        <v>14.43</v>
      </c>
      <c r="M11" s="83">
        <v>40750</v>
      </c>
      <c r="N11" s="24" t="str">
        <v>Stopt</v>
      </c>
    </row>
    <row r="12" spans="1:14">
      <c r="A12" s="24"/>
      <c r="B12" s="24"/>
      <c r="C12" s="24"/>
      <c r="D12" s="24"/>
      <c r="E12" s="24"/>
      <c r="F12" s="83"/>
      <c r="G12" s="24"/>
      <c r="I12" s="24"/>
      <c r="J12" s="24"/>
      <c r="K12" s="24"/>
      <c r="L12" s="24"/>
      <c r="M12" s="83"/>
      <c r="N12" s="24"/>
    </row>
    <row r="13" spans="1:14">
      <c r="A13" s="24"/>
      <c r="B13" s="24"/>
      <c r="C13" s="24"/>
      <c r="D13" s="24"/>
      <c r="E13" s="24"/>
      <c r="F13" s="83"/>
      <c r="G13" s="24"/>
      <c r="I13" s="24"/>
      <c r="J13" s="24"/>
      <c r="K13" s="24"/>
      <c r="L13" s="24"/>
      <c r="M13" s="83"/>
      <c r="N13" s="24"/>
    </row>
    <row r="14" spans="1:14">
      <c r="A14" s="24"/>
      <c r="B14" s="24"/>
      <c r="C14" s="24"/>
      <c r="D14" s="24"/>
      <c r="E14" s="24"/>
      <c r="F14" s="83"/>
      <c r="G14" s="24"/>
      <c r="I14" s="24"/>
      <c r="J14" s="24"/>
      <c r="K14" s="24"/>
      <c r="L14" s="24"/>
      <c r="M14" s="83"/>
      <c r="N14" s="24"/>
    </row>
    <row r="15" spans="1:14">
      <c r="A15" s="24"/>
      <c r="B15" s="24"/>
      <c r="C15" s="24"/>
      <c r="D15" s="24"/>
      <c r="E15" s="24"/>
      <c r="F15" s="83"/>
      <c r="G15" s="24"/>
      <c r="I15" s="24"/>
      <c r="J15" s="24"/>
      <c r="K15" s="24"/>
      <c r="L15" s="24"/>
      <c r="M15" s="83"/>
      <c r="N15" s="24"/>
    </row>
    <row r="16" spans="1:14">
      <c r="A16" s="24"/>
      <c r="B16" s="24"/>
      <c r="C16" s="24"/>
      <c r="D16" s="24"/>
      <c r="E16" s="24"/>
      <c r="F16" s="83"/>
      <c r="G16" s="24"/>
      <c r="I16" s="24"/>
      <c r="J16" s="24"/>
      <c r="K16" s="24"/>
      <c r="L16" s="24"/>
      <c r="M16" s="83"/>
      <c r="N16" s="24"/>
    </row>
    <row r="17" spans="1:14">
      <c r="A17" s="24"/>
      <c r="B17" s="24"/>
      <c r="C17" s="24"/>
      <c r="D17" s="24"/>
      <c r="E17" s="24"/>
      <c r="F17" s="83"/>
      <c r="G17" s="24"/>
      <c r="I17" s="24"/>
      <c r="J17" s="24"/>
      <c r="K17" s="24"/>
      <c r="L17" s="24"/>
      <c r="M17" s="83"/>
      <c r="N17" s="24"/>
    </row>
    <row r="18" spans="1:14">
      <c r="A18" s="24"/>
      <c r="B18" s="24"/>
      <c r="C18" s="24"/>
      <c r="D18" s="24"/>
      <c r="E18" s="24"/>
      <c r="F18" s="83"/>
      <c r="G18" s="24"/>
      <c r="I18" s="24"/>
      <c r="J18" s="24"/>
      <c r="K18" s="24"/>
      <c r="L18" s="24"/>
      <c r="M18" s="83"/>
      <c r="N18" s="24"/>
    </row>
    <row r="19" spans="1:14">
      <c r="A19" s="24"/>
      <c r="B19" s="24"/>
      <c r="C19" s="24"/>
      <c r="D19" s="24"/>
      <c r="E19" s="24"/>
      <c r="F19" s="83"/>
      <c r="G19" s="24"/>
      <c r="I19" s="24"/>
      <c r="J19" s="24"/>
      <c r="K19" s="24"/>
      <c r="L19" s="24"/>
      <c r="M19" s="83"/>
      <c r="N19" s="24"/>
    </row>
    <row r="20" spans="1:14">
      <c r="A20" s="24"/>
      <c r="B20" s="24"/>
      <c r="C20" s="24"/>
      <c r="D20" s="24"/>
      <c r="E20" s="24"/>
      <c r="F20" s="83"/>
      <c r="G20" s="24"/>
      <c r="I20" s="24"/>
      <c r="J20" s="24"/>
      <c r="K20" s="24"/>
      <c r="L20" s="24"/>
      <c r="M20" s="83"/>
      <c r="N20" s="24"/>
    </row>
    <row r="21" spans="1:14">
      <c r="A21" s="24"/>
      <c r="B21" s="24"/>
      <c r="C21" s="24"/>
      <c r="D21" s="24"/>
      <c r="E21" s="24"/>
      <c r="F21" s="83"/>
      <c r="G21" s="24"/>
      <c r="I21" s="24"/>
      <c r="J21" s="24"/>
      <c r="K21" s="24"/>
      <c r="L21" s="24"/>
      <c r="M21" s="83"/>
      <c r="N21" s="24"/>
    </row>
    <row r="22" spans="1:14">
      <c r="A22" s="24"/>
      <c r="B22" s="24"/>
      <c r="C22" s="24"/>
      <c r="D22" s="24"/>
      <c r="E22" s="24"/>
      <c r="F22" s="83"/>
      <c r="G22" s="24"/>
      <c r="I22" s="24"/>
      <c r="J22" s="24"/>
      <c r="K22" s="24"/>
      <c r="L22" s="24"/>
      <c r="M22" s="83"/>
      <c r="N22" s="24"/>
    </row>
    <row r="23" spans="1:14">
      <c r="A23" s="24"/>
      <c r="B23" s="24"/>
      <c r="C23" s="24"/>
      <c r="D23" s="24"/>
      <c r="E23" s="24"/>
      <c r="F23" s="83"/>
      <c r="G23" s="24"/>
      <c r="I23" s="24"/>
      <c r="J23" s="24"/>
      <c r="K23" s="24"/>
      <c r="L23" s="24"/>
      <c r="M23" s="83"/>
      <c r="N23" s="24"/>
    </row>
    <row r="24" spans="1:14">
      <c r="A24" s="24"/>
      <c r="B24" s="24"/>
      <c r="C24" s="24"/>
      <c r="D24" s="24"/>
      <c r="E24" s="24"/>
      <c r="F24" s="83"/>
      <c r="G24" s="24"/>
      <c r="I24" s="24"/>
      <c r="J24" s="24"/>
      <c r="K24" s="24"/>
      <c r="L24" s="24"/>
      <c r="M24" s="83"/>
      <c r="N24" s="24"/>
    </row>
    <row r="25" spans="1:14">
      <c r="A25" s="24"/>
      <c r="B25" s="24"/>
      <c r="C25" s="24"/>
      <c r="D25" s="24"/>
      <c r="E25" s="24"/>
      <c r="F25" s="83"/>
      <c r="G25" s="24"/>
      <c r="I25" s="24"/>
      <c r="J25" s="24"/>
      <c r="K25" s="24"/>
      <c r="L25" s="24"/>
      <c r="M25" s="83"/>
      <c r="N25" s="24"/>
    </row>
    <row r="26" spans="1:14">
      <c r="A26" s="24"/>
      <c r="B26" s="24"/>
      <c r="C26" s="24"/>
      <c r="D26" s="24"/>
      <c r="E26" s="24"/>
      <c r="F26" s="83"/>
      <c r="G26" s="24"/>
      <c r="I26" s="24"/>
      <c r="J26" s="24"/>
      <c r="K26" s="24"/>
      <c r="L26" s="24"/>
      <c r="M26" s="83"/>
      <c r="N26" s="24"/>
    </row>
    <row r="27" spans="1:14">
      <c r="A27" s="24"/>
      <c r="B27" s="24"/>
      <c r="C27" s="24"/>
      <c r="D27" s="24"/>
      <c r="E27" s="24"/>
      <c r="F27" s="83"/>
      <c r="G27" s="24"/>
      <c r="I27" s="24"/>
      <c r="J27" s="24"/>
      <c r="K27" s="24"/>
      <c r="L27" s="24"/>
      <c r="M27" s="83"/>
      <c r="N27" s="24"/>
    </row>
    <row r="28" spans="1:14">
      <c r="A28" s="24"/>
      <c r="B28" s="24"/>
      <c r="C28" s="24"/>
      <c r="D28" s="24"/>
      <c r="E28" s="24"/>
      <c r="F28" s="83"/>
      <c r="G28" s="24"/>
      <c r="I28" s="24"/>
      <c r="J28" s="24"/>
      <c r="K28" s="24"/>
      <c r="L28" s="24"/>
      <c r="M28" s="83"/>
      <c r="N28" s="24"/>
    </row>
    <row r="29" spans="1:14">
      <c r="A29" s="24"/>
      <c r="B29" s="24"/>
      <c r="C29" s="24"/>
      <c r="D29" s="24"/>
      <c r="E29" s="24"/>
      <c r="F29" s="83"/>
      <c r="G29" s="24"/>
      <c r="I29" s="24"/>
      <c r="J29" s="24"/>
      <c r="K29" s="24"/>
      <c r="L29" s="24"/>
      <c r="M29" s="83"/>
      <c r="N29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24C7-B070-4E24-AC8F-FE4A64B46F3D}">
  <sheetPr>
    <tabColor theme="5"/>
  </sheetPr>
  <dimension ref="A1:O29"/>
  <sheetViews>
    <sheetView workbookViewId="0">
      <selection activeCell="I3" sqref="I3"/>
    </sheetView>
  </sheetViews>
  <sheetFormatPr defaultColWidth="8.7109375" defaultRowHeight="15"/>
  <cols>
    <col min="1" max="1" width="9.7109375" bestFit="1" customWidth="1"/>
    <col min="2" max="2" width="21" bestFit="1" customWidth="1"/>
    <col min="3" max="3" width="10.28515625" bestFit="1" customWidth="1"/>
    <col min="4" max="4" width="15.42578125" customWidth="1"/>
    <col min="5" max="5" width="10.7109375" style="1" bestFit="1" customWidth="1"/>
    <col min="6" max="6" width="18.42578125" bestFit="1" customWidth="1"/>
    <col min="7" max="7" width="13.7109375" bestFit="1" customWidth="1"/>
    <col min="9" max="9" width="10" bestFit="1" customWidth="1"/>
    <col min="10" max="10" width="16.7109375" bestFit="1" customWidth="1"/>
    <col min="11" max="11" width="10.28515625" bestFit="1" customWidth="1"/>
    <col min="12" max="12" width="17.7109375" bestFit="1" customWidth="1"/>
    <col min="13" max="13" width="10.7109375" style="1" bestFit="1" customWidth="1"/>
    <col min="14" max="14" width="18.42578125" bestFit="1" customWidth="1"/>
    <col min="15" max="15" width="13.7109375" bestFit="1" customWidth="1"/>
  </cols>
  <sheetData>
    <row r="1" spans="1:15">
      <c r="A1" s="23" t="s">
        <v>45</v>
      </c>
      <c r="B1" s="23" t="s">
        <v>46</v>
      </c>
      <c r="C1" s="23" t="s">
        <v>47</v>
      </c>
      <c r="D1" s="23" t="s">
        <v>48</v>
      </c>
      <c r="E1" s="25" t="s">
        <v>49</v>
      </c>
      <c r="F1" s="23" t="s">
        <v>1077</v>
      </c>
      <c r="G1" s="23" t="s">
        <v>892</v>
      </c>
      <c r="I1" s="11" t="s">
        <v>45</v>
      </c>
      <c r="J1" s="11" t="s">
        <v>46</v>
      </c>
      <c r="K1" s="11" t="s">
        <v>47</v>
      </c>
      <c r="L1" s="11" t="s">
        <v>48</v>
      </c>
      <c r="M1" s="27" t="s">
        <v>49</v>
      </c>
      <c r="N1" s="11" t="s">
        <v>1077</v>
      </c>
      <c r="O1" s="11" t="s">
        <v>892</v>
      </c>
    </row>
    <row r="2" spans="1:15">
      <c r="A2" s="24" t="str" cm="1">
        <f t="array" ref="A2">_xlfn._xlws.FILTER(Spelerslijst!A:A,Spelerslijst!$F:$F="?","")</f>
        <v>NFV12W2</v>
      </c>
      <c r="B2" s="24" t="str" cm="1">
        <f t="array" ref="B2">_xlfn._xlws.FILTER(Spelerslijst!B:B,Spelerslijst!$F:$F="?","")</f>
        <v>Stomp-Burgt, L (Lianne) vd</v>
      </c>
      <c r="C2" s="24" t="str" cm="1">
        <f t="array" ref="C2">_xlfn._xlws.FILTER(Spelerslijst!C:C,Spelerslijst!$F:$F="?","")</f>
        <v>Lianne</v>
      </c>
      <c r="D2" s="24" cm="1">
        <f t="array" ref="D2">_xlfn._xlws.FILTER(Spelerslijst!D:D,Spelerslijst!$F:$F="?","")</f>
        <v>40.69</v>
      </c>
      <c r="E2" s="24" cm="1">
        <f t="array" ref="E2">_xlfn._xlws.FILTER(Spelerslijst!E:E,Spelerslijst!$F:$F="?","")</f>
        <v>31161</v>
      </c>
      <c r="F2" s="24" t="e" cm="1">
        <f t="array" ref="F2">_xlfn._xlws.FILTER(Spelerslijst!#REF!,Spelerslijst!$F:$F="?","")</f>
        <v>#REF!</v>
      </c>
      <c r="G2" s="24" t="str" cm="1">
        <f t="array" ref="G2">_xlfn._xlws.FILTER(Spelerslijst!F:F,Spelerslijst!$F:$F="?","")</f>
        <v>?</v>
      </c>
      <c r="I2" s="24" t="str" cm="1">
        <f t="array" ref="I2">_xlfn._xlws.FILTER(Spelerslijst!L:L,Spelerslijst!$Q:$Q="?","")</f>
        <v/>
      </c>
      <c r="J2" s="24" t="str" cm="1">
        <f t="array" ref="J2">_xlfn._xlws.FILTER(Spelerslijst!M:M,Spelerslijst!$Q:$Q="?","")</f>
        <v/>
      </c>
      <c r="K2" s="24" t="str" cm="1">
        <f t="array" ref="K2">_xlfn._xlws.FILTER(Spelerslijst!N:N,Spelerslijst!$Q:$Q="?","")</f>
        <v/>
      </c>
      <c r="L2" s="24" t="str" cm="1">
        <f t="array" ref="L2">_xlfn._xlws.FILTER(Spelerslijst!O:O,Spelerslijst!$Q:$Q="?","")</f>
        <v/>
      </c>
      <c r="M2" s="24" t="str" cm="1">
        <f t="array" ref="M2">_xlfn._xlws.FILTER(Spelerslijst!P:P,Spelerslijst!$Q:$Q="?","")</f>
        <v/>
      </c>
      <c r="N2" s="24" t="e" cm="1">
        <f t="array" ref="N2">_xlfn._xlws.FILTER(Spelerslijst!#REF!,Spelerslijst!$Q:$Q="?","")</f>
        <v>#REF!</v>
      </c>
      <c r="O2" s="24" t="str" cm="1">
        <f t="array" ref="O2">_xlfn._xlws.FILTER(Spelerslijst!Q:Q,Spelerslijst!$Q:$Q="?","")</f>
        <v/>
      </c>
    </row>
    <row r="3" spans="1:15">
      <c r="A3" s="24"/>
      <c r="B3" s="24"/>
      <c r="C3" s="24"/>
      <c r="D3" s="24"/>
      <c r="E3" s="26"/>
      <c r="F3" s="24"/>
      <c r="G3" s="24"/>
      <c r="I3" s="24"/>
      <c r="J3" s="24"/>
      <c r="K3" s="24"/>
      <c r="L3" s="24"/>
      <c r="M3" s="26"/>
      <c r="N3" s="24"/>
      <c r="O3" s="24"/>
    </row>
    <row r="4" spans="1:15">
      <c r="A4" s="24"/>
      <c r="B4" s="24"/>
      <c r="C4" s="24"/>
      <c r="D4" s="24"/>
      <c r="E4" s="26"/>
      <c r="F4" s="24"/>
      <c r="G4" s="24"/>
      <c r="I4" s="24"/>
      <c r="J4" s="24"/>
      <c r="K4" s="24"/>
      <c r="L4" s="24"/>
      <c r="M4" s="26"/>
      <c r="N4" s="24"/>
      <c r="O4" s="24"/>
    </row>
    <row r="5" spans="1:15">
      <c r="A5" s="24"/>
      <c r="B5" s="24"/>
      <c r="C5" s="24"/>
      <c r="D5" s="24"/>
      <c r="E5" s="26"/>
      <c r="F5" s="24"/>
      <c r="G5" s="24"/>
      <c r="I5" s="24"/>
      <c r="J5" s="24"/>
      <c r="K5" s="24"/>
      <c r="L5" s="24"/>
      <c r="M5" s="26"/>
      <c r="N5" s="24"/>
      <c r="O5" s="24"/>
    </row>
    <row r="6" spans="1:15">
      <c r="A6" s="24"/>
      <c r="B6" s="24"/>
      <c r="C6" s="24"/>
      <c r="D6" s="24"/>
      <c r="E6" s="26"/>
      <c r="F6" s="24"/>
      <c r="G6" s="24"/>
      <c r="I6" s="24"/>
      <c r="J6" s="24"/>
      <c r="K6" s="24"/>
      <c r="L6" s="24"/>
      <c r="M6" s="26"/>
      <c r="N6" s="24"/>
      <c r="O6" s="24"/>
    </row>
    <row r="7" spans="1:15">
      <c r="A7" s="24"/>
      <c r="B7" s="24"/>
      <c r="C7" s="24"/>
      <c r="D7" s="24"/>
      <c r="E7" s="26"/>
      <c r="F7" s="24"/>
      <c r="G7" s="24"/>
      <c r="I7" s="24"/>
      <c r="J7" s="24"/>
      <c r="K7" s="24"/>
      <c r="L7" s="24"/>
      <c r="M7" s="26"/>
      <c r="N7" s="24"/>
      <c r="O7" s="24"/>
    </row>
    <row r="8" spans="1:15">
      <c r="A8" s="24"/>
      <c r="B8" s="24"/>
      <c r="C8" s="24"/>
      <c r="D8" s="24"/>
      <c r="E8" s="26"/>
      <c r="F8" s="24"/>
      <c r="G8" s="24"/>
      <c r="I8" s="24"/>
      <c r="J8" s="24"/>
      <c r="K8" s="24"/>
      <c r="L8" s="24"/>
      <c r="M8" s="26"/>
      <c r="N8" s="24"/>
      <c r="O8" s="24"/>
    </row>
    <row r="9" spans="1:15">
      <c r="A9" s="24"/>
      <c r="B9" s="24"/>
      <c r="C9" s="24"/>
      <c r="D9" s="24"/>
      <c r="E9" s="26"/>
      <c r="F9" s="24"/>
      <c r="G9" s="24"/>
      <c r="I9" s="24"/>
      <c r="J9" s="24"/>
      <c r="K9" s="24"/>
      <c r="L9" s="24"/>
      <c r="M9" s="26"/>
      <c r="N9" s="24"/>
      <c r="O9" s="24"/>
    </row>
    <row r="10" spans="1:15">
      <c r="A10" s="24"/>
      <c r="B10" s="24"/>
      <c r="C10" s="24"/>
      <c r="D10" s="24"/>
      <c r="E10" s="26"/>
      <c r="F10" s="24"/>
      <c r="G10" s="24"/>
      <c r="I10" s="24"/>
      <c r="J10" s="24"/>
      <c r="K10" s="24"/>
      <c r="L10" s="24"/>
      <c r="M10" s="26"/>
      <c r="N10" s="24"/>
      <c r="O10" s="24"/>
    </row>
    <row r="11" spans="1:15">
      <c r="A11" s="24"/>
      <c r="B11" s="24"/>
      <c r="C11" s="24"/>
      <c r="D11" s="24"/>
      <c r="E11" s="26"/>
      <c r="F11" s="24"/>
      <c r="G11" s="24"/>
      <c r="I11" s="24"/>
      <c r="J11" s="24"/>
      <c r="K11" s="24"/>
      <c r="L11" s="24"/>
      <c r="M11" s="26"/>
      <c r="N11" s="24"/>
      <c r="O11" s="24"/>
    </row>
    <row r="12" spans="1:15">
      <c r="A12" s="24"/>
      <c r="B12" s="24"/>
      <c r="C12" s="24"/>
      <c r="D12" s="24"/>
      <c r="E12" s="26"/>
      <c r="F12" s="24"/>
      <c r="G12" s="24"/>
      <c r="I12" s="24"/>
      <c r="J12" s="24"/>
      <c r="K12" s="24"/>
      <c r="L12" s="24"/>
      <c r="M12" s="26"/>
      <c r="N12" s="24"/>
      <c r="O12" s="24"/>
    </row>
    <row r="13" spans="1:15">
      <c r="A13" s="24"/>
      <c r="B13" s="24"/>
      <c r="C13" s="24"/>
      <c r="D13" s="24"/>
      <c r="E13" s="26"/>
      <c r="F13" s="24"/>
      <c r="G13" s="24"/>
      <c r="I13" s="24"/>
      <c r="J13" s="24"/>
      <c r="K13" s="24"/>
      <c r="L13" s="24"/>
      <c r="M13" s="26"/>
      <c r="N13" s="24"/>
      <c r="O13" s="24"/>
    </row>
    <row r="14" spans="1:15">
      <c r="A14" s="24"/>
      <c r="B14" s="24"/>
      <c r="C14" s="24"/>
      <c r="D14" s="24"/>
      <c r="E14" s="26"/>
      <c r="F14" s="24"/>
      <c r="G14" s="24"/>
      <c r="I14" s="24"/>
      <c r="J14" s="24"/>
      <c r="K14" s="24"/>
      <c r="L14" s="24"/>
      <c r="M14" s="26"/>
      <c r="N14" s="24"/>
      <c r="O14" s="24"/>
    </row>
    <row r="15" spans="1:15">
      <c r="A15" s="24"/>
      <c r="B15" s="24"/>
      <c r="C15" s="24"/>
      <c r="D15" s="24"/>
      <c r="E15" s="26"/>
      <c r="F15" s="24"/>
      <c r="G15" s="24"/>
      <c r="I15" s="24"/>
      <c r="J15" s="24"/>
      <c r="K15" s="24"/>
      <c r="L15" s="24"/>
      <c r="M15" s="26"/>
      <c r="N15" s="24"/>
      <c r="O15" s="24"/>
    </row>
    <row r="16" spans="1:15">
      <c r="A16" s="24"/>
      <c r="B16" s="24"/>
      <c r="C16" s="24"/>
      <c r="D16" s="24"/>
      <c r="E16" s="26"/>
      <c r="F16" s="24"/>
      <c r="G16" s="24"/>
      <c r="I16" s="24"/>
      <c r="J16" s="24"/>
      <c r="K16" s="24"/>
      <c r="L16" s="24"/>
      <c r="M16" s="26"/>
      <c r="N16" s="24"/>
      <c r="O16" s="24"/>
    </row>
    <row r="17" spans="1:15">
      <c r="A17" s="24"/>
      <c r="B17" s="24"/>
      <c r="C17" s="24"/>
      <c r="D17" s="24"/>
      <c r="E17" s="26"/>
      <c r="F17" s="24"/>
      <c r="G17" s="24"/>
      <c r="I17" s="24"/>
      <c r="J17" s="24"/>
      <c r="K17" s="24"/>
      <c r="L17" s="24"/>
      <c r="M17" s="26"/>
      <c r="N17" s="24"/>
      <c r="O17" s="24"/>
    </row>
    <row r="18" spans="1:15">
      <c r="A18" s="24"/>
      <c r="B18" s="24"/>
      <c r="C18" s="24"/>
      <c r="D18" s="24"/>
      <c r="E18" s="26"/>
      <c r="F18" s="24"/>
      <c r="G18" s="24"/>
      <c r="I18" s="24"/>
      <c r="J18" s="24"/>
      <c r="K18" s="24"/>
      <c r="L18" s="24"/>
      <c r="M18" s="26"/>
      <c r="N18" s="24"/>
      <c r="O18" s="24"/>
    </row>
    <row r="19" spans="1:15">
      <c r="A19" s="24"/>
      <c r="B19" s="24"/>
      <c r="C19" s="24"/>
      <c r="D19" s="24"/>
      <c r="E19" s="26"/>
      <c r="F19" s="24"/>
      <c r="G19" s="24"/>
      <c r="I19" s="24"/>
      <c r="J19" s="24"/>
      <c r="K19" s="24"/>
      <c r="L19" s="24"/>
      <c r="M19" s="26"/>
      <c r="N19" s="24"/>
      <c r="O19" s="24"/>
    </row>
    <row r="20" spans="1:15">
      <c r="A20" s="24"/>
      <c r="B20" s="24"/>
      <c r="C20" s="24"/>
      <c r="D20" s="24"/>
      <c r="E20" s="26"/>
      <c r="F20" s="24"/>
      <c r="G20" s="24"/>
      <c r="I20" s="24"/>
      <c r="J20" s="24"/>
      <c r="K20" s="24"/>
      <c r="L20" s="24"/>
      <c r="M20" s="26"/>
      <c r="N20" s="24"/>
      <c r="O20" s="24"/>
    </row>
    <row r="21" spans="1:15">
      <c r="A21" s="24"/>
      <c r="B21" s="24"/>
      <c r="C21" s="24"/>
      <c r="D21" s="24"/>
      <c r="E21" s="26"/>
      <c r="F21" s="24"/>
      <c r="G21" s="24"/>
      <c r="I21" s="24"/>
      <c r="J21" s="24"/>
      <c r="K21" s="24"/>
      <c r="L21" s="24"/>
      <c r="M21" s="26"/>
      <c r="N21" s="24"/>
      <c r="O21" s="24"/>
    </row>
    <row r="22" spans="1:15">
      <c r="A22" s="24"/>
      <c r="B22" s="24"/>
      <c r="C22" s="24"/>
      <c r="D22" s="24"/>
      <c r="E22" s="26"/>
      <c r="F22" s="24"/>
      <c r="G22" s="24"/>
      <c r="I22" s="24"/>
      <c r="J22" s="24"/>
      <c r="K22" s="24"/>
      <c r="L22" s="24"/>
      <c r="M22" s="26"/>
      <c r="N22" s="24"/>
      <c r="O22" s="24"/>
    </row>
    <row r="23" spans="1:15">
      <c r="A23" s="24"/>
      <c r="B23" s="24"/>
      <c r="C23" s="24"/>
      <c r="D23" s="24"/>
      <c r="E23" s="26"/>
      <c r="F23" s="24"/>
      <c r="G23" s="24"/>
      <c r="I23" s="24"/>
      <c r="J23" s="24"/>
      <c r="K23" s="24"/>
      <c r="L23" s="24"/>
      <c r="M23" s="26"/>
      <c r="N23" s="24"/>
      <c r="O23" s="24"/>
    </row>
    <row r="24" spans="1:15">
      <c r="A24" s="24"/>
      <c r="B24" s="24"/>
      <c r="C24" s="24"/>
      <c r="D24" s="24"/>
      <c r="E24" s="26"/>
      <c r="F24" s="24"/>
      <c r="G24" s="24"/>
      <c r="I24" s="24"/>
      <c r="J24" s="24"/>
      <c r="K24" s="24"/>
      <c r="L24" s="24"/>
      <c r="M24" s="26"/>
      <c r="N24" s="24"/>
      <c r="O24" s="24"/>
    </row>
    <row r="25" spans="1:15">
      <c r="A25" s="24"/>
      <c r="B25" s="24"/>
      <c r="C25" s="24"/>
      <c r="D25" s="24"/>
      <c r="E25" s="26"/>
      <c r="F25" s="24"/>
      <c r="G25" s="24"/>
      <c r="I25" s="24"/>
      <c r="J25" s="24"/>
      <c r="K25" s="24"/>
      <c r="L25" s="24"/>
      <c r="M25" s="26"/>
      <c r="N25" s="24"/>
      <c r="O25" s="24"/>
    </row>
    <row r="26" spans="1:15">
      <c r="A26" s="24"/>
      <c r="B26" s="24"/>
      <c r="C26" s="24"/>
      <c r="D26" s="24"/>
      <c r="E26" s="26"/>
      <c r="F26" s="24"/>
      <c r="G26" s="24"/>
      <c r="I26" s="24"/>
      <c r="J26" s="24"/>
      <c r="K26" s="24"/>
      <c r="L26" s="24"/>
      <c r="M26" s="26"/>
      <c r="N26" s="24"/>
      <c r="O26" s="24"/>
    </row>
    <row r="27" spans="1:15">
      <c r="A27" s="24"/>
      <c r="B27" s="24"/>
      <c r="C27" s="24"/>
      <c r="D27" s="24"/>
      <c r="E27" s="26"/>
      <c r="F27" s="24"/>
      <c r="G27" s="24"/>
      <c r="I27" s="24"/>
      <c r="J27" s="24"/>
      <c r="K27" s="24"/>
      <c r="L27" s="24"/>
      <c r="M27" s="26"/>
      <c r="N27" s="24"/>
      <c r="O27" s="24"/>
    </row>
    <row r="28" spans="1:15">
      <c r="A28" s="24"/>
      <c r="B28" s="24"/>
      <c r="C28" s="24"/>
      <c r="D28" s="24"/>
      <c r="E28" s="26"/>
      <c r="F28" s="24"/>
      <c r="G28" s="24"/>
      <c r="I28" s="24"/>
      <c r="J28" s="24"/>
      <c r="K28" s="24"/>
      <c r="L28" s="24"/>
      <c r="M28" s="26"/>
      <c r="N28" s="24"/>
      <c r="O28" s="24"/>
    </row>
    <row r="29" spans="1:15">
      <c r="A29" s="24"/>
      <c r="B29" s="24"/>
      <c r="C29" s="24"/>
      <c r="D29" s="24"/>
      <c r="E29" s="26"/>
      <c r="F29" s="24"/>
      <c r="G29" s="24"/>
      <c r="I29" s="24"/>
      <c r="J29" s="24"/>
      <c r="K29" s="24"/>
      <c r="L29" s="24"/>
      <c r="M29" s="26"/>
      <c r="N29" s="24"/>
      <c r="O29" s="24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1AFB-D683-4E27-9C9D-8DF2AAFFDC19}">
  <dimension ref="A1:G481"/>
  <sheetViews>
    <sheetView zoomScaleNormal="100" workbookViewId="0">
      <selection activeCell="I13" sqref="I13"/>
    </sheetView>
  </sheetViews>
  <sheetFormatPr defaultColWidth="8.7109375" defaultRowHeight="15"/>
  <cols>
    <col min="1" max="1" width="13" bestFit="1" customWidth="1"/>
    <col min="2" max="2" width="25.42578125" bestFit="1" customWidth="1"/>
    <col min="3" max="3" width="12.28515625" bestFit="1" customWidth="1"/>
    <col min="4" max="4" width="16.7109375" bestFit="1" customWidth="1"/>
    <col min="5" max="5" width="19.140625" bestFit="1" customWidth="1"/>
    <col min="6" max="6" width="11.28515625" bestFit="1" customWidth="1"/>
    <col min="7" max="7" width="10.28515625" bestFit="1" customWidth="1"/>
  </cols>
  <sheetData>
    <row r="1" spans="1:7">
      <c r="A1" t="s">
        <v>1078</v>
      </c>
      <c r="B1" t="s">
        <v>1079</v>
      </c>
      <c r="C1" t="s">
        <v>47</v>
      </c>
      <c r="D1" t="s">
        <v>1080</v>
      </c>
      <c r="E1" t="s">
        <v>1081</v>
      </c>
      <c r="F1" t="s">
        <v>1070</v>
      </c>
      <c r="G1" t="s">
        <v>1082</v>
      </c>
    </row>
    <row r="2" spans="1:7">
      <c r="A2" t="s">
        <v>608</v>
      </c>
      <c r="B2" t="s">
        <v>1083</v>
      </c>
      <c r="C2" t="s">
        <v>610</v>
      </c>
      <c r="D2" s="1">
        <v>41668</v>
      </c>
      <c r="E2" t="s">
        <v>1084</v>
      </c>
      <c r="F2" t="s">
        <v>1085</v>
      </c>
      <c r="G2" t="s">
        <v>1086</v>
      </c>
    </row>
    <row r="3" spans="1:7">
      <c r="A3" t="s">
        <v>154</v>
      </c>
      <c r="B3" t="s">
        <v>1087</v>
      </c>
      <c r="C3" t="s">
        <v>156</v>
      </c>
      <c r="D3" s="1">
        <v>42919</v>
      </c>
      <c r="E3" t="s">
        <v>1084</v>
      </c>
      <c r="F3" t="s">
        <v>1085</v>
      </c>
      <c r="G3" t="s">
        <v>1088</v>
      </c>
    </row>
    <row r="4" spans="1:7">
      <c r="A4" t="s">
        <v>762</v>
      </c>
      <c r="B4" t="s">
        <v>1089</v>
      </c>
      <c r="C4" t="s">
        <v>725</v>
      </c>
      <c r="D4" s="1">
        <v>38480</v>
      </c>
      <c r="E4" t="s">
        <v>1090</v>
      </c>
      <c r="F4" t="s">
        <v>1085</v>
      </c>
      <c r="G4" t="s">
        <v>1088</v>
      </c>
    </row>
    <row r="5" spans="1:7">
      <c r="A5" t="s">
        <v>723</v>
      </c>
      <c r="B5" t="s">
        <v>1091</v>
      </c>
      <c r="C5" t="s">
        <v>725</v>
      </c>
      <c r="D5" s="1">
        <v>39114</v>
      </c>
      <c r="E5" t="s">
        <v>1090</v>
      </c>
      <c r="F5" t="s">
        <v>1085</v>
      </c>
      <c r="G5" t="s">
        <v>1088</v>
      </c>
    </row>
    <row r="6" spans="1:7">
      <c r="A6" t="s">
        <v>732</v>
      </c>
      <c r="B6" t="s">
        <v>1092</v>
      </c>
      <c r="C6" t="s">
        <v>734</v>
      </c>
      <c r="D6" s="1">
        <v>42901</v>
      </c>
      <c r="E6" t="s">
        <v>1084</v>
      </c>
      <c r="F6" t="s">
        <v>1085</v>
      </c>
      <c r="G6" t="s">
        <v>1086</v>
      </c>
    </row>
    <row r="7" spans="1:7">
      <c r="A7" t="s">
        <v>808</v>
      </c>
      <c r="B7" t="s">
        <v>1093</v>
      </c>
      <c r="C7" t="s">
        <v>810</v>
      </c>
      <c r="D7" s="1">
        <v>37541</v>
      </c>
      <c r="E7" t="s">
        <v>1094</v>
      </c>
      <c r="F7" t="s">
        <v>1085</v>
      </c>
      <c r="G7" t="s">
        <v>1088</v>
      </c>
    </row>
    <row r="8" spans="1:7">
      <c r="A8" t="s">
        <v>220</v>
      </c>
      <c r="B8" t="s">
        <v>1095</v>
      </c>
      <c r="C8" t="s">
        <v>222</v>
      </c>
      <c r="D8" s="1">
        <v>42308</v>
      </c>
      <c r="E8" t="s">
        <v>1084</v>
      </c>
      <c r="F8" t="s">
        <v>1085</v>
      </c>
      <c r="G8" t="s">
        <v>1088</v>
      </c>
    </row>
    <row r="9" spans="1:7">
      <c r="A9" t="s">
        <v>1096</v>
      </c>
      <c r="B9" t="s">
        <v>1097</v>
      </c>
      <c r="C9" t="s">
        <v>1098</v>
      </c>
      <c r="D9" s="1">
        <v>36727</v>
      </c>
      <c r="E9" t="s">
        <v>1099</v>
      </c>
      <c r="F9" t="s">
        <v>1085</v>
      </c>
      <c r="G9" t="s">
        <v>1088</v>
      </c>
    </row>
    <row r="10" spans="1:7">
      <c r="A10" t="s">
        <v>1100</v>
      </c>
      <c r="B10" t="s">
        <v>1101</v>
      </c>
      <c r="C10" t="s">
        <v>1102</v>
      </c>
      <c r="D10" s="1">
        <v>36522</v>
      </c>
      <c r="E10" t="s">
        <v>1094</v>
      </c>
      <c r="F10" t="s">
        <v>1085</v>
      </c>
      <c r="G10" t="s">
        <v>1088</v>
      </c>
    </row>
    <row r="11" spans="1:7">
      <c r="A11" t="s">
        <v>487</v>
      </c>
      <c r="B11" t="s">
        <v>1103</v>
      </c>
      <c r="C11" t="s">
        <v>489</v>
      </c>
      <c r="D11" s="1">
        <v>40912</v>
      </c>
      <c r="E11" t="s">
        <v>1084</v>
      </c>
      <c r="F11" t="s">
        <v>1085</v>
      </c>
      <c r="G11" t="s">
        <v>1088</v>
      </c>
    </row>
    <row r="12" spans="1:7">
      <c r="A12" t="s">
        <v>811</v>
      </c>
      <c r="B12" t="s">
        <v>1104</v>
      </c>
      <c r="C12" t="s">
        <v>813</v>
      </c>
      <c r="D12" s="1">
        <v>37324</v>
      </c>
      <c r="E12" t="s">
        <v>1094</v>
      </c>
      <c r="F12" t="s">
        <v>1085</v>
      </c>
      <c r="G12" t="s">
        <v>1088</v>
      </c>
    </row>
    <row r="13" spans="1:7">
      <c r="A13" t="s">
        <v>408</v>
      </c>
      <c r="B13" t="s">
        <v>1105</v>
      </c>
      <c r="C13" t="s">
        <v>410</v>
      </c>
      <c r="D13" s="1">
        <v>41214</v>
      </c>
      <c r="E13" t="s">
        <v>1084</v>
      </c>
      <c r="F13" t="s">
        <v>1085</v>
      </c>
      <c r="G13" t="s">
        <v>1088</v>
      </c>
    </row>
    <row r="14" spans="1:7">
      <c r="A14" t="s">
        <v>746</v>
      </c>
      <c r="B14" t="s">
        <v>973</v>
      </c>
      <c r="C14" t="s">
        <v>410</v>
      </c>
      <c r="D14" s="1">
        <v>38597</v>
      </c>
      <c r="E14" t="s">
        <v>1090</v>
      </c>
      <c r="F14" t="s">
        <v>1085</v>
      </c>
      <c r="G14" t="s">
        <v>1088</v>
      </c>
    </row>
    <row r="15" spans="1:7">
      <c r="A15" t="s">
        <v>1106</v>
      </c>
      <c r="B15" t="s">
        <v>1047</v>
      </c>
      <c r="C15" t="s">
        <v>1107</v>
      </c>
      <c r="D15" s="1">
        <v>29340</v>
      </c>
      <c r="E15" t="s">
        <v>1094</v>
      </c>
      <c r="F15" t="s">
        <v>1085</v>
      </c>
      <c r="G15" t="s">
        <v>1086</v>
      </c>
    </row>
    <row r="16" spans="1:7">
      <c r="A16" t="s">
        <v>1108</v>
      </c>
      <c r="B16" t="s">
        <v>1109</v>
      </c>
      <c r="C16" t="s">
        <v>1110</v>
      </c>
      <c r="D16" s="1">
        <v>29523</v>
      </c>
      <c r="E16" t="s">
        <v>1094</v>
      </c>
      <c r="F16" t="s">
        <v>1085</v>
      </c>
      <c r="G16" t="s">
        <v>1086</v>
      </c>
    </row>
    <row r="17" spans="1:7">
      <c r="A17" t="s">
        <v>1111</v>
      </c>
      <c r="B17" t="s">
        <v>1112</v>
      </c>
      <c r="C17" t="s">
        <v>1113</v>
      </c>
      <c r="D17" s="1">
        <v>42955</v>
      </c>
      <c r="E17" t="s">
        <v>1084</v>
      </c>
      <c r="F17" t="s">
        <v>1085</v>
      </c>
      <c r="G17" t="s">
        <v>1086</v>
      </c>
    </row>
    <row r="18" spans="1:7">
      <c r="A18" t="s">
        <v>624</v>
      </c>
      <c r="B18" t="s">
        <v>1114</v>
      </c>
      <c r="C18" t="s">
        <v>626</v>
      </c>
      <c r="D18" s="1">
        <v>41706</v>
      </c>
      <c r="E18" t="s">
        <v>1084</v>
      </c>
      <c r="F18" t="s">
        <v>1085</v>
      </c>
      <c r="G18" t="s">
        <v>1086</v>
      </c>
    </row>
    <row r="19" spans="1:7">
      <c r="A19" t="s">
        <v>1115</v>
      </c>
      <c r="B19" t="s">
        <v>1116</v>
      </c>
      <c r="C19" t="s">
        <v>1117</v>
      </c>
      <c r="D19" s="1">
        <v>29885</v>
      </c>
      <c r="E19" t="s">
        <v>1099</v>
      </c>
      <c r="F19" t="s">
        <v>1085</v>
      </c>
      <c r="G19" t="s">
        <v>1088</v>
      </c>
    </row>
    <row r="20" spans="1:7">
      <c r="A20" t="s">
        <v>1118</v>
      </c>
      <c r="B20" t="s">
        <v>1119</v>
      </c>
      <c r="C20" t="s">
        <v>126</v>
      </c>
      <c r="D20" s="1">
        <v>29031</v>
      </c>
      <c r="E20" t="s">
        <v>1094</v>
      </c>
      <c r="F20" t="s">
        <v>1085</v>
      </c>
      <c r="G20" t="s">
        <v>1086</v>
      </c>
    </row>
    <row r="21" spans="1:7">
      <c r="A21" t="s">
        <v>164</v>
      </c>
      <c r="B21" t="s">
        <v>1120</v>
      </c>
      <c r="C21" t="s">
        <v>126</v>
      </c>
      <c r="D21" s="1">
        <v>36077</v>
      </c>
      <c r="E21" t="s">
        <v>1094</v>
      </c>
      <c r="F21" t="s">
        <v>1085</v>
      </c>
      <c r="G21" t="s">
        <v>1086</v>
      </c>
    </row>
    <row r="22" spans="1:7">
      <c r="A22" t="s">
        <v>124</v>
      </c>
      <c r="B22" t="s">
        <v>1121</v>
      </c>
      <c r="C22" t="s">
        <v>126</v>
      </c>
      <c r="D22" s="1">
        <v>34900</v>
      </c>
      <c r="E22" t="s">
        <v>1099</v>
      </c>
      <c r="F22" t="s">
        <v>1085</v>
      </c>
      <c r="G22" t="s">
        <v>1086</v>
      </c>
    </row>
    <row r="23" spans="1:7">
      <c r="A23" t="s">
        <v>1122</v>
      </c>
      <c r="B23" t="s">
        <v>1002</v>
      </c>
      <c r="C23" t="s">
        <v>1123</v>
      </c>
      <c r="D23" s="1">
        <v>33019</v>
      </c>
      <c r="E23" t="s">
        <v>1094</v>
      </c>
      <c r="F23" t="s">
        <v>1085</v>
      </c>
      <c r="G23" t="s">
        <v>1086</v>
      </c>
    </row>
    <row r="24" spans="1:7">
      <c r="A24" t="s">
        <v>1124</v>
      </c>
      <c r="B24" t="s">
        <v>1125</v>
      </c>
      <c r="C24" t="s">
        <v>1126</v>
      </c>
      <c r="D24" s="1">
        <v>38928</v>
      </c>
      <c r="E24" t="s">
        <v>1090</v>
      </c>
      <c r="F24" t="s">
        <v>1085</v>
      </c>
      <c r="G24" t="s">
        <v>1088</v>
      </c>
    </row>
    <row r="25" spans="1:7">
      <c r="A25" t="s">
        <v>692</v>
      </c>
      <c r="B25" t="s">
        <v>1127</v>
      </c>
      <c r="C25" t="s">
        <v>287</v>
      </c>
      <c r="D25" s="1">
        <v>39629</v>
      </c>
      <c r="E25" t="s">
        <v>1128</v>
      </c>
      <c r="F25" t="s">
        <v>1085</v>
      </c>
      <c r="G25" t="s">
        <v>1088</v>
      </c>
    </row>
    <row r="26" spans="1:7">
      <c r="A26" t="s">
        <v>144</v>
      </c>
      <c r="B26" t="s">
        <v>1129</v>
      </c>
      <c r="C26" t="s">
        <v>146</v>
      </c>
      <c r="D26" s="1">
        <v>35372</v>
      </c>
      <c r="E26" t="s">
        <v>1094</v>
      </c>
      <c r="F26" t="s">
        <v>1085</v>
      </c>
      <c r="G26" t="s">
        <v>1086</v>
      </c>
    </row>
    <row r="27" spans="1:7">
      <c r="A27" t="s">
        <v>1130</v>
      </c>
      <c r="B27" t="s">
        <v>1131</v>
      </c>
      <c r="C27" t="s">
        <v>1132</v>
      </c>
      <c r="D27" s="1">
        <v>37771</v>
      </c>
      <c r="E27" t="s">
        <v>1094</v>
      </c>
      <c r="F27" t="s">
        <v>1085</v>
      </c>
      <c r="G27" t="s">
        <v>1088</v>
      </c>
    </row>
    <row r="28" spans="1:7">
      <c r="A28" t="s">
        <v>1133</v>
      </c>
      <c r="B28" t="s">
        <v>1134</v>
      </c>
      <c r="C28" t="s">
        <v>1135</v>
      </c>
      <c r="D28" s="1">
        <v>40373</v>
      </c>
      <c r="E28" t="s">
        <v>1128</v>
      </c>
      <c r="F28" t="s">
        <v>1085</v>
      </c>
      <c r="G28" t="s">
        <v>1088</v>
      </c>
    </row>
    <row r="29" spans="1:7">
      <c r="A29" t="s">
        <v>782</v>
      </c>
      <c r="B29" t="s">
        <v>1136</v>
      </c>
      <c r="C29" t="s">
        <v>784</v>
      </c>
      <c r="D29" s="1">
        <v>38267</v>
      </c>
      <c r="E29" t="s">
        <v>1094</v>
      </c>
      <c r="F29" t="s">
        <v>1085</v>
      </c>
      <c r="G29" t="s">
        <v>1088</v>
      </c>
    </row>
    <row r="30" spans="1:7">
      <c r="A30" t="s">
        <v>680</v>
      </c>
      <c r="B30" t="s">
        <v>1137</v>
      </c>
      <c r="C30" t="s">
        <v>682</v>
      </c>
      <c r="D30" s="1">
        <v>39760</v>
      </c>
      <c r="E30" t="s">
        <v>1128</v>
      </c>
      <c r="F30" t="s">
        <v>1085</v>
      </c>
      <c r="G30" t="s">
        <v>1088</v>
      </c>
    </row>
    <row r="31" spans="1:7">
      <c r="A31" t="s">
        <v>1138</v>
      </c>
      <c r="B31" t="s">
        <v>1139</v>
      </c>
      <c r="C31" t="s">
        <v>572</v>
      </c>
      <c r="D31" s="1">
        <v>38220</v>
      </c>
      <c r="E31" t="s">
        <v>1094</v>
      </c>
      <c r="F31" t="s">
        <v>1085</v>
      </c>
      <c r="G31" t="s">
        <v>1086</v>
      </c>
    </row>
    <row r="32" spans="1:7">
      <c r="A32" t="s">
        <v>570</v>
      </c>
      <c r="B32" t="s">
        <v>1140</v>
      </c>
      <c r="C32" t="s">
        <v>572</v>
      </c>
      <c r="D32" s="1">
        <v>41278</v>
      </c>
      <c r="E32" t="s">
        <v>1084</v>
      </c>
      <c r="F32" t="s">
        <v>1085</v>
      </c>
      <c r="G32" t="s">
        <v>1086</v>
      </c>
    </row>
    <row r="33" spans="1:7">
      <c r="A33" t="s">
        <v>382</v>
      </c>
      <c r="B33" t="s">
        <v>1141</v>
      </c>
      <c r="C33" t="s">
        <v>384</v>
      </c>
      <c r="D33" s="1">
        <v>39676</v>
      </c>
      <c r="E33" t="s">
        <v>1128</v>
      </c>
      <c r="F33" t="s">
        <v>1085</v>
      </c>
      <c r="G33" t="s">
        <v>1086</v>
      </c>
    </row>
    <row r="34" spans="1:7">
      <c r="A34" t="s">
        <v>217</v>
      </c>
      <c r="B34" t="s">
        <v>1142</v>
      </c>
      <c r="C34" t="s">
        <v>219</v>
      </c>
      <c r="D34" s="1">
        <v>37566</v>
      </c>
      <c r="E34" t="s">
        <v>1094</v>
      </c>
      <c r="F34" t="s">
        <v>1085</v>
      </c>
      <c r="G34" t="s">
        <v>1086</v>
      </c>
    </row>
    <row r="35" spans="1:7">
      <c r="A35" t="s">
        <v>1143</v>
      </c>
      <c r="B35" t="s">
        <v>1144</v>
      </c>
      <c r="C35" t="s">
        <v>1145</v>
      </c>
      <c r="D35" s="1">
        <v>42507</v>
      </c>
      <c r="E35" t="s">
        <v>1084</v>
      </c>
      <c r="F35" t="s">
        <v>1085</v>
      </c>
      <c r="G35" t="s">
        <v>1086</v>
      </c>
    </row>
    <row r="36" spans="1:7">
      <c r="A36" t="s">
        <v>634</v>
      </c>
      <c r="B36" t="s">
        <v>1146</v>
      </c>
      <c r="C36" t="s">
        <v>636</v>
      </c>
      <c r="D36" s="1">
        <v>41735</v>
      </c>
      <c r="E36" t="s">
        <v>1084</v>
      </c>
      <c r="F36" t="s">
        <v>1085</v>
      </c>
      <c r="G36" t="s">
        <v>1086</v>
      </c>
    </row>
    <row r="37" spans="1:7">
      <c r="A37" t="s">
        <v>1147</v>
      </c>
      <c r="B37" t="s">
        <v>1148</v>
      </c>
      <c r="C37" t="s">
        <v>1149</v>
      </c>
      <c r="D37" s="1">
        <v>28948</v>
      </c>
      <c r="E37" t="s">
        <v>1099</v>
      </c>
      <c r="F37" t="s">
        <v>1085</v>
      </c>
      <c r="G37" t="s">
        <v>1088</v>
      </c>
    </row>
    <row r="38" spans="1:7">
      <c r="A38" t="s">
        <v>399</v>
      </c>
      <c r="B38" t="s">
        <v>1150</v>
      </c>
      <c r="C38" t="s">
        <v>401</v>
      </c>
      <c r="D38" s="1">
        <v>39753</v>
      </c>
      <c r="E38" t="s">
        <v>1128</v>
      </c>
      <c r="F38" t="s">
        <v>1085</v>
      </c>
      <c r="G38" t="s">
        <v>1086</v>
      </c>
    </row>
    <row r="39" spans="1:7">
      <c r="A39" t="s">
        <v>230</v>
      </c>
      <c r="B39" t="s">
        <v>1151</v>
      </c>
      <c r="C39" t="s">
        <v>232</v>
      </c>
      <c r="D39" s="1">
        <v>37832</v>
      </c>
      <c r="E39" t="s">
        <v>1094</v>
      </c>
      <c r="F39" t="s">
        <v>1085</v>
      </c>
      <c r="G39" t="s">
        <v>1086</v>
      </c>
    </row>
    <row r="40" spans="1:7">
      <c r="A40" t="s">
        <v>616</v>
      </c>
      <c r="B40" t="s">
        <v>1051</v>
      </c>
      <c r="C40" t="s">
        <v>547</v>
      </c>
      <c r="D40" s="1">
        <v>40239</v>
      </c>
      <c r="E40" t="s">
        <v>1128</v>
      </c>
      <c r="F40" t="s">
        <v>1085</v>
      </c>
      <c r="G40" t="s">
        <v>1088</v>
      </c>
    </row>
    <row r="41" spans="1:7">
      <c r="A41" t="s">
        <v>545</v>
      </c>
      <c r="B41" t="s">
        <v>1152</v>
      </c>
      <c r="C41" t="s">
        <v>547</v>
      </c>
      <c r="D41" s="1">
        <v>40538</v>
      </c>
      <c r="E41" t="s">
        <v>1128</v>
      </c>
      <c r="F41" t="s">
        <v>1085</v>
      </c>
      <c r="G41" t="s">
        <v>1088</v>
      </c>
    </row>
    <row r="42" spans="1:7">
      <c r="A42" t="s">
        <v>252</v>
      </c>
      <c r="B42" t="s">
        <v>1153</v>
      </c>
      <c r="C42" t="s">
        <v>254</v>
      </c>
      <c r="D42" s="1">
        <v>37971</v>
      </c>
      <c r="E42" t="s">
        <v>1094</v>
      </c>
      <c r="F42" t="s">
        <v>1085</v>
      </c>
      <c r="G42" t="s">
        <v>1086</v>
      </c>
    </row>
    <row r="43" spans="1:7">
      <c r="A43" t="s">
        <v>379</v>
      </c>
      <c r="B43" t="s">
        <v>1154</v>
      </c>
      <c r="C43" t="s">
        <v>381</v>
      </c>
      <c r="D43" s="1">
        <v>41398</v>
      </c>
      <c r="E43" t="s">
        <v>1084</v>
      </c>
      <c r="F43" t="s">
        <v>1085</v>
      </c>
      <c r="G43" t="s">
        <v>1088</v>
      </c>
    </row>
    <row r="44" spans="1:7">
      <c r="A44" t="s">
        <v>1155</v>
      </c>
      <c r="B44" t="s">
        <v>1156</v>
      </c>
      <c r="C44" t="s">
        <v>1157</v>
      </c>
      <c r="D44" s="1">
        <v>28329</v>
      </c>
      <c r="E44" t="s">
        <v>1099</v>
      </c>
      <c r="F44" t="s">
        <v>1085</v>
      </c>
      <c r="G44" t="s">
        <v>1088</v>
      </c>
    </row>
    <row r="45" spans="1:7">
      <c r="A45" t="s">
        <v>594</v>
      </c>
      <c r="B45" t="s">
        <v>1158</v>
      </c>
      <c r="C45" t="s">
        <v>596</v>
      </c>
      <c r="D45" s="1">
        <v>40327</v>
      </c>
      <c r="E45" t="s">
        <v>1128</v>
      </c>
      <c r="F45" t="s">
        <v>1085</v>
      </c>
      <c r="G45" t="s">
        <v>1088</v>
      </c>
    </row>
    <row r="46" spans="1:7">
      <c r="A46" t="s">
        <v>632</v>
      </c>
      <c r="B46" t="s">
        <v>1159</v>
      </c>
      <c r="C46" t="s">
        <v>596</v>
      </c>
      <c r="D46" s="1">
        <v>40189</v>
      </c>
      <c r="E46" t="s">
        <v>1128</v>
      </c>
      <c r="F46" t="s">
        <v>1085</v>
      </c>
      <c r="G46" t="s">
        <v>1088</v>
      </c>
    </row>
    <row r="47" spans="1:7">
      <c r="A47" t="s">
        <v>829</v>
      </c>
      <c r="B47" t="s">
        <v>1160</v>
      </c>
      <c r="C47" t="s">
        <v>596</v>
      </c>
      <c r="D47" s="1">
        <v>36938</v>
      </c>
      <c r="E47" t="s">
        <v>1094</v>
      </c>
      <c r="F47" t="s">
        <v>1085</v>
      </c>
      <c r="G47" t="s">
        <v>1088</v>
      </c>
    </row>
    <row r="48" spans="1:7">
      <c r="A48" t="s">
        <v>1161</v>
      </c>
      <c r="B48" t="s">
        <v>1162</v>
      </c>
      <c r="C48" t="s">
        <v>1163</v>
      </c>
      <c r="D48" s="1">
        <v>33777</v>
      </c>
      <c r="E48" t="s">
        <v>1099</v>
      </c>
      <c r="F48" t="s">
        <v>1085</v>
      </c>
      <c r="G48" t="s">
        <v>1088</v>
      </c>
    </row>
    <row r="49" spans="1:7">
      <c r="A49" t="s">
        <v>446</v>
      </c>
      <c r="B49" t="s">
        <v>1164</v>
      </c>
      <c r="C49" t="s">
        <v>448</v>
      </c>
      <c r="D49" s="1">
        <v>40112</v>
      </c>
      <c r="E49" t="s">
        <v>1128</v>
      </c>
      <c r="F49" t="s">
        <v>1085</v>
      </c>
      <c r="G49" t="s">
        <v>1086</v>
      </c>
    </row>
    <row r="50" spans="1:7">
      <c r="A50" t="s">
        <v>457</v>
      </c>
      <c r="B50" t="s">
        <v>1165</v>
      </c>
      <c r="C50" t="s">
        <v>459</v>
      </c>
      <c r="D50" s="1">
        <v>40253</v>
      </c>
      <c r="E50" t="s">
        <v>1128</v>
      </c>
      <c r="F50" t="s">
        <v>1085</v>
      </c>
      <c r="G50" t="s">
        <v>1086</v>
      </c>
    </row>
    <row r="51" spans="1:7">
      <c r="A51" t="s">
        <v>686</v>
      </c>
      <c r="B51" t="s">
        <v>1166</v>
      </c>
      <c r="C51" t="s">
        <v>688</v>
      </c>
      <c r="D51" s="1">
        <v>39751</v>
      </c>
      <c r="E51" t="s">
        <v>1128</v>
      </c>
      <c r="F51" t="s">
        <v>1085</v>
      </c>
      <c r="G51" t="s">
        <v>1088</v>
      </c>
    </row>
    <row r="52" spans="1:7">
      <c r="A52" t="s">
        <v>882</v>
      </c>
      <c r="B52" t="s">
        <v>1167</v>
      </c>
      <c r="C52" t="s">
        <v>884</v>
      </c>
      <c r="D52" s="1">
        <v>31086</v>
      </c>
      <c r="E52" t="s">
        <v>1168</v>
      </c>
      <c r="F52" t="s">
        <v>1085</v>
      </c>
      <c r="G52" t="s">
        <v>1088</v>
      </c>
    </row>
    <row r="53" spans="1:7">
      <c r="A53" t="s">
        <v>1169</v>
      </c>
      <c r="B53" t="s">
        <v>1170</v>
      </c>
      <c r="C53" t="s">
        <v>1171</v>
      </c>
      <c r="D53" s="1">
        <v>29725</v>
      </c>
      <c r="E53" t="s">
        <v>1094</v>
      </c>
      <c r="F53" t="s">
        <v>1085</v>
      </c>
      <c r="G53" t="s">
        <v>1086</v>
      </c>
    </row>
    <row r="54" spans="1:7">
      <c r="A54" t="s">
        <v>756</v>
      </c>
      <c r="B54" t="s">
        <v>1172</v>
      </c>
      <c r="C54" t="s">
        <v>758</v>
      </c>
      <c r="D54" s="1">
        <v>38509</v>
      </c>
      <c r="E54" t="s">
        <v>1090</v>
      </c>
      <c r="F54" t="s">
        <v>1085</v>
      </c>
      <c r="G54" t="s">
        <v>1088</v>
      </c>
    </row>
    <row r="55" spans="1:7">
      <c r="A55" t="s">
        <v>653</v>
      </c>
      <c r="B55" t="s">
        <v>1173</v>
      </c>
      <c r="C55" t="s">
        <v>655</v>
      </c>
      <c r="D55" s="1">
        <v>40075</v>
      </c>
      <c r="E55" t="s">
        <v>1128</v>
      </c>
      <c r="F55" t="s">
        <v>1085</v>
      </c>
      <c r="G55" t="s">
        <v>1088</v>
      </c>
    </row>
    <row r="56" spans="1:7">
      <c r="A56" t="s">
        <v>1174</v>
      </c>
      <c r="B56" t="s">
        <v>1175</v>
      </c>
      <c r="C56" t="s">
        <v>676</v>
      </c>
      <c r="D56" s="1">
        <v>41223</v>
      </c>
      <c r="E56" t="s">
        <v>1084</v>
      </c>
      <c r="F56" t="s">
        <v>1085</v>
      </c>
      <c r="G56" t="s">
        <v>1088</v>
      </c>
    </row>
    <row r="57" spans="1:7">
      <c r="A57" t="s">
        <v>674</v>
      </c>
      <c r="B57" t="s">
        <v>1176</v>
      </c>
      <c r="C57" t="s">
        <v>676</v>
      </c>
      <c r="D57" s="1">
        <v>39804</v>
      </c>
      <c r="E57" t="s">
        <v>1128</v>
      </c>
      <c r="F57" t="s">
        <v>1085</v>
      </c>
      <c r="G57" t="s">
        <v>1088</v>
      </c>
    </row>
    <row r="58" spans="1:7">
      <c r="A58" t="s">
        <v>110</v>
      </c>
      <c r="B58" t="s">
        <v>1177</v>
      </c>
      <c r="C58" t="s">
        <v>112</v>
      </c>
      <c r="D58" s="1">
        <v>34464</v>
      </c>
      <c r="E58" t="s">
        <v>1094</v>
      </c>
      <c r="F58" t="s">
        <v>1085</v>
      </c>
      <c r="G58" t="s">
        <v>1086</v>
      </c>
    </row>
    <row r="59" spans="1:7">
      <c r="A59" t="s">
        <v>319</v>
      </c>
      <c r="B59" t="s">
        <v>1178</v>
      </c>
      <c r="C59" t="s">
        <v>321</v>
      </c>
      <c r="D59" s="1">
        <v>41586</v>
      </c>
      <c r="E59" t="s">
        <v>1084</v>
      </c>
      <c r="F59" t="s">
        <v>1085</v>
      </c>
      <c r="G59" t="s">
        <v>1088</v>
      </c>
    </row>
    <row r="60" spans="1:7">
      <c r="A60" t="s">
        <v>551</v>
      </c>
      <c r="B60" t="s">
        <v>1179</v>
      </c>
      <c r="C60" t="s">
        <v>553</v>
      </c>
      <c r="D60" s="1">
        <v>40512</v>
      </c>
      <c r="E60" t="s">
        <v>1128</v>
      </c>
      <c r="F60" t="s">
        <v>1085</v>
      </c>
      <c r="G60" t="s">
        <v>1088</v>
      </c>
    </row>
    <row r="61" spans="1:7">
      <c r="A61" t="s">
        <v>588</v>
      </c>
      <c r="B61" t="s">
        <v>1055</v>
      </c>
      <c r="C61" t="s">
        <v>590</v>
      </c>
      <c r="D61" s="1">
        <v>40328</v>
      </c>
      <c r="E61" t="s">
        <v>1128</v>
      </c>
      <c r="F61" t="s">
        <v>1085</v>
      </c>
      <c r="G61" t="s">
        <v>1088</v>
      </c>
    </row>
    <row r="62" spans="1:7">
      <c r="A62" t="s">
        <v>848</v>
      </c>
      <c r="B62" t="s">
        <v>1180</v>
      </c>
      <c r="C62" t="s">
        <v>393</v>
      </c>
      <c r="D62" s="1">
        <v>35337</v>
      </c>
      <c r="E62" t="s">
        <v>1094</v>
      </c>
      <c r="F62" t="s">
        <v>1085</v>
      </c>
      <c r="G62" t="s">
        <v>1088</v>
      </c>
    </row>
    <row r="63" spans="1:7">
      <c r="A63" t="s">
        <v>391</v>
      </c>
      <c r="B63" t="s">
        <v>1181</v>
      </c>
      <c r="C63" t="s">
        <v>393</v>
      </c>
      <c r="D63" s="1">
        <v>41323</v>
      </c>
      <c r="E63" t="s">
        <v>1084</v>
      </c>
      <c r="F63" t="s">
        <v>1085</v>
      </c>
      <c r="G63" t="s">
        <v>1088</v>
      </c>
    </row>
    <row r="64" spans="1:7">
      <c r="A64" t="s">
        <v>1182</v>
      </c>
      <c r="B64" t="s">
        <v>1183</v>
      </c>
      <c r="C64" t="s">
        <v>393</v>
      </c>
      <c r="D64" s="1">
        <v>33690</v>
      </c>
      <c r="E64" t="s">
        <v>1094</v>
      </c>
      <c r="F64" t="s">
        <v>1085</v>
      </c>
      <c r="G64" t="s">
        <v>1088</v>
      </c>
    </row>
    <row r="65" spans="1:7">
      <c r="A65" t="s">
        <v>466</v>
      </c>
      <c r="B65" t="s">
        <v>1184</v>
      </c>
      <c r="C65" t="s">
        <v>425</v>
      </c>
      <c r="D65" s="1">
        <v>41014</v>
      </c>
      <c r="E65" t="s">
        <v>1084</v>
      </c>
      <c r="F65" t="s">
        <v>1085</v>
      </c>
      <c r="G65" t="s">
        <v>1088</v>
      </c>
    </row>
    <row r="66" spans="1:7">
      <c r="A66" t="s">
        <v>806</v>
      </c>
      <c r="B66" t="s">
        <v>1185</v>
      </c>
      <c r="C66" t="s">
        <v>425</v>
      </c>
      <c r="D66" s="1">
        <v>37551</v>
      </c>
      <c r="E66" t="s">
        <v>1094</v>
      </c>
      <c r="F66" t="s">
        <v>1085</v>
      </c>
      <c r="G66" t="s">
        <v>1088</v>
      </c>
    </row>
    <row r="67" spans="1:7">
      <c r="A67" t="s">
        <v>1186</v>
      </c>
      <c r="B67" t="s">
        <v>1057</v>
      </c>
      <c r="C67" t="s">
        <v>425</v>
      </c>
      <c r="D67" s="1">
        <v>41167</v>
      </c>
      <c r="E67" t="s">
        <v>1084</v>
      </c>
      <c r="F67" t="s">
        <v>1085</v>
      </c>
      <c r="G67" t="s">
        <v>1088</v>
      </c>
    </row>
    <row r="68" spans="1:7">
      <c r="A68" t="s">
        <v>373</v>
      </c>
      <c r="B68" t="s">
        <v>1187</v>
      </c>
      <c r="C68" t="s">
        <v>375</v>
      </c>
      <c r="D68" s="1">
        <v>41407</v>
      </c>
      <c r="E68" t="s">
        <v>1084</v>
      </c>
      <c r="F68" t="s">
        <v>1085</v>
      </c>
      <c r="G68" t="s">
        <v>1088</v>
      </c>
    </row>
    <row r="69" spans="1:7">
      <c r="A69" t="s">
        <v>600</v>
      </c>
      <c r="B69" t="s">
        <v>1188</v>
      </c>
      <c r="C69" t="s">
        <v>602</v>
      </c>
      <c r="D69" s="1">
        <v>40329</v>
      </c>
      <c r="E69" t="s">
        <v>1128</v>
      </c>
      <c r="F69" t="s">
        <v>1085</v>
      </c>
      <c r="G69" t="s">
        <v>1088</v>
      </c>
    </row>
    <row r="70" spans="1:7">
      <c r="A70" t="s">
        <v>581</v>
      </c>
      <c r="B70" t="s">
        <v>1189</v>
      </c>
      <c r="C70" t="s">
        <v>583</v>
      </c>
      <c r="D70" s="1">
        <v>41299</v>
      </c>
      <c r="E70" t="s">
        <v>1084</v>
      </c>
      <c r="F70" t="s">
        <v>1085</v>
      </c>
      <c r="G70" t="s">
        <v>1086</v>
      </c>
    </row>
    <row r="71" spans="1:7">
      <c r="A71" t="s">
        <v>511</v>
      </c>
      <c r="B71" t="s">
        <v>1190</v>
      </c>
      <c r="C71" t="s">
        <v>513</v>
      </c>
      <c r="D71" s="1">
        <v>40722</v>
      </c>
      <c r="E71" t="s">
        <v>1084</v>
      </c>
      <c r="F71" t="s">
        <v>1085</v>
      </c>
      <c r="G71" t="s">
        <v>1088</v>
      </c>
    </row>
    <row r="72" spans="1:7">
      <c r="A72" t="s">
        <v>355</v>
      </c>
      <c r="B72" t="s">
        <v>1191</v>
      </c>
      <c r="C72" t="s">
        <v>85</v>
      </c>
      <c r="D72" s="1">
        <v>41477</v>
      </c>
      <c r="E72" t="s">
        <v>1084</v>
      </c>
      <c r="F72" t="s">
        <v>1085</v>
      </c>
      <c r="G72" t="s">
        <v>1088</v>
      </c>
    </row>
    <row r="73" spans="1:7">
      <c r="A73" t="s">
        <v>430</v>
      </c>
      <c r="B73" t="s">
        <v>1192</v>
      </c>
      <c r="C73" t="s">
        <v>432</v>
      </c>
      <c r="D73" s="1">
        <v>41159</v>
      </c>
      <c r="E73" t="s">
        <v>1084</v>
      </c>
      <c r="F73" t="s">
        <v>1085</v>
      </c>
      <c r="G73" t="s">
        <v>1088</v>
      </c>
    </row>
    <row r="74" spans="1:7">
      <c r="A74" t="s">
        <v>573</v>
      </c>
      <c r="B74" t="s">
        <v>1193</v>
      </c>
      <c r="C74" t="s">
        <v>432</v>
      </c>
      <c r="D74" s="1">
        <v>40429</v>
      </c>
      <c r="E74" t="s">
        <v>1128</v>
      </c>
      <c r="F74" t="s">
        <v>1085</v>
      </c>
      <c r="G74" t="s">
        <v>1088</v>
      </c>
    </row>
    <row r="75" spans="1:7">
      <c r="A75" t="s">
        <v>578</v>
      </c>
      <c r="B75" t="s">
        <v>1194</v>
      </c>
      <c r="C75" t="s">
        <v>580</v>
      </c>
      <c r="D75" s="1">
        <v>40344</v>
      </c>
      <c r="E75" t="s">
        <v>1128</v>
      </c>
      <c r="F75" t="s">
        <v>1085</v>
      </c>
      <c r="G75" t="s">
        <v>1088</v>
      </c>
    </row>
    <row r="76" spans="1:7">
      <c r="A76" t="s">
        <v>454</v>
      </c>
      <c r="B76" t="s">
        <v>1195</v>
      </c>
      <c r="C76" t="s">
        <v>456</v>
      </c>
      <c r="D76" s="1">
        <v>41068</v>
      </c>
      <c r="E76" t="s">
        <v>1084</v>
      </c>
      <c r="F76" t="s">
        <v>1085</v>
      </c>
      <c r="G76" t="s">
        <v>1088</v>
      </c>
    </row>
    <row r="77" spans="1:7">
      <c r="A77" t="s">
        <v>1196</v>
      </c>
      <c r="B77" t="s">
        <v>1197</v>
      </c>
      <c r="C77" t="s">
        <v>556</v>
      </c>
      <c r="D77" s="1">
        <v>40974</v>
      </c>
      <c r="E77" t="s">
        <v>1084</v>
      </c>
      <c r="F77" t="s">
        <v>1085</v>
      </c>
      <c r="G77" t="s">
        <v>1086</v>
      </c>
    </row>
    <row r="78" spans="1:7">
      <c r="A78" t="s">
        <v>1198</v>
      </c>
      <c r="B78" t="s">
        <v>1199</v>
      </c>
      <c r="C78" t="s">
        <v>65</v>
      </c>
      <c r="D78" s="1">
        <v>39878</v>
      </c>
      <c r="E78" t="s">
        <v>1128</v>
      </c>
      <c r="F78" t="s">
        <v>1085</v>
      </c>
      <c r="G78" t="s">
        <v>1088</v>
      </c>
    </row>
    <row r="79" spans="1:7">
      <c r="A79" t="s">
        <v>611</v>
      </c>
      <c r="B79" t="s">
        <v>1200</v>
      </c>
      <c r="C79" t="s">
        <v>613</v>
      </c>
      <c r="D79" s="1">
        <v>40243</v>
      </c>
      <c r="E79" t="s">
        <v>1128</v>
      </c>
      <c r="F79" t="s">
        <v>1085</v>
      </c>
      <c r="G79" t="s">
        <v>1088</v>
      </c>
    </row>
    <row r="80" spans="1:7">
      <c r="A80" t="s">
        <v>1201</v>
      </c>
      <c r="B80" t="s">
        <v>1202</v>
      </c>
      <c r="C80" t="s">
        <v>1203</v>
      </c>
      <c r="D80" s="1">
        <v>38263</v>
      </c>
      <c r="E80" t="s">
        <v>1094</v>
      </c>
      <c r="F80" t="s">
        <v>1085</v>
      </c>
      <c r="G80" t="s">
        <v>1088</v>
      </c>
    </row>
    <row r="81" spans="1:7">
      <c r="A81" t="s">
        <v>131</v>
      </c>
      <c r="B81" t="s">
        <v>1204</v>
      </c>
      <c r="C81" t="s">
        <v>133</v>
      </c>
      <c r="D81" s="1">
        <v>35270</v>
      </c>
      <c r="E81" t="s">
        <v>1099</v>
      </c>
      <c r="F81" t="s">
        <v>1085</v>
      </c>
      <c r="G81" t="s">
        <v>1086</v>
      </c>
    </row>
    <row r="82" spans="1:7">
      <c r="A82" t="s">
        <v>560</v>
      </c>
      <c r="B82" t="s">
        <v>1049</v>
      </c>
      <c r="C82" t="s">
        <v>133</v>
      </c>
      <c r="D82" s="1">
        <v>41044</v>
      </c>
      <c r="E82" t="s">
        <v>1084</v>
      </c>
      <c r="F82" t="s">
        <v>1085</v>
      </c>
      <c r="G82" t="s">
        <v>1086</v>
      </c>
    </row>
    <row r="83" spans="1:7">
      <c r="A83" t="s">
        <v>328</v>
      </c>
      <c r="B83" t="s">
        <v>1205</v>
      </c>
      <c r="C83" t="s">
        <v>133</v>
      </c>
      <c r="D83" s="1">
        <v>39196</v>
      </c>
      <c r="E83" t="s">
        <v>1090</v>
      </c>
      <c r="F83" t="s">
        <v>1085</v>
      </c>
      <c r="G83" t="s">
        <v>1086</v>
      </c>
    </row>
    <row r="84" spans="1:7">
      <c r="A84" t="s">
        <v>591</v>
      </c>
      <c r="B84" t="s">
        <v>1206</v>
      </c>
      <c r="C84" t="s">
        <v>593</v>
      </c>
      <c r="D84" s="1">
        <v>41375</v>
      </c>
      <c r="E84" t="s">
        <v>1084</v>
      </c>
      <c r="F84" t="s">
        <v>1085</v>
      </c>
      <c r="G84" t="s">
        <v>1086</v>
      </c>
    </row>
    <row r="85" spans="1:7">
      <c r="A85" t="s">
        <v>677</v>
      </c>
      <c r="B85" t="s">
        <v>1207</v>
      </c>
      <c r="C85" t="s">
        <v>679</v>
      </c>
      <c r="D85" s="1">
        <v>42011</v>
      </c>
      <c r="E85" t="s">
        <v>1084</v>
      </c>
      <c r="F85" t="s">
        <v>1085</v>
      </c>
      <c r="G85" t="s">
        <v>1086</v>
      </c>
    </row>
    <row r="86" spans="1:7">
      <c r="A86" t="s">
        <v>637</v>
      </c>
      <c r="B86" t="s">
        <v>1208</v>
      </c>
      <c r="C86" t="s">
        <v>639</v>
      </c>
      <c r="D86" s="1">
        <v>40169</v>
      </c>
      <c r="E86" t="s">
        <v>1128</v>
      </c>
      <c r="F86" t="s">
        <v>1085</v>
      </c>
      <c r="G86" t="s">
        <v>1088</v>
      </c>
    </row>
    <row r="87" spans="1:7">
      <c r="A87" t="s">
        <v>80</v>
      </c>
      <c r="B87" t="s">
        <v>1209</v>
      </c>
      <c r="C87" t="s">
        <v>82</v>
      </c>
      <c r="D87" s="1">
        <v>32170</v>
      </c>
      <c r="E87" t="s">
        <v>1168</v>
      </c>
      <c r="F87" t="s">
        <v>1085</v>
      </c>
      <c r="G87" t="s">
        <v>1086</v>
      </c>
    </row>
    <row r="88" spans="1:7">
      <c r="A88" t="s">
        <v>1210</v>
      </c>
      <c r="B88" t="s">
        <v>1211</v>
      </c>
      <c r="C88" t="s">
        <v>1212</v>
      </c>
      <c r="D88" s="1">
        <v>33146</v>
      </c>
      <c r="E88" t="s">
        <v>1099</v>
      </c>
      <c r="F88" t="s">
        <v>1085</v>
      </c>
      <c r="G88" t="s">
        <v>1088</v>
      </c>
    </row>
    <row r="89" spans="1:7">
      <c r="A89" t="s">
        <v>396</v>
      </c>
      <c r="B89" t="s">
        <v>1213</v>
      </c>
      <c r="C89" t="s">
        <v>398</v>
      </c>
      <c r="D89" s="1">
        <v>41303</v>
      </c>
      <c r="E89" t="s">
        <v>1084</v>
      </c>
      <c r="F89" t="s">
        <v>1085</v>
      </c>
      <c r="G89" t="s">
        <v>1088</v>
      </c>
    </row>
    <row r="90" spans="1:7">
      <c r="A90" t="s">
        <v>191</v>
      </c>
      <c r="B90" t="s">
        <v>1214</v>
      </c>
      <c r="C90" t="s">
        <v>193</v>
      </c>
      <c r="D90" s="1">
        <v>42481</v>
      </c>
      <c r="E90" t="s">
        <v>1084</v>
      </c>
      <c r="F90" t="s">
        <v>1085</v>
      </c>
      <c r="G90" t="s">
        <v>1088</v>
      </c>
    </row>
    <row r="91" spans="1:7">
      <c r="A91" t="s">
        <v>707</v>
      </c>
      <c r="B91" t="s">
        <v>1215</v>
      </c>
      <c r="C91" t="s">
        <v>709</v>
      </c>
      <c r="D91" s="1">
        <v>39328</v>
      </c>
      <c r="E91" t="s">
        <v>1090</v>
      </c>
      <c r="F91" t="s">
        <v>1085</v>
      </c>
      <c r="G91" t="s">
        <v>1088</v>
      </c>
    </row>
    <row r="92" spans="1:7">
      <c r="A92" t="s">
        <v>312</v>
      </c>
      <c r="B92" t="s">
        <v>1216</v>
      </c>
      <c r="C92" t="s">
        <v>314</v>
      </c>
      <c r="D92" s="1">
        <v>41662</v>
      </c>
      <c r="E92" t="s">
        <v>1084</v>
      </c>
      <c r="F92" t="s">
        <v>1085</v>
      </c>
      <c r="G92" t="s">
        <v>1088</v>
      </c>
    </row>
    <row r="93" spans="1:7">
      <c r="A93" t="s">
        <v>345</v>
      </c>
      <c r="B93" t="s">
        <v>1217</v>
      </c>
      <c r="C93" t="s">
        <v>347</v>
      </c>
      <c r="D93" s="1">
        <v>39356</v>
      </c>
      <c r="E93" t="s">
        <v>1090</v>
      </c>
      <c r="F93" t="s">
        <v>1085</v>
      </c>
      <c r="G93" t="s">
        <v>1086</v>
      </c>
    </row>
    <row r="94" spans="1:7">
      <c r="A94" t="s">
        <v>1218</v>
      </c>
      <c r="B94" t="s">
        <v>1219</v>
      </c>
      <c r="C94" t="s">
        <v>1220</v>
      </c>
      <c r="D94" s="1">
        <v>35451</v>
      </c>
      <c r="E94" t="s">
        <v>1094</v>
      </c>
      <c r="F94" t="s">
        <v>1085</v>
      </c>
      <c r="G94" t="s">
        <v>1086</v>
      </c>
    </row>
    <row r="95" spans="1:7">
      <c r="A95" t="s">
        <v>92</v>
      </c>
      <c r="B95" t="s">
        <v>1221</v>
      </c>
      <c r="C95" t="s">
        <v>94</v>
      </c>
      <c r="D95" s="1">
        <v>33100</v>
      </c>
      <c r="E95" t="s">
        <v>1094</v>
      </c>
      <c r="F95" t="s">
        <v>1085</v>
      </c>
      <c r="G95" t="s">
        <v>1086</v>
      </c>
    </row>
    <row r="96" spans="1:7">
      <c r="A96" t="s">
        <v>1222</v>
      </c>
      <c r="B96" t="s">
        <v>1223</v>
      </c>
      <c r="C96" t="s">
        <v>1224</v>
      </c>
      <c r="D96" s="1">
        <v>25273</v>
      </c>
      <c r="E96" t="s">
        <v>1099</v>
      </c>
      <c r="F96" t="s">
        <v>1085</v>
      </c>
      <c r="G96" t="s">
        <v>1086</v>
      </c>
    </row>
    <row r="97" spans="1:7">
      <c r="A97" t="s">
        <v>1225</v>
      </c>
      <c r="B97" t="s">
        <v>1226</v>
      </c>
      <c r="C97" t="s">
        <v>1227</v>
      </c>
      <c r="D97" s="1">
        <v>36013</v>
      </c>
      <c r="E97" t="s">
        <v>1094</v>
      </c>
      <c r="F97" t="s">
        <v>1085</v>
      </c>
      <c r="G97" t="s">
        <v>1088</v>
      </c>
    </row>
    <row r="98" spans="1:7">
      <c r="A98" t="s">
        <v>452</v>
      </c>
      <c r="B98" t="s">
        <v>1228</v>
      </c>
      <c r="C98" t="s">
        <v>359</v>
      </c>
      <c r="D98" s="1">
        <v>40169</v>
      </c>
      <c r="E98" t="s">
        <v>1128</v>
      </c>
      <c r="F98" t="s">
        <v>1085</v>
      </c>
      <c r="G98" t="s">
        <v>1086</v>
      </c>
    </row>
    <row r="99" spans="1:7">
      <c r="A99" t="s">
        <v>357</v>
      </c>
      <c r="B99" t="s">
        <v>1229</v>
      </c>
      <c r="C99" t="s">
        <v>359</v>
      </c>
      <c r="D99" s="1">
        <v>39367</v>
      </c>
      <c r="E99" t="s">
        <v>1090</v>
      </c>
      <c r="F99" t="s">
        <v>1085</v>
      </c>
      <c r="G99" t="s">
        <v>1086</v>
      </c>
    </row>
    <row r="100" spans="1:7">
      <c r="A100" t="s">
        <v>1230</v>
      </c>
      <c r="B100" t="s">
        <v>991</v>
      </c>
      <c r="C100" t="s">
        <v>442</v>
      </c>
      <c r="D100" s="1">
        <v>31083</v>
      </c>
      <c r="E100" t="s">
        <v>1099</v>
      </c>
      <c r="F100" t="s">
        <v>1085</v>
      </c>
      <c r="G100" t="s">
        <v>1086</v>
      </c>
    </row>
    <row r="101" spans="1:7">
      <c r="A101" t="s">
        <v>440</v>
      </c>
      <c r="B101" t="s">
        <v>1231</v>
      </c>
      <c r="C101" t="s">
        <v>442</v>
      </c>
      <c r="D101" s="1">
        <v>40100</v>
      </c>
      <c r="E101" t="s">
        <v>1128</v>
      </c>
      <c r="F101" t="s">
        <v>1085</v>
      </c>
      <c r="G101" t="s">
        <v>1086</v>
      </c>
    </row>
    <row r="102" spans="1:7">
      <c r="A102" t="s">
        <v>449</v>
      </c>
      <c r="B102" t="s">
        <v>1232</v>
      </c>
      <c r="C102" t="s">
        <v>451</v>
      </c>
      <c r="D102" s="1">
        <v>41108</v>
      </c>
      <c r="E102" t="s">
        <v>1084</v>
      </c>
      <c r="F102" t="s">
        <v>1085</v>
      </c>
      <c r="G102" t="s">
        <v>1088</v>
      </c>
    </row>
    <row r="103" spans="1:7">
      <c r="A103" t="s">
        <v>1233</v>
      </c>
      <c r="B103" t="s">
        <v>1234</v>
      </c>
      <c r="C103" t="s">
        <v>1235</v>
      </c>
      <c r="D103" s="1">
        <v>37807</v>
      </c>
      <c r="E103" t="s">
        <v>1094</v>
      </c>
      <c r="F103" t="s">
        <v>1085</v>
      </c>
      <c r="G103" t="s">
        <v>1088</v>
      </c>
    </row>
    <row r="104" spans="1:7">
      <c r="A104" t="s">
        <v>257</v>
      </c>
      <c r="B104" t="s">
        <v>1236</v>
      </c>
      <c r="C104" t="s">
        <v>259</v>
      </c>
      <c r="D104" s="1">
        <v>37974</v>
      </c>
      <c r="E104" t="s">
        <v>1094</v>
      </c>
      <c r="F104" t="s">
        <v>1085</v>
      </c>
      <c r="G104" t="s">
        <v>1086</v>
      </c>
    </row>
    <row r="105" spans="1:7">
      <c r="A105" t="s">
        <v>289</v>
      </c>
      <c r="B105" t="s">
        <v>986</v>
      </c>
      <c r="C105" t="s">
        <v>259</v>
      </c>
      <c r="D105" s="1">
        <v>38578</v>
      </c>
      <c r="E105" t="s">
        <v>1090</v>
      </c>
      <c r="F105" t="s">
        <v>1085</v>
      </c>
      <c r="G105" t="s">
        <v>1086</v>
      </c>
    </row>
    <row r="106" spans="1:7">
      <c r="A106" t="s">
        <v>1237</v>
      </c>
      <c r="B106" t="s">
        <v>1238</v>
      </c>
      <c r="C106" t="s">
        <v>1239</v>
      </c>
      <c r="D106" s="1">
        <v>35145</v>
      </c>
      <c r="E106" t="s">
        <v>1099</v>
      </c>
      <c r="F106" t="s">
        <v>1085</v>
      </c>
      <c r="G106" t="s">
        <v>1086</v>
      </c>
    </row>
    <row r="107" spans="1:7">
      <c r="A107" t="s">
        <v>298</v>
      </c>
      <c r="B107" t="s">
        <v>1058</v>
      </c>
      <c r="C107" t="s">
        <v>300</v>
      </c>
      <c r="D107" s="1">
        <v>41692</v>
      </c>
      <c r="E107" t="s">
        <v>1084</v>
      </c>
      <c r="F107" t="s">
        <v>1085</v>
      </c>
      <c r="G107" t="s">
        <v>1088</v>
      </c>
    </row>
    <row r="108" spans="1:7">
      <c r="A108" t="s">
        <v>468</v>
      </c>
      <c r="B108" t="s">
        <v>1033</v>
      </c>
      <c r="C108" t="s">
        <v>470</v>
      </c>
      <c r="D108" s="1">
        <v>40309</v>
      </c>
      <c r="E108" t="s">
        <v>1128</v>
      </c>
      <c r="F108" t="s">
        <v>1085</v>
      </c>
      <c r="G108" t="s">
        <v>1086</v>
      </c>
    </row>
    <row r="109" spans="1:7">
      <c r="A109" t="s">
        <v>276</v>
      </c>
      <c r="B109" t="s">
        <v>990</v>
      </c>
      <c r="C109" t="s">
        <v>278</v>
      </c>
      <c r="D109" s="1">
        <v>38502</v>
      </c>
      <c r="E109" t="s">
        <v>1090</v>
      </c>
      <c r="F109" t="s">
        <v>1085</v>
      </c>
      <c r="G109" t="s">
        <v>1086</v>
      </c>
    </row>
    <row r="110" spans="1:7">
      <c r="A110" t="s">
        <v>646</v>
      </c>
      <c r="B110" t="s">
        <v>1240</v>
      </c>
      <c r="C110" t="s">
        <v>550</v>
      </c>
      <c r="D110" s="1">
        <v>41760</v>
      </c>
      <c r="E110" t="s">
        <v>1084</v>
      </c>
      <c r="F110" t="s">
        <v>1085</v>
      </c>
      <c r="G110" t="s">
        <v>1086</v>
      </c>
    </row>
    <row r="111" spans="1:7">
      <c r="A111" t="s">
        <v>548</v>
      </c>
      <c r="B111" t="s">
        <v>1241</v>
      </c>
      <c r="C111" t="s">
        <v>550</v>
      </c>
      <c r="D111" s="1">
        <v>40929</v>
      </c>
      <c r="E111" t="s">
        <v>1084</v>
      </c>
      <c r="F111" t="s">
        <v>1085</v>
      </c>
      <c r="G111" t="s">
        <v>1086</v>
      </c>
    </row>
    <row r="112" spans="1:7">
      <c r="A112" t="s">
        <v>157</v>
      </c>
      <c r="B112" t="s">
        <v>1242</v>
      </c>
      <c r="C112" t="s">
        <v>159</v>
      </c>
      <c r="D112" s="1">
        <v>35873</v>
      </c>
      <c r="E112" t="s">
        <v>1094</v>
      </c>
      <c r="F112" t="s">
        <v>1085</v>
      </c>
      <c r="G112" t="s">
        <v>1086</v>
      </c>
    </row>
    <row r="113" spans="1:7">
      <c r="A113" t="s">
        <v>1243</v>
      </c>
      <c r="B113" t="s">
        <v>1244</v>
      </c>
      <c r="C113" t="s">
        <v>1245</v>
      </c>
      <c r="D113" s="1">
        <v>24003</v>
      </c>
      <c r="E113" t="s">
        <v>1099</v>
      </c>
      <c r="F113" t="s">
        <v>1085</v>
      </c>
      <c r="G113" t="s">
        <v>1086</v>
      </c>
    </row>
    <row r="114" spans="1:7">
      <c r="A114" t="s">
        <v>330</v>
      </c>
      <c r="B114" t="s">
        <v>1246</v>
      </c>
      <c r="C114" t="s">
        <v>332</v>
      </c>
      <c r="D114" s="1">
        <v>41569</v>
      </c>
      <c r="E114" t="s">
        <v>1084</v>
      </c>
      <c r="F114" t="s">
        <v>1085</v>
      </c>
      <c r="G114" t="s">
        <v>1088</v>
      </c>
    </row>
    <row r="115" spans="1:7">
      <c r="A115" t="s">
        <v>479</v>
      </c>
      <c r="B115" t="s">
        <v>1247</v>
      </c>
      <c r="C115" t="s">
        <v>481</v>
      </c>
      <c r="D115" s="1">
        <v>40413</v>
      </c>
      <c r="E115" t="s">
        <v>1128</v>
      </c>
      <c r="F115" t="s">
        <v>1085</v>
      </c>
      <c r="G115" t="s">
        <v>1086</v>
      </c>
    </row>
    <row r="116" spans="1:7">
      <c r="A116" t="s">
        <v>182</v>
      </c>
      <c r="B116" t="s">
        <v>1248</v>
      </c>
      <c r="C116" t="s">
        <v>184</v>
      </c>
      <c r="D116" s="1">
        <v>36465</v>
      </c>
      <c r="E116" t="s">
        <v>1094</v>
      </c>
      <c r="F116" t="s">
        <v>1085</v>
      </c>
      <c r="G116" t="s">
        <v>1086</v>
      </c>
    </row>
    <row r="117" spans="1:7">
      <c r="A117" t="s">
        <v>263</v>
      </c>
      <c r="B117" t="s">
        <v>1249</v>
      </c>
      <c r="C117" t="s">
        <v>265</v>
      </c>
      <c r="D117" s="1">
        <v>38010</v>
      </c>
      <c r="E117" t="s">
        <v>1094</v>
      </c>
      <c r="F117" t="s">
        <v>1085</v>
      </c>
      <c r="G117" t="s">
        <v>1086</v>
      </c>
    </row>
    <row r="118" spans="1:7">
      <c r="A118" t="s">
        <v>308</v>
      </c>
      <c r="B118" t="s">
        <v>1250</v>
      </c>
      <c r="C118" t="s">
        <v>310</v>
      </c>
      <c r="D118" s="1">
        <v>39069</v>
      </c>
      <c r="E118" t="s">
        <v>1090</v>
      </c>
      <c r="F118" t="s">
        <v>1085</v>
      </c>
      <c r="G118" t="s">
        <v>1086</v>
      </c>
    </row>
    <row r="119" spans="1:7">
      <c r="A119" t="s">
        <v>666</v>
      </c>
      <c r="B119" t="s">
        <v>1251</v>
      </c>
      <c r="C119" t="s">
        <v>668</v>
      </c>
      <c r="D119" s="1">
        <v>41867</v>
      </c>
      <c r="E119" t="s">
        <v>1084</v>
      </c>
      <c r="F119" t="s">
        <v>1085</v>
      </c>
      <c r="G119" t="s">
        <v>1086</v>
      </c>
    </row>
    <row r="120" spans="1:7">
      <c r="A120" t="s">
        <v>564</v>
      </c>
      <c r="B120" t="s">
        <v>1252</v>
      </c>
      <c r="C120" t="s">
        <v>566</v>
      </c>
      <c r="D120" s="1">
        <v>41121</v>
      </c>
      <c r="E120" t="s">
        <v>1084</v>
      </c>
      <c r="F120" t="s">
        <v>1085</v>
      </c>
      <c r="G120" t="s">
        <v>1086</v>
      </c>
    </row>
    <row r="121" spans="1:7">
      <c r="A121" t="s">
        <v>172</v>
      </c>
      <c r="B121" t="s">
        <v>1253</v>
      </c>
      <c r="C121" t="s">
        <v>174</v>
      </c>
      <c r="D121" s="1">
        <v>42696</v>
      </c>
      <c r="E121" t="s">
        <v>1084</v>
      </c>
      <c r="F121" t="s">
        <v>1085</v>
      </c>
      <c r="G121" t="s">
        <v>1088</v>
      </c>
    </row>
    <row r="122" spans="1:7">
      <c r="A122" t="s">
        <v>718</v>
      </c>
      <c r="B122" t="s">
        <v>1254</v>
      </c>
      <c r="C122" t="s">
        <v>174</v>
      </c>
      <c r="D122" s="1">
        <v>39274</v>
      </c>
      <c r="E122" t="s">
        <v>1090</v>
      </c>
      <c r="F122" t="s">
        <v>1085</v>
      </c>
      <c r="G122" t="s">
        <v>1088</v>
      </c>
    </row>
    <row r="123" spans="1:7">
      <c r="A123" t="s">
        <v>562</v>
      </c>
      <c r="B123" t="s">
        <v>1255</v>
      </c>
      <c r="C123" t="s">
        <v>174</v>
      </c>
      <c r="D123" s="1">
        <v>40446</v>
      </c>
      <c r="E123" t="s">
        <v>1128</v>
      </c>
      <c r="F123" t="s">
        <v>1085</v>
      </c>
      <c r="G123" t="s">
        <v>1088</v>
      </c>
    </row>
    <row r="124" spans="1:7">
      <c r="A124" t="s">
        <v>239</v>
      </c>
      <c r="B124" t="s">
        <v>1256</v>
      </c>
      <c r="C124" t="s">
        <v>174</v>
      </c>
      <c r="D124" s="1">
        <v>42234</v>
      </c>
      <c r="E124" t="s">
        <v>1084</v>
      </c>
      <c r="F124" t="s">
        <v>1085</v>
      </c>
      <c r="G124" t="s">
        <v>1088</v>
      </c>
    </row>
    <row r="125" spans="1:7">
      <c r="A125" t="s">
        <v>463</v>
      </c>
      <c r="B125" t="s">
        <v>1257</v>
      </c>
      <c r="C125" t="s">
        <v>465</v>
      </c>
      <c r="D125" s="1">
        <v>40307</v>
      </c>
      <c r="E125" t="s">
        <v>1128</v>
      </c>
      <c r="F125" t="s">
        <v>1085</v>
      </c>
      <c r="G125" t="s">
        <v>1086</v>
      </c>
    </row>
    <row r="126" spans="1:7">
      <c r="A126" t="s">
        <v>404</v>
      </c>
      <c r="B126" t="s">
        <v>1017</v>
      </c>
      <c r="C126" t="s">
        <v>406</v>
      </c>
      <c r="D126" s="1">
        <v>39829</v>
      </c>
      <c r="E126" t="s">
        <v>1128</v>
      </c>
      <c r="F126" t="s">
        <v>1085</v>
      </c>
      <c r="G126" t="s">
        <v>1086</v>
      </c>
    </row>
    <row r="127" spans="1:7">
      <c r="A127" t="s">
        <v>185</v>
      </c>
      <c r="B127" t="s">
        <v>1258</v>
      </c>
      <c r="C127" t="s">
        <v>104</v>
      </c>
      <c r="D127" s="1">
        <v>42549</v>
      </c>
      <c r="E127" t="s">
        <v>1084</v>
      </c>
      <c r="F127" t="s">
        <v>1085</v>
      </c>
      <c r="G127" t="s">
        <v>1088</v>
      </c>
    </row>
    <row r="128" spans="1:7">
      <c r="A128" t="s">
        <v>427</v>
      </c>
      <c r="B128" t="s">
        <v>1259</v>
      </c>
      <c r="C128" t="s">
        <v>429</v>
      </c>
      <c r="D128" s="1">
        <v>40058</v>
      </c>
      <c r="E128" t="s">
        <v>1128</v>
      </c>
      <c r="F128" t="s">
        <v>1085</v>
      </c>
      <c r="G128" t="s">
        <v>1086</v>
      </c>
    </row>
    <row r="129" spans="1:7">
      <c r="A129" t="s">
        <v>826</v>
      </c>
      <c r="B129" t="s">
        <v>1260</v>
      </c>
      <c r="C129" t="s">
        <v>828</v>
      </c>
      <c r="D129" s="1">
        <v>36993</v>
      </c>
      <c r="E129" t="s">
        <v>1094</v>
      </c>
      <c r="F129" t="s">
        <v>1085</v>
      </c>
      <c r="G129" t="s">
        <v>1088</v>
      </c>
    </row>
    <row r="130" spans="1:7">
      <c r="A130" t="s">
        <v>874</v>
      </c>
      <c r="B130" t="s">
        <v>1261</v>
      </c>
      <c r="C130" t="s">
        <v>828</v>
      </c>
      <c r="D130" s="1">
        <v>31792</v>
      </c>
      <c r="E130" t="s">
        <v>1168</v>
      </c>
      <c r="F130" t="s">
        <v>1085</v>
      </c>
      <c r="G130" t="s">
        <v>1088</v>
      </c>
    </row>
    <row r="131" spans="1:7">
      <c r="A131" t="s">
        <v>866</v>
      </c>
      <c r="B131" t="s">
        <v>1262</v>
      </c>
      <c r="C131" t="s">
        <v>828</v>
      </c>
      <c r="D131" s="1">
        <v>32843</v>
      </c>
      <c r="E131" t="s">
        <v>1168</v>
      </c>
      <c r="F131" t="s">
        <v>1085</v>
      </c>
      <c r="G131" t="s">
        <v>1088</v>
      </c>
    </row>
    <row r="132" spans="1:7">
      <c r="A132" t="s">
        <v>787</v>
      </c>
      <c r="B132" t="s">
        <v>1020</v>
      </c>
      <c r="C132" t="s">
        <v>789</v>
      </c>
      <c r="D132" s="1">
        <v>38163</v>
      </c>
      <c r="E132" t="s">
        <v>1263</v>
      </c>
      <c r="F132" t="s">
        <v>1085</v>
      </c>
      <c r="G132" t="s">
        <v>1088</v>
      </c>
    </row>
    <row r="133" spans="1:7">
      <c r="A133" t="s">
        <v>683</v>
      </c>
      <c r="B133" t="s">
        <v>1264</v>
      </c>
      <c r="C133" t="s">
        <v>685</v>
      </c>
      <c r="D133" s="1">
        <v>42040</v>
      </c>
      <c r="E133" t="s">
        <v>1084</v>
      </c>
      <c r="F133" t="s">
        <v>1085</v>
      </c>
      <c r="G133" t="s">
        <v>1086</v>
      </c>
    </row>
    <row r="134" spans="1:7">
      <c r="A134" t="s">
        <v>113</v>
      </c>
      <c r="B134" t="s">
        <v>1265</v>
      </c>
      <c r="C134" t="s">
        <v>115</v>
      </c>
      <c r="D134" s="1">
        <v>43215</v>
      </c>
      <c r="E134" t="s">
        <v>1266</v>
      </c>
      <c r="F134" t="s">
        <v>1085</v>
      </c>
      <c r="G134" t="s">
        <v>1088</v>
      </c>
    </row>
    <row r="135" spans="1:7">
      <c r="A135" t="s">
        <v>831</v>
      </c>
      <c r="B135" t="s">
        <v>1267</v>
      </c>
      <c r="C135" t="s">
        <v>115</v>
      </c>
      <c r="D135" s="1">
        <v>36887</v>
      </c>
      <c r="E135" t="s">
        <v>1263</v>
      </c>
      <c r="F135" t="s">
        <v>1085</v>
      </c>
      <c r="G135" t="s">
        <v>1088</v>
      </c>
    </row>
    <row r="136" spans="1:7">
      <c r="A136" t="s">
        <v>99</v>
      </c>
      <c r="B136" t="s">
        <v>1268</v>
      </c>
      <c r="C136" t="s">
        <v>101</v>
      </c>
      <c r="D136" s="1">
        <v>35330</v>
      </c>
      <c r="E136" t="s">
        <v>1099</v>
      </c>
      <c r="F136" t="s">
        <v>1085</v>
      </c>
      <c r="G136" t="s">
        <v>1086</v>
      </c>
    </row>
    <row r="137" spans="1:7">
      <c r="A137" t="s">
        <v>1269</v>
      </c>
      <c r="B137" t="s">
        <v>1270</v>
      </c>
      <c r="C137" t="s">
        <v>101</v>
      </c>
      <c r="D137" s="1">
        <v>39539</v>
      </c>
      <c r="E137" t="s">
        <v>1128</v>
      </c>
      <c r="F137" t="s">
        <v>1085</v>
      </c>
      <c r="G137" t="s">
        <v>1086</v>
      </c>
    </row>
    <row r="138" spans="1:7">
      <c r="A138" t="s">
        <v>614</v>
      </c>
      <c r="B138" t="s">
        <v>1271</v>
      </c>
      <c r="C138" t="s">
        <v>101</v>
      </c>
      <c r="D138" s="1">
        <v>41686</v>
      </c>
      <c r="E138" t="s">
        <v>1084</v>
      </c>
      <c r="F138" t="s">
        <v>1085</v>
      </c>
      <c r="G138" t="s">
        <v>1086</v>
      </c>
    </row>
    <row r="139" spans="1:7">
      <c r="A139" t="s">
        <v>460</v>
      </c>
      <c r="B139" t="s">
        <v>1272</v>
      </c>
      <c r="C139" t="s">
        <v>462</v>
      </c>
      <c r="D139" s="1">
        <v>41047</v>
      </c>
      <c r="E139" t="s">
        <v>1084</v>
      </c>
      <c r="F139" t="s">
        <v>1085</v>
      </c>
      <c r="G139" t="s">
        <v>1088</v>
      </c>
    </row>
    <row r="140" spans="1:7">
      <c r="A140" t="s">
        <v>818</v>
      </c>
      <c r="B140" t="s">
        <v>1273</v>
      </c>
      <c r="C140" t="s">
        <v>462</v>
      </c>
      <c r="D140" s="1">
        <v>37269</v>
      </c>
      <c r="E140" t="s">
        <v>1263</v>
      </c>
      <c r="F140" t="s">
        <v>1085</v>
      </c>
      <c r="G140" t="s">
        <v>1088</v>
      </c>
    </row>
    <row r="141" spans="1:7">
      <c r="A141" t="s">
        <v>269</v>
      </c>
      <c r="B141" t="s">
        <v>1274</v>
      </c>
      <c r="C141" t="s">
        <v>271</v>
      </c>
      <c r="D141" s="1">
        <v>38090</v>
      </c>
      <c r="E141" t="s">
        <v>1094</v>
      </c>
      <c r="F141" t="s">
        <v>1085</v>
      </c>
      <c r="G141" t="s">
        <v>1086</v>
      </c>
    </row>
    <row r="142" spans="1:7">
      <c r="A142" t="s">
        <v>360</v>
      </c>
      <c r="B142" t="s">
        <v>1275</v>
      </c>
      <c r="C142" t="s">
        <v>362</v>
      </c>
      <c r="D142" s="1">
        <v>41474</v>
      </c>
      <c r="E142" t="s">
        <v>1084</v>
      </c>
      <c r="F142" t="s">
        <v>1085</v>
      </c>
      <c r="G142" t="s">
        <v>1088</v>
      </c>
    </row>
    <row r="143" spans="1:7">
      <c r="A143" t="s">
        <v>496</v>
      </c>
      <c r="B143" t="s">
        <v>1276</v>
      </c>
      <c r="C143" t="s">
        <v>498</v>
      </c>
      <c r="D143" s="1">
        <v>40557</v>
      </c>
      <c r="E143" t="s">
        <v>1128</v>
      </c>
      <c r="F143" t="s">
        <v>1085</v>
      </c>
      <c r="G143" t="s">
        <v>1086</v>
      </c>
    </row>
    <row r="144" spans="1:7">
      <c r="A144" t="s">
        <v>336</v>
      </c>
      <c r="B144" t="s">
        <v>1277</v>
      </c>
      <c r="C144" t="s">
        <v>338</v>
      </c>
      <c r="D144" s="1">
        <v>41557</v>
      </c>
      <c r="E144" t="s">
        <v>1084</v>
      </c>
      <c r="F144" t="s">
        <v>1085</v>
      </c>
      <c r="G144" t="s">
        <v>1088</v>
      </c>
    </row>
    <row r="145" spans="1:7">
      <c r="A145" t="s">
        <v>1278</v>
      </c>
      <c r="B145" t="s">
        <v>1279</v>
      </c>
      <c r="C145" t="s">
        <v>510</v>
      </c>
      <c r="D145" s="1">
        <v>41832</v>
      </c>
      <c r="E145" t="s">
        <v>1084</v>
      </c>
      <c r="F145" t="s">
        <v>1085</v>
      </c>
      <c r="G145" t="s">
        <v>1086</v>
      </c>
    </row>
    <row r="146" spans="1:7">
      <c r="A146" t="s">
        <v>508</v>
      </c>
      <c r="B146" t="s">
        <v>1280</v>
      </c>
      <c r="C146" t="s">
        <v>510</v>
      </c>
      <c r="D146" s="1">
        <v>40741</v>
      </c>
      <c r="E146" t="s">
        <v>1128</v>
      </c>
      <c r="F146" t="s">
        <v>1085</v>
      </c>
      <c r="G146" t="s">
        <v>1086</v>
      </c>
    </row>
    <row r="147" spans="1:7">
      <c r="A147" t="s">
        <v>1281</v>
      </c>
      <c r="B147" t="s">
        <v>1282</v>
      </c>
      <c r="C147" t="s">
        <v>119</v>
      </c>
      <c r="D147" s="1">
        <v>24583</v>
      </c>
      <c r="E147" t="s">
        <v>1099</v>
      </c>
      <c r="F147" t="s">
        <v>1085</v>
      </c>
      <c r="G147" t="s">
        <v>1086</v>
      </c>
    </row>
    <row r="148" spans="1:7">
      <c r="A148" t="s">
        <v>1283</v>
      </c>
      <c r="B148" t="s">
        <v>1284</v>
      </c>
      <c r="C148" t="s">
        <v>119</v>
      </c>
      <c r="D148" s="1">
        <v>34711</v>
      </c>
      <c r="E148" t="s">
        <v>1094</v>
      </c>
      <c r="F148" t="s">
        <v>1085</v>
      </c>
      <c r="G148" t="s">
        <v>1086</v>
      </c>
    </row>
    <row r="149" spans="1:7">
      <c r="A149" t="s">
        <v>1285</v>
      </c>
      <c r="B149" t="s">
        <v>1286</v>
      </c>
      <c r="C149" t="s">
        <v>880</v>
      </c>
      <c r="D149" s="1">
        <v>39199</v>
      </c>
      <c r="E149" t="s">
        <v>1090</v>
      </c>
      <c r="F149" t="s">
        <v>1085</v>
      </c>
      <c r="G149" t="s">
        <v>1088</v>
      </c>
    </row>
    <row r="150" spans="1:7">
      <c r="A150" t="s">
        <v>876</v>
      </c>
      <c r="B150" t="s">
        <v>1287</v>
      </c>
      <c r="C150" t="s">
        <v>530</v>
      </c>
      <c r="D150" s="1">
        <v>31732</v>
      </c>
      <c r="E150" t="s">
        <v>1094</v>
      </c>
      <c r="F150" t="s">
        <v>1085</v>
      </c>
      <c r="G150" t="s">
        <v>1088</v>
      </c>
    </row>
    <row r="151" spans="1:7">
      <c r="A151" t="s">
        <v>863</v>
      </c>
      <c r="B151" t="s">
        <v>1288</v>
      </c>
      <c r="C151" t="s">
        <v>865</v>
      </c>
      <c r="D151" s="1">
        <v>33086</v>
      </c>
      <c r="E151" t="s">
        <v>1168</v>
      </c>
      <c r="F151" t="s">
        <v>1085</v>
      </c>
      <c r="G151" t="s">
        <v>1088</v>
      </c>
    </row>
    <row r="152" spans="1:7">
      <c r="A152" t="s">
        <v>860</v>
      </c>
      <c r="B152" t="s">
        <v>1061</v>
      </c>
      <c r="C152" t="s">
        <v>862</v>
      </c>
      <c r="D152" s="1">
        <v>33696</v>
      </c>
      <c r="E152" t="s">
        <v>1094</v>
      </c>
      <c r="F152" t="s">
        <v>1085</v>
      </c>
      <c r="G152" t="s">
        <v>1088</v>
      </c>
    </row>
    <row r="153" spans="1:7">
      <c r="A153" t="s">
        <v>735</v>
      </c>
      <c r="B153" t="s">
        <v>1289</v>
      </c>
      <c r="C153" t="s">
        <v>737</v>
      </c>
      <c r="D153" s="1">
        <v>38656</v>
      </c>
      <c r="E153" t="s">
        <v>1090</v>
      </c>
      <c r="F153" t="s">
        <v>1085</v>
      </c>
      <c r="G153" t="s">
        <v>1088</v>
      </c>
    </row>
    <row r="154" spans="1:7">
      <c r="A154" t="s">
        <v>291</v>
      </c>
      <c r="B154" t="s">
        <v>1290</v>
      </c>
      <c r="C154" t="s">
        <v>293</v>
      </c>
      <c r="D154" s="1">
        <v>41807</v>
      </c>
      <c r="E154" t="s">
        <v>1084</v>
      </c>
      <c r="F154" t="s">
        <v>1085</v>
      </c>
      <c r="G154" t="s">
        <v>1088</v>
      </c>
    </row>
    <row r="155" spans="1:7">
      <c r="A155" t="s">
        <v>664</v>
      </c>
      <c r="B155" t="s">
        <v>1291</v>
      </c>
      <c r="C155" t="s">
        <v>293</v>
      </c>
      <c r="D155" s="1">
        <v>39993</v>
      </c>
      <c r="E155" t="s">
        <v>1128</v>
      </c>
      <c r="F155" t="s">
        <v>1085</v>
      </c>
      <c r="G155" t="s">
        <v>1088</v>
      </c>
    </row>
    <row r="156" spans="1:7">
      <c r="A156" t="s">
        <v>437</v>
      </c>
      <c r="B156" t="s">
        <v>1292</v>
      </c>
      <c r="C156" t="s">
        <v>439</v>
      </c>
      <c r="D156" s="1">
        <v>41149</v>
      </c>
      <c r="E156" t="s">
        <v>1084</v>
      </c>
      <c r="F156" t="s">
        <v>1085</v>
      </c>
      <c r="G156" t="s">
        <v>1088</v>
      </c>
    </row>
    <row r="157" spans="1:7">
      <c r="A157" t="s">
        <v>1293</v>
      </c>
      <c r="B157" t="s">
        <v>1294</v>
      </c>
      <c r="C157" t="s">
        <v>1295</v>
      </c>
      <c r="D157" s="1">
        <v>30573</v>
      </c>
      <c r="E157" t="s">
        <v>1099</v>
      </c>
      <c r="F157" t="s">
        <v>1085</v>
      </c>
      <c r="G157" t="s">
        <v>1088</v>
      </c>
    </row>
    <row r="158" spans="1:7">
      <c r="A158" t="s">
        <v>147</v>
      </c>
      <c r="B158" t="s">
        <v>1296</v>
      </c>
      <c r="C158" t="s">
        <v>149</v>
      </c>
      <c r="D158" s="1">
        <v>42979</v>
      </c>
      <c r="E158" t="s">
        <v>1084</v>
      </c>
      <c r="F158" t="s">
        <v>1085</v>
      </c>
      <c r="G158" t="s">
        <v>1088</v>
      </c>
    </row>
    <row r="159" spans="1:7">
      <c r="A159" t="s">
        <v>803</v>
      </c>
      <c r="B159" t="s">
        <v>1297</v>
      </c>
      <c r="C159" t="s">
        <v>805</v>
      </c>
      <c r="D159" s="1">
        <v>37684</v>
      </c>
      <c r="E159" t="s">
        <v>1094</v>
      </c>
      <c r="F159" t="s">
        <v>1085</v>
      </c>
      <c r="G159" t="s">
        <v>1088</v>
      </c>
    </row>
    <row r="160" spans="1:7">
      <c r="A160" t="s">
        <v>603</v>
      </c>
      <c r="B160" t="s">
        <v>1298</v>
      </c>
      <c r="C160" t="s">
        <v>605</v>
      </c>
      <c r="D160" s="1">
        <v>41662</v>
      </c>
      <c r="E160" t="s">
        <v>1084</v>
      </c>
      <c r="F160" t="s">
        <v>1085</v>
      </c>
      <c r="G160" t="s">
        <v>1086</v>
      </c>
    </row>
    <row r="161" spans="1:7">
      <c r="A161" t="s">
        <v>618</v>
      </c>
      <c r="B161" t="s">
        <v>1299</v>
      </c>
      <c r="C161" t="s">
        <v>620</v>
      </c>
      <c r="D161" s="1">
        <v>41695</v>
      </c>
      <c r="E161" t="s">
        <v>1084</v>
      </c>
      <c r="F161" t="s">
        <v>1085</v>
      </c>
      <c r="G161" t="s">
        <v>1086</v>
      </c>
    </row>
    <row r="162" spans="1:7">
      <c r="A162" t="s">
        <v>207</v>
      </c>
      <c r="B162" t="s">
        <v>1007</v>
      </c>
      <c r="C162" t="s">
        <v>209</v>
      </c>
      <c r="D162" s="1">
        <v>36929</v>
      </c>
      <c r="E162" t="s">
        <v>1094</v>
      </c>
      <c r="F162" t="s">
        <v>1085</v>
      </c>
      <c r="G162" t="s">
        <v>1086</v>
      </c>
    </row>
    <row r="163" spans="1:7">
      <c r="A163" t="s">
        <v>1300</v>
      </c>
      <c r="B163" t="s">
        <v>1301</v>
      </c>
      <c r="C163" t="s">
        <v>390</v>
      </c>
      <c r="D163" s="1">
        <v>40227</v>
      </c>
      <c r="E163" t="s">
        <v>1128</v>
      </c>
      <c r="F163" t="s">
        <v>1085</v>
      </c>
      <c r="G163" t="s">
        <v>1086</v>
      </c>
    </row>
    <row r="164" spans="1:7">
      <c r="A164" t="s">
        <v>388</v>
      </c>
      <c r="B164" t="s">
        <v>1302</v>
      </c>
      <c r="C164" t="s">
        <v>390</v>
      </c>
      <c r="D164" s="1">
        <v>39686</v>
      </c>
      <c r="E164" t="s">
        <v>1128</v>
      </c>
      <c r="F164" t="s">
        <v>1085</v>
      </c>
      <c r="G164" t="s">
        <v>1086</v>
      </c>
    </row>
    <row r="165" spans="1:7">
      <c r="A165" t="s">
        <v>266</v>
      </c>
      <c r="B165" t="s">
        <v>1303</v>
      </c>
      <c r="C165" t="s">
        <v>268</v>
      </c>
      <c r="D165" s="1">
        <v>42058</v>
      </c>
      <c r="E165" t="s">
        <v>1084</v>
      </c>
      <c r="F165" t="s">
        <v>1085</v>
      </c>
      <c r="G165" t="s">
        <v>1088</v>
      </c>
    </row>
    <row r="166" spans="1:7">
      <c r="A166" t="s">
        <v>643</v>
      </c>
      <c r="B166" t="s">
        <v>1304</v>
      </c>
      <c r="C166" t="s">
        <v>645</v>
      </c>
      <c r="D166" s="1">
        <v>40143</v>
      </c>
      <c r="E166" t="s">
        <v>1128</v>
      </c>
      <c r="F166" t="s">
        <v>1085</v>
      </c>
      <c r="G166" t="s">
        <v>1088</v>
      </c>
    </row>
    <row r="167" spans="1:7">
      <c r="A167" t="s">
        <v>522</v>
      </c>
      <c r="B167" t="s">
        <v>1305</v>
      </c>
      <c r="C167" t="s">
        <v>524</v>
      </c>
      <c r="D167" s="1">
        <v>40637</v>
      </c>
      <c r="E167" t="s">
        <v>1128</v>
      </c>
      <c r="F167" t="s">
        <v>1085</v>
      </c>
      <c r="G167" t="s">
        <v>1088</v>
      </c>
    </row>
    <row r="168" spans="1:7">
      <c r="A168" t="s">
        <v>1306</v>
      </c>
      <c r="B168" t="s">
        <v>1307</v>
      </c>
      <c r="C168" t="s">
        <v>1308</v>
      </c>
      <c r="D168" s="1">
        <v>25227</v>
      </c>
      <c r="E168" t="s">
        <v>1168</v>
      </c>
      <c r="F168" t="s">
        <v>1085</v>
      </c>
      <c r="G168" t="s">
        <v>1086</v>
      </c>
    </row>
    <row r="169" spans="1:7">
      <c r="A169" t="s">
        <v>150</v>
      </c>
      <c r="B169" t="s">
        <v>1309</v>
      </c>
      <c r="C169" t="s">
        <v>152</v>
      </c>
      <c r="D169" s="1">
        <v>35550</v>
      </c>
      <c r="E169" t="s">
        <v>1094</v>
      </c>
      <c r="F169" t="s">
        <v>1085</v>
      </c>
      <c r="G169" t="s">
        <v>1086</v>
      </c>
    </row>
    <row r="170" spans="1:7">
      <c r="A170" t="s">
        <v>540</v>
      </c>
      <c r="B170" t="s">
        <v>1310</v>
      </c>
      <c r="C170" t="s">
        <v>542</v>
      </c>
      <c r="D170" s="1">
        <v>40541</v>
      </c>
      <c r="E170" t="s">
        <v>1128</v>
      </c>
      <c r="F170" t="s">
        <v>1085</v>
      </c>
      <c r="G170" t="s">
        <v>1088</v>
      </c>
    </row>
    <row r="171" spans="1:7">
      <c r="A171" t="s">
        <v>175</v>
      </c>
      <c r="B171" t="s">
        <v>1311</v>
      </c>
      <c r="C171" t="s">
        <v>177</v>
      </c>
      <c r="D171" s="1">
        <v>36308</v>
      </c>
      <c r="E171" t="s">
        <v>1094</v>
      </c>
      <c r="F171" t="s">
        <v>1085</v>
      </c>
      <c r="G171" t="s">
        <v>1086</v>
      </c>
    </row>
    <row r="172" spans="1:7">
      <c r="A172" t="s">
        <v>800</v>
      </c>
      <c r="B172" t="s">
        <v>1312</v>
      </c>
      <c r="C172" t="s">
        <v>802</v>
      </c>
      <c r="D172" s="1">
        <v>37702</v>
      </c>
      <c r="E172" t="s">
        <v>1094</v>
      </c>
      <c r="F172" t="s">
        <v>1085</v>
      </c>
      <c r="G172" t="s">
        <v>1088</v>
      </c>
    </row>
    <row r="173" spans="1:7">
      <c r="A173" t="s">
        <v>597</v>
      </c>
      <c r="B173" t="s">
        <v>1313</v>
      </c>
      <c r="C173" t="s">
        <v>599</v>
      </c>
      <c r="D173" s="1">
        <v>41611</v>
      </c>
      <c r="E173" t="s">
        <v>1084</v>
      </c>
      <c r="F173" t="s">
        <v>1085</v>
      </c>
      <c r="G173" t="s">
        <v>1086</v>
      </c>
    </row>
    <row r="174" spans="1:7">
      <c r="A174" t="s">
        <v>352</v>
      </c>
      <c r="B174" t="s">
        <v>1036</v>
      </c>
      <c r="C174" t="s">
        <v>354</v>
      </c>
      <c r="D174" s="1">
        <v>39363</v>
      </c>
      <c r="E174" t="s">
        <v>1090</v>
      </c>
      <c r="F174" t="s">
        <v>1085</v>
      </c>
      <c r="G174" t="s">
        <v>1086</v>
      </c>
    </row>
    <row r="175" spans="1:7">
      <c r="A175" t="s">
        <v>543</v>
      </c>
      <c r="B175" t="s">
        <v>1314</v>
      </c>
      <c r="C175" t="s">
        <v>354</v>
      </c>
      <c r="D175" s="1">
        <v>40848</v>
      </c>
      <c r="E175" t="s">
        <v>1128</v>
      </c>
      <c r="F175" t="s">
        <v>1085</v>
      </c>
      <c r="G175" t="s">
        <v>1086</v>
      </c>
    </row>
    <row r="176" spans="1:7">
      <c r="A176" t="s">
        <v>766</v>
      </c>
      <c r="B176" t="s">
        <v>1008</v>
      </c>
      <c r="C176" t="s">
        <v>768</v>
      </c>
      <c r="D176" s="1">
        <v>38451</v>
      </c>
      <c r="E176" t="s">
        <v>1090</v>
      </c>
      <c r="F176" t="s">
        <v>1085</v>
      </c>
      <c r="G176" t="s">
        <v>1088</v>
      </c>
    </row>
    <row r="177" spans="1:7">
      <c r="A177" t="s">
        <v>797</v>
      </c>
      <c r="B177" t="s">
        <v>1315</v>
      </c>
      <c r="C177" t="s">
        <v>799</v>
      </c>
      <c r="D177" s="1">
        <v>38011</v>
      </c>
      <c r="E177" t="s">
        <v>1094</v>
      </c>
      <c r="F177" t="s">
        <v>1085</v>
      </c>
      <c r="G177" t="s">
        <v>1088</v>
      </c>
    </row>
    <row r="178" spans="1:7">
      <c r="A178" t="s">
        <v>322</v>
      </c>
      <c r="B178" t="s">
        <v>1316</v>
      </c>
      <c r="C178" t="s">
        <v>324</v>
      </c>
      <c r="D178" s="1">
        <v>39187</v>
      </c>
      <c r="E178" t="s">
        <v>1090</v>
      </c>
      <c r="F178" t="s">
        <v>1085</v>
      </c>
      <c r="G178" t="s">
        <v>1086</v>
      </c>
    </row>
    <row r="179" spans="1:7">
      <c r="A179" t="s">
        <v>712</v>
      </c>
      <c r="B179" t="s">
        <v>1317</v>
      </c>
      <c r="C179" t="s">
        <v>714</v>
      </c>
      <c r="D179" s="1">
        <v>39324</v>
      </c>
      <c r="E179" t="s">
        <v>1090</v>
      </c>
      <c r="F179" t="s">
        <v>1085</v>
      </c>
      <c r="G179" t="s">
        <v>1088</v>
      </c>
    </row>
    <row r="180" spans="1:7">
      <c r="A180" t="s">
        <v>1318</v>
      </c>
      <c r="B180" t="s">
        <v>1319</v>
      </c>
      <c r="C180" t="s">
        <v>714</v>
      </c>
      <c r="D180" s="1">
        <v>36432</v>
      </c>
      <c r="E180" t="s">
        <v>1099</v>
      </c>
      <c r="F180" t="s">
        <v>1085</v>
      </c>
      <c r="G180" t="s">
        <v>1088</v>
      </c>
    </row>
    <row r="181" spans="1:7">
      <c r="A181" t="s">
        <v>858</v>
      </c>
      <c r="B181" t="s">
        <v>1320</v>
      </c>
      <c r="C181" t="s">
        <v>714</v>
      </c>
      <c r="D181" s="1">
        <v>33828</v>
      </c>
      <c r="E181" t="s">
        <v>1094</v>
      </c>
      <c r="F181" t="s">
        <v>1085</v>
      </c>
      <c r="G181" t="s">
        <v>1088</v>
      </c>
    </row>
    <row r="182" spans="1:7">
      <c r="A182" t="s">
        <v>1321</v>
      </c>
      <c r="B182" t="s">
        <v>1322</v>
      </c>
      <c r="C182" t="s">
        <v>1323</v>
      </c>
      <c r="D182" s="1">
        <v>41801</v>
      </c>
      <c r="E182" t="s">
        <v>1084</v>
      </c>
      <c r="F182" t="s">
        <v>1085</v>
      </c>
      <c r="G182" t="s">
        <v>1086</v>
      </c>
    </row>
    <row r="183" spans="1:7">
      <c r="A183" t="s">
        <v>66</v>
      </c>
      <c r="B183" t="s">
        <v>1324</v>
      </c>
      <c r="C183" t="s">
        <v>68</v>
      </c>
      <c r="D183" s="1">
        <v>29718</v>
      </c>
      <c r="E183" t="s">
        <v>1168</v>
      </c>
      <c r="F183" t="s">
        <v>1085</v>
      </c>
      <c r="G183" t="s">
        <v>1086</v>
      </c>
    </row>
    <row r="184" spans="1:7">
      <c r="A184" t="s">
        <v>490</v>
      </c>
      <c r="B184" t="s">
        <v>1325</v>
      </c>
      <c r="C184" t="s">
        <v>492</v>
      </c>
      <c r="D184" s="1">
        <v>40547</v>
      </c>
      <c r="E184" t="s">
        <v>1128</v>
      </c>
      <c r="F184" t="s">
        <v>1085</v>
      </c>
      <c r="G184" t="s">
        <v>1086</v>
      </c>
    </row>
    <row r="185" spans="1:7">
      <c r="A185" t="s">
        <v>1326</v>
      </c>
      <c r="B185" t="s">
        <v>1059</v>
      </c>
      <c r="C185" t="s">
        <v>1327</v>
      </c>
      <c r="D185" s="1">
        <v>39433</v>
      </c>
      <c r="E185" t="s">
        <v>1090</v>
      </c>
      <c r="F185" t="s">
        <v>1085</v>
      </c>
      <c r="G185" t="s">
        <v>1088</v>
      </c>
    </row>
    <row r="186" spans="1:7">
      <c r="A186" t="s">
        <v>415</v>
      </c>
      <c r="B186" t="s">
        <v>1328</v>
      </c>
      <c r="C186" t="s">
        <v>417</v>
      </c>
      <c r="D186" s="1">
        <v>41178</v>
      </c>
      <c r="E186" t="s">
        <v>1084</v>
      </c>
      <c r="F186" t="s">
        <v>1085</v>
      </c>
      <c r="G186" t="s">
        <v>1088</v>
      </c>
    </row>
    <row r="187" spans="1:7">
      <c r="A187" t="s">
        <v>814</v>
      </c>
      <c r="B187" t="s">
        <v>1004</v>
      </c>
      <c r="C187" t="s">
        <v>417</v>
      </c>
      <c r="D187" s="1">
        <v>37307</v>
      </c>
      <c r="E187" t="s">
        <v>1094</v>
      </c>
      <c r="F187" t="s">
        <v>1085</v>
      </c>
      <c r="G187" t="s">
        <v>1088</v>
      </c>
    </row>
    <row r="188" spans="1:7">
      <c r="A188" t="s">
        <v>1329</v>
      </c>
      <c r="B188" t="s">
        <v>1330</v>
      </c>
      <c r="C188" t="s">
        <v>1331</v>
      </c>
      <c r="D188" s="1">
        <v>29257</v>
      </c>
      <c r="E188" t="s">
        <v>1168</v>
      </c>
      <c r="F188" t="s">
        <v>1085</v>
      </c>
      <c r="G188" t="s">
        <v>1088</v>
      </c>
    </row>
    <row r="189" spans="1:7">
      <c r="A189" t="s">
        <v>656</v>
      </c>
      <c r="B189" t="s">
        <v>1332</v>
      </c>
      <c r="C189" t="s">
        <v>658</v>
      </c>
      <c r="D189" s="1">
        <v>41780</v>
      </c>
      <c r="E189" t="s">
        <v>1084</v>
      </c>
      <c r="F189" t="s">
        <v>1085</v>
      </c>
      <c r="G189" t="s">
        <v>1086</v>
      </c>
    </row>
    <row r="190" spans="1:7">
      <c r="A190" t="s">
        <v>820</v>
      </c>
      <c r="B190" t="s">
        <v>1024</v>
      </c>
      <c r="C190" t="s">
        <v>822</v>
      </c>
      <c r="D190" s="1">
        <v>37104</v>
      </c>
      <c r="E190" t="s">
        <v>1263</v>
      </c>
      <c r="F190" t="s">
        <v>1085</v>
      </c>
      <c r="G190" t="s">
        <v>1088</v>
      </c>
    </row>
    <row r="191" spans="1:7">
      <c r="A191" t="s">
        <v>575</v>
      </c>
      <c r="B191" t="s">
        <v>1333</v>
      </c>
      <c r="C191" t="s">
        <v>577</v>
      </c>
      <c r="D191" s="1">
        <v>41282</v>
      </c>
      <c r="E191" t="s">
        <v>1084</v>
      </c>
      <c r="F191" t="s">
        <v>1085</v>
      </c>
      <c r="G191" t="s">
        <v>1086</v>
      </c>
    </row>
    <row r="192" spans="1:7">
      <c r="A192" t="s">
        <v>227</v>
      </c>
      <c r="B192" t="s">
        <v>1334</v>
      </c>
      <c r="C192" t="s">
        <v>229</v>
      </c>
      <c r="D192" s="1">
        <v>42259</v>
      </c>
      <c r="E192" t="s">
        <v>1084</v>
      </c>
      <c r="F192" t="s">
        <v>1085</v>
      </c>
      <c r="G192" t="s">
        <v>1088</v>
      </c>
    </row>
    <row r="193" spans="1:7">
      <c r="A193" t="s">
        <v>249</v>
      </c>
      <c r="B193" t="s">
        <v>1335</v>
      </c>
      <c r="C193" t="s">
        <v>251</v>
      </c>
      <c r="D193" s="1">
        <v>42194</v>
      </c>
      <c r="E193" t="s">
        <v>1084</v>
      </c>
      <c r="F193" t="s">
        <v>1085</v>
      </c>
      <c r="G193" t="s">
        <v>1088</v>
      </c>
    </row>
    <row r="194" spans="1:7">
      <c r="A194" t="s">
        <v>376</v>
      </c>
      <c r="B194" t="s">
        <v>1012</v>
      </c>
      <c r="C194" t="s">
        <v>378</v>
      </c>
      <c r="D194" s="1">
        <v>39655</v>
      </c>
      <c r="E194" t="s">
        <v>1128</v>
      </c>
      <c r="F194" t="s">
        <v>1085</v>
      </c>
      <c r="G194" t="s">
        <v>1086</v>
      </c>
    </row>
    <row r="195" spans="1:7">
      <c r="A195" t="s">
        <v>474</v>
      </c>
      <c r="B195" t="s">
        <v>1336</v>
      </c>
      <c r="C195" t="s">
        <v>378</v>
      </c>
      <c r="D195" s="1">
        <v>40381</v>
      </c>
      <c r="E195" t="s">
        <v>1128</v>
      </c>
      <c r="F195" t="s">
        <v>1085</v>
      </c>
      <c r="G195" t="s">
        <v>1086</v>
      </c>
    </row>
    <row r="196" spans="1:7">
      <c r="A196" t="s">
        <v>557</v>
      </c>
      <c r="B196" t="s">
        <v>1034</v>
      </c>
      <c r="C196" t="s">
        <v>559</v>
      </c>
      <c r="D196" s="1">
        <v>40498</v>
      </c>
      <c r="E196" t="s">
        <v>1128</v>
      </c>
      <c r="F196" t="s">
        <v>1085</v>
      </c>
      <c r="G196" t="s">
        <v>1088</v>
      </c>
    </row>
    <row r="197" spans="1:7">
      <c r="A197" t="s">
        <v>567</v>
      </c>
      <c r="B197" t="s">
        <v>1337</v>
      </c>
      <c r="C197" t="s">
        <v>569</v>
      </c>
      <c r="D197" s="1">
        <v>40439</v>
      </c>
      <c r="E197" t="s">
        <v>1128</v>
      </c>
      <c r="F197" t="s">
        <v>1085</v>
      </c>
      <c r="G197" t="s">
        <v>1088</v>
      </c>
    </row>
    <row r="198" spans="1:7">
      <c r="A198" t="s">
        <v>325</v>
      </c>
      <c r="B198" t="s">
        <v>1338</v>
      </c>
      <c r="C198" t="s">
        <v>327</v>
      </c>
      <c r="D198" s="1">
        <v>41574</v>
      </c>
      <c r="E198" t="s">
        <v>1084</v>
      </c>
      <c r="F198" t="s">
        <v>1085</v>
      </c>
      <c r="G198" t="s">
        <v>1088</v>
      </c>
    </row>
    <row r="199" spans="1:7">
      <c r="A199" t="s">
        <v>621</v>
      </c>
      <c r="B199" t="s">
        <v>1339</v>
      </c>
      <c r="C199" t="s">
        <v>623</v>
      </c>
      <c r="D199" s="1">
        <v>40226</v>
      </c>
      <c r="E199" t="s">
        <v>1128</v>
      </c>
      <c r="F199" t="s">
        <v>1085</v>
      </c>
      <c r="G199" t="s">
        <v>1088</v>
      </c>
    </row>
    <row r="200" spans="1:7">
      <c r="A200" t="s">
        <v>367</v>
      </c>
      <c r="B200" t="s">
        <v>1340</v>
      </c>
      <c r="C200" t="s">
        <v>369</v>
      </c>
      <c r="D200" s="1">
        <v>41430</v>
      </c>
      <c r="E200" t="s">
        <v>1084</v>
      </c>
      <c r="F200" t="s">
        <v>1085</v>
      </c>
      <c r="G200" t="s">
        <v>1088</v>
      </c>
    </row>
    <row r="201" spans="1:7">
      <c r="A201" t="s">
        <v>476</v>
      </c>
      <c r="B201" t="s">
        <v>1341</v>
      </c>
      <c r="C201" t="s">
        <v>478</v>
      </c>
      <c r="D201" s="1">
        <v>40937</v>
      </c>
      <c r="E201" t="s">
        <v>1084</v>
      </c>
      <c r="F201" t="s">
        <v>1085</v>
      </c>
      <c r="G201" t="s">
        <v>1088</v>
      </c>
    </row>
    <row r="202" spans="1:7">
      <c r="A202" t="s">
        <v>169</v>
      </c>
      <c r="B202" t="s">
        <v>1342</v>
      </c>
      <c r="C202" t="s">
        <v>171</v>
      </c>
      <c r="D202" s="1">
        <v>36143</v>
      </c>
      <c r="E202" t="s">
        <v>1094</v>
      </c>
      <c r="F202" t="s">
        <v>1085</v>
      </c>
      <c r="G202" t="s">
        <v>1086</v>
      </c>
    </row>
    <row r="203" spans="1:7">
      <c r="A203" t="s">
        <v>794</v>
      </c>
      <c r="B203" t="s">
        <v>1343</v>
      </c>
      <c r="C203" t="s">
        <v>796</v>
      </c>
      <c r="D203" s="1">
        <v>44190</v>
      </c>
      <c r="E203" t="s">
        <v>1266</v>
      </c>
      <c r="F203" t="s">
        <v>1085</v>
      </c>
      <c r="G203" t="s">
        <v>1086</v>
      </c>
    </row>
    <row r="204" spans="1:7">
      <c r="A204" t="s">
        <v>363</v>
      </c>
      <c r="B204" t="s">
        <v>1344</v>
      </c>
      <c r="C204" t="s">
        <v>365</v>
      </c>
      <c r="D204" s="1">
        <v>39623</v>
      </c>
      <c r="E204" t="s">
        <v>1128</v>
      </c>
      <c r="F204" t="s">
        <v>1085</v>
      </c>
      <c r="G204" t="s">
        <v>1086</v>
      </c>
    </row>
    <row r="205" spans="1:7">
      <c r="A205" t="s">
        <v>433</v>
      </c>
      <c r="B205" t="s">
        <v>1345</v>
      </c>
      <c r="C205" t="s">
        <v>435</v>
      </c>
      <c r="D205" s="1">
        <v>40093</v>
      </c>
      <c r="E205" t="s">
        <v>1128</v>
      </c>
      <c r="F205" t="s">
        <v>1085</v>
      </c>
      <c r="G205" t="s">
        <v>1086</v>
      </c>
    </row>
    <row r="206" spans="1:7">
      <c r="A206" t="s">
        <v>1346</v>
      </c>
      <c r="B206" t="s">
        <v>1347</v>
      </c>
      <c r="C206" t="s">
        <v>1348</v>
      </c>
      <c r="D206" s="1">
        <v>30083</v>
      </c>
      <c r="E206" t="s">
        <v>1168</v>
      </c>
      <c r="F206" t="s">
        <v>1085</v>
      </c>
      <c r="G206" t="s">
        <v>1086</v>
      </c>
    </row>
    <row r="207" spans="1:7">
      <c r="A207" t="s">
        <v>1349</v>
      </c>
      <c r="B207" t="s">
        <v>1350</v>
      </c>
      <c r="C207" t="s">
        <v>1351</v>
      </c>
      <c r="D207" s="1">
        <v>27135</v>
      </c>
      <c r="E207" t="s">
        <v>1168</v>
      </c>
      <c r="F207" t="s">
        <v>1085</v>
      </c>
      <c r="G207" t="s">
        <v>1088</v>
      </c>
    </row>
    <row r="208" spans="1:7">
      <c r="A208" t="s">
        <v>279</v>
      </c>
      <c r="B208" t="s">
        <v>1352</v>
      </c>
      <c r="C208" t="s">
        <v>281</v>
      </c>
      <c r="D208" s="1">
        <v>41901</v>
      </c>
      <c r="E208" t="s">
        <v>1084</v>
      </c>
      <c r="F208" t="s">
        <v>1085</v>
      </c>
      <c r="G208" t="s">
        <v>1088</v>
      </c>
    </row>
    <row r="209" spans="1:7">
      <c r="A209" t="s">
        <v>499</v>
      </c>
      <c r="B209" t="s">
        <v>1353</v>
      </c>
      <c r="C209" t="s">
        <v>501</v>
      </c>
      <c r="D209" s="1">
        <v>40796</v>
      </c>
      <c r="E209" t="s">
        <v>1128</v>
      </c>
      <c r="F209" t="s">
        <v>1085</v>
      </c>
      <c r="G209" t="s">
        <v>1088</v>
      </c>
    </row>
    <row r="210" spans="1:7">
      <c r="A210" t="s">
        <v>194</v>
      </c>
      <c r="B210" t="s">
        <v>1354</v>
      </c>
      <c r="C210" t="s">
        <v>196</v>
      </c>
      <c r="D210" s="1">
        <v>36666</v>
      </c>
      <c r="E210" t="s">
        <v>1094</v>
      </c>
      <c r="F210" t="s">
        <v>1085</v>
      </c>
      <c r="G210" t="s">
        <v>1086</v>
      </c>
    </row>
    <row r="211" spans="1:7">
      <c r="A211" t="s">
        <v>629</v>
      </c>
      <c r="B211" t="s">
        <v>1355</v>
      </c>
      <c r="C211" t="s">
        <v>631</v>
      </c>
      <c r="D211" s="1">
        <v>41722</v>
      </c>
      <c r="E211" t="s">
        <v>1084</v>
      </c>
      <c r="F211" t="s">
        <v>1085</v>
      </c>
      <c r="G211" t="s">
        <v>1086</v>
      </c>
    </row>
    <row r="212" spans="1:7">
      <c r="A212" t="s">
        <v>370</v>
      </c>
      <c r="B212" t="s">
        <v>1356</v>
      </c>
      <c r="C212" t="s">
        <v>372</v>
      </c>
      <c r="D212" s="1">
        <v>39629</v>
      </c>
      <c r="E212" t="s">
        <v>1128</v>
      </c>
      <c r="F212" t="s">
        <v>1085</v>
      </c>
      <c r="G212" t="s">
        <v>1086</v>
      </c>
    </row>
    <row r="213" spans="1:7">
      <c r="A213" t="s">
        <v>689</v>
      </c>
      <c r="B213" t="s">
        <v>1357</v>
      </c>
      <c r="C213" t="s">
        <v>691</v>
      </c>
      <c r="D213" s="1">
        <v>42156</v>
      </c>
      <c r="E213" t="s">
        <v>1084</v>
      </c>
      <c r="F213" t="s">
        <v>1085</v>
      </c>
      <c r="G213" t="s">
        <v>1086</v>
      </c>
    </row>
    <row r="214" spans="1:7">
      <c r="A214" t="s">
        <v>1358</v>
      </c>
      <c r="B214" t="s">
        <v>1359</v>
      </c>
      <c r="C214" t="s">
        <v>691</v>
      </c>
      <c r="D214" s="1">
        <v>33211</v>
      </c>
      <c r="E214" t="s">
        <v>1099</v>
      </c>
      <c r="F214" t="s">
        <v>1085</v>
      </c>
      <c r="G214" t="s">
        <v>1086</v>
      </c>
    </row>
    <row r="215" spans="1:7">
      <c r="A215" t="s">
        <v>845</v>
      </c>
      <c r="B215" t="s">
        <v>1360</v>
      </c>
      <c r="C215" t="s">
        <v>847</v>
      </c>
      <c r="D215" s="1">
        <v>36011</v>
      </c>
      <c r="E215" t="s">
        <v>1094</v>
      </c>
      <c r="F215" t="s">
        <v>1085</v>
      </c>
      <c r="G215" t="s">
        <v>1088</v>
      </c>
    </row>
    <row r="216" spans="1:7">
      <c r="A216" t="s">
        <v>236</v>
      </c>
      <c r="B216" t="s">
        <v>1361</v>
      </c>
      <c r="C216" t="s">
        <v>238</v>
      </c>
      <c r="D216" s="1">
        <v>37909</v>
      </c>
      <c r="E216" t="s">
        <v>1094</v>
      </c>
      <c r="F216" t="s">
        <v>1085</v>
      </c>
      <c r="G216" t="s">
        <v>1086</v>
      </c>
    </row>
    <row r="217" spans="1:7">
      <c r="A217" t="s">
        <v>1362</v>
      </c>
      <c r="B217" t="s">
        <v>1363</v>
      </c>
      <c r="C217" t="s">
        <v>1364</v>
      </c>
      <c r="D217" s="1">
        <v>32911</v>
      </c>
      <c r="E217" t="s">
        <v>1099</v>
      </c>
      <c r="F217" t="s">
        <v>1085</v>
      </c>
      <c r="G217" t="s">
        <v>1086</v>
      </c>
    </row>
    <row r="218" spans="1:7">
      <c r="A218" t="s">
        <v>850</v>
      </c>
      <c r="B218" t="s">
        <v>1365</v>
      </c>
      <c r="C218" t="s">
        <v>139</v>
      </c>
      <c r="D218" s="1">
        <v>35195</v>
      </c>
      <c r="E218" t="s">
        <v>1094</v>
      </c>
      <c r="F218" t="s">
        <v>1085</v>
      </c>
      <c r="G218" t="s">
        <v>1088</v>
      </c>
    </row>
    <row r="219" spans="1:7">
      <c r="A219" t="s">
        <v>233</v>
      </c>
      <c r="B219" t="s">
        <v>1366</v>
      </c>
      <c r="C219" t="s">
        <v>139</v>
      </c>
      <c r="D219" s="1">
        <v>42249</v>
      </c>
      <c r="E219" t="s">
        <v>1084</v>
      </c>
      <c r="F219" t="s">
        <v>1085</v>
      </c>
      <c r="G219" t="s">
        <v>1088</v>
      </c>
    </row>
    <row r="220" spans="1:7">
      <c r="A220" t="s">
        <v>137</v>
      </c>
      <c r="B220" t="s">
        <v>1367</v>
      </c>
      <c r="C220" t="s">
        <v>139</v>
      </c>
      <c r="D220" s="1">
        <v>35246</v>
      </c>
      <c r="E220" t="s">
        <v>1094</v>
      </c>
      <c r="F220" t="s">
        <v>1085</v>
      </c>
      <c r="G220" t="s">
        <v>1086</v>
      </c>
    </row>
    <row r="221" spans="1:7">
      <c r="A221" t="s">
        <v>648</v>
      </c>
      <c r="B221" t="s">
        <v>1368</v>
      </c>
      <c r="C221" t="s">
        <v>139</v>
      </c>
      <c r="D221" s="1">
        <v>40097</v>
      </c>
      <c r="E221" t="s">
        <v>1128</v>
      </c>
      <c r="F221" t="s">
        <v>1085</v>
      </c>
      <c r="G221" t="s">
        <v>1088</v>
      </c>
    </row>
    <row r="222" spans="1:7">
      <c r="A222" t="s">
        <v>1369</v>
      </c>
      <c r="B222" t="s">
        <v>1370</v>
      </c>
      <c r="C222" t="s">
        <v>1371</v>
      </c>
      <c r="D222" s="1">
        <v>30397</v>
      </c>
      <c r="E222" t="s">
        <v>1168</v>
      </c>
      <c r="F222" t="s">
        <v>1085</v>
      </c>
      <c r="G222" t="s">
        <v>1086</v>
      </c>
    </row>
    <row r="223" spans="1:7">
      <c r="A223" t="s">
        <v>771</v>
      </c>
      <c r="B223" t="s">
        <v>1372</v>
      </c>
      <c r="C223" t="s">
        <v>773</v>
      </c>
      <c r="D223" s="1">
        <v>38432</v>
      </c>
      <c r="E223" t="s">
        <v>1090</v>
      </c>
      <c r="F223" t="s">
        <v>1085</v>
      </c>
      <c r="G223" t="s">
        <v>1088</v>
      </c>
    </row>
    <row r="224" spans="1:7">
      <c r="A224" t="s">
        <v>72</v>
      </c>
      <c r="B224" t="s">
        <v>1373</v>
      </c>
      <c r="C224" t="s">
        <v>74</v>
      </c>
      <c r="D224" s="1">
        <v>30994</v>
      </c>
      <c r="E224" t="s">
        <v>1094</v>
      </c>
      <c r="F224" t="s">
        <v>1085</v>
      </c>
      <c r="G224" t="s">
        <v>1086</v>
      </c>
    </row>
    <row r="225" spans="1:7">
      <c r="A225" t="s">
        <v>200</v>
      </c>
      <c r="B225" t="s">
        <v>1062</v>
      </c>
      <c r="C225" t="s">
        <v>202</v>
      </c>
      <c r="D225" s="1">
        <v>36865</v>
      </c>
      <c r="E225" t="s">
        <v>1094</v>
      </c>
      <c r="F225" t="s">
        <v>1085</v>
      </c>
      <c r="G225" t="s">
        <v>1086</v>
      </c>
    </row>
    <row r="226" spans="1:7">
      <c r="A226" t="s">
        <v>774</v>
      </c>
      <c r="B226" t="s">
        <v>1374</v>
      </c>
      <c r="C226" t="s">
        <v>202</v>
      </c>
      <c r="D226" s="1">
        <v>43333</v>
      </c>
      <c r="E226" t="s">
        <v>1266</v>
      </c>
      <c r="F226" t="s">
        <v>1085</v>
      </c>
      <c r="G226" t="s">
        <v>1086</v>
      </c>
    </row>
    <row r="227" spans="1:7">
      <c r="A227" t="s">
        <v>505</v>
      </c>
      <c r="B227" t="s">
        <v>1060</v>
      </c>
      <c r="C227" t="s">
        <v>507</v>
      </c>
      <c r="D227" s="1">
        <v>40786</v>
      </c>
      <c r="E227" t="s">
        <v>1128</v>
      </c>
      <c r="F227" t="s">
        <v>1085</v>
      </c>
      <c r="G227" t="s">
        <v>1088</v>
      </c>
    </row>
    <row r="228" spans="1:7">
      <c r="A228" t="s">
        <v>272</v>
      </c>
      <c r="B228" t="s">
        <v>1375</v>
      </c>
      <c r="C228" t="s">
        <v>274</v>
      </c>
      <c r="D228" s="1">
        <v>41958</v>
      </c>
      <c r="E228" t="s">
        <v>1084</v>
      </c>
      <c r="F228" t="s">
        <v>1085</v>
      </c>
      <c r="G228" t="s">
        <v>1088</v>
      </c>
    </row>
    <row r="229" spans="1:7">
      <c r="A229" t="s">
        <v>525</v>
      </c>
      <c r="B229" t="s">
        <v>1050</v>
      </c>
      <c r="C229" t="s">
        <v>527</v>
      </c>
      <c r="D229" s="1">
        <v>40806</v>
      </c>
      <c r="E229" t="s">
        <v>1128</v>
      </c>
      <c r="F229" t="s">
        <v>1085</v>
      </c>
      <c r="G229" t="s">
        <v>1086</v>
      </c>
    </row>
    <row r="230" spans="1:7">
      <c r="A230" t="s">
        <v>134</v>
      </c>
      <c r="B230" t="s">
        <v>1376</v>
      </c>
      <c r="C230" t="s">
        <v>136</v>
      </c>
      <c r="D230" s="1">
        <v>43006</v>
      </c>
      <c r="E230" t="s">
        <v>1084</v>
      </c>
      <c r="F230" t="s">
        <v>1085</v>
      </c>
      <c r="G230" t="s">
        <v>1088</v>
      </c>
    </row>
    <row r="231" spans="1:7">
      <c r="A231" t="s">
        <v>816</v>
      </c>
      <c r="B231" t="s">
        <v>1377</v>
      </c>
      <c r="C231" t="s">
        <v>519</v>
      </c>
      <c r="D231" s="1">
        <v>37295</v>
      </c>
      <c r="E231" t="s">
        <v>1094</v>
      </c>
      <c r="F231" t="s">
        <v>1085</v>
      </c>
      <c r="G231" t="s">
        <v>1088</v>
      </c>
    </row>
    <row r="232" spans="1:7">
      <c r="A232" t="s">
        <v>606</v>
      </c>
      <c r="B232" t="s">
        <v>1378</v>
      </c>
      <c r="C232" t="s">
        <v>519</v>
      </c>
      <c r="D232" s="1">
        <v>40273</v>
      </c>
      <c r="E232" t="s">
        <v>1128</v>
      </c>
      <c r="F232" t="s">
        <v>1085</v>
      </c>
      <c r="G232" t="s">
        <v>1088</v>
      </c>
    </row>
    <row r="233" spans="1:7">
      <c r="A233" t="s">
        <v>1379</v>
      </c>
      <c r="B233" t="s">
        <v>1380</v>
      </c>
      <c r="C233" t="s">
        <v>519</v>
      </c>
      <c r="D233" s="1">
        <v>33211</v>
      </c>
      <c r="E233" t="s">
        <v>1168</v>
      </c>
      <c r="F233" t="s">
        <v>1085</v>
      </c>
      <c r="G233" t="s">
        <v>1088</v>
      </c>
    </row>
    <row r="234" spans="1:7">
      <c r="A234" t="s">
        <v>517</v>
      </c>
      <c r="B234" t="s">
        <v>1381</v>
      </c>
      <c r="C234" t="s">
        <v>519</v>
      </c>
      <c r="D234" s="1">
        <v>40700</v>
      </c>
      <c r="E234" t="s">
        <v>1128</v>
      </c>
      <c r="F234" t="s">
        <v>1085</v>
      </c>
      <c r="G234" t="s">
        <v>1088</v>
      </c>
    </row>
    <row r="235" spans="1:7">
      <c r="A235" t="s">
        <v>740</v>
      </c>
      <c r="B235" t="s">
        <v>1018</v>
      </c>
      <c r="C235" t="s">
        <v>742</v>
      </c>
      <c r="D235" s="1">
        <v>38635</v>
      </c>
      <c r="E235" t="s">
        <v>1090</v>
      </c>
      <c r="F235" t="s">
        <v>1085</v>
      </c>
      <c r="G235" t="s">
        <v>1088</v>
      </c>
    </row>
    <row r="236" spans="1:7">
      <c r="A236" t="s">
        <v>295</v>
      </c>
      <c r="B236" t="s">
        <v>1022</v>
      </c>
      <c r="C236" t="s">
        <v>297</v>
      </c>
      <c r="D236" s="1">
        <v>38657</v>
      </c>
      <c r="E236" t="s">
        <v>1090</v>
      </c>
      <c r="F236" t="s">
        <v>1085</v>
      </c>
      <c r="G236" t="s">
        <v>1086</v>
      </c>
    </row>
    <row r="237" spans="1:7">
      <c r="A237" t="s">
        <v>650</v>
      </c>
      <c r="B237" t="s">
        <v>1382</v>
      </c>
      <c r="C237" t="s">
        <v>652</v>
      </c>
      <c r="D237" s="1">
        <v>41760</v>
      </c>
      <c r="E237" t="s">
        <v>1084</v>
      </c>
      <c r="F237" t="s">
        <v>1085</v>
      </c>
      <c r="G237" t="s">
        <v>1086</v>
      </c>
    </row>
    <row r="238" spans="1:7">
      <c r="A238" t="s">
        <v>301</v>
      </c>
      <c r="B238" t="s">
        <v>1383</v>
      </c>
      <c r="C238" t="s">
        <v>303</v>
      </c>
      <c r="D238" s="1">
        <v>39018</v>
      </c>
      <c r="E238" t="s">
        <v>1090</v>
      </c>
      <c r="F238" t="s">
        <v>1085</v>
      </c>
      <c r="G238" t="s">
        <v>1086</v>
      </c>
    </row>
    <row r="239" spans="1:7">
      <c r="A239" t="s">
        <v>1384</v>
      </c>
      <c r="B239" t="s">
        <v>1385</v>
      </c>
      <c r="C239" t="s">
        <v>1386</v>
      </c>
      <c r="D239" s="1">
        <v>34635</v>
      </c>
      <c r="E239" t="s">
        <v>1094</v>
      </c>
      <c r="F239" t="s">
        <v>1085</v>
      </c>
      <c r="G239" t="s">
        <v>1088</v>
      </c>
    </row>
    <row r="240" spans="1:7">
      <c r="A240" t="s">
        <v>260</v>
      </c>
      <c r="B240" t="s">
        <v>1387</v>
      </c>
      <c r="C240" t="s">
        <v>262</v>
      </c>
      <c r="D240" s="1">
        <v>42096</v>
      </c>
      <c r="E240" t="s">
        <v>1084</v>
      </c>
      <c r="F240" t="s">
        <v>1085</v>
      </c>
      <c r="G240" t="s">
        <v>1088</v>
      </c>
    </row>
    <row r="241" spans="1:7">
      <c r="A241" t="s">
        <v>702</v>
      </c>
      <c r="B241" t="s">
        <v>1016</v>
      </c>
      <c r="C241" t="s">
        <v>704</v>
      </c>
      <c r="D241" s="1">
        <v>39538</v>
      </c>
      <c r="E241" t="s">
        <v>1128</v>
      </c>
      <c r="F241" t="s">
        <v>1085</v>
      </c>
      <c r="G241" t="s">
        <v>1088</v>
      </c>
    </row>
    <row r="242" spans="1:7">
      <c r="A242" t="s">
        <v>105</v>
      </c>
      <c r="B242" t="s">
        <v>1388</v>
      </c>
      <c r="C242" t="s">
        <v>107</v>
      </c>
      <c r="D242" s="1">
        <v>33241</v>
      </c>
      <c r="E242" t="s">
        <v>1094</v>
      </c>
      <c r="F242" t="s">
        <v>1085</v>
      </c>
      <c r="G242" t="s">
        <v>1086</v>
      </c>
    </row>
    <row r="243" spans="1:7">
      <c r="A243" t="s">
        <v>696</v>
      </c>
      <c r="B243" t="s">
        <v>1389</v>
      </c>
      <c r="C243" t="s">
        <v>698</v>
      </c>
      <c r="D243" s="1">
        <v>39562</v>
      </c>
      <c r="E243" t="s">
        <v>1128</v>
      </c>
      <c r="F243" t="s">
        <v>1085</v>
      </c>
      <c r="G243" t="s">
        <v>1088</v>
      </c>
    </row>
    <row r="244" spans="1:7">
      <c r="A244" t="s">
        <v>1390</v>
      </c>
      <c r="B244" t="s">
        <v>1391</v>
      </c>
      <c r="C244" t="s">
        <v>1392</v>
      </c>
      <c r="D244" s="1">
        <v>43224</v>
      </c>
      <c r="E244" t="s">
        <v>1266</v>
      </c>
      <c r="F244" t="s">
        <v>1085</v>
      </c>
      <c r="G244" t="s">
        <v>1086</v>
      </c>
    </row>
    <row r="245" spans="1:7">
      <c r="A245" t="s">
        <v>412</v>
      </c>
      <c r="B245" t="s">
        <v>1393</v>
      </c>
      <c r="C245" t="s">
        <v>414</v>
      </c>
      <c r="D245" s="1">
        <v>39878</v>
      </c>
      <c r="E245" t="s">
        <v>1128</v>
      </c>
      <c r="F245" t="s">
        <v>1085</v>
      </c>
      <c r="G245" t="s">
        <v>1086</v>
      </c>
    </row>
    <row r="246" spans="1:7">
      <c r="A246" t="s">
        <v>1394</v>
      </c>
      <c r="B246" t="s">
        <v>1395</v>
      </c>
      <c r="C246" t="s">
        <v>1396</v>
      </c>
      <c r="D246" s="1">
        <v>33058</v>
      </c>
      <c r="E246" t="s">
        <v>1094</v>
      </c>
      <c r="F246" t="s">
        <v>1085</v>
      </c>
      <c r="G246" t="s">
        <v>1086</v>
      </c>
    </row>
    <row r="247" spans="1:7">
      <c r="A247" t="s">
        <v>1397</v>
      </c>
      <c r="B247" t="s">
        <v>1398</v>
      </c>
      <c r="C247" t="s">
        <v>199</v>
      </c>
      <c r="D247" s="1">
        <v>42188</v>
      </c>
      <c r="E247" t="s">
        <v>1084</v>
      </c>
      <c r="F247" t="s">
        <v>1085</v>
      </c>
      <c r="G247" t="s">
        <v>1088</v>
      </c>
    </row>
    <row r="248" spans="1:7">
      <c r="A248" t="s">
        <v>823</v>
      </c>
      <c r="B248" t="s">
        <v>1025</v>
      </c>
      <c r="C248" t="s">
        <v>825</v>
      </c>
      <c r="D248" s="1">
        <v>37104</v>
      </c>
      <c r="E248" t="s">
        <v>1263</v>
      </c>
      <c r="F248" t="s">
        <v>1085</v>
      </c>
      <c r="G248" t="s">
        <v>1088</v>
      </c>
    </row>
    <row r="249" spans="1:7">
      <c r="A249" t="s">
        <v>868</v>
      </c>
      <c r="B249" t="s">
        <v>1399</v>
      </c>
      <c r="C249" t="s">
        <v>870</v>
      </c>
      <c r="D249" s="1">
        <v>32197</v>
      </c>
      <c r="E249" t="s">
        <v>1168</v>
      </c>
      <c r="F249" t="s">
        <v>1085</v>
      </c>
      <c r="G249" t="s">
        <v>1088</v>
      </c>
    </row>
    <row r="250" spans="1:7">
      <c r="A250" t="s">
        <v>1400</v>
      </c>
      <c r="B250" t="s">
        <v>1401</v>
      </c>
      <c r="C250" t="s">
        <v>1402</v>
      </c>
      <c r="D250" s="1">
        <v>45182</v>
      </c>
      <c r="E250" t="s">
        <v>1266</v>
      </c>
      <c r="F250" t="s">
        <v>1085</v>
      </c>
      <c r="G250" t="s">
        <v>1086</v>
      </c>
    </row>
    <row r="251" spans="1:7">
      <c r="A251" t="s">
        <v>255</v>
      </c>
      <c r="B251" t="s">
        <v>1403</v>
      </c>
      <c r="C251" t="s">
        <v>143</v>
      </c>
      <c r="D251" s="1">
        <v>42111</v>
      </c>
      <c r="E251" t="s">
        <v>1084</v>
      </c>
      <c r="F251" t="s">
        <v>1085</v>
      </c>
      <c r="G251" t="s">
        <v>1088</v>
      </c>
    </row>
    <row r="252" spans="1:7">
      <c r="A252" t="s">
        <v>402</v>
      </c>
      <c r="B252" t="s">
        <v>1404</v>
      </c>
      <c r="C252" t="s">
        <v>143</v>
      </c>
      <c r="D252" s="1">
        <v>41278</v>
      </c>
      <c r="E252" t="s">
        <v>1084</v>
      </c>
      <c r="F252" t="s">
        <v>1085</v>
      </c>
      <c r="G252" t="s">
        <v>1088</v>
      </c>
    </row>
    <row r="253" spans="1:7">
      <c r="A253" t="s">
        <v>627</v>
      </c>
      <c r="B253" t="s">
        <v>1056</v>
      </c>
      <c r="C253" t="s">
        <v>143</v>
      </c>
      <c r="D253" s="1">
        <v>40227</v>
      </c>
      <c r="E253" t="s">
        <v>1128</v>
      </c>
      <c r="F253" t="s">
        <v>1085</v>
      </c>
      <c r="G253" t="s">
        <v>1088</v>
      </c>
    </row>
    <row r="254" spans="1:7">
      <c r="A254" t="s">
        <v>833</v>
      </c>
      <c r="B254" t="s">
        <v>1405</v>
      </c>
      <c r="C254" t="s">
        <v>731</v>
      </c>
      <c r="D254" s="1">
        <v>36865</v>
      </c>
      <c r="E254" t="s">
        <v>1094</v>
      </c>
      <c r="F254" t="s">
        <v>1085</v>
      </c>
      <c r="G254" t="s">
        <v>1088</v>
      </c>
    </row>
    <row r="255" spans="1:7">
      <c r="A255" t="s">
        <v>729</v>
      </c>
      <c r="B255" t="s">
        <v>1406</v>
      </c>
      <c r="C255" t="s">
        <v>731</v>
      </c>
      <c r="D255" s="1">
        <v>38900</v>
      </c>
      <c r="E255" t="s">
        <v>1090</v>
      </c>
      <c r="F255" t="s">
        <v>1085</v>
      </c>
      <c r="G255" t="s">
        <v>1088</v>
      </c>
    </row>
    <row r="256" spans="1:7">
      <c r="A256" t="s">
        <v>246</v>
      </c>
      <c r="B256" t="s">
        <v>1407</v>
      </c>
      <c r="C256" t="s">
        <v>248</v>
      </c>
      <c r="D256" s="1">
        <v>37960</v>
      </c>
      <c r="E256" t="s">
        <v>1094</v>
      </c>
      <c r="F256" t="s">
        <v>1085</v>
      </c>
      <c r="G256" t="s">
        <v>1086</v>
      </c>
    </row>
    <row r="257" spans="1:7">
      <c r="A257" t="s">
        <v>520</v>
      </c>
      <c r="B257" t="s">
        <v>1041</v>
      </c>
      <c r="C257" t="s">
        <v>248</v>
      </c>
      <c r="D257" s="1">
        <v>40790</v>
      </c>
      <c r="E257" t="s">
        <v>1128</v>
      </c>
      <c r="F257" t="s">
        <v>1085</v>
      </c>
      <c r="G257" t="s">
        <v>1086</v>
      </c>
    </row>
    <row r="258" spans="1:7">
      <c r="A258" t="s">
        <v>86</v>
      </c>
      <c r="B258" t="s">
        <v>1408</v>
      </c>
      <c r="C258" t="s">
        <v>88</v>
      </c>
      <c r="D258" s="1">
        <v>32357</v>
      </c>
      <c r="E258" t="s">
        <v>1094</v>
      </c>
      <c r="F258" t="s">
        <v>1085</v>
      </c>
      <c r="G258" t="s">
        <v>1086</v>
      </c>
    </row>
    <row r="259" spans="1:7">
      <c r="A259" t="s">
        <v>485</v>
      </c>
      <c r="B259" t="s">
        <v>1409</v>
      </c>
      <c r="C259" t="s">
        <v>88</v>
      </c>
      <c r="D259" s="1">
        <v>40446</v>
      </c>
      <c r="E259" t="s">
        <v>1128</v>
      </c>
      <c r="F259" t="s">
        <v>1085</v>
      </c>
      <c r="G259" t="s">
        <v>1086</v>
      </c>
    </row>
    <row r="260" spans="1:7">
      <c r="A260" t="s">
        <v>502</v>
      </c>
      <c r="B260" t="s">
        <v>1410</v>
      </c>
      <c r="C260" t="s">
        <v>504</v>
      </c>
      <c r="D260" s="1">
        <v>40626</v>
      </c>
      <c r="E260" t="s">
        <v>1128</v>
      </c>
      <c r="F260" t="s">
        <v>1085</v>
      </c>
      <c r="G260" t="s">
        <v>1086</v>
      </c>
    </row>
    <row r="261" spans="1:7">
      <c r="A261" t="s">
        <v>224</v>
      </c>
      <c r="B261" t="s">
        <v>1411</v>
      </c>
      <c r="C261" t="s">
        <v>226</v>
      </c>
      <c r="D261" s="1">
        <v>37810</v>
      </c>
      <c r="E261" t="s">
        <v>1094</v>
      </c>
      <c r="F261" t="s">
        <v>1085</v>
      </c>
      <c r="G261" t="s">
        <v>1086</v>
      </c>
    </row>
    <row r="262" spans="1:7">
      <c r="A262" t="s">
        <v>333</v>
      </c>
      <c r="B262" t="s">
        <v>1412</v>
      </c>
      <c r="C262" t="s">
        <v>335</v>
      </c>
      <c r="D262" s="1">
        <v>39239</v>
      </c>
      <c r="E262" t="s">
        <v>1090</v>
      </c>
      <c r="F262" t="s">
        <v>1085</v>
      </c>
      <c r="G262" t="s">
        <v>1086</v>
      </c>
    </row>
    <row r="263" spans="1:7">
      <c r="A263" t="s">
        <v>394</v>
      </c>
      <c r="B263" t="s">
        <v>1413</v>
      </c>
      <c r="C263" t="s">
        <v>335</v>
      </c>
      <c r="D263" s="1">
        <v>39744</v>
      </c>
      <c r="E263" t="s">
        <v>1128</v>
      </c>
      <c r="F263" t="s">
        <v>1085</v>
      </c>
      <c r="G263" t="s">
        <v>1086</v>
      </c>
    </row>
    <row r="264" spans="1:7">
      <c r="A264" t="s">
        <v>241</v>
      </c>
      <c r="B264" t="s">
        <v>1414</v>
      </c>
      <c r="C264" t="s">
        <v>190</v>
      </c>
      <c r="D264" s="1">
        <v>37932</v>
      </c>
      <c r="E264" t="s">
        <v>1099</v>
      </c>
      <c r="F264" t="s">
        <v>1415</v>
      </c>
      <c r="G264" t="s">
        <v>1086</v>
      </c>
    </row>
    <row r="265" spans="1:7">
      <c r="A265" t="s">
        <v>188</v>
      </c>
      <c r="B265" t="s">
        <v>1416</v>
      </c>
      <c r="C265" t="s">
        <v>190</v>
      </c>
      <c r="D265" s="1">
        <v>36567</v>
      </c>
      <c r="E265" t="s">
        <v>1094</v>
      </c>
      <c r="F265" t="s">
        <v>1085</v>
      </c>
      <c r="G265" t="s">
        <v>1086</v>
      </c>
    </row>
    <row r="266" spans="1:7">
      <c r="A266" t="s">
        <v>419</v>
      </c>
      <c r="B266" t="s">
        <v>1417</v>
      </c>
      <c r="C266" t="s">
        <v>421</v>
      </c>
      <c r="D266" s="1">
        <v>39996</v>
      </c>
      <c r="E266" t="s">
        <v>1128</v>
      </c>
      <c r="F266" t="s">
        <v>1085</v>
      </c>
      <c r="G266" t="s">
        <v>1086</v>
      </c>
    </row>
    <row r="267" spans="1:7">
      <c r="A267" t="s">
        <v>705</v>
      </c>
      <c r="B267" t="s">
        <v>1418</v>
      </c>
      <c r="C267" t="s">
        <v>421</v>
      </c>
      <c r="D267" s="1">
        <v>42324</v>
      </c>
      <c r="E267" t="s">
        <v>1084</v>
      </c>
      <c r="F267" t="s">
        <v>1085</v>
      </c>
      <c r="G267" t="s">
        <v>1086</v>
      </c>
    </row>
    <row r="268" spans="1:7">
      <c r="A268" t="s">
        <v>1419</v>
      </c>
      <c r="B268" t="s">
        <v>1420</v>
      </c>
      <c r="C268" t="s">
        <v>1421</v>
      </c>
      <c r="D268" s="1">
        <v>35817</v>
      </c>
      <c r="E268" t="s">
        <v>1099</v>
      </c>
      <c r="F268" t="s">
        <v>1085</v>
      </c>
      <c r="G268" t="s">
        <v>1088</v>
      </c>
    </row>
    <row r="269" spans="1:7">
      <c r="A269" t="s">
        <v>640</v>
      </c>
      <c r="B269" t="s">
        <v>1422</v>
      </c>
      <c r="C269" t="s">
        <v>642</v>
      </c>
      <c r="D269" s="1">
        <v>41737</v>
      </c>
      <c r="E269" t="s">
        <v>1084</v>
      </c>
      <c r="F269" t="s">
        <v>1085</v>
      </c>
      <c r="G269" t="s">
        <v>1086</v>
      </c>
    </row>
    <row r="270" spans="1:7">
      <c r="A270" t="s">
        <v>315</v>
      </c>
      <c r="B270" t="s">
        <v>1423</v>
      </c>
      <c r="C270" t="s">
        <v>317</v>
      </c>
      <c r="D270" s="1">
        <v>39123</v>
      </c>
      <c r="E270" t="s">
        <v>1090</v>
      </c>
      <c r="F270" t="s">
        <v>1085</v>
      </c>
      <c r="G270" t="s">
        <v>1086</v>
      </c>
    </row>
    <row r="271" spans="1:7">
      <c r="A271" t="s">
        <v>339</v>
      </c>
      <c r="B271" t="s">
        <v>1424</v>
      </c>
      <c r="C271" t="s">
        <v>341</v>
      </c>
      <c r="D271" s="1">
        <v>39346</v>
      </c>
      <c r="E271" t="s">
        <v>1090</v>
      </c>
      <c r="F271" t="s">
        <v>1085</v>
      </c>
      <c r="G271" t="s">
        <v>1086</v>
      </c>
    </row>
    <row r="272" spans="1:7">
      <c r="A272" t="s">
        <v>585</v>
      </c>
      <c r="B272" t="s">
        <v>1425</v>
      </c>
      <c r="C272" t="s">
        <v>587</v>
      </c>
      <c r="D272" s="1">
        <v>41299</v>
      </c>
      <c r="E272" t="s">
        <v>1084</v>
      </c>
      <c r="F272" t="s">
        <v>1085</v>
      </c>
      <c r="G272" t="s">
        <v>1086</v>
      </c>
    </row>
    <row r="273" spans="1:7">
      <c r="A273" t="s">
        <v>1426</v>
      </c>
      <c r="B273" t="s">
        <v>1427</v>
      </c>
      <c r="C273" t="s">
        <v>1428</v>
      </c>
      <c r="D273" s="1">
        <v>37410</v>
      </c>
      <c r="E273" t="s">
        <v>1094</v>
      </c>
      <c r="F273" t="s">
        <v>1085</v>
      </c>
      <c r="G273" t="s">
        <v>1088</v>
      </c>
    </row>
    <row r="274" spans="1:7">
      <c r="A274" t="s">
        <v>1429</v>
      </c>
      <c r="B274" t="s">
        <v>1430</v>
      </c>
      <c r="C274" t="s">
        <v>1431</v>
      </c>
      <c r="D274" s="1">
        <v>41263</v>
      </c>
      <c r="E274" t="s">
        <v>1084</v>
      </c>
      <c r="F274" t="s">
        <v>1085</v>
      </c>
      <c r="G274" t="s">
        <v>1086</v>
      </c>
    </row>
    <row r="275" spans="1:7">
      <c r="A275" t="s">
        <v>160</v>
      </c>
      <c r="B275" t="s">
        <v>1432</v>
      </c>
      <c r="C275" t="s">
        <v>162</v>
      </c>
      <c r="D275" s="1">
        <v>42788</v>
      </c>
      <c r="E275" t="s">
        <v>1084</v>
      </c>
      <c r="F275" t="s">
        <v>1085</v>
      </c>
      <c r="G275" t="s">
        <v>1088</v>
      </c>
    </row>
    <row r="276" spans="1:7">
      <c r="A276" t="s">
        <v>750</v>
      </c>
      <c r="B276" t="s">
        <v>1433</v>
      </c>
      <c r="C276" t="s">
        <v>752</v>
      </c>
      <c r="D276" s="1">
        <v>38550</v>
      </c>
      <c r="E276" t="s">
        <v>1090</v>
      </c>
      <c r="F276" t="s">
        <v>1085</v>
      </c>
      <c r="G276" t="s">
        <v>1088</v>
      </c>
    </row>
    <row r="277" spans="1:7">
      <c r="A277" t="s">
        <v>166</v>
      </c>
      <c r="B277" t="s">
        <v>1434</v>
      </c>
      <c r="C277" t="s">
        <v>168</v>
      </c>
      <c r="D277" s="1">
        <v>42713</v>
      </c>
      <c r="E277" t="s">
        <v>1084</v>
      </c>
      <c r="F277" t="s">
        <v>1085</v>
      </c>
      <c r="G277" t="s">
        <v>1088</v>
      </c>
    </row>
    <row r="278" spans="1:7">
      <c r="A278" t="s">
        <v>60</v>
      </c>
      <c r="B278" t="s">
        <v>1435</v>
      </c>
      <c r="C278" t="s">
        <v>62</v>
      </c>
      <c r="D278" s="1">
        <v>27643</v>
      </c>
      <c r="E278" t="s">
        <v>1168</v>
      </c>
      <c r="F278" t="s">
        <v>1085</v>
      </c>
      <c r="G278" t="s">
        <v>1086</v>
      </c>
    </row>
    <row r="279" spans="1:7">
      <c r="A279" t="s">
        <v>282</v>
      </c>
      <c r="B279" t="s">
        <v>1436</v>
      </c>
      <c r="C279" t="s">
        <v>284</v>
      </c>
      <c r="D279" s="1">
        <v>38517</v>
      </c>
      <c r="E279" t="s">
        <v>1090</v>
      </c>
      <c r="F279" t="s">
        <v>1085</v>
      </c>
      <c r="G279" t="s">
        <v>1086</v>
      </c>
    </row>
    <row r="280" spans="1:7">
      <c r="A280" t="s">
        <v>852</v>
      </c>
      <c r="B280" t="s">
        <v>1437</v>
      </c>
      <c r="C280" t="s">
        <v>854</v>
      </c>
      <c r="D280" s="1">
        <v>34885</v>
      </c>
      <c r="E280" t="s">
        <v>1094</v>
      </c>
      <c r="F280" t="s">
        <v>1085</v>
      </c>
      <c r="G280" t="s">
        <v>1088</v>
      </c>
    </row>
    <row r="281" spans="1:7">
      <c r="A281" t="s">
        <v>514</v>
      </c>
      <c r="B281" t="s">
        <v>1438</v>
      </c>
      <c r="C281" t="s">
        <v>516</v>
      </c>
      <c r="D281" s="1">
        <v>40750</v>
      </c>
      <c r="E281" t="s">
        <v>1128</v>
      </c>
      <c r="F281" t="s">
        <v>1085</v>
      </c>
      <c r="G281" t="s">
        <v>1086</v>
      </c>
    </row>
    <row r="282" spans="1:7">
      <c r="A282" t="s">
        <v>348</v>
      </c>
      <c r="B282" t="s">
        <v>1439</v>
      </c>
      <c r="C282" t="s">
        <v>350</v>
      </c>
      <c r="D282" s="1">
        <v>41537</v>
      </c>
      <c r="E282" t="s">
        <v>1084</v>
      </c>
      <c r="F282" t="s">
        <v>1085</v>
      </c>
      <c r="G282" t="s">
        <v>1088</v>
      </c>
    </row>
    <row r="283" spans="1:7">
      <c r="A283" t="s">
        <v>659</v>
      </c>
      <c r="B283" t="s">
        <v>1440</v>
      </c>
      <c r="C283" t="s">
        <v>661</v>
      </c>
      <c r="D283" s="1">
        <v>40015</v>
      </c>
      <c r="E283" t="s">
        <v>1128</v>
      </c>
      <c r="F283" t="s">
        <v>1085</v>
      </c>
      <c r="G283" t="s">
        <v>1088</v>
      </c>
    </row>
    <row r="284" spans="1:7">
      <c r="D284" s="1"/>
    </row>
    <row r="285" spans="1:7">
      <c r="D285" s="1"/>
    </row>
    <row r="286" spans="1:7">
      <c r="D286" s="1"/>
    </row>
    <row r="287" spans="1:7">
      <c r="D287" s="1"/>
    </row>
    <row r="288" spans="1:7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  <row r="412" spans="4:4">
      <c r="D412" s="1"/>
    </row>
    <row r="413" spans="4:4">
      <c r="D413" s="1"/>
    </row>
    <row r="414" spans="4:4">
      <c r="D414" s="1"/>
    </row>
    <row r="415" spans="4:4">
      <c r="D415" s="1"/>
    </row>
    <row r="416" spans="4:4">
      <c r="D416" s="1"/>
    </row>
    <row r="417" spans="4:4">
      <c r="D417" s="1"/>
    </row>
    <row r="418" spans="4:4">
      <c r="D418" s="1"/>
    </row>
    <row r="419" spans="4:4">
      <c r="D419" s="1"/>
    </row>
    <row r="420" spans="4:4">
      <c r="D420" s="1"/>
    </row>
    <row r="421" spans="4:4">
      <c r="D421" s="1"/>
    </row>
    <row r="422" spans="4:4">
      <c r="D422" s="1"/>
    </row>
    <row r="423" spans="4:4">
      <c r="D423" s="1"/>
    </row>
    <row r="424" spans="4:4">
      <c r="D424" s="1"/>
    </row>
    <row r="425" spans="4:4">
      <c r="D425" s="1"/>
    </row>
    <row r="426" spans="4:4">
      <c r="D426" s="1"/>
    </row>
    <row r="427" spans="4:4">
      <c r="D427" s="1"/>
    </row>
    <row r="428" spans="4:4">
      <c r="D428" s="1"/>
    </row>
    <row r="429" spans="4:4">
      <c r="D429" s="1"/>
    </row>
    <row r="430" spans="4:4">
      <c r="D430" s="1"/>
    </row>
    <row r="431" spans="4:4">
      <c r="D431" s="1"/>
    </row>
    <row r="432" spans="4:4">
      <c r="D432" s="1"/>
    </row>
    <row r="433" spans="4:4">
      <c r="D433" s="1"/>
    </row>
    <row r="434" spans="4:4">
      <c r="D434" s="1"/>
    </row>
    <row r="435" spans="4:4">
      <c r="D435" s="1"/>
    </row>
    <row r="436" spans="4:4">
      <c r="D436" s="1"/>
    </row>
    <row r="437" spans="4:4">
      <c r="D437" s="1"/>
    </row>
    <row r="438" spans="4:4">
      <c r="D438" s="1"/>
    </row>
    <row r="439" spans="4:4">
      <c r="D439" s="1"/>
    </row>
    <row r="440" spans="4:4">
      <c r="D440" s="1"/>
    </row>
    <row r="441" spans="4:4">
      <c r="D441" s="1"/>
    </row>
    <row r="442" spans="4:4">
      <c r="D442" s="1"/>
    </row>
    <row r="443" spans="4:4">
      <c r="D443" s="1"/>
    </row>
    <row r="444" spans="4:4">
      <c r="D444" s="1"/>
    </row>
    <row r="445" spans="4:4">
      <c r="D445" s="1"/>
    </row>
    <row r="446" spans="4:4">
      <c r="D446" s="1"/>
    </row>
    <row r="447" spans="4:4">
      <c r="D447" s="1"/>
    </row>
    <row r="448" spans="4:4">
      <c r="D448" s="1"/>
    </row>
    <row r="449" spans="4:4">
      <c r="D449" s="1"/>
    </row>
    <row r="450" spans="4:4">
      <c r="D450" s="1"/>
    </row>
    <row r="451" spans="4:4">
      <c r="D451" s="1"/>
    </row>
    <row r="452" spans="4:4">
      <c r="D452" s="1"/>
    </row>
    <row r="453" spans="4:4">
      <c r="D453" s="1"/>
    </row>
    <row r="454" spans="4:4">
      <c r="D454" s="1"/>
    </row>
    <row r="455" spans="4:4">
      <c r="D455" s="1"/>
    </row>
    <row r="456" spans="4:4">
      <c r="D456" s="1"/>
    </row>
    <row r="457" spans="4:4">
      <c r="D457" s="1"/>
    </row>
    <row r="458" spans="4:4">
      <c r="D458" s="1"/>
    </row>
    <row r="459" spans="4:4">
      <c r="D459" s="1"/>
    </row>
    <row r="460" spans="4:4">
      <c r="D460" s="1"/>
    </row>
    <row r="461" spans="4:4">
      <c r="D461" s="1"/>
    </row>
    <row r="462" spans="4:4">
      <c r="D462" s="1"/>
    </row>
    <row r="463" spans="4:4">
      <c r="D463" s="1"/>
    </row>
    <row r="464" spans="4:4">
      <c r="D464" s="1"/>
    </row>
    <row r="465" spans="4:4">
      <c r="D465" s="1"/>
    </row>
    <row r="466" spans="4:4">
      <c r="D466" s="1"/>
    </row>
    <row r="467" spans="4:4">
      <c r="D467" s="1"/>
    </row>
    <row r="468" spans="4:4">
      <c r="D468" s="1"/>
    </row>
    <row r="469" spans="4:4">
      <c r="D469" s="1"/>
    </row>
    <row r="470" spans="4:4">
      <c r="D470" s="1"/>
    </row>
    <row r="471" spans="4:4">
      <c r="D471" s="1"/>
    </row>
    <row r="472" spans="4:4">
      <c r="D472" s="1"/>
    </row>
    <row r="473" spans="4:4">
      <c r="D473" s="1"/>
    </row>
    <row r="474" spans="4:4">
      <c r="D474" s="1"/>
    </row>
    <row r="475" spans="4:4">
      <c r="D475" s="1"/>
    </row>
    <row r="476" spans="4:4">
      <c r="D476" s="1"/>
    </row>
    <row r="477" spans="4:4">
      <c r="D477" s="1"/>
    </row>
    <row r="478" spans="4:4">
      <c r="D478" s="1"/>
    </row>
    <row r="479" spans="4:4">
      <c r="D479" s="1"/>
    </row>
    <row r="480" spans="4:4">
      <c r="D480" s="1"/>
    </row>
    <row r="481" spans="4:4">
      <c r="D481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52EF-7222-4408-92D4-4D6E2AB62D5B}">
  <dimension ref="A1:A7"/>
  <sheetViews>
    <sheetView workbookViewId="0">
      <selection activeCell="A7" sqref="A7"/>
    </sheetView>
  </sheetViews>
  <sheetFormatPr defaultRowHeight="15"/>
  <cols>
    <col min="1" max="1" width="18.140625" bestFit="1" customWidth="1"/>
  </cols>
  <sheetData>
    <row r="1" spans="1:1">
      <c r="A1" s="61" t="s">
        <v>1441</v>
      </c>
    </row>
    <row r="2" spans="1:1">
      <c r="A2" t="s">
        <v>1442</v>
      </c>
    </row>
    <row r="3" spans="1:1">
      <c r="A3" t="s">
        <v>1443</v>
      </c>
    </row>
    <row r="4" spans="1:1">
      <c r="A4" t="s">
        <v>1444</v>
      </c>
    </row>
    <row r="5" spans="1:1">
      <c r="A5" t="s">
        <v>1445</v>
      </c>
    </row>
    <row r="6" spans="1:1">
      <c r="A6" t="s">
        <v>1446</v>
      </c>
    </row>
    <row r="7" spans="1:1">
      <c r="A7" t="s">
        <v>1447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C091-1F1D-4984-B6E3-9E35F547735F}">
  <dimension ref="A1:S80"/>
  <sheetViews>
    <sheetView topLeftCell="A63" workbookViewId="0">
      <selection sqref="A1:H80"/>
    </sheetView>
  </sheetViews>
  <sheetFormatPr defaultRowHeight="15"/>
  <cols>
    <col min="1" max="1" width="11.5703125" customWidth="1"/>
    <col min="2" max="2" width="6" customWidth="1"/>
    <col min="3" max="3" width="16" customWidth="1"/>
    <col min="4" max="4" width="12.42578125" customWidth="1"/>
    <col min="5" max="5" width="13.85546875" bestFit="1" customWidth="1"/>
    <col min="6" max="6" width="19.140625" bestFit="1" customWidth="1"/>
    <col min="7" max="7" width="10.5703125" bestFit="1" customWidth="1"/>
    <col min="8" max="8" width="11.7109375" customWidth="1"/>
    <col min="9" max="9" width="14.85546875" customWidth="1"/>
    <col min="13" max="13" width="11.7109375" customWidth="1"/>
    <col min="14" max="14" width="13.85546875" customWidth="1"/>
    <col min="15" max="16" width="14.42578125" customWidth="1"/>
  </cols>
  <sheetData>
    <row r="1" spans="1:19">
      <c r="A1" s="134" t="s">
        <v>892</v>
      </c>
      <c r="B1" s="134" t="s">
        <v>1448</v>
      </c>
      <c r="C1" s="134" t="s">
        <v>891</v>
      </c>
      <c r="D1" s="134" t="s">
        <v>1449</v>
      </c>
      <c r="E1" s="134" t="s">
        <v>1450</v>
      </c>
      <c r="F1" s="134" t="s">
        <v>893</v>
      </c>
      <c r="G1" s="134" t="s">
        <v>1451</v>
      </c>
      <c r="H1" s="134" t="s">
        <v>1452</v>
      </c>
      <c r="M1" t="s">
        <v>1064</v>
      </c>
      <c r="N1" t="s">
        <v>1453</v>
      </c>
      <c r="O1" t="s">
        <v>1454</v>
      </c>
      <c r="P1" t="s">
        <v>1455</v>
      </c>
      <c r="Q1" t="s">
        <v>1456</v>
      </c>
      <c r="R1" t="s">
        <v>1457</v>
      </c>
      <c r="S1" t="s">
        <v>892</v>
      </c>
    </row>
    <row r="2" spans="1:19">
      <c r="A2" s="136" t="s">
        <v>1458</v>
      </c>
      <c r="B2" s="136">
        <v>10</v>
      </c>
      <c r="C2" s="136" t="s">
        <v>900</v>
      </c>
      <c r="D2" s="136" t="s">
        <v>6</v>
      </c>
      <c r="E2" s="136" t="s">
        <v>7</v>
      </c>
      <c r="F2" s="136" t="s">
        <v>901</v>
      </c>
      <c r="G2" s="136" t="s">
        <v>903</v>
      </c>
      <c r="H2" s="136" t="s">
        <v>1459</v>
      </c>
      <c r="M2" t="s">
        <v>1459</v>
      </c>
      <c r="Q2">
        <v>4</v>
      </c>
      <c r="R2">
        <v>4</v>
      </c>
      <c r="S2">
        <v>8</v>
      </c>
    </row>
    <row r="3" spans="1:19">
      <c r="A3" s="136" t="s">
        <v>1460</v>
      </c>
      <c r="B3" s="136">
        <v>40</v>
      </c>
      <c r="C3" s="136" t="s">
        <v>900</v>
      </c>
      <c r="D3" s="136" t="s">
        <v>8</v>
      </c>
      <c r="E3" s="136" t="s">
        <v>9</v>
      </c>
      <c r="F3" s="136" t="s">
        <v>1461</v>
      </c>
      <c r="G3" s="136" t="s">
        <v>903</v>
      </c>
      <c r="H3" s="136" t="s">
        <v>1459</v>
      </c>
      <c r="M3" t="s">
        <v>1462</v>
      </c>
      <c r="Q3">
        <v>2</v>
      </c>
      <c r="R3">
        <v>2</v>
      </c>
      <c r="S3">
        <v>8</v>
      </c>
    </row>
    <row r="4" spans="1:19">
      <c r="A4" s="135" t="s">
        <v>1463</v>
      </c>
      <c r="B4" s="135">
        <v>20</v>
      </c>
      <c r="C4" s="135" t="s">
        <v>892</v>
      </c>
      <c r="D4" s="135" t="s">
        <v>1458</v>
      </c>
      <c r="E4" s="135"/>
      <c r="F4" s="135" t="s">
        <v>902</v>
      </c>
      <c r="G4" s="135" t="s">
        <v>903</v>
      </c>
      <c r="H4" s="136" t="s">
        <v>1459</v>
      </c>
      <c r="M4" t="s">
        <v>1464</v>
      </c>
      <c r="Q4">
        <v>2</v>
      </c>
      <c r="R4">
        <v>2</v>
      </c>
      <c r="S4">
        <v>8</v>
      </c>
    </row>
    <row r="5" spans="1:19">
      <c r="A5" s="136" t="s">
        <v>1465</v>
      </c>
      <c r="B5" s="136">
        <v>30</v>
      </c>
      <c r="C5" s="136" t="s">
        <v>892</v>
      </c>
      <c r="D5" s="136" t="s">
        <v>1458</v>
      </c>
      <c r="E5" s="136"/>
      <c r="F5" s="136" t="s">
        <v>904</v>
      </c>
      <c r="G5" s="136" t="s">
        <v>903</v>
      </c>
      <c r="H5" s="136" t="s">
        <v>1459</v>
      </c>
      <c r="M5" t="s">
        <v>2</v>
      </c>
      <c r="N5">
        <v>19</v>
      </c>
      <c r="Q5">
        <v>4</v>
      </c>
      <c r="R5">
        <v>4</v>
      </c>
      <c r="S5">
        <v>8</v>
      </c>
    </row>
    <row r="6" spans="1:19">
      <c r="A6" s="135" t="s">
        <v>1466</v>
      </c>
      <c r="B6" s="135">
        <v>50</v>
      </c>
      <c r="C6" s="135" t="s">
        <v>892</v>
      </c>
      <c r="D6" s="135" t="s">
        <v>1460</v>
      </c>
      <c r="E6" s="135" t="s">
        <v>1467</v>
      </c>
      <c r="F6" s="135" t="s">
        <v>905</v>
      </c>
      <c r="G6" s="135" t="s">
        <v>903</v>
      </c>
      <c r="H6" s="136" t="s">
        <v>1459</v>
      </c>
      <c r="M6" t="s">
        <v>3</v>
      </c>
      <c r="N6">
        <v>17</v>
      </c>
      <c r="Q6">
        <v>4</v>
      </c>
      <c r="R6">
        <v>4</v>
      </c>
      <c r="S6">
        <v>8</v>
      </c>
    </row>
    <row r="7" spans="1:19">
      <c r="A7" s="136" t="s">
        <v>1468</v>
      </c>
      <c r="B7" s="136">
        <v>70</v>
      </c>
      <c r="C7" s="136" t="s">
        <v>892</v>
      </c>
      <c r="D7" s="136" t="s">
        <v>1460</v>
      </c>
      <c r="E7" s="136" t="s">
        <v>1469</v>
      </c>
      <c r="F7" s="136" t="s">
        <v>906</v>
      </c>
      <c r="G7" s="136" t="s">
        <v>903</v>
      </c>
      <c r="H7" s="136" t="s">
        <v>1459</v>
      </c>
      <c r="M7" t="s">
        <v>4</v>
      </c>
      <c r="N7">
        <v>15</v>
      </c>
      <c r="Q7">
        <v>4</v>
      </c>
      <c r="R7">
        <v>4</v>
      </c>
      <c r="S7">
        <v>8</v>
      </c>
    </row>
    <row r="8" spans="1:19">
      <c r="A8" s="135" t="s">
        <v>1470</v>
      </c>
      <c r="B8" s="135">
        <v>90</v>
      </c>
      <c r="C8" s="135" t="s">
        <v>892</v>
      </c>
      <c r="D8" s="135" t="s">
        <v>1471</v>
      </c>
      <c r="E8" s="135"/>
      <c r="F8" s="135" t="s">
        <v>907</v>
      </c>
      <c r="G8" s="135" t="s">
        <v>903</v>
      </c>
      <c r="H8" s="136" t="s">
        <v>1459</v>
      </c>
      <c r="M8" t="s">
        <v>14</v>
      </c>
      <c r="O8">
        <v>18.5</v>
      </c>
      <c r="P8">
        <v>15.5</v>
      </c>
      <c r="Q8">
        <v>0</v>
      </c>
      <c r="R8">
        <v>0</v>
      </c>
      <c r="S8">
        <v>8</v>
      </c>
    </row>
    <row r="9" spans="1:19">
      <c r="A9" s="136" t="s">
        <v>1472</v>
      </c>
      <c r="B9" s="136">
        <v>110</v>
      </c>
      <c r="C9" s="136" t="s">
        <v>892</v>
      </c>
      <c r="D9" s="136" t="s">
        <v>1473</v>
      </c>
      <c r="E9" s="136"/>
      <c r="F9" s="136" t="s">
        <v>909</v>
      </c>
      <c r="G9" s="136" t="s">
        <v>903</v>
      </c>
      <c r="H9" s="136" t="s">
        <v>1459</v>
      </c>
      <c r="M9" t="s">
        <v>20</v>
      </c>
      <c r="O9">
        <v>15.5</v>
      </c>
      <c r="P9">
        <v>12.5</v>
      </c>
      <c r="Q9">
        <v>0</v>
      </c>
      <c r="R9">
        <v>0</v>
      </c>
      <c r="S9">
        <v>8</v>
      </c>
    </row>
    <row r="10" spans="1:19">
      <c r="A10" s="135" t="s">
        <v>1467</v>
      </c>
      <c r="B10" s="135">
        <v>60</v>
      </c>
      <c r="C10" s="135" t="s">
        <v>892</v>
      </c>
      <c r="D10" s="135" t="s">
        <v>1466</v>
      </c>
      <c r="E10" s="135"/>
      <c r="F10" s="135" t="s">
        <v>905</v>
      </c>
      <c r="G10" s="135" t="s">
        <v>908</v>
      </c>
      <c r="H10" s="136" t="s">
        <v>1462</v>
      </c>
      <c r="M10" t="s">
        <v>26</v>
      </c>
      <c r="O10">
        <v>12.5</v>
      </c>
      <c r="P10">
        <v>10.5</v>
      </c>
      <c r="Q10">
        <v>0</v>
      </c>
      <c r="R10">
        <v>0</v>
      </c>
      <c r="S10">
        <v>8</v>
      </c>
    </row>
    <row r="11" spans="1:19">
      <c r="A11" s="136" t="s">
        <v>1469</v>
      </c>
      <c r="B11" s="136">
        <v>80</v>
      </c>
      <c r="C11" s="136" t="s">
        <v>892</v>
      </c>
      <c r="D11" s="136" t="s">
        <v>1468</v>
      </c>
      <c r="E11" s="136"/>
      <c r="F11" s="136" t="s">
        <v>906</v>
      </c>
      <c r="G11" s="136" t="s">
        <v>908</v>
      </c>
      <c r="H11" s="136" t="s">
        <v>1462</v>
      </c>
      <c r="M11" t="s">
        <v>32</v>
      </c>
      <c r="O11">
        <v>10.5</v>
      </c>
      <c r="P11">
        <v>8.5</v>
      </c>
      <c r="Q11">
        <v>0</v>
      </c>
      <c r="R11">
        <v>0</v>
      </c>
      <c r="S11">
        <v>4</v>
      </c>
    </row>
    <row r="12" spans="1:19">
      <c r="A12" s="135" t="s">
        <v>1471</v>
      </c>
      <c r="B12" s="136">
        <v>100</v>
      </c>
      <c r="C12" s="135" t="s">
        <v>892</v>
      </c>
      <c r="D12" s="135" t="s">
        <v>1470</v>
      </c>
      <c r="E12" s="135"/>
      <c r="F12" s="135" t="s">
        <v>907</v>
      </c>
      <c r="G12" s="136" t="s">
        <v>908</v>
      </c>
      <c r="H12" s="136" t="s">
        <v>1462</v>
      </c>
      <c r="M12" t="s">
        <v>37</v>
      </c>
      <c r="O12">
        <v>8.5</v>
      </c>
      <c r="P12">
        <v>6.5</v>
      </c>
      <c r="Q12">
        <v>0</v>
      </c>
      <c r="R12">
        <v>0</v>
      </c>
      <c r="S12">
        <v>4</v>
      </c>
    </row>
    <row r="13" spans="1:19">
      <c r="A13" s="136" t="s">
        <v>1473</v>
      </c>
      <c r="B13" s="136">
        <v>120</v>
      </c>
      <c r="C13" s="136" t="s">
        <v>892</v>
      </c>
      <c r="D13" s="136" t="s">
        <v>1472</v>
      </c>
      <c r="E13" s="136"/>
      <c r="F13" s="136" t="s">
        <v>909</v>
      </c>
      <c r="G13" s="136" t="s">
        <v>908</v>
      </c>
      <c r="H13" s="136" t="s">
        <v>1462</v>
      </c>
      <c r="M13" t="s">
        <v>43</v>
      </c>
      <c r="O13">
        <v>6.5</v>
      </c>
      <c r="P13">
        <v>3.5</v>
      </c>
      <c r="Q13">
        <v>0</v>
      </c>
      <c r="R13">
        <v>0</v>
      </c>
      <c r="S13">
        <v>0</v>
      </c>
    </row>
    <row r="14" spans="1:19">
      <c r="A14" s="136" t="s">
        <v>1474</v>
      </c>
      <c r="B14" s="136">
        <v>130</v>
      </c>
      <c r="C14" s="135" t="s">
        <v>892</v>
      </c>
      <c r="D14" s="135"/>
      <c r="E14" s="135"/>
      <c r="F14" s="135" t="s">
        <v>910</v>
      </c>
      <c r="G14" s="136" t="s">
        <v>908</v>
      </c>
      <c r="H14" s="136" t="s">
        <v>1462</v>
      </c>
    </row>
    <row r="15" spans="1:19">
      <c r="A15" s="136" t="s">
        <v>1475</v>
      </c>
      <c r="B15" s="136">
        <v>140</v>
      </c>
      <c r="C15" s="136" t="s">
        <v>892</v>
      </c>
      <c r="D15" s="136"/>
      <c r="E15" s="136"/>
      <c r="F15" s="136" t="s">
        <v>1476</v>
      </c>
      <c r="G15" s="136" t="s">
        <v>908</v>
      </c>
      <c r="H15" s="136" t="s">
        <v>1462</v>
      </c>
    </row>
    <row r="16" spans="1:19">
      <c r="A16" s="136" t="s">
        <v>1477</v>
      </c>
      <c r="B16" s="136">
        <v>150</v>
      </c>
      <c r="C16" s="135" t="s">
        <v>892</v>
      </c>
      <c r="D16" s="135"/>
      <c r="E16" s="135"/>
      <c r="F16" s="135" t="s">
        <v>1478</v>
      </c>
      <c r="G16" s="136" t="s">
        <v>908</v>
      </c>
      <c r="H16" s="136" t="s">
        <v>1462</v>
      </c>
    </row>
    <row r="17" spans="1:8">
      <c r="A17" s="136" t="s">
        <v>1479</v>
      </c>
      <c r="B17" s="136">
        <v>160</v>
      </c>
      <c r="C17" s="136" t="s">
        <v>892</v>
      </c>
      <c r="D17" s="136"/>
      <c r="E17" s="136"/>
      <c r="F17" s="136" t="s">
        <v>1480</v>
      </c>
      <c r="G17" s="136" t="s">
        <v>908</v>
      </c>
      <c r="H17" s="136" t="s">
        <v>1462</v>
      </c>
    </row>
    <row r="18" spans="1:8">
      <c r="A18" s="136" t="s">
        <v>13</v>
      </c>
      <c r="B18" s="136">
        <v>170</v>
      </c>
      <c r="C18" s="135" t="s">
        <v>892</v>
      </c>
      <c r="D18" s="135"/>
      <c r="E18" s="135"/>
      <c r="F18" s="135" t="s">
        <v>1481</v>
      </c>
      <c r="G18" s="136" t="s">
        <v>908</v>
      </c>
      <c r="H18" s="136" t="s">
        <v>1464</v>
      </c>
    </row>
    <row r="19" spans="1:8">
      <c r="A19" s="136" t="s">
        <v>1482</v>
      </c>
      <c r="B19" s="136">
        <v>180</v>
      </c>
      <c r="C19" s="135" t="s">
        <v>892</v>
      </c>
      <c r="D19" s="135"/>
      <c r="E19" s="135"/>
      <c r="F19" s="135" t="s">
        <v>1483</v>
      </c>
      <c r="G19" s="136" t="s">
        <v>908</v>
      </c>
      <c r="H19" s="136" t="s">
        <v>1464</v>
      </c>
    </row>
    <row r="20" spans="1:8">
      <c r="A20" s="136" t="s">
        <v>1484</v>
      </c>
      <c r="B20" s="136">
        <v>190</v>
      </c>
      <c r="C20" s="136" t="s">
        <v>892</v>
      </c>
      <c r="D20" s="136"/>
      <c r="E20" s="136"/>
      <c r="F20" s="136" t="s">
        <v>1485</v>
      </c>
      <c r="G20" s="136" t="s">
        <v>908</v>
      </c>
      <c r="H20" s="136" t="s">
        <v>1464</v>
      </c>
    </row>
    <row r="21" spans="1:8">
      <c r="A21" s="136" t="s">
        <v>1486</v>
      </c>
      <c r="B21" s="136">
        <v>200</v>
      </c>
      <c r="C21" s="136" t="s">
        <v>900</v>
      </c>
      <c r="D21" s="136" t="s">
        <v>912</v>
      </c>
      <c r="E21" s="136" t="s">
        <v>914</v>
      </c>
      <c r="F21" s="136" t="s">
        <v>911</v>
      </c>
      <c r="G21" s="136" t="s">
        <v>903</v>
      </c>
      <c r="H21" s="136" t="s">
        <v>2</v>
      </c>
    </row>
    <row r="22" spans="1:8">
      <c r="A22" s="135" t="s">
        <v>912</v>
      </c>
      <c r="B22" s="136">
        <v>210</v>
      </c>
      <c r="C22" s="135" t="s">
        <v>892</v>
      </c>
      <c r="D22" s="135" t="s">
        <v>1486</v>
      </c>
      <c r="E22" s="135"/>
      <c r="F22" s="135" t="s">
        <v>913</v>
      </c>
      <c r="G22" s="135" t="s">
        <v>903</v>
      </c>
      <c r="H22" s="135" t="s">
        <v>2</v>
      </c>
    </row>
    <row r="23" spans="1:8">
      <c r="A23" s="136" t="s">
        <v>914</v>
      </c>
      <c r="B23" s="136">
        <v>220</v>
      </c>
      <c r="C23" s="136" t="s">
        <v>892</v>
      </c>
      <c r="D23" s="136" t="s">
        <v>1486</v>
      </c>
      <c r="E23" s="136"/>
      <c r="F23" s="136" t="s">
        <v>914</v>
      </c>
      <c r="G23" s="136" t="s">
        <v>903</v>
      </c>
      <c r="H23" s="136" t="s">
        <v>2</v>
      </c>
    </row>
    <row r="24" spans="1:8">
      <c r="A24" s="136" t="s">
        <v>1487</v>
      </c>
      <c r="B24" s="136">
        <v>230</v>
      </c>
      <c r="C24" s="136" t="s">
        <v>892</v>
      </c>
      <c r="D24" s="136"/>
      <c r="E24" s="136"/>
      <c r="F24" s="136" t="s">
        <v>914</v>
      </c>
      <c r="G24" s="136" t="s">
        <v>903</v>
      </c>
      <c r="H24" s="136" t="s">
        <v>2</v>
      </c>
    </row>
    <row r="25" spans="1:8">
      <c r="A25" s="136" t="s">
        <v>1488</v>
      </c>
      <c r="B25" s="136">
        <v>240</v>
      </c>
      <c r="C25" s="136" t="s">
        <v>892</v>
      </c>
      <c r="D25" s="136"/>
      <c r="E25" s="136"/>
      <c r="F25" s="136" t="s">
        <v>914</v>
      </c>
      <c r="G25" s="136" t="s">
        <v>903</v>
      </c>
      <c r="H25" s="136" t="s">
        <v>2</v>
      </c>
    </row>
    <row r="26" spans="1:8">
      <c r="A26" s="135" t="s">
        <v>1489</v>
      </c>
      <c r="B26" s="136">
        <v>250</v>
      </c>
      <c r="C26" s="135" t="s">
        <v>900</v>
      </c>
      <c r="D26" s="135" t="s">
        <v>15</v>
      </c>
      <c r="E26" s="135" t="s">
        <v>16</v>
      </c>
      <c r="F26" s="135" t="s">
        <v>915</v>
      </c>
      <c r="G26" s="135" t="s">
        <v>903</v>
      </c>
      <c r="H26" s="135" t="s">
        <v>3</v>
      </c>
    </row>
    <row r="27" spans="1:8">
      <c r="A27" s="136" t="s">
        <v>15</v>
      </c>
      <c r="B27" s="136">
        <v>260</v>
      </c>
      <c r="C27" s="136" t="s">
        <v>892</v>
      </c>
      <c r="D27" s="136" t="s">
        <v>1489</v>
      </c>
      <c r="E27" s="136"/>
      <c r="F27" s="136" t="s">
        <v>15</v>
      </c>
      <c r="G27" s="136" t="s">
        <v>903</v>
      </c>
      <c r="H27" s="136" t="s">
        <v>3</v>
      </c>
    </row>
    <row r="28" spans="1:8">
      <c r="A28" s="135" t="s">
        <v>16</v>
      </c>
      <c r="B28" s="136">
        <v>270</v>
      </c>
      <c r="C28" s="135" t="s">
        <v>892</v>
      </c>
      <c r="D28" s="135" t="s">
        <v>1489</v>
      </c>
      <c r="E28" s="135"/>
      <c r="F28" s="135" t="s">
        <v>16</v>
      </c>
      <c r="G28" s="135" t="s">
        <v>903</v>
      </c>
      <c r="H28" s="135" t="s">
        <v>3</v>
      </c>
    </row>
    <row r="29" spans="1:8">
      <c r="A29" s="136" t="s">
        <v>15</v>
      </c>
      <c r="B29" s="136">
        <v>280</v>
      </c>
      <c r="C29" s="136" t="s">
        <v>892</v>
      </c>
      <c r="D29" s="136"/>
      <c r="E29" s="136"/>
      <c r="F29" s="136" t="s">
        <v>1490</v>
      </c>
      <c r="G29" s="136" t="s">
        <v>903</v>
      </c>
      <c r="H29" s="136" t="s">
        <v>3</v>
      </c>
    </row>
    <row r="30" spans="1:8">
      <c r="A30" s="135" t="s">
        <v>16</v>
      </c>
      <c r="B30" s="136">
        <v>290</v>
      </c>
      <c r="C30" s="135" t="s">
        <v>892</v>
      </c>
      <c r="D30" s="135"/>
      <c r="E30" s="135"/>
      <c r="F30" s="135" t="s">
        <v>1491</v>
      </c>
      <c r="G30" s="135" t="s">
        <v>903</v>
      </c>
      <c r="H30" s="135" t="s">
        <v>3</v>
      </c>
    </row>
    <row r="31" spans="1:8">
      <c r="A31" s="135" t="s">
        <v>1492</v>
      </c>
      <c r="B31" s="136">
        <v>300</v>
      </c>
      <c r="C31" s="135" t="s">
        <v>900</v>
      </c>
      <c r="D31" s="135" t="s">
        <v>21</v>
      </c>
      <c r="E31" s="135" t="s">
        <v>919</v>
      </c>
      <c r="F31" s="135" t="s">
        <v>1493</v>
      </c>
      <c r="G31" s="135" t="s">
        <v>903</v>
      </c>
      <c r="H31" s="135" t="s">
        <v>4</v>
      </c>
    </row>
    <row r="32" spans="1:8">
      <c r="A32" s="136" t="s">
        <v>21</v>
      </c>
      <c r="B32" s="136">
        <v>310</v>
      </c>
      <c r="C32" s="136" t="s">
        <v>892</v>
      </c>
      <c r="D32" s="136" t="s">
        <v>1492</v>
      </c>
      <c r="E32" s="136"/>
      <c r="F32" s="136" t="s">
        <v>21</v>
      </c>
      <c r="G32" s="136" t="s">
        <v>903</v>
      </c>
      <c r="H32" s="136" t="s">
        <v>4</v>
      </c>
    </row>
    <row r="33" spans="1:8">
      <c r="A33" s="136" t="s">
        <v>919</v>
      </c>
      <c r="B33" s="136">
        <v>320</v>
      </c>
      <c r="C33" s="136" t="s">
        <v>892</v>
      </c>
      <c r="D33" s="136" t="s">
        <v>1492</v>
      </c>
      <c r="E33" s="136"/>
      <c r="F33" s="136" t="s">
        <v>919</v>
      </c>
      <c r="G33" s="136" t="s">
        <v>903</v>
      </c>
      <c r="H33" s="136" t="s">
        <v>4</v>
      </c>
    </row>
    <row r="34" spans="1:8">
      <c r="A34" s="136" t="s">
        <v>1494</v>
      </c>
      <c r="B34" s="136">
        <v>330</v>
      </c>
      <c r="C34" s="136" t="s">
        <v>892</v>
      </c>
      <c r="D34" s="136"/>
      <c r="E34" s="136"/>
      <c r="F34" s="136" t="s">
        <v>1494</v>
      </c>
      <c r="G34" s="136" t="s">
        <v>903</v>
      </c>
      <c r="H34" s="136" t="s">
        <v>4</v>
      </c>
    </row>
    <row r="35" spans="1:8">
      <c r="A35" s="136" t="s">
        <v>1495</v>
      </c>
      <c r="B35" s="136">
        <v>340</v>
      </c>
      <c r="C35" s="136" t="s">
        <v>892</v>
      </c>
      <c r="D35" s="136"/>
      <c r="E35" s="136"/>
      <c r="F35" s="136" t="s">
        <v>1495</v>
      </c>
      <c r="G35" s="136" t="s">
        <v>903</v>
      </c>
      <c r="H35" s="136" t="s">
        <v>4</v>
      </c>
    </row>
    <row r="36" spans="1:8">
      <c r="A36" s="135" t="s">
        <v>1496</v>
      </c>
      <c r="B36" s="136">
        <v>350</v>
      </c>
      <c r="C36" s="135" t="s">
        <v>892</v>
      </c>
      <c r="D36" s="135"/>
      <c r="E36" s="135"/>
      <c r="F36" s="135" t="s">
        <v>1497</v>
      </c>
      <c r="G36" s="135" t="s">
        <v>908</v>
      </c>
      <c r="H36" s="135" t="s">
        <v>14</v>
      </c>
    </row>
    <row r="37" spans="1:8">
      <c r="A37" s="136" t="s">
        <v>1498</v>
      </c>
      <c r="B37" s="136">
        <v>360</v>
      </c>
      <c r="C37" s="135" t="s">
        <v>892</v>
      </c>
      <c r="D37" s="135"/>
      <c r="E37" s="135"/>
      <c r="F37" s="135" t="s">
        <v>1499</v>
      </c>
      <c r="G37" s="136" t="s">
        <v>908</v>
      </c>
      <c r="H37" s="136" t="s">
        <v>14</v>
      </c>
    </row>
    <row r="38" spans="1:8">
      <c r="A38" s="135" t="s">
        <v>1500</v>
      </c>
      <c r="B38" s="136">
        <v>370</v>
      </c>
      <c r="C38" s="136" t="s">
        <v>892</v>
      </c>
      <c r="D38" s="136"/>
      <c r="E38" s="136"/>
      <c r="F38" s="135" t="s">
        <v>1501</v>
      </c>
      <c r="G38" s="136" t="s">
        <v>908</v>
      </c>
      <c r="H38" s="136" t="s">
        <v>14</v>
      </c>
    </row>
    <row r="39" spans="1:8">
      <c r="A39" s="136" t="s">
        <v>1502</v>
      </c>
      <c r="B39" s="136">
        <v>380</v>
      </c>
      <c r="C39" s="136" t="s">
        <v>892</v>
      </c>
      <c r="D39" s="136"/>
      <c r="E39" s="136"/>
      <c r="F39" s="135" t="s">
        <v>1503</v>
      </c>
      <c r="G39" s="136" t="s">
        <v>908</v>
      </c>
      <c r="H39" s="136" t="s">
        <v>14</v>
      </c>
    </row>
    <row r="40" spans="1:8">
      <c r="A40" s="135" t="s">
        <v>1504</v>
      </c>
      <c r="B40" s="136">
        <v>390</v>
      </c>
      <c r="C40" s="136" t="s">
        <v>892</v>
      </c>
      <c r="D40" s="136"/>
      <c r="E40" s="136"/>
      <c r="F40" s="135" t="s">
        <v>1505</v>
      </c>
      <c r="G40" s="136" t="s">
        <v>908</v>
      </c>
      <c r="H40" s="136" t="s">
        <v>14</v>
      </c>
    </row>
    <row r="41" spans="1:8">
      <c r="A41" s="136" t="s">
        <v>1506</v>
      </c>
      <c r="B41" s="136">
        <v>400</v>
      </c>
      <c r="C41" s="136" t="s">
        <v>892</v>
      </c>
      <c r="D41" s="136"/>
      <c r="E41" s="136"/>
      <c r="F41" s="135" t="s">
        <v>1507</v>
      </c>
      <c r="G41" s="136" t="s">
        <v>908</v>
      </c>
      <c r="H41" s="136" t="s">
        <v>14</v>
      </c>
    </row>
    <row r="42" spans="1:8">
      <c r="A42" s="135" t="s">
        <v>1508</v>
      </c>
      <c r="B42" s="136">
        <v>410</v>
      </c>
      <c r="C42" s="135" t="s">
        <v>892</v>
      </c>
      <c r="D42" s="135"/>
      <c r="E42" s="135"/>
      <c r="F42" s="135" t="s">
        <v>1509</v>
      </c>
      <c r="G42" s="136" t="s">
        <v>908</v>
      </c>
      <c r="H42" s="136" t="s">
        <v>14</v>
      </c>
    </row>
    <row r="43" spans="1:8">
      <c r="A43" s="136" t="s">
        <v>1510</v>
      </c>
      <c r="B43" s="136">
        <v>420</v>
      </c>
      <c r="C43" s="136" t="s">
        <v>892</v>
      </c>
      <c r="D43" s="136"/>
      <c r="E43" s="136"/>
      <c r="F43" s="135" t="s">
        <v>1511</v>
      </c>
      <c r="G43" s="135" t="s">
        <v>908</v>
      </c>
      <c r="H43" s="136" t="s">
        <v>14</v>
      </c>
    </row>
    <row r="44" spans="1:8">
      <c r="A44" s="136" t="s">
        <v>1512</v>
      </c>
      <c r="B44" s="136">
        <v>430</v>
      </c>
      <c r="C44" s="136" t="s">
        <v>892</v>
      </c>
      <c r="D44" s="136"/>
      <c r="E44" s="136"/>
      <c r="F44" s="136" t="s">
        <v>1513</v>
      </c>
      <c r="G44" s="136" t="s">
        <v>908</v>
      </c>
      <c r="H44" s="136" t="s">
        <v>20</v>
      </c>
    </row>
    <row r="45" spans="1:8">
      <c r="A45" s="135" t="s">
        <v>1514</v>
      </c>
      <c r="B45" s="136">
        <v>440</v>
      </c>
      <c r="C45" s="135" t="s">
        <v>892</v>
      </c>
      <c r="D45" s="135"/>
      <c r="E45" s="135"/>
      <c r="F45" s="136" t="s">
        <v>1515</v>
      </c>
      <c r="G45" s="135" t="s">
        <v>908</v>
      </c>
      <c r="H45" s="135" t="s">
        <v>20</v>
      </c>
    </row>
    <row r="46" spans="1:8">
      <c r="A46" s="136" t="s">
        <v>1516</v>
      </c>
      <c r="B46" s="136">
        <v>450</v>
      </c>
      <c r="C46" s="136" t="s">
        <v>892</v>
      </c>
      <c r="D46" s="136"/>
      <c r="E46" s="136"/>
      <c r="F46" s="136" t="s">
        <v>1517</v>
      </c>
      <c r="G46" s="136" t="s">
        <v>908</v>
      </c>
      <c r="H46" s="136" t="s">
        <v>20</v>
      </c>
    </row>
    <row r="47" spans="1:8">
      <c r="A47" s="135" t="s">
        <v>1518</v>
      </c>
      <c r="B47" s="136">
        <v>460</v>
      </c>
      <c r="C47" s="135" t="s">
        <v>892</v>
      </c>
      <c r="D47" s="135"/>
      <c r="E47" s="135"/>
      <c r="F47" s="136" t="s">
        <v>1519</v>
      </c>
      <c r="G47" s="135" t="s">
        <v>908</v>
      </c>
      <c r="H47" s="136" t="s">
        <v>20</v>
      </c>
    </row>
    <row r="48" spans="1:8">
      <c r="A48" s="136" t="s">
        <v>1520</v>
      </c>
      <c r="B48" s="136">
        <v>470</v>
      </c>
      <c r="C48" s="136" t="s">
        <v>892</v>
      </c>
      <c r="D48" s="136"/>
      <c r="E48" s="136"/>
      <c r="F48" s="136" t="s">
        <v>1521</v>
      </c>
      <c r="G48" s="136" t="s">
        <v>908</v>
      </c>
      <c r="H48" s="135" t="s">
        <v>20</v>
      </c>
    </row>
    <row r="49" spans="1:8">
      <c r="A49" s="135" t="s">
        <v>1522</v>
      </c>
      <c r="B49" s="136">
        <v>480</v>
      </c>
      <c r="C49" s="135" t="s">
        <v>892</v>
      </c>
      <c r="D49" s="135"/>
      <c r="E49" s="135"/>
      <c r="F49" s="136" t="s">
        <v>1523</v>
      </c>
      <c r="G49" s="135" t="s">
        <v>908</v>
      </c>
      <c r="H49" s="136" t="s">
        <v>20</v>
      </c>
    </row>
    <row r="50" spans="1:8">
      <c r="A50" s="136" t="s">
        <v>1524</v>
      </c>
      <c r="B50" s="136">
        <v>490</v>
      </c>
      <c r="C50" s="136" t="s">
        <v>892</v>
      </c>
      <c r="D50" s="136"/>
      <c r="E50" s="136"/>
      <c r="F50" s="136" t="s">
        <v>1525</v>
      </c>
      <c r="G50" s="136" t="s">
        <v>908</v>
      </c>
      <c r="H50" s="136" t="s">
        <v>20</v>
      </c>
    </row>
    <row r="51" spans="1:8">
      <c r="A51" s="135" t="s">
        <v>1526</v>
      </c>
      <c r="B51" s="136">
        <v>500</v>
      </c>
      <c r="C51" s="135" t="s">
        <v>892</v>
      </c>
      <c r="D51" s="135"/>
      <c r="E51" s="135"/>
      <c r="F51" s="136" t="s">
        <v>1527</v>
      </c>
      <c r="G51" s="135" t="s">
        <v>908</v>
      </c>
      <c r="H51" s="135" t="s">
        <v>20</v>
      </c>
    </row>
    <row r="52" spans="1:8">
      <c r="A52" s="136" t="s">
        <v>1528</v>
      </c>
      <c r="B52" s="136">
        <v>510</v>
      </c>
      <c r="C52" s="136" t="s">
        <v>892</v>
      </c>
      <c r="D52" s="136"/>
      <c r="E52" s="136"/>
      <c r="F52" s="136" t="s">
        <v>1529</v>
      </c>
      <c r="G52" s="136" t="s">
        <v>908</v>
      </c>
      <c r="H52" s="136" t="s">
        <v>26</v>
      </c>
    </row>
    <row r="53" spans="1:8">
      <c r="A53" s="135" t="s">
        <v>1530</v>
      </c>
      <c r="B53" s="136">
        <v>520</v>
      </c>
      <c r="C53" s="135" t="s">
        <v>892</v>
      </c>
      <c r="D53" s="135"/>
      <c r="E53" s="135"/>
      <c r="F53" s="136" t="s">
        <v>1531</v>
      </c>
      <c r="G53" s="135" t="s">
        <v>908</v>
      </c>
      <c r="H53" s="136" t="s">
        <v>26</v>
      </c>
    </row>
    <row r="54" spans="1:8">
      <c r="A54" s="136" t="s">
        <v>1532</v>
      </c>
      <c r="B54" s="136">
        <v>530</v>
      </c>
      <c r="C54" s="136" t="s">
        <v>892</v>
      </c>
      <c r="D54" s="136"/>
      <c r="E54" s="136"/>
      <c r="F54" s="136" t="s">
        <v>1533</v>
      </c>
      <c r="G54" s="136" t="s">
        <v>908</v>
      </c>
      <c r="H54" s="136" t="s">
        <v>26</v>
      </c>
    </row>
    <row r="55" spans="1:8">
      <c r="A55" s="135" t="s">
        <v>1534</v>
      </c>
      <c r="B55" s="136">
        <v>540</v>
      </c>
      <c r="C55" s="135" t="s">
        <v>892</v>
      </c>
      <c r="D55" s="135"/>
      <c r="E55" s="135"/>
      <c r="F55" s="136" t="s">
        <v>1535</v>
      </c>
      <c r="G55" s="135" t="s">
        <v>908</v>
      </c>
      <c r="H55" s="136" t="s">
        <v>26</v>
      </c>
    </row>
    <row r="56" spans="1:8">
      <c r="A56" s="136" t="s">
        <v>1536</v>
      </c>
      <c r="B56" s="136">
        <v>550</v>
      </c>
      <c r="C56" s="136" t="s">
        <v>892</v>
      </c>
      <c r="D56" s="136"/>
      <c r="E56" s="136"/>
      <c r="F56" s="136" t="s">
        <v>1537</v>
      </c>
      <c r="G56" s="136" t="s">
        <v>908</v>
      </c>
      <c r="H56" s="136" t="s">
        <v>26</v>
      </c>
    </row>
    <row r="57" spans="1:8">
      <c r="A57" s="135" t="s">
        <v>1538</v>
      </c>
      <c r="B57" s="136">
        <v>560</v>
      </c>
      <c r="C57" s="135" t="s">
        <v>892</v>
      </c>
      <c r="D57" s="135"/>
      <c r="E57" s="135"/>
      <c r="F57" s="136" t="s">
        <v>1539</v>
      </c>
      <c r="G57" s="135" t="s">
        <v>908</v>
      </c>
      <c r="H57" s="136" t="s">
        <v>26</v>
      </c>
    </row>
    <row r="58" spans="1:8">
      <c r="A58" s="136" t="s">
        <v>1540</v>
      </c>
      <c r="B58" s="136">
        <v>570</v>
      </c>
      <c r="C58" s="137" t="s">
        <v>892</v>
      </c>
      <c r="D58" s="137"/>
      <c r="E58" s="137"/>
      <c r="F58" s="136" t="s">
        <v>1541</v>
      </c>
      <c r="G58" s="137" t="s">
        <v>908</v>
      </c>
      <c r="H58" s="136" t="s">
        <v>26</v>
      </c>
    </row>
    <row r="59" spans="1:8">
      <c r="A59" s="135" t="s">
        <v>1542</v>
      </c>
      <c r="B59" s="136">
        <v>580</v>
      </c>
      <c r="C59" s="136" t="s">
        <v>892</v>
      </c>
      <c r="D59" s="136"/>
      <c r="E59" s="136"/>
      <c r="F59" s="136" t="s">
        <v>1543</v>
      </c>
      <c r="G59" s="136" t="s">
        <v>908</v>
      </c>
      <c r="H59" s="136" t="s">
        <v>26</v>
      </c>
    </row>
    <row r="60" spans="1:8">
      <c r="A60" s="136" t="s">
        <v>1544</v>
      </c>
      <c r="B60" s="136">
        <v>590</v>
      </c>
      <c r="C60" s="136" t="s">
        <v>892</v>
      </c>
      <c r="D60" s="136"/>
      <c r="E60" s="136"/>
      <c r="F60" s="136" t="s">
        <v>1545</v>
      </c>
      <c r="G60" s="136" t="s">
        <v>908</v>
      </c>
      <c r="H60" s="136" t="s">
        <v>32</v>
      </c>
    </row>
    <row r="61" spans="1:8">
      <c r="A61" s="136" t="s">
        <v>1546</v>
      </c>
      <c r="B61" s="136">
        <v>600</v>
      </c>
      <c r="C61" s="136" t="s">
        <v>892</v>
      </c>
      <c r="D61" s="136"/>
      <c r="E61" s="136"/>
      <c r="F61" s="136" t="s">
        <v>1547</v>
      </c>
      <c r="G61" s="136" t="s">
        <v>908</v>
      </c>
      <c r="H61" s="136" t="s">
        <v>32</v>
      </c>
    </row>
    <row r="62" spans="1:8">
      <c r="A62" s="136" t="s">
        <v>1548</v>
      </c>
      <c r="B62" s="136">
        <v>610</v>
      </c>
      <c r="C62" s="136" t="s">
        <v>892</v>
      </c>
      <c r="D62" s="136"/>
      <c r="E62" s="136"/>
      <c r="F62" s="136" t="s">
        <v>1549</v>
      </c>
      <c r="G62" s="136" t="s">
        <v>908</v>
      </c>
      <c r="H62" s="136" t="s">
        <v>32</v>
      </c>
    </row>
    <row r="63" spans="1:8">
      <c r="A63" s="136" t="s">
        <v>1550</v>
      </c>
      <c r="B63" s="136">
        <v>620</v>
      </c>
      <c r="C63" s="136" t="s">
        <v>892</v>
      </c>
      <c r="D63" s="136"/>
      <c r="E63" s="136"/>
      <c r="F63" s="136" t="s">
        <v>1551</v>
      </c>
      <c r="G63" s="136" t="s">
        <v>908</v>
      </c>
      <c r="H63" s="136" t="s">
        <v>32</v>
      </c>
    </row>
    <row r="64" spans="1:8">
      <c r="A64" s="136" t="s">
        <v>1552</v>
      </c>
      <c r="B64" s="136">
        <v>630</v>
      </c>
      <c r="C64" s="136" t="s">
        <v>892</v>
      </c>
      <c r="D64" s="136"/>
      <c r="E64" s="136"/>
      <c r="F64" s="136" t="s">
        <v>1553</v>
      </c>
      <c r="G64" s="136" t="s">
        <v>908</v>
      </c>
      <c r="H64" s="136" t="s">
        <v>32</v>
      </c>
    </row>
    <row r="65" spans="1:8">
      <c r="A65" s="136" t="s">
        <v>1554</v>
      </c>
      <c r="B65" s="136">
        <v>640</v>
      </c>
      <c r="C65" s="136" t="s">
        <v>892</v>
      </c>
      <c r="D65" s="136"/>
      <c r="E65" s="136"/>
      <c r="F65" s="136" t="s">
        <v>1555</v>
      </c>
      <c r="G65" s="136" t="s">
        <v>908</v>
      </c>
      <c r="H65" s="136" t="s">
        <v>32</v>
      </c>
    </row>
    <row r="66" spans="1:8">
      <c r="A66" s="136" t="s">
        <v>1556</v>
      </c>
      <c r="B66" s="136">
        <v>650</v>
      </c>
      <c r="C66" s="136" t="s">
        <v>892</v>
      </c>
      <c r="D66" s="136"/>
      <c r="E66" s="136"/>
      <c r="F66" s="136" t="s">
        <v>1557</v>
      </c>
      <c r="G66" s="136" t="s">
        <v>908</v>
      </c>
      <c r="H66" s="136" t="s">
        <v>32</v>
      </c>
    </row>
    <row r="67" spans="1:8">
      <c r="A67" s="136" t="s">
        <v>1558</v>
      </c>
      <c r="B67" s="136">
        <v>660</v>
      </c>
      <c r="C67" s="136" t="s">
        <v>892</v>
      </c>
      <c r="D67" s="136"/>
      <c r="E67" s="136"/>
      <c r="F67" s="136" t="s">
        <v>1559</v>
      </c>
      <c r="G67" s="136" t="s">
        <v>908</v>
      </c>
      <c r="H67" s="136" t="s">
        <v>32</v>
      </c>
    </row>
    <row r="68" spans="1:8">
      <c r="A68" s="136" t="s">
        <v>1560</v>
      </c>
      <c r="B68" s="136">
        <v>670</v>
      </c>
      <c r="C68" s="136" t="s">
        <v>892</v>
      </c>
      <c r="D68" s="136"/>
      <c r="E68" s="136"/>
      <c r="F68" s="136" t="s">
        <v>1561</v>
      </c>
      <c r="G68" s="136" t="s">
        <v>908</v>
      </c>
      <c r="H68" s="136" t="s">
        <v>32</v>
      </c>
    </row>
    <row r="69" spans="1:8">
      <c r="A69" s="136" t="s">
        <v>1562</v>
      </c>
      <c r="B69" s="136">
        <v>680</v>
      </c>
      <c r="C69" s="136" t="s">
        <v>892</v>
      </c>
      <c r="D69" s="136"/>
      <c r="E69" s="136"/>
      <c r="F69" s="136" t="s">
        <v>1563</v>
      </c>
      <c r="G69" s="136" t="s">
        <v>908</v>
      </c>
      <c r="H69" s="136" t="s">
        <v>32</v>
      </c>
    </row>
    <row r="70" spans="1:8">
      <c r="A70" s="136" t="s">
        <v>1564</v>
      </c>
      <c r="B70" s="136">
        <v>690</v>
      </c>
      <c r="C70" s="136" t="s">
        <v>892</v>
      </c>
      <c r="D70" s="136"/>
      <c r="E70" s="136"/>
      <c r="F70" s="136" t="s">
        <v>1565</v>
      </c>
      <c r="G70" s="136" t="s">
        <v>908</v>
      </c>
      <c r="H70" s="136" t="s">
        <v>37</v>
      </c>
    </row>
    <row r="71" spans="1:8">
      <c r="A71" s="136" t="s">
        <v>1566</v>
      </c>
      <c r="B71" s="136">
        <v>700</v>
      </c>
      <c r="C71" s="136" t="s">
        <v>892</v>
      </c>
      <c r="D71" s="136"/>
      <c r="E71" s="136"/>
      <c r="F71" s="136" t="s">
        <v>1567</v>
      </c>
      <c r="G71" s="136" t="s">
        <v>908</v>
      </c>
      <c r="H71" s="136" t="s">
        <v>37</v>
      </c>
    </row>
    <row r="72" spans="1:8">
      <c r="A72" s="136" t="s">
        <v>1568</v>
      </c>
      <c r="B72" s="136">
        <v>710</v>
      </c>
      <c r="C72" s="136" t="s">
        <v>892</v>
      </c>
      <c r="D72" s="136"/>
      <c r="E72" s="136"/>
      <c r="F72" s="136" t="s">
        <v>1569</v>
      </c>
      <c r="G72" s="136" t="s">
        <v>908</v>
      </c>
      <c r="H72" s="136" t="s">
        <v>37</v>
      </c>
    </row>
    <row r="73" spans="1:8">
      <c r="A73" s="136" t="s">
        <v>1570</v>
      </c>
      <c r="B73" s="136">
        <v>720</v>
      </c>
      <c r="C73" s="136" t="s">
        <v>892</v>
      </c>
      <c r="D73" s="136"/>
      <c r="E73" s="136"/>
      <c r="F73" s="136" t="s">
        <v>1571</v>
      </c>
      <c r="G73" s="136" t="s">
        <v>908</v>
      </c>
      <c r="H73" s="136" t="s">
        <v>37</v>
      </c>
    </row>
    <row r="74" spans="1:8">
      <c r="A74" s="136" t="s">
        <v>1572</v>
      </c>
      <c r="B74" s="136">
        <v>730</v>
      </c>
      <c r="C74" s="137" t="s">
        <v>892</v>
      </c>
      <c r="D74" s="137"/>
      <c r="E74" s="137"/>
      <c r="F74" s="136" t="s">
        <v>1573</v>
      </c>
      <c r="G74" s="137" t="s">
        <v>908</v>
      </c>
      <c r="H74" s="136" t="s">
        <v>37</v>
      </c>
    </row>
    <row r="75" spans="1:8">
      <c r="A75" s="136" t="s">
        <v>1574</v>
      </c>
      <c r="B75" s="136">
        <v>740</v>
      </c>
      <c r="C75" s="136" t="s">
        <v>892</v>
      </c>
      <c r="D75" s="136"/>
      <c r="E75" s="136"/>
      <c r="F75" s="136" t="s">
        <v>1575</v>
      </c>
      <c r="G75" s="136" t="s">
        <v>908</v>
      </c>
      <c r="H75" s="136" t="s">
        <v>37</v>
      </c>
    </row>
    <row r="76" spans="1:8">
      <c r="A76" s="136" t="s">
        <v>1576</v>
      </c>
      <c r="B76" s="136">
        <v>750</v>
      </c>
      <c r="C76" s="136" t="s">
        <v>892</v>
      </c>
      <c r="D76" s="136"/>
      <c r="E76" s="136"/>
      <c r="F76" s="136" t="s">
        <v>1577</v>
      </c>
      <c r="G76" s="136" t="s">
        <v>908</v>
      </c>
      <c r="H76" s="136" t="s">
        <v>37</v>
      </c>
    </row>
    <row r="77" spans="1:8">
      <c r="A77" s="136" t="s">
        <v>1578</v>
      </c>
      <c r="B77" s="136">
        <v>760</v>
      </c>
      <c r="C77" s="136" t="s">
        <v>892</v>
      </c>
      <c r="D77" s="136"/>
      <c r="E77" s="136"/>
      <c r="F77" s="136" t="s">
        <v>1579</v>
      </c>
      <c r="G77" s="136" t="s">
        <v>908</v>
      </c>
      <c r="H77" s="136" t="s">
        <v>37</v>
      </c>
    </row>
    <row r="78" spans="1:8">
      <c r="A78" s="136" t="s">
        <v>1580</v>
      </c>
      <c r="B78" s="136">
        <v>770</v>
      </c>
      <c r="C78" s="136" t="s">
        <v>892</v>
      </c>
      <c r="D78" s="136"/>
      <c r="E78" s="136"/>
      <c r="F78" s="136" t="s">
        <v>1581</v>
      </c>
      <c r="G78" s="136" t="s">
        <v>908</v>
      </c>
      <c r="H78" s="136" t="s">
        <v>37</v>
      </c>
    </row>
    <row r="79" spans="1:8">
      <c r="A79" s="136" t="s">
        <v>1582</v>
      </c>
      <c r="B79" s="136">
        <v>780</v>
      </c>
      <c r="C79" s="136" t="s">
        <v>892</v>
      </c>
      <c r="D79" s="136"/>
      <c r="E79" s="136"/>
      <c r="F79" s="136" t="s">
        <v>1583</v>
      </c>
      <c r="G79" s="136" t="s">
        <v>908</v>
      </c>
      <c r="H79" s="136" t="s">
        <v>37</v>
      </c>
    </row>
    <row r="80" spans="1:8">
      <c r="A80" s="136" t="s">
        <v>43</v>
      </c>
      <c r="B80" s="136">
        <v>790</v>
      </c>
      <c r="C80" s="136" t="s">
        <v>892</v>
      </c>
      <c r="D80" s="136"/>
      <c r="E80" s="136"/>
      <c r="F80" s="136" t="s">
        <v>43</v>
      </c>
      <c r="G80" s="136" t="s">
        <v>908</v>
      </c>
      <c r="H80" s="136" t="s">
        <v>1584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ABC9-87AD-43D7-81C1-413EEAA48AEE}">
  <dimension ref="A1:I17"/>
  <sheetViews>
    <sheetView workbookViewId="0">
      <selection activeCell="B21" sqref="B21"/>
    </sheetView>
  </sheetViews>
  <sheetFormatPr defaultRowHeight="15"/>
  <cols>
    <col min="1" max="1" width="16.5703125" bestFit="1" customWidth="1"/>
    <col min="2" max="2" width="16.5703125" customWidth="1"/>
    <col min="3" max="3" width="14.140625" bestFit="1" customWidth="1"/>
    <col min="4" max="5" width="14.7109375" bestFit="1" customWidth="1"/>
    <col min="6" max="6" width="14.7109375" customWidth="1"/>
  </cols>
  <sheetData>
    <row r="1" spans="1:9">
      <c r="A1" t="s">
        <v>1585</v>
      </c>
      <c r="B1" t="s">
        <v>1586</v>
      </c>
      <c r="C1" t="s">
        <v>1587</v>
      </c>
      <c r="D1" t="s">
        <v>1588</v>
      </c>
      <c r="E1" t="s">
        <v>1589</v>
      </c>
      <c r="F1" t="s">
        <v>1590</v>
      </c>
      <c r="G1" t="s">
        <v>1456</v>
      </c>
      <c r="H1" t="s">
        <v>1457</v>
      </c>
      <c r="I1" t="s">
        <v>892</v>
      </c>
    </row>
    <row r="2" spans="1:9">
      <c r="A2" t="s">
        <v>1459</v>
      </c>
      <c r="B2" t="s">
        <v>1591</v>
      </c>
      <c r="G2">
        <v>4</v>
      </c>
      <c r="H2">
        <v>4</v>
      </c>
      <c r="I2">
        <v>8</v>
      </c>
    </row>
    <row r="3" spans="1:9">
      <c r="A3" t="s">
        <v>1462</v>
      </c>
      <c r="B3" t="s">
        <v>1591</v>
      </c>
      <c r="G3">
        <v>2</v>
      </c>
      <c r="H3">
        <v>2</v>
      </c>
      <c r="I3">
        <v>8</v>
      </c>
    </row>
    <row r="4" spans="1:9">
      <c r="A4" t="s">
        <v>1464</v>
      </c>
      <c r="B4" t="s">
        <v>1591</v>
      </c>
      <c r="G4">
        <v>2</v>
      </c>
      <c r="H4">
        <v>2</v>
      </c>
      <c r="I4">
        <v>8</v>
      </c>
    </row>
    <row r="5" spans="1:9">
      <c r="A5" t="s">
        <v>2</v>
      </c>
      <c r="B5" t="s">
        <v>1592</v>
      </c>
      <c r="C5">
        <v>19</v>
      </c>
      <c r="G5">
        <v>4</v>
      </c>
      <c r="H5">
        <v>4</v>
      </c>
      <c r="I5">
        <v>8</v>
      </c>
    </row>
    <row r="6" spans="1:9">
      <c r="A6" t="s">
        <v>3</v>
      </c>
      <c r="B6" t="s">
        <v>1592</v>
      </c>
      <c r="C6">
        <v>17</v>
      </c>
      <c r="G6">
        <v>4</v>
      </c>
      <c r="H6">
        <v>4</v>
      </c>
      <c r="I6">
        <v>8</v>
      </c>
    </row>
    <row r="7" spans="1:9">
      <c r="A7" t="s">
        <v>4</v>
      </c>
      <c r="B7" t="s">
        <v>1592</v>
      </c>
      <c r="C7">
        <v>15</v>
      </c>
      <c r="G7">
        <v>4</v>
      </c>
      <c r="H7">
        <v>4</v>
      </c>
      <c r="I7">
        <v>8</v>
      </c>
    </row>
    <row r="8" spans="1:9">
      <c r="A8" t="s">
        <v>1593</v>
      </c>
      <c r="B8" t="s">
        <v>1591</v>
      </c>
      <c r="G8">
        <v>8</v>
      </c>
      <c r="H8">
        <v>8</v>
      </c>
      <c r="I8">
        <v>16</v>
      </c>
    </row>
    <row r="9" spans="1:9">
      <c r="A9" t="s">
        <v>1594</v>
      </c>
      <c r="B9" t="s">
        <v>1592</v>
      </c>
      <c r="C9">
        <v>19</v>
      </c>
      <c r="G9">
        <v>8</v>
      </c>
      <c r="H9">
        <v>8</v>
      </c>
      <c r="I9">
        <v>16</v>
      </c>
    </row>
    <row r="10" spans="1:9">
      <c r="A10" t="s">
        <v>915</v>
      </c>
      <c r="B10" t="s">
        <v>1592</v>
      </c>
      <c r="C10">
        <v>17</v>
      </c>
      <c r="G10">
        <v>8</v>
      </c>
      <c r="H10">
        <v>8</v>
      </c>
      <c r="I10">
        <v>16</v>
      </c>
    </row>
    <row r="11" spans="1:9">
      <c r="A11" t="s">
        <v>1595</v>
      </c>
      <c r="B11" t="s">
        <v>1592</v>
      </c>
      <c r="C11">
        <v>15</v>
      </c>
      <c r="G11">
        <v>8</v>
      </c>
      <c r="H11">
        <v>8</v>
      </c>
      <c r="I11">
        <v>16</v>
      </c>
    </row>
    <row r="12" spans="1:9">
      <c r="A12" t="s">
        <v>14</v>
      </c>
      <c r="B12" t="s">
        <v>1592</v>
      </c>
      <c r="D12">
        <v>18.5</v>
      </c>
      <c r="E12">
        <v>15.5</v>
      </c>
      <c r="F12">
        <v>3</v>
      </c>
      <c r="G12">
        <v>2</v>
      </c>
      <c r="H12">
        <v>2</v>
      </c>
      <c r="I12">
        <v>8</v>
      </c>
    </row>
    <row r="13" spans="1:9">
      <c r="A13" t="s">
        <v>20</v>
      </c>
      <c r="B13" t="s">
        <v>1592</v>
      </c>
      <c r="D13">
        <v>15.5</v>
      </c>
      <c r="E13">
        <v>12.5</v>
      </c>
      <c r="F13">
        <v>3</v>
      </c>
      <c r="G13">
        <v>2</v>
      </c>
      <c r="H13">
        <v>2</v>
      </c>
      <c r="I13">
        <v>8</v>
      </c>
    </row>
    <row r="14" spans="1:9">
      <c r="A14" t="s">
        <v>26</v>
      </c>
      <c r="B14" t="s">
        <v>1592</v>
      </c>
      <c r="D14">
        <v>12.5</v>
      </c>
      <c r="E14">
        <v>10.5</v>
      </c>
      <c r="F14">
        <v>3</v>
      </c>
      <c r="G14">
        <v>2</v>
      </c>
      <c r="H14">
        <v>2</v>
      </c>
      <c r="I14">
        <v>8</v>
      </c>
    </row>
    <row r="15" spans="1:9">
      <c r="A15" t="s">
        <v>32</v>
      </c>
      <c r="B15" t="s">
        <v>1592</v>
      </c>
      <c r="D15">
        <v>10.5</v>
      </c>
      <c r="E15">
        <v>8.5</v>
      </c>
      <c r="F15">
        <v>2</v>
      </c>
      <c r="G15">
        <v>2</v>
      </c>
      <c r="H15">
        <v>2</v>
      </c>
      <c r="I15">
        <v>4</v>
      </c>
    </row>
    <row r="16" spans="1:9">
      <c r="A16" t="s">
        <v>37</v>
      </c>
      <c r="B16" t="s">
        <v>1592</v>
      </c>
      <c r="D16">
        <v>8.5</v>
      </c>
      <c r="E16">
        <v>6.5</v>
      </c>
      <c r="F16">
        <v>2</v>
      </c>
      <c r="G16">
        <v>1</v>
      </c>
      <c r="H16">
        <v>1</v>
      </c>
      <c r="I16">
        <v>4</v>
      </c>
    </row>
    <row r="17" spans="1:9">
      <c r="A17" t="s">
        <v>43</v>
      </c>
      <c r="B17" t="s">
        <v>1592</v>
      </c>
      <c r="D17">
        <v>6.5</v>
      </c>
      <c r="E17">
        <v>3.5</v>
      </c>
      <c r="G17">
        <v>0</v>
      </c>
      <c r="H17">
        <v>0</v>
      </c>
      <c r="I17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B7BD-06A1-475E-B162-3FD3BF767CC9}">
  <dimension ref="A1:B18"/>
  <sheetViews>
    <sheetView workbookViewId="0">
      <selection sqref="A1:A16"/>
    </sheetView>
  </sheetViews>
  <sheetFormatPr defaultRowHeight="15"/>
  <cols>
    <col min="1" max="1" width="19.5703125" bestFit="1" customWidth="1"/>
  </cols>
  <sheetData>
    <row r="1" spans="1:2">
      <c r="A1" s="144" t="s">
        <v>962</v>
      </c>
      <c r="B1" s="145"/>
    </row>
    <row r="2" spans="1:2">
      <c r="A2" s="145" t="s">
        <v>965</v>
      </c>
      <c r="B2" s="145"/>
    </row>
    <row r="3" spans="1:2">
      <c r="A3" s="145" t="s">
        <v>968</v>
      </c>
      <c r="B3" s="145"/>
    </row>
    <row r="4" spans="1:2">
      <c r="A4" s="144" t="s">
        <v>983</v>
      </c>
      <c r="B4" s="145"/>
    </row>
    <row r="5" spans="1:2">
      <c r="A5" s="144" t="s">
        <v>987</v>
      </c>
      <c r="B5" s="145"/>
    </row>
    <row r="6" spans="1:2">
      <c r="A6" s="144" t="s">
        <v>992</v>
      </c>
      <c r="B6" s="145"/>
    </row>
    <row r="7" spans="1:2">
      <c r="A7" s="144" t="s">
        <v>1596</v>
      </c>
      <c r="B7" s="145"/>
    </row>
    <row r="8" spans="1:2">
      <c r="A8" s="144" t="s">
        <v>1001</v>
      </c>
      <c r="B8" s="145"/>
    </row>
    <row r="9" spans="1:2">
      <c r="A9" s="144" t="s">
        <v>981</v>
      </c>
      <c r="B9" s="145"/>
    </row>
    <row r="10" spans="1:2">
      <c r="A10" s="144" t="s">
        <v>1046</v>
      </c>
      <c r="B10" s="145"/>
    </row>
    <row r="11" spans="1:2">
      <c r="A11" s="145" t="s">
        <v>1048</v>
      </c>
      <c r="B11" s="145"/>
    </row>
    <row r="12" spans="1:2">
      <c r="A12" s="144" t="s">
        <v>977</v>
      </c>
      <c r="B12" s="145"/>
    </row>
    <row r="13" spans="1:2">
      <c r="A13" s="145" t="s">
        <v>971</v>
      </c>
      <c r="B13" s="145"/>
    </row>
    <row r="14" spans="1:2">
      <c r="A14" s="144" t="s">
        <v>974</v>
      </c>
      <c r="B14" s="145"/>
    </row>
    <row r="15" spans="1:2">
      <c r="A15" s="144" t="s">
        <v>1042</v>
      </c>
      <c r="B15" s="145"/>
    </row>
    <row r="16" spans="1:2">
      <c r="A16" s="145" t="s">
        <v>979</v>
      </c>
      <c r="B16" s="145"/>
    </row>
    <row r="17" spans="1:2">
      <c r="A17" s="144"/>
      <c r="B17" s="145"/>
    </row>
    <row r="18" spans="1:2">
      <c r="A18" s="1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F0B554-8EDA-451C-96AC-2FE3B557CBEE}"/>
</file>

<file path=customXml/itemProps2.xml><?xml version="1.0" encoding="utf-8"?>
<ds:datastoreItem xmlns:ds="http://schemas.openxmlformats.org/officeDocument/2006/customXml" ds:itemID="{45982670-F80A-47D7-BCF6-248327B451A3}"/>
</file>

<file path=customXml/itemProps3.xml><?xml version="1.0" encoding="utf-8"?>
<ds:datastoreItem xmlns:ds="http://schemas.openxmlformats.org/officeDocument/2006/customXml" ds:itemID="{AE2DE994-3C66-47D3-A41B-76464269C22E}"/>
</file>

<file path=customXml/itemProps4.xml><?xml version="1.0" encoding="utf-8"?>
<ds:datastoreItem xmlns:ds="http://schemas.openxmlformats.org/officeDocument/2006/customXml" ds:itemID="{5CA9BEB3-EDD3-4D80-AEAB-F38599CB3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Wolff</dc:creator>
  <cp:keywords/>
  <dc:description/>
  <cp:lastModifiedBy>Antjan Laban</cp:lastModifiedBy>
  <cp:revision/>
  <dcterms:created xsi:type="dcterms:W3CDTF">2021-04-25T08:32:35Z</dcterms:created>
  <dcterms:modified xsi:type="dcterms:W3CDTF">2025-10-02T19:13:11Z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  <property fmtid="{D5CDD505-2E9C-101B-9397-08002B2CF9AE}" pid="3" name="MediaServiceImageTags">
    <vt:lpwstr/>
  </property>
</Properties>
</file>