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njewit.sharepoint.com/sites/TC/Gedeelde documenten/2024-2025/Competitievoorbereiding 24-25/"/>
    </mc:Choice>
  </mc:AlternateContent>
  <xr:revisionPtr revIDLastSave="962" documentId="8_{6218DD24-922E-4542-A17F-E7A2CCBF255E}" xr6:coauthVersionLast="47" xr6:coauthVersionMax="47" xr10:uidLastSave="{6B1FB6BD-67BF-46C0-A586-6FA044909C7A}"/>
  <bookViews>
    <workbookView xWindow="0" yWindow="500" windowWidth="28800" windowHeight="17500" tabRatio="738" activeTab="10" xr2:uid="{936DD2DD-FEE1-479C-98CF-F58D2D27076A}"/>
  </bookViews>
  <sheets>
    <sheet name="Teams" sheetId="2" r:id="rId1"/>
    <sheet name="Spelerslijst" sheetId="3" r:id="rId2"/>
    <sheet name="Staf" sheetId="4" r:id="rId3"/>
    <sheet name="SCENARIO-KEUZE" sheetId="21" r:id="rId4"/>
    <sheet name="Aandachtpunten" sheetId="13" r:id="rId5"/>
    <sheet name="Count" sheetId="18" r:id="rId6"/>
    <sheet name="Teams-deelversie" sheetId="14" r:id="rId7"/>
    <sheet name="Stoppers" sheetId="5" r:id="rId8"/>
    <sheet name="vraagtekens" sheetId="6" r:id="rId9"/>
    <sheet name="check bond 160124" sheetId="8" r:id="rId10"/>
    <sheet name="leden" sheetId="17" r:id="rId11"/>
    <sheet name="PEIL" sheetId="12" r:id="rId12"/>
  </sheets>
  <definedNames>
    <definedName name="_xlnm._FilterDatabase" localSheetId="4" hidden="1">Aandachtpunten!$A$1:$E$1</definedName>
    <definedName name="_xlnm._FilterDatabase" localSheetId="1" hidden="1">Spelerslijst!$K$1:$Q$152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14" l="1" a="1"/>
  <c r="L103" i="14" s="1"/>
  <c r="X111" i="2" a="1"/>
  <c r="X111" i="2" s="1"/>
  <c r="F115" i="14" a="1"/>
  <c r="F115" i="14" s="1"/>
  <c r="J123" i="2" a="1"/>
  <c r="J123" i="2" s="1"/>
  <c r="C123" i="2" a="1"/>
  <c r="C123" i="2" s="1"/>
  <c r="C115" i="14" a="1"/>
  <c r="C115" i="14" s="1"/>
  <c r="C103" i="14" a="1"/>
  <c r="C103" i="14" s="1"/>
  <c r="I103" i="14" a="1"/>
  <c r="I103" i="14" s="1"/>
  <c r="F103" i="14" a="1"/>
  <c r="F103" i="14" s="1"/>
  <c r="E103" i="14" a="1"/>
  <c r="E103" i="14" s="1"/>
  <c r="L91" i="14" a="1"/>
  <c r="L91" i="14" s="1"/>
  <c r="I91" i="14" a="1"/>
  <c r="I91" i="14" s="1"/>
  <c r="F91" i="14" a="1"/>
  <c r="F91" i="14" s="1"/>
  <c r="C91" i="14" a="1"/>
  <c r="C91" i="14" s="1"/>
  <c r="I77" i="14" a="1"/>
  <c r="I77" i="14" s="1"/>
  <c r="F77" i="14" a="1"/>
  <c r="F77" i="14" s="1"/>
  <c r="C77" i="14" a="1"/>
  <c r="C77" i="14" s="1"/>
  <c r="L63" i="14" a="1"/>
  <c r="L63" i="14" s="1"/>
  <c r="I63" i="14" a="1"/>
  <c r="I63" i="14" s="1"/>
  <c r="I50" i="14" a="1"/>
  <c r="I50" i="14" s="1"/>
  <c r="R36" i="14" a="1"/>
  <c r="R36" i="14" s="1"/>
  <c r="H50" i="14" a="1"/>
  <c r="H50" i="14" s="1"/>
  <c r="O36" i="14" a="1"/>
  <c r="O36" i="14" s="1"/>
  <c r="L36" i="14" a="1"/>
  <c r="L36" i="14" s="1"/>
  <c r="I36" i="14" a="1"/>
  <c r="I36" i="14" s="1"/>
  <c r="L17" i="14" a="1"/>
  <c r="L17" i="14" s="1"/>
  <c r="I17" i="14" a="1"/>
  <c r="I17" i="14" s="1"/>
  <c r="C17" i="14" a="1"/>
  <c r="C17" i="14" s="1"/>
  <c r="F158" i="3"/>
  <c r="F159" i="3"/>
  <c r="F160" i="3"/>
  <c r="F161" i="3"/>
  <c r="F162" i="3"/>
  <c r="F163" i="3"/>
  <c r="F164" i="3"/>
  <c r="F165" i="3"/>
  <c r="F166" i="3"/>
  <c r="F167" i="3"/>
  <c r="F133" i="3"/>
  <c r="D90" i="3"/>
  <c r="F90" i="3"/>
  <c r="N42" i="3"/>
  <c r="P42" i="3"/>
  <c r="N41" i="3"/>
  <c r="P41" i="3"/>
  <c r="D3" i="3"/>
  <c r="F3" i="3"/>
  <c r="D2" i="3"/>
  <c r="F2" i="3"/>
  <c r="D81" i="3"/>
  <c r="F81" i="3"/>
  <c r="N92" i="3"/>
  <c r="P92" i="3"/>
  <c r="P14" i="3"/>
  <c r="N14" i="3"/>
  <c r="P28" i="3"/>
  <c r="N28" i="3"/>
  <c r="P145" i="3"/>
  <c r="N145" i="3"/>
  <c r="N21" i="3"/>
  <c r="P21" i="3"/>
  <c r="D60" i="3"/>
  <c r="F60" i="3"/>
  <c r="D155" i="3"/>
  <c r="F155" i="3"/>
  <c r="D110" i="3"/>
  <c r="F110" i="3"/>
  <c r="N32" i="3"/>
  <c r="P32" i="3"/>
  <c r="F71" i="3"/>
  <c r="D71" i="3"/>
  <c r="P80" i="3"/>
  <c r="P122" i="3"/>
  <c r="N80" i="3"/>
  <c r="N122" i="3"/>
  <c r="P33" i="3"/>
  <c r="P83" i="3"/>
  <c r="N33" i="3"/>
  <c r="N83" i="3"/>
  <c r="D18" i="3"/>
  <c r="F18" i="3"/>
  <c r="D40" i="3"/>
  <c r="F40" i="3"/>
  <c r="F20" i="3"/>
  <c r="F14" i="3"/>
  <c r="X20" i="2" a="1"/>
  <c r="X20" i="2" s="1"/>
  <c r="W20" i="2" a="1"/>
  <c r="W20" i="2" s="1"/>
  <c r="AA4" i="2" a="1"/>
  <c r="AA4" i="2" s="1"/>
  <c r="Z3" i="2" s="1"/>
  <c r="Z4" i="2" a="1"/>
  <c r="Z4" i="2" s="1"/>
  <c r="X4" i="2" a="1"/>
  <c r="X4" i="2" s="1"/>
  <c r="W3" i="2" s="1"/>
  <c r="W4" i="2" a="1"/>
  <c r="W4" i="2" s="1"/>
  <c r="Q20" i="2" a="1"/>
  <c r="Q20" i="2" s="1"/>
  <c r="P20" i="2" a="1"/>
  <c r="P20" i="2" s="1"/>
  <c r="T4" i="2" a="1"/>
  <c r="T4" i="2" s="1"/>
  <c r="S3" i="2" s="1"/>
  <c r="S4" i="2" a="1"/>
  <c r="S4" i="2" s="1"/>
  <c r="Q4" i="2" a="1"/>
  <c r="Q4" i="2" s="1"/>
  <c r="P3" i="2" s="1"/>
  <c r="P4" i="2" a="1"/>
  <c r="P4" i="2" s="1"/>
  <c r="J20" i="2" a="1"/>
  <c r="J20" i="2" s="1"/>
  <c r="I20" i="2" a="1"/>
  <c r="I20" i="2" s="1"/>
  <c r="M4" i="2" a="1"/>
  <c r="M4" i="2" s="1"/>
  <c r="L3" i="2" s="1"/>
  <c r="L4" i="2" a="1"/>
  <c r="L4" i="2" s="1"/>
  <c r="J4" i="2" a="1"/>
  <c r="J4" i="2" s="1"/>
  <c r="I3" i="2" s="1"/>
  <c r="I4" i="2" a="1"/>
  <c r="I4" i="2" s="1"/>
  <c r="P139" i="3"/>
  <c r="P71" i="3"/>
  <c r="P118" i="3"/>
  <c r="P39" i="3"/>
  <c r="P126" i="3"/>
  <c r="P19" i="3"/>
  <c r="P81" i="3"/>
  <c r="P20" i="3"/>
  <c r="P102" i="3"/>
  <c r="P129" i="3"/>
  <c r="N139" i="3"/>
  <c r="N71" i="3"/>
  <c r="N118" i="3"/>
  <c r="N39" i="3"/>
  <c r="N126" i="3"/>
  <c r="N19" i="3"/>
  <c r="N81" i="3"/>
  <c r="N20" i="3"/>
  <c r="N102" i="3"/>
  <c r="N129" i="3"/>
  <c r="F84" i="3"/>
  <c r="F140" i="3"/>
  <c r="F10" i="3"/>
  <c r="F123" i="3"/>
  <c r="F128" i="3"/>
  <c r="F11" i="3"/>
  <c r="F122" i="3"/>
  <c r="F38" i="3"/>
  <c r="F76" i="3"/>
  <c r="F116" i="3"/>
  <c r="D84" i="3"/>
  <c r="D161" i="3"/>
  <c r="D163" i="3"/>
  <c r="D140" i="3"/>
  <c r="D10" i="3"/>
  <c r="D123" i="3"/>
  <c r="D128" i="3"/>
  <c r="D11" i="3"/>
  <c r="D122" i="3"/>
  <c r="D38" i="3"/>
  <c r="D76" i="3"/>
  <c r="D116" i="3"/>
  <c r="P44" i="3"/>
  <c r="N44" i="3"/>
  <c r="P40" i="3"/>
  <c r="N40" i="3"/>
  <c r="F101" i="3"/>
  <c r="D101" i="3"/>
  <c r="P46" i="3"/>
  <c r="N46" i="3"/>
  <c r="F83" i="3"/>
  <c r="D83" i="3"/>
  <c r="N49" i="3"/>
  <c r="P49" i="3"/>
  <c r="N144" i="3"/>
  <c r="P144" i="3"/>
  <c r="P113" i="3"/>
  <c r="N113" i="3"/>
  <c r="P106" i="3"/>
  <c r="N106" i="3"/>
  <c r="P12" i="3"/>
  <c r="N12" i="3"/>
  <c r="D160" i="3"/>
  <c r="P77" i="3"/>
  <c r="N77" i="3"/>
  <c r="P59" i="3"/>
  <c r="N59" i="3"/>
  <c r="P70" i="3"/>
  <c r="P111" i="3"/>
  <c r="N70" i="3"/>
  <c r="N111" i="3"/>
  <c r="F9" i="3"/>
  <c r="D9" i="3"/>
  <c r="P101" i="3"/>
  <c r="N101" i="3"/>
  <c r="K17" i="14" a="1"/>
  <c r="K17" i="14" s="1"/>
  <c r="L4" i="14" a="1"/>
  <c r="L4" i="14" s="1"/>
  <c r="K4" i="14" a="1"/>
  <c r="K4" i="14" s="1"/>
  <c r="F95" i="3"/>
  <c r="F144" i="3"/>
  <c r="D95" i="3"/>
  <c r="D144" i="3"/>
  <c r="N120" i="3"/>
  <c r="P120" i="3"/>
  <c r="P105" i="3"/>
  <c r="N105" i="3"/>
  <c r="B123" i="2" a="1"/>
  <c r="B123" i="2" s="1"/>
  <c r="D164" i="3" l="1"/>
  <c r="D86" i="3"/>
  <c r="F86" i="3"/>
  <c r="F102" i="3"/>
  <c r="D102" i="3"/>
  <c r="N6" i="3"/>
  <c r="P6" i="3"/>
  <c r="P142" i="3"/>
  <c r="P108" i="3"/>
  <c r="D4" i="3"/>
  <c r="F4" i="3"/>
  <c r="P3" i="3"/>
  <c r="N3" i="3"/>
  <c r="N149" i="3"/>
  <c r="P88" i="3"/>
  <c r="P149" i="3"/>
  <c r="N108" i="3"/>
  <c r="N142" i="3"/>
  <c r="P66" i="3"/>
  <c r="N66" i="3"/>
  <c r="I60" i="2" a="1"/>
  <c r="I60" i="2" s="1"/>
  <c r="P91" i="3"/>
  <c r="N91" i="3"/>
  <c r="P110" i="3"/>
  <c r="N110" i="3"/>
  <c r="F33" i="3"/>
  <c r="D147" i="3"/>
  <c r="F147" i="3"/>
  <c r="D65" i="3"/>
  <c r="F65" i="3"/>
  <c r="D118" i="3"/>
  <c r="D143" i="3"/>
  <c r="F143" i="3"/>
  <c r="D67" i="3"/>
  <c r="F67" i="3"/>
  <c r="D151" i="3"/>
  <c r="F151" i="3"/>
  <c r="F8" i="3"/>
  <c r="D8" i="3"/>
  <c r="D154" i="3"/>
  <c r="F154" i="3"/>
  <c r="D79" i="3"/>
  <c r="F79" i="3"/>
  <c r="D32" i="3"/>
  <c r="F32" i="3"/>
  <c r="D6" i="3"/>
  <c r="D7" i="3"/>
  <c r="D12" i="3"/>
  <c r="D13" i="3"/>
  <c r="D14" i="3"/>
  <c r="D15" i="3"/>
  <c r="D16" i="3"/>
  <c r="D17" i="3"/>
  <c r="D19" i="3"/>
  <c r="D20" i="3"/>
  <c r="D21" i="3"/>
  <c r="D22" i="3"/>
  <c r="D23" i="3"/>
  <c r="D24" i="3"/>
  <c r="D25" i="3"/>
  <c r="D26" i="3"/>
  <c r="D28" i="3"/>
  <c r="D29" i="3"/>
  <c r="D30" i="3"/>
  <c r="D31" i="3"/>
  <c r="D33" i="3"/>
  <c r="D34" i="3"/>
  <c r="D35" i="3"/>
  <c r="D36" i="3"/>
  <c r="D37" i="3"/>
  <c r="D39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1" i="3"/>
  <c r="D62" i="3"/>
  <c r="D63" i="3"/>
  <c r="D64" i="3"/>
  <c r="D66" i="3"/>
  <c r="D68" i="3"/>
  <c r="D69" i="3"/>
  <c r="D70" i="3"/>
  <c r="D72" i="3"/>
  <c r="D73" i="3"/>
  <c r="D74" i="3"/>
  <c r="D75" i="3"/>
  <c r="D77" i="3"/>
  <c r="D78" i="3"/>
  <c r="D80" i="3"/>
  <c r="D82" i="3"/>
  <c r="D85" i="3"/>
  <c r="D87" i="3"/>
  <c r="D88" i="3"/>
  <c r="D89" i="3"/>
  <c r="D91" i="3"/>
  <c r="D92" i="3"/>
  <c r="D93" i="3"/>
  <c r="D94" i="3"/>
  <c r="D96" i="3"/>
  <c r="D97" i="3"/>
  <c r="D98" i="3"/>
  <c r="D99" i="3"/>
  <c r="D100" i="3"/>
  <c r="D103" i="3"/>
  <c r="D104" i="3"/>
  <c r="D105" i="3"/>
  <c r="D106" i="3"/>
  <c r="D107" i="3"/>
  <c r="D108" i="3"/>
  <c r="D109" i="3"/>
  <c r="D111" i="3"/>
  <c r="D112" i="3"/>
  <c r="D113" i="3"/>
  <c r="D114" i="3"/>
  <c r="D115" i="3"/>
  <c r="D117" i="3"/>
  <c r="D119" i="3"/>
  <c r="D120" i="3"/>
  <c r="D121" i="3"/>
  <c r="D124" i="3"/>
  <c r="D125" i="3"/>
  <c r="D126" i="3"/>
  <c r="D127" i="3"/>
  <c r="D129" i="3"/>
  <c r="D130" i="3"/>
  <c r="D131" i="3"/>
  <c r="D132" i="3"/>
  <c r="D133" i="3"/>
  <c r="D134" i="3"/>
  <c r="D135" i="3"/>
  <c r="D136" i="3"/>
  <c r="D137" i="3"/>
  <c r="D138" i="3"/>
  <c r="D139" i="3"/>
  <c r="D141" i="3"/>
  <c r="D142" i="3"/>
  <c r="D145" i="3"/>
  <c r="D146" i="3"/>
  <c r="D148" i="3"/>
  <c r="D149" i="3"/>
  <c r="D150" i="3"/>
  <c r="D152" i="3"/>
  <c r="D153" i="3"/>
  <c r="D156" i="3"/>
  <c r="D157" i="3"/>
  <c r="D158" i="3"/>
  <c r="D159" i="3"/>
  <c r="D162" i="3"/>
  <c r="D165" i="3"/>
  <c r="D166" i="3"/>
  <c r="D167" i="3"/>
  <c r="D5" i="3"/>
  <c r="B130" i="14" a="1"/>
  <c r="B130" i="14" s="1"/>
  <c r="C122" i="14" a="1"/>
  <c r="C122" i="14" s="1"/>
  <c r="B122" i="14" a="1"/>
  <c r="B122" i="14" s="1"/>
  <c r="N115" i="14" a="1"/>
  <c r="N115" i="14" s="1"/>
  <c r="K115" i="14" a="1"/>
  <c r="K115" i="14" s="1"/>
  <c r="H115" i="14" a="1"/>
  <c r="H115" i="14" s="1"/>
  <c r="E115" i="14" a="1"/>
  <c r="E115" i="14" s="1"/>
  <c r="B115" i="14" a="1"/>
  <c r="B115" i="14" s="1"/>
  <c r="O109" i="14" a="1"/>
  <c r="O109" i="14" s="1"/>
  <c r="N109" i="14" a="1"/>
  <c r="N109" i="14" s="1"/>
  <c r="L109" i="14" a="1"/>
  <c r="L109" i="14" s="1"/>
  <c r="K109" i="14" a="1"/>
  <c r="K109" i="14" s="1"/>
  <c r="I109" i="14" a="1"/>
  <c r="I109" i="14" s="1"/>
  <c r="H109" i="14" a="1"/>
  <c r="H109" i="14" s="1"/>
  <c r="F109" i="14" a="1"/>
  <c r="F109" i="14" s="1"/>
  <c r="E109" i="14" a="1"/>
  <c r="E109" i="14" s="1"/>
  <c r="C109" i="14" a="1"/>
  <c r="C109" i="14" s="1"/>
  <c r="B109" i="14" a="1"/>
  <c r="B109" i="14" s="1"/>
  <c r="U103" i="14" a="1"/>
  <c r="U103" i="14" s="1"/>
  <c r="T103" i="14" a="1"/>
  <c r="T103" i="14" s="1"/>
  <c r="Q103" i="14" a="1"/>
  <c r="Q103" i="14" s="1"/>
  <c r="N103" i="14" a="1"/>
  <c r="N103" i="14" s="1"/>
  <c r="K103" i="14" a="1"/>
  <c r="K103" i="14" s="1"/>
  <c r="H103" i="14" a="1"/>
  <c r="H103" i="14" s="1"/>
  <c r="B103" i="14" a="1"/>
  <c r="B103" i="14" s="1"/>
  <c r="X97" i="14" a="1"/>
  <c r="X97" i="14" s="1"/>
  <c r="W97" i="14" a="1"/>
  <c r="W97" i="14" s="1"/>
  <c r="U97" i="14" a="1"/>
  <c r="U97" i="14" s="1"/>
  <c r="T97" i="14" a="1"/>
  <c r="T97" i="14" s="1"/>
  <c r="R97" i="14" a="1"/>
  <c r="R97" i="14" s="1"/>
  <c r="Q97" i="14" a="1"/>
  <c r="Q97" i="14" s="1"/>
  <c r="O97" i="14" a="1"/>
  <c r="O97" i="14" s="1"/>
  <c r="N97" i="14" a="1"/>
  <c r="N97" i="14" s="1"/>
  <c r="L97" i="14" a="1"/>
  <c r="L97" i="14" s="1"/>
  <c r="K97" i="14" a="1"/>
  <c r="K97" i="14" s="1"/>
  <c r="I97" i="14" a="1"/>
  <c r="I97" i="14" s="1"/>
  <c r="H97" i="14" a="1"/>
  <c r="H97" i="14" s="1"/>
  <c r="F97" i="14" a="1"/>
  <c r="F97" i="14" s="1"/>
  <c r="E97" i="14" a="1"/>
  <c r="E97" i="14" s="1"/>
  <c r="C97" i="14" a="1"/>
  <c r="C97" i="14" s="1"/>
  <c r="B97" i="14" a="1"/>
  <c r="B97" i="14" s="1"/>
  <c r="N91" i="14" a="1"/>
  <c r="N91" i="14" s="1"/>
  <c r="K91" i="14" a="1"/>
  <c r="K91" i="14" s="1"/>
  <c r="H91" i="14" a="1"/>
  <c r="H91" i="14" s="1"/>
  <c r="E91" i="14" a="1"/>
  <c r="E91" i="14" s="1"/>
  <c r="B91" i="14" a="1"/>
  <c r="B91" i="14" s="1"/>
  <c r="O83" i="14" a="1"/>
  <c r="O83" i="14" s="1"/>
  <c r="N83" i="14" a="1"/>
  <c r="N83" i="14" s="1"/>
  <c r="L83" i="14" a="1"/>
  <c r="L83" i="14" s="1"/>
  <c r="K83" i="14" a="1"/>
  <c r="K83" i="14" s="1"/>
  <c r="I83" i="14" a="1"/>
  <c r="I83" i="14" s="1"/>
  <c r="H83" i="14" a="1"/>
  <c r="H83" i="14" s="1"/>
  <c r="F83" i="14" a="1"/>
  <c r="F83" i="14" s="1"/>
  <c r="E83" i="14" a="1"/>
  <c r="E83" i="14" s="1"/>
  <c r="C83" i="14" a="1"/>
  <c r="C83" i="14" s="1"/>
  <c r="B83" i="14" a="1"/>
  <c r="B83" i="14" s="1"/>
  <c r="N77" i="14" a="1"/>
  <c r="N77" i="14" s="1"/>
  <c r="K77" i="14" a="1"/>
  <c r="K77" i="14" s="1"/>
  <c r="H77" i="14" a="1"/>
  <c r="H77" i="14" s="1"/>
  <c r="E77" i="14" a="1"/>
  <c r="E77" i="14" s="1"/>
  <c r="B77" i="14" a="1"/>
  <c r="B77" i="14" s="1"/>
  <c r="O69" i="14" a="1"/>
  <c r="O69" i="14" s="1"/>
  <c r="N69" i="14" a="1"/>
  <c r="N69" i="14" s="1"/>
  <c r="L69" i="14" a="1"/>
  <c r="L69" i="14" s="1"/>
  <c r="K69" i="14" a="1"/>
  <c r="K69" i="14" s="1"/>
  <c r="I69" i="14" a="1"/>
  <c r="I69" i="14" s="1"/>
  <c r="H69" i="14" a="1"/>
  <c r="H69" i="14" s="1"/>
  <c r="F69" i="14" a="1"/>
  <c r="F69" i="14" s="1"/>
  <c r="E69" i="14" a="1"/>
  <c r="E69" i="14" s="1"/>
  <c r="C69" i="14" a="1"/>
  <c r="C69" i="14" s="1"/>
  <c r="B69" i="14" a="1"/>
  <c r="B69" i="14" s="1"/>
  <c r="N63" i="14" a="1"/>
  <c r="N63" i="14" s="1"/>
  <c r="K63" i="14" a="1"/>
  <c r="K63" i="14" s="1"/>
  <c r="H63" i="14" a="1"/>
  <c r="H63" i="14" s="1"/>
  <c r="E63" i="14" a="1"/>
  <c r="E63" i="14" s="1"/>
  <c r="B63" i="14" a="1"/>
  <c r="B63" i="14" s="1"/>
  <c r="O56" i="14" a="1"/>
  <c r="O56" i="14" s="1"/>
  <c r="N56" i="14" a="1"/>
  <c r="N56" i="14" s="1"/>
  <c r="L56" i="14" a="1"/>
  <c r="L56" i="14" s="1"/>
  <c r="K56" i="14" a="1"/>
  <c r="K56" i="14" s="1"/>
  <c r="I56" i="14" a="1"/>
  <c r="I56" i="14" s="1"/>
  <c r="H56" i="14" a="1"/>
  <c r="H56" i="14" s="1"/>
  <c r="F56" i="14" a="1"/>
  <c r="F56" i="14" s="1"/>
  <c r="E56" i="14" a="1"/>
  <c r="E56" i="14" s="1"/>
  <c r="C56" i="14" a="1"/>
  <c r="C56" i="14" s="1"/>
  <c r="B56" i="14" a="1"/>
  <c r="B56" i="14" s="1"/>
  <c r="N50" i="14" a="1"/>
  <c r="N50" i="14" s="1"/>
  <c r="K50" i="14" a="1"/>
  <c r="K50" i="14" s="1"/>
  <c r="E50" i="14" a="1"/>
  <c r="E50" i="14" s="1"/>
  <c r="B50" i="14" a="1"/>
  <c r="B50" i="14" s="1"/>
  <c r="O41" i="14" a="1"/>
  <c r="O41" i="14" s="1"/>
  <c r="N41" i="14" a="1"/>
  <c r="N41" i="14" s="1"/>
  <c r="L41" i="14" a="1"/>
  <c r="L41" i="14" s="1"/>
  <c r="K41" i="14" a="1"/>
  <c r="K41" i="14" s="1"/>
  <c r="I41" i="14" a="1"/>
  <c r="I41" i="14" s="1"/>
  <c r="H41" i="14" a="1"/>
  <c r="H41" i="14" s="1"/>
  <c r="F41" i="14" a="1"/>
  <c r="F41" i="14" s="1"/>
  <c r="E41" i="14" a="1"/>
  <c r="E41" i="14" s="1"/>
  <c r="C41" i="14" a="1"/>
  <c r="C41" i="14" s="1"/>
  <c r="B41" i="14" a="1"/>
  <c r="B41" i="14" s="1"/>
  <c r="AA36" i="14" a="1"/>
  <c r="AA36" i="14" s="1"/>
  <c r="U36" i="14" a="1"/>
  <c r="U36" i="14" s="1"/>
  <c r="T36" i="14" a="1"/>
  <c r="T36" i="14" s="1"/>
  <c r="Q36" i="14" a="1"/>
  <c r="Q36" i="14" s="1"/>
  <c r="N36" i="14" a="1"/>
  <c r="N36" i="14" s="1"/>
  <c r="K36" i="14" a="1"/>
  <c r="K36" i="14" s="1"/>
  <c r="H36" i="14" a="1"/>
  <c r="H36" i="14" s="1"/>
  <c r="E36" i="14" a="1"/>
  <c r="E36" i="14" s="1"/>
  <c r="B36" i="14" a="1"/>
  <c r="B36" i="14" s="1"/>
  <c r="AB28" i="14" a="1"/>
  <c r="AB28" i="14" s="1"/>
  <c r="AA28" i="14" a="1"/>
  <c r="AA28" i="14" s="1"/>
  <c r="W28" i="14" a="1"/>
  <c r="W28" i="14" s="1"/>
  <c r="T28" i="14" a="1"/>
  <c r="T28" i="14" s="1"/>
  <c r="R28" i="14" a="1"/>
  <c r="R28" i="14" s="1"/>
  <c r="Q28" i="14" a="1"/>
  <c r="Q28" i="14" s="1"/>
  <c r="O28" i="14" a="1"/>
  <c r="O28" i="14" s="1"/>
  <c r="N28" i="14" a="1"/>
  <c r="N28" i="14" s="1"/>
  <c r="L28" i="14" a="1"/>
  <c r="L28" i="14" s="1"/>
  <c r="K28" i="14" a="1"/>
  <c r="K28" i="14" s="1"/>
  <c r="I28" i="14" a="1"/>
  <c r="I28" i="14" s="1"/>
  <c r="H28" i="14" a="1"/>
  <c r="H28" i="14" s="1"/>
  <c r="F28" i="14" a="1"/>
  <c r="F28" i="14" s="1"/>
  <c r="E28" i="14" a="1"/>
  <c r="E28" i="14" s="1"/>
  <c r="C28" i="14" a="1"/>
  <c r="C28" i="14" s="1"/>
  <c r="B28" i="14" a="1"/>
  <c r="B28" i="14" s="1"/>
  <c r="H17" i="14" a="1"/>
  <c r="H17" i="14" s="1"/>
  <c r="E17" i="14" a="1"/>
  <c r="E17" i="14" s="1"/>
  <c r="B17" i="14" a="1"/>
  <c r="B17" i="14" s="1"/>
  <c r="I4" i="14" a="1"/>
  <c r="I4" i="14" s="1"/>
  <c r="H4" i="14" a="1"/>
  <c r="H4" i="14" s="1"/>
  <c r="F4" i="14" a="1"/>
  <c r="F4" i="14" s="1"/>
  <c r="E4" i="14" a="1"/>
  <c r="E4" i="14" s="1"/>
  <c r="C4" i="14" a="1"/>
  <c r="C4" i="14" s="1"/>
  <c r="B4" i="14" a="1"/>
  <c r="B4" i="14" s="1"/>
  <c r="S31" i="2" a="1"/>
  <c r="S31" i="2" s="1"/>
  <c r="N29" i="3"/>
  <c r="P29" i="3"/>
  <c r="F118" i="3"/>
  <c r="F75" i="3"/>
  <c r="N15" i="3"/>
  <c r="P15" i="3"/>
  <c r="F62" i="3"/>
  <c r="N16" i="3"/>
  <c r="P16" i="3"/>
  <c r="C130" i="2" a="1"/>
  <c r="C130" i="2" s="1"/>
  <c r="B129" i="2" s="1"/>
  <c r="AE117" i="2" a="1"/>
  <c r="AE117" i="2" s="1"/>
  <c r="AD116" i="2" s="1"/>
  <c r="X117" i="2" a="1"/>
  <c r="X117" i="2" s="1"/>
  <c r="W116" i="2" s="1"/>
  <c r="Q117" i="2" a="1"/>
  <c r="Q117" i="2" s="1"/>
  <c r="P116" i="2" s="1"/>
  <c r="J117" i="2" a="1"/>
  <c r="J117" i="2" s="1"/>
  <c r="I116" i="2" s="1"/>
  <c r="C117" i="2" a="1"/>
  <c r="C117" i="2" s="1"/>
  <c r="B116" i="2" s="1"/>
  <c r="AS105" i="2" a="1"/>
  <c r="AS105" i="2" s="1"/>
  <c r="AR104" i="2" s="1"/>
  <c r="AL105" i="2" a="1"/>
  <c r="AL105" i="2" s="1"/>
  <c r="AK104" i="2" s="1"/>
  <c r="AE105" i="2" a="1"/>
  <c r="AE105" i="2" s="1"/>
  <c r="AD104" i="2" s="1"/>
  <c r="X105" i="2" a="1"/>
  <c r="X105" i="2" s="1"/>
  <c r="W104" i="2" s="1"/>
  <c r="Q105" i="2" a="1"/>
  <c r="Q105" i="2" s="1"/>
  <c r="P104" i="2" s="1"/>
  <c r="J105" i="2" a="1"/>
  <c r="J105" i="2" s="1"/>
  <c r="I104" i="2" s="1"/>
  <c r="C105" i="2" a="1"/>
  <c r="C105" i="2" s="1"/>
  <c r="B104" i="2" s="1"/>
  <c r="AE91" i="2" a="1"/>
  <c r="AE91" i="2" s="1"/>
  <c r="AD90" i="2" s="1"/>
  <c r="X91" i="2" a="1"/>
  <c r="X91" i="2" s="1"/>
  <c r="W90" i="2" s="1"/>
  <c r="Q91" i="2" a="1"/>
  <c r="Q91" i="2" s="1"/>
  <c r="P90" i="2" s="1"/>
  <c r="J91" i="2" a="1"/>
  <c r="J91" i="2" s="1"/>
  <c r="I90" i="2" s="1"/>
  <c r="C91" i="2" a="1"/>
  <c r="C91" i="2" s="1"/>
  <c r="B90" i="2" s="1"/>
  <c r="AE75" i="2" a="1"/>
  <c r="AE75" i="2" s="1"/>
  <c r="AD74" i="2" s="1"/>
  <c r="X75" i="2" a="1"/>
  <c r="X75" i="2" s="1"/>
  <c r="W74" i="2" s="1"/>
  <c r="Q75" i="2" a="1"/>
  <c r="Q75" i="2" s="1"/>
  <c r="P74" i="2" s="1"/>
  <c r="J75" i="2" a="1"/>
  <c r="J75" i="2" s="1"/>
  <c r="I74" i="2" s="1"/>
  <c r="C75" i="2" a="1"/>
  <c r="C75" i="2" s="1"/>
  <c r="B74" i="2" s="1"/>
  <c r="AE60" i="2" a="1"/>
  <c r="AE60" i="2" s="1"/>
  <c r="AD59" i="2" s="1"/>
  <c r="X60" i="2" a="1"/>
  <c r="X60" i="2" s="1"/>
  <c r="W59" i="2" s="1"/>
  <c r="Q60" i="2" a="1"/>
  <c r="Q60" i="2" s="1"/>
  <c r="P59" i="2" s="1"/>
  <c r="J60" i="2" a="1"/>
  <c r="J60" i="2" s="1"/>
  <c r="I59" i="2" s="1"/>
  <c r="C60" i="2" a="1"/>
  <c r="C60" i="2" s="1"/>
  <c r="B59" i="2" s="1"/>
  <c r="AE45" i="2" a="1"/>
  <c r="AE45" i="2" s="1"/>
  <c r="AD44" i="2" s="1"/>
  <c r="X45" i="2" a="1"/>
  <c r="X45" i="2" s="1"/>
  <c r="W44" i="2" s="1"/>
  <c r="Q45" i="2" a="1"/>
  <c r="Q45" i="2" s="1"/>
  <c r="P44" i="2" s="1"/>
  <c r="J45" i="2" a="1"/>
  <c r="J45" i="2" s="1"/>
  <c r="I44" i="2" s="1"/>
  <c r="C45" i="2" a="1"/>
  <c r="C45" i="2" s="1"/>
  <c r="B44" i="2" s="1"/>
  <c r="AZ31" i="2" a="1"/>
  <c r="AZ31" i="2" s="1"/>
  <c r="AY30" i="2" s="1"/>
  <c r="AS31" i="2" a="1"/>
  <c r="AS31" i="2" s="1"/>
  <c r="AR30" i="2" s="1"/>
  <c r="AL31" i="2" a="1"/>
  <c r="AL31" i="2" s="1"/>
  <c r="AK30" i="2" s="1"/>
  <c r="AE31" i="2" a="1"/>
  <c r="AE31" i="2" s="1"/>
  <c r="AD30" i="2" s="1"/>
  <c r="X31" i="2" a="1"/>
  <c r="X31" i="2" s="1"/>
  <c r="W30" i="2" s="1"/>
  <c r="Q31" i="2" a="1"/>
  <c r="Q31" i="2" s="1"/>
  <c r="P30" i="2" s="1"/>
  <c r="J31" i="2" a="1"/>
  <c r="J31" i="2" s="1"/>
  <c r="I30" i="2" s="1"/>
  <c r="C31" i="2" a="1"/>
  <c r="C31" i="2" s="1"/>
  <c r="B30" i="2" s="1"/>
  <c r="C4" i="2" a="1"/>
  <c r="C4" i="2" s="1"/>
  <c r="B3" i="2" s="1"/>
  <c r="F130" i="2" a="1"/>
  <c r="F130" i="2" s="1"/>
  <c r="E129" i="2" s="1"/>
  <c r="AH117" i="2" a="1"/>
  <c r="AH117" i="2" s="1"/>
  <c r="AG116" i="2" s="1"/>
  <c r="AA117" i="2" a="1"/>
  <c r="AA117" i="2" s="1"/>
  <c r="Z116" i="2" s="1"/>
  <c r="T117" i="2" a="1"/>
  <c r="T117" i="2" s="1"/>
  <c r="S116" i="2" s="1"/>
  <c r="M117" i="2" a="1"/>
  <c r="M117" i="2" s="1"/>
  <c r="L116" i="2" s="1"/>
  <c r="F117" i="2" a="1"/>
  <c r="F117" i="2" s="1"/>
  <c r="E116" i="2" s="1"/>
  <c r="AV105" i="2" a="1"/>
  <c r="AV105" i="2" s="1"/>
  <c r="AU104" i="2" s="1"/>
  <c r="AO105" i="2" a="1"/>
  <c r="AO105" i="2" s="1"/>
  <c r="AN104" i="2" s="1"/>
  <c r="AH105" i="2" a="1"/>
  <c r="AH105" i="2" s="1"/>
  <c r="AG104" i="2" s="1"/>
  <c r="AA105" i="2" a="1"/>
  <c r="AA105" i="2" s="1"/>
  <c r="Z104" i="2" s="1"/>
  <c r="T105" i="2" a="1"/>
  <c r="T105" i="2" s="1"/>
  <c r="S104" i="2" s="1"/>
  <c r="M105" i="2" a="1"/>
  <c r="M105" i="2" s="1"/>
  <c r="L104" i="2" s="1"/>
  <c r="F105" i="2" a="1"/>
  <c r="F105" i="2" s="1"/>
  <c r="E104" i="2" s="1"/>
  <c r="AH91" i="2" a="1"/>
  <c r="AH91" i="2" s="1"/>
  <c r="AG90" i="2" s="1"/>
  <c r="AA91" i="2" a="1"/>
  <c r="AA91" i="2" s="1"/>
  <c r="Z90" i="2" s="1"/>
  <c r="T91" i="2" a="1"/>
  <c r="T91" i="2" s="1"/>
  <c r="S90" i="2" s="1"/>
  <c r="M91" i="2" a="1"/>
  <c r="M91" i="2" s="1"/>
  <c r="L90" i="2" s="1"/>
  <c r="AH75" i="2" a="1"/>
  <c r="AH75" i="2" s="1"/>
  <c r="AG74" i="2" s="1"/>
  <c r="AA75" i="2" a="1"/>
  <c r="AA75" i="2" s="1"/>
  <c r="Z74" i="2" s="1"/>
  <c r="T75" i="2" a="1"/>
  <c r="T75" i="2" s="1"/>
  <c r="S74" i="2" s="1"/>
  <c r="M75" i="2" a="1"/>
  <c r="M75" i="2" s="1"/>
  <c r="L74" i="2" s="1"/>
  <c r="F75" i="2" a="1"/>
  <c r="F75" i="2" s="1"/>
  <c r="E74" i="2" s="1"/>
  <c r="AH60" i="2" a="1"/>
  <c r="AH60" i="2" s="1"/>
  <c r="AG59" i="2" s="1"/>
  <c r="AA60" i="2" a="1"/>
  <c r="AA60" i="2" s="1"/>
  <c r="Z59" i="2" s="1"/>
  <c r="T60" i="2" a="1"/>
  <c r="T60" i="2" s="1"/>
  <c r="S59" i="2" s="1"/>
  <c r="M60" i="2" a="1"/>
  <c r="M60" i="2" s="1"/>
  <c r="L59" i="2" s="1"/>
  <c r="F60" i="2" a="1"/>
  <c r="F60" i="2" s="1"/>
  <c r="E59" i="2" s="1"/>
  <c r="AH45" i="2" a="1"/>
  <c r="AH45" i="2" s="1"/>
  <c r="AG44" i="2" s="1"/>
  <c r="AA45" i="2" a="1"/>
  <c r="AA45" i="2" s="1"/>
  <c r="Z44" i="2" s="1"/>
  <c r="T45" i="2" a="1"/>
  <c r="T45" i="2" s="1"/>
  <c r="S44" i="2" s="1"/>
  <c r="M45" i="2" a="1"/>
  <c r="M45" i="2" s="1"/>
  <c r="L44" i="2" s="1"/>
  <c r="F45" i="2" a="1"/>
  <c r="F45" i="2" s="1"/>
  <c r="E44" i="2" s="1"/>
  <c r="BC31" i="2" a="1"/>
  <c r="BC31" i="2" s="1"/>
  <c r="BB30" i="2" s="1"/>
  <c r="AV31" i="2" a="1"/>
  <c r="AV31" i="2" s="1"/>
  <c r="AU30" i="2" s="1"/>
  <c r="AO31" i="2" a="1"/>
  <c r="AO31" i="2" s="1"/>
  <c r="AN30" i="2" s="1"/>
  <c r="AH31" i="2" a="1"/>
  <c r="AH31" i="2" s="1"/>
  <c r="AG30" i="2" s="1"/>
  <c r="AA31" i="2" a="1"/>
  <c r="AA31" i="2" s="1"/>
  <c r="Z30" i="2" s="1"/>
  <c r="T31" i="2" a="1"/>
  <c r="T31" i="2" s="1"/>
  <c r="S30" i="2" s="1"/>
  <c r="M31" i="2" a="1"/>
  <c r="M31" i="2" s="1"/>
  <c r="L30" i="2" s="1"/>
  <c r="F31" i="2" a="1"/>
  <c r="F31" i="2" s="1"/>
  <c r="E30" i="2" s="1"/>
  <c r="F4" i="2" a="1"/>
  <c r="F4" i="2" s="1"/>
  <c r="E3" i="2" s="1"/>
  <c r="F91" i="2" a="1"/>
  <c r="F91" i="2" s="1"/>
  <c r="E90" i="2" s="1"/>
  <c r="AS111" i="2" a="1"/>
  <c r="AS111" i="2" s="1"/>
  <c r="AR111" i="2" a="1"/>
  <c r="AR111" i="2" s="1"/>
  <c r="AU105" i="2" a="1"/>
  <c r="AU105" i="2" s="1"/>
  <c r="AR105" i="2" a="1"/>
  <c r="AR105" i="2" s="1"/>
  <c r="A283" i="8"/>
  <c r="B283" i="8"/>
  <c r="P86" i="3"/>
  <c r="P150" i="3"/>
  <c r="P30" i="3"/>
  <c r="P8" i="3"/>
  <c r="P4" i="3"/>
  <c r="P5" i="3"/>
  <c r="P95" i="3"/>
  <c r="P27" i="3"/>
  <c r="P115" i="3"/>
  <c r="P116" i="3"/>
  <c r="P132" i="3"/>
  <c r="P11" i="3"/>
  <c r="P128" i="3"/>
  <c r="P45" i="3"/>
  <c r="P125" i="3"/>
  <c r="P78" i="3"/>
  <c r="P10" i="3"/>
  <c r="P53" i="3"/>
  <c r="P114" i="3"/>
  <c r="P35" i="3"/>
  <c r="P13" i="3"/>
  <c r="P87" i="3"/>
  <c r="P58" i="3"/>
  <c r="P9" i="3"/>
  <c r="P61" i="3"/>
  <c r="P140" i="3"/>
  <c r="P107" i="3"/>
  <c r="P117" i="3"/>
  <c r="P82" i="3"/>
  <c r="P138" i="3"/>
  <c r="P18" i="3"/>
  <c r="P135" i="3"/>
  <c r="P23" i="3"/>
  <c r="P112" i="3"/>
  <c r="P130" i="3"/>
  <c r="P24" i="3"/>
  <c r="P51" i="3"/>
  <c r="P62" i="3"/>
  <c r="P73" i="3"/>
  <c r="P55" i="3"/>
  <c r="P151" i="3"/>
  <c r="P52" i="3"/>
  <c r="P121" i="3"/>
  <c r="P124" i="3"/>
  <c r="P63" i="3"/>
  <c r="P146" i="3"/>
  <c r="P93" i="3"/>
  <c r="P37" i="3"/>
  <c r="P136" i="3"/>
  <c r="P147" i="3"/>
  <c r="P43" i="3"/>
  <c r="P90" i="3"/>
  <c r="P48" i="3"/>
  <c r="P103" i="3"/>
  <c r="P109" i="3"/>
  <c r="P99" i="3"/>
  <c r="P17" i="3"/>
  <c r="P85" i="3"/>
  <c r="P137" i="3"/>
  <c r="P22" i="3"/>
  <c r="P67" i="3"/>
  <c r="P127" i="3"/>
  <c r="P141" i="3"/>
  <c r="P68" i="3"/>
  <c r="P104" i="3"/>
  <c r="P50" i="3"/>
  <c r="P25" i="3"/>
  <c r="P47" i="3"/>
  <c r="P84" i="3"/>
  <c r="P26" i="3"/>
  <c r="P54" i="3"/>
  <c r="P100" i="3"/>
  <c r="P60" i="3"/>
  <c r="P133" i="3"/>
  <c r="P96" i="3"/>
  <c r="P74" i="3"/>
  <c r="P134" i="3"/>
  <c r="P76" i="3"/>
  <c r="P152" i="3"/>
  <c r="P131" i="3"/>
  <c r="P119" i="3"/>
  <c r="P57" i="3"/>
  <c r="P34" i="3"/>
  <c r="P36" i="3"/>
  <c r="P65" i="3"/>
  <c r="P98" i="3"/>
  <c r="P148" i="3"/>
  <c r="P31" i="3"/>
  <c r="P38" i="3"/>
  <c r="P89" i="3"/>
  <c r="P79" i="3"/>
  <c r="P2" i="3"/>
  <c r="P72" i="3"/>
  <c r="P7" i="3"/>
  <c r="P143" i="3"/>
  <c r="P123" i="3"/>
  <c r="P56" i="3"/>
  <c r="P97" i="3"/>
  <c r="P94" i="3"/>
  <c r="P75" i="3"/>
  <c r="P64" i="3"/>
  <c r="P69" i="3"/>
  <c r="N86" i="3"/>
  <c r="N150" i="3"/>
  <c r="N30" i="3"/>
  <c r="N8" i="3"/>
  <c r="N4" i="3"/>
  <c r="N5" i="3"/>
  <c r="N95" i="3"/>
  <c r="N27" i="3"/>
  <c r="N115" i="3"/>
  <c r="N116" i="3"/>
  <c r="N132" i="3"/>
  <c r="N11" i="3"/>
  <c r="N128" i="3"/>
  <c r="N45" i="3"/>
  <c r="N125" i="3"/>
  <c r="N78" i="3"/>
  <c r="N10" i="3"/>
  <c r="N53" i="3"/>
  <c r="N114" i="3"/>
  <c r="N35" i="3"/>
  <c r="N13" i="3"/>
  <c r="N87" i="3"/>
  <c r="N58" i="3"/>
  <c r="N9" i="3"/>
  <c r="N88" i="3"/>
  <c r="N61" i="3"/>
  <c r="N140" i="3"/>
  <c r="N107" i="3"/>
  <c r="N117" i="3"/>
  <c r="N82" i="3"/>
  <c r="N138" i="3"/>
  <c r="N18" i="3"/>
  <c r="N135" i="3"/>
  <c r="N23" i="3"/>
  <c r="N112" i="3"/>
  <c r="N130" i="3"/>
  <c r="AP31" i="2" s="1" a="1"/>
  <c r="AP31" i="2" s="1"/>
  <c r="N24" i="3"/>
  <c r="N51" i="3"/>
  <c r="N62" i="3"/>
  <c r="N73" i="3"/>
  <c r="N55" i="3"/>
  <c r="N151" i="3"/>
  <c r="N52" i="3"/>
  <c r="N121" i="3"/>
  <c r="N124" i="3"/>
  <c r="N63" i="3"/>
  <c r="N146" i="3"/>
  <c r="N93" i="3"/>
  <c r="N37" i="3"/>
  <c r="N136" i="3"/>
  <c r="N147" i="3"/>
  <c r="N43" i="3"/>
  <c r="N90" i="3"/>
  <c r="N48" i="3"/>
  <c r="N103" i="3"/>
  <c r="N109" i="3"/>
  <c r="N99" i="3"/>
  <c r="N17" i="3"/>
  <c r="N85" i="3"/>
  <c r="N137" i="3"/>
  <c r="N22" i="3"/>
  <c r="N67" i="3"/>
  <c r="N127" i="3"/>
  <c r="N141" i="3"/>
  <c r="N68" i="3"/>
  <c r="N104" i="3"/>
  <c r="N50" i="3"/>
  <c r="N25" i="3"/>
  <c r="N47" i="3"/>
  <c r="N84" i="3"/>
  <c r="N26" i="3"/>
  <c r="N54" i="3"/>
  <c r="N100" i="3"/>
  <c r="N60" i="3"/>
  <c r="N133" i="3"/>
  <c r="N96" i="3"/>
  <c r="N74" i="3"/>
  <c r="N134" i="3"/>
  <c r="N76" i="3"/>
  <c r="N152" i="3"/>
  <c r="N131" i="3"/>
  <c r="N119" i="3"/>
  <c r="N57" i="3"/>
  <c r="N34" i="3"/>
  <c r="N36" i="3"/>
  <c r="N65" i="3"/>
  <c r="N98" i="3"/>
  <c r="N148" i="3"/>
  <c r="N31" i="3"/>
  <c r="N38" i="3"/>
  <c r="N89" i="3"/>
  <c r="N79" i="3"/>
  <c r="N2" i="3"/>
  <c r="N72" i="3"/>
  <c r="N7" i="3"/>
  <c r="N143" i="3"/>
  <c r="N123" i="3"/>
  <c r="N56" i="3"/>
  <c r="N97" i="3"/>
  <c r="N94" i="3"/>
  <c r="N75" i="3"/>
  <c r="N64" i="3"/>
  <c r="N69" i="3"/>
  <c r="G117" i="2" s="1" a="1"/>
  <c r="G117" i="2" s="1"/>
  <c r="F130" i="3"/>
  <c r="F23" i="3"/>
  <c r="F15" i="3"/>
  <c r="F35" i="3"/>
  <c r="F94" i="3"/>
  <c r="F64" i="3"/>
  <c r="F119" i="3"/>
  <c r="F153" i="3"/>
  <c r="F120" i="3"/>
  <c r="F46" i="3"/>
  <c r="F96" i="3"/>
  <c r="F31" i="3"/>
  <c r="F114" i="3"/>
  <c r="F135" i="3"/>
  <c r="F44" i="3"/>
  <c r="F70" i="3"/>
  <c r="F134" i="3"/>
  <c r="F113" i="3"/>
  <c r="F87" i="3"/>
  <c r="F30" i="3"/>
  <c r="F82" i="3"/>
  <c r="F121" i="3"/>
  <c r="F152" i="3"/>
  <c r="F89" i="3"/>
  <c r="F142" i="3"/>
  <c r="F117" i="3"/>
  <c r="F12" i="3"/>
  <c r="F7" i="3"/>
  <c r="F48" i="3"/>
  <c r="F103" i="3"/>
  <c r="F108" i="3"/>
  <c r="F19" i="3"/>
  <c r="F73" i="3"/>
  <c r="F111" i="3"/>
  <c r="F85" i="3"/>
  <c r="F21" i="3"/>
  <c r="F138" i="3"/>
  <c r="F109" i="3"/>
  <c r="F5" i="3"/>
  <c r="F36" i="3"/>
  <c r="F146" i="3"/>
  <c r="F97" i="3"/>
  <c r="F16" i="3"/>
  <c r="F6" i="3"/>
  <c r="F93" i="3"/>
  <c r="F77" i="3"/>
  <c r="F112" i="3"/>
  <c r="F68" i="3"/>
  <c r="F115" i="3"/>
  <c r="F149" i="3"/>
  <c r="F150" i="3"/>
  <c r="F17" i="3"/>
  <c r="F34" i="3"/>
  <c r="F22" i="3"/>
  <c r="F39" i="3"/>
  <c r="F59" i="3"/>
  <c r="F99" i="3"/>
  <c r="F37" i="3"/>
  <c r="F137" i="3"/>
  <c r="F105" i="3"/>
  <c r="F63" i="3"/>
  <c r="F29" i="3"/>
  <c r="F127" i="3"/>
  <c r="F157" i="3"/>
  <c r="F24" i="3"/>
  <c r="F61" i="3"/>
  <c r="F28" i="3"/>
  <c r="F43" i="3"/>
  <c r="F51" i="3"/>
  <c r="F57" i="3"/>
  <c r="F55" i="3"/>
  <c r="F125" i="3"/>
  <c r="F78" i="3"/>
  <c r="F124" i="3"/>
  <c r="F42" i="3"/>
  <c r="F25" i="3"/>
  <c r="F107" i="3"/>
  <c r="F106" i="3"/>
  <c r="F145" i="3"/>
  <c r="F52" i="3"/>
  <c r="F139" i="3"/>
  <c r="F132" i="3"/>
  <c r="F129" i="3"/>
  <c r="F47" i="3"/>
  <c r="F88" i="3"/>
  <c r="F58" i="3"/>
  <c r="F72" i="3"/>
  <c r="F100" i="3"/>
  <c r="F54" i="3"/>
  <c r="F49" i="3"/>
  <c r="F13" i="3"/>
  <c r="F66" i="3"/>
  <c r="F45" i="3"/>
  <c r="F26" i="3"/>
  <c r="F50" i="3"/>
  <c r="F91" i="3"/>
  <c r="F53" i="3"/>
  <c r="F92" i="3"/>
  <c r="F126" i="3"/>
  <c r="F156" i="3"/>
  <c r="F41" i="3"/>
  <c r="F69" i="3"/>
  <c r="F74" i="3"/>
  <c r="F98" i="3"/>
  <c r="F131" i="3"/>
  <c r="F104" i="3"/>
  <c r="F148" i="3"/>
  <c r="F136" i="3"/>
  <c r="F56" i="3"/>
  <c r="F80" i="3"/>
  <c r="F141" i="3"/>
  <c r="Y75" i="2" a="1"/>
  <c r="Y75" i="2" s="1"/>
  <c r="R91" i="2" a="1"/>
  <c r="R91" i="2" s="1"/>
  <c r="Y91" i="2" a="1"/>
  <c r="Y91" i="2" s="1"/>
  <c r="D91" i="2" a="1"/>
  <c r="D91" i="2" s="1"/>
  <c r="AM105" i="2" a="1"/>
  <c r="AM105" i="2" s="1"/>
  <c r="AF105" i="2" a="1"/>
  <c r="AF105" i="2" s="1"/>
  <c r="B20" i="2" a="1"/>
  <c r="B20" i="2" s="1"/>
  <c r="AL111" i="2" a="1"/>
  <c r="AL111" i="2" s="1"/>
  <c r="AK111" i="2" a="1"/>
  <c r="AK111" i="2" s="1"/>
  <c r="AN105" i="2" a="1"/>
  <c r="AN105" i="2" s="1"/>
  <c r="AK105" i="2" a="1"/>
  <c r="AK105" i="2" s="1"/>
  <c r="E4" i="2" a="1"/>
  <c r="E4" i="2" s="1"/>
  <c r="B4" i="2" a="1"/>
  <c r="B4" i="2" s="1"/>
  <c r="C20" i="2" a="1"/>
  <c r="C20" i="2" s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" i="8"/>
  <c r="A2" i="8"/>
  <c r="AZ39" i="2" a="1"/>
  <c r="AZ39" i="2" s="1"/>
  <c r="AY39" i="2" a="1"/>
  <c r="AY39" i="2" s="1"/>
  <c r="BB31" i="2" a="1"/>
  <c r="BB31" i="2" s="1"/>
  <c r="AY31" i="2" a="1"/>
  <c r="AY31" i="2" s="1"/>
  <c r="J2" i="6" a="1"/>
  <c r="J2" i="6" s="1"/>
  <c r="K2" i="6" a="1"/>
  <c r="K2" i="6" s="1"/>
  <c r="L2" i="6" a="1"/>
  <c r="L2" i="6" s="1"/>
  <c r="M2" i="6" a="1"/>
  <c r="M2" i="6" s="1"/>
  <c r="N2" i="6" a="1"/>
  <c r="N2" i="6" s="1"/>
  <c r="O2" i="6" a="1"/>
  <c r="O2" i="6" s="1"/>
  <c r="I2" i="6" a="1"/>
  <c r="I2" i="6" s="1"/>
  <c r="B2" i="6" a="1"/>
  <c r="B2" i="6" s="1"/>
  <c r="C2" i="6" a="1"/>
  <c r="C2" i="6" s="1"/>
  <c r="E2" i="6" a="1"/>
  <c r="E2" i="6" s="1"/>
  <c r="G2" i="6" a="1"/>
  <c r="G2" i="6" s="1"/>
  <c r="A2" i="6" a="1"/>
  <c r="A2" i="6" s="1"/>
  <c r="J2" i="5" a="1"/>
  <c r="J2" i="5" s="1"/>
  <c r="K2" i="5" a="1"/>
  <c r="K2" i="5" s="1"/>
  <c r="M2" i="5" a="1"/>
  <c r="M2" i="5" s="1"/>
  <c r="O2" i="5" a="1"/>
  <c r="O2" i="5" s="1"/>
  <c r="I2" i="5" a="1"/>
  <c r="I2" i="5" s="1"/>
  <c r="B2" i="5" a="1"/>
  <c r="B2" i="5" s="1"/>
  <c r="C2" i="5" a="1"/>
  <c r="C2" i="5" s="1"/>
  <c r="E2" i="5" a="1"/>
  <c r="E2" i="5" s="1"/>
  <c r="G2" i="5" a="1"/>
  <c r="G2" i="5" s="1"/>
  <c r="A2" i="5" a="1"/>
  <c r="A2" i="5" s="1"/>
  <c r="C138" i="2" a="1"/>
  <c r="C138" i="2" s="1"/>
  <c r="B138" i="2" a="1"/>
  <c r="B138" i="2" s="1"/>
  <c r="AE123" i="2" a="1"/>
  <c r="AE123" i="2" s="1"/>
  <c r="AD123" i="2" a="1"/>
  <c r="AD123" i="2" s="1"/>
  <c r="X123" i="2" a="1"/>
  <c r="X123" i="2" s="1"/>
  <c r="W123" i="2" a="1"/>
  <c r="W123" i="2" s="1"/>
  <c r="Q123" i="2" a="1"/>
  <c r="Q123" i="2" s="1"/>
  <c r="P123" i="2" a="1"/>
  <c r="P123" i="2" s="1"/>
  <c r="I123" i="2" a="1"/>
  <c r="I123" i="2" s="1"/>
  <c r="C111" i="2" a="1"/>
  <c r="C111" i="2" s="1"/>
  <c r="B111" i="2" a="1"/>
  <c r="B111" i="2" s="1"/>
  <c r="J111" i="2" a="1"/>
  <c r="J111" i="2" s="1"/>
  <c r="I111" i="2" a="1"/>
  <c r="I111" i="2" s="1"/>
  <c r="Q111" i="2" a="1"/>
  <c r="Q111" i="2" s="1"/>
  <c r="P111" i="2" a="1"/>
  <c r="P111" i="2" s="1"/>
  <c r="W111" i="2" a="1"/>
  <c r="W111" i="2" s="1"/>
  <c r="AE111" i="2" a="1"/>
  <c r="AE111" i="2" s="1"/>
  <c r="AD111" i="2" a="1"/>
  <c r="AD111" i="2" s="1"/>
  <c r="AE99" i="2" a="1"/>
  <c r="AE99" i="2" s="1"/>
  <c r="AD99" i="2" a="1"/>
  <c r="AD99" i="2" s="1"/>
  <c r="X99" i="2" a="1"/>
  <c r="X99" i="2" s="1"/>
  <c r="W99" i="2" a="1"/>
  <c r="W99" i="2" s="1"/>
  <c r="Q99" i="2" a="1"/>
  <c r="Q99" i="2" s="1"/>
  <c r="P99" i="2" a="1"/>
  <c r="P99" i="2" s="1"/>
  <c r="J99" i="2" a="1"/>
  <c r="J99" i="2" s="1"/>
  <c r="I99" i="2" a="1"/>
  <c r="I99" i="2" s="1"/>
  <c r="C99" i="2" a="1"/>
  <c r="C99" i="2" s="1"/>
  <c r="B99" i="2" a="1"/>
  <c r="B99" i="2" s="1"/>
  <c r="C85" i="2" a="1"/>
  <c r="C85" i="2" s="1"/>
  <c r="B85" i="2" a="1"/>
  <c r="B85" i="2" s="1"/>
  <c r="J85" i="2" a="1"/>
  <c r="J85" i="2" s="1"/>
  <c r="I85" i="2" a="1"/>
  <c r="I85" i="2" s="1"/>
  <c r="Q85" i="2" a="1"/>
  <c r="Q85" i="2" s="1"/>
  <c r="P85" i="2" a="1"/>
  <c r="P85" i="2" s="1"/>
  <c r="X85" i="2" a="1"/>
  <c r="X85" i="2" s="1"/>
  <c r="W85" i="2" a="1"/>
  <c r="W85" i="2" s="1"/>
  <c r="AE85" i="2" a="1"/>
  <c r="AE85" i="2" s="1"/>
  <c r="AD85" i="2" a="1"/>
  <c r="AD85" i="2" s="1"/>
  <c r="AE69" i="2" a="1"/>
  <c r="AE69" i="2" s="1"/>
  <c r="AD69" i="2" a="1"/>
  <c r="AD69" i="2" s="1"/>
  <c r="X69" i="2" a="1"/>
  <c r="X69" i="2" s="1"/>
  <c r="W69" i="2" a="1"/>
  <c r="W69" i="2" s="1"/>
  <c r="Q69" i="2" a="1"/>
  <c r="Q69" i="2" s="1"/>
  <c r="P69" i="2" a="1"/>
  <c r="P69" i="2" s="1"/>
  <c r="J69" i="2" a="1"/>
  <c r="J69" i="2" s="1"/>
  <c r="I69" i="2" a="1"/>
  <c r="I69" i="2" s="1"/>
  <c r="C69" i="2" a="1"/>
  <c r="C69" i="2" s="1"/>
  <c r="B69" i="2" a="1"/>
  <c r="B69" i="2" s="1"/>
  <c r="AE54" i="2" a="1"/>
  <c r="AE54" i="2" s="1"/>
  <c r="AD54" i="2" a="1"/>
  <c r="AD54" i="2" s="1"/>
  <c r="X54" i="2" a="1"/>
  <c r="X54" i="2" s="1"/>
  <c r="W54" i="2" a="1"/>
  <c r="W54" i="2" s="1"/>
  <c r="Q54" i="2" a="1"/>
  <c r="Q54" i="2" s="1"/>
  <c r="P54" i="2" a="1"/>
  <c r="P54" i="2" s="1"/>
  <c r="J54" i="2" a="1"/>
  <c r="J54" i="2" s="1"/>
  <c r="I54" i="2" a="1"/>
  <c r="I54" i="2" s="1"/>
  <c r="C54" i="2" a="1"/>
  <c r="C54" i="2" s="1"/>
  <c r="B54" i="2" a="1"/>
  <c r="B54" i="2" s="1"/>
  <c r="AS39" i="2" a="1"/>
  <c r="AS39" i="2" s="1"/>
  <c r="AR39" i="2" a="1"/>
  <c r="AR39" i="2" s="1"/>
  <c r="AL39" i="2" a="1"/>
  <c r="AL39" i="2" s="1"/>
  <c r="AK39" i="2" a="1"/>
  <c r="AK39" i="2" s="1"/>
  <c r="AE39" i="2" a="1"/>
  <c r="AE39" i="2" s="1"/>
  <c r="AD39" i="2" a="1"/>
  <c r="AD39" i="2" s="1"/>
  <c r="X39" i="2" a="1"/>
  <c r="X39" i="2" s="1"/>
  <c r="W39" i="2" a="1"/>
  <c r="W39" i="2" s="1"/>
  <c r="Q39" i="2" a="1"/>
  <c r="Q39" i="2" s="1"/>
  <c r="P39" i="2" a="1"/>
  <c r="P39" i="2" s="1"/>
  <c r="J39" i="2" a="1"/>
  <c r="J39" i="2" s="1"/>
  <c r="I39" i="2" a="1"/>
  <c r="I39" i="2" s="1"/>
  <c r="C39" i="2" a="1"/>
  <c r="C39" i="2" s="1"/>
  <c r="B39" i="2" a="1"/>
  <c r="B39" i="2" s="1"/>
  <c r="AI117" i="2" a="1"/>
  <c r="AI117" i="2" s="1"/>
  <c r="AG117" i="2" a="1"/>
  <c r="AG117" i="2" s="1"/>
  <c r="AF117" i="2" a="1"/>
  <c r="AF117" i="2" s="1"/>
  <c r="AD117" i="2" a="1"/>
  <c r="AD117" i="2" s="1"/>
  <c r="AB117" i="2" a="1"/>
  <c r="AB117" i="2" s="1"/>
  <c r="Z117" i="2" a="1"/>
  <c r="Z117" i="2" s="1"/>
  <c r="Y117" i="2" a="1"/>
  <c r="Y117" i="2" s="1"/>
  <c r="W117" i="2" a="1"/>
  <c r="W117" i="2" s="1"/>
  <c r="U117" i="2" a="1"/>
  <c r="U117" i="2" s="1"/>
  <c r="S117" i="2" a="1"/>
  <c r="S117" i="2" s="1"/>
  <c r="R117" i="2" a="1"/>
  <c r="R117" i="2" s="1"/>
  <c r="P117" i="2" a="1"/>
  <c r="P117" i="2" s="1"/>
  <c r="N117" i="2" a="1"/>
  <c r="N117" i="2" s="1"/>
  <c r="L117" i="2" a="1"/>
  <c r="L117" i="2" s="1"/>
  <c r="I117" i="2" a="1"/>
  <c r="I117" i="2" s="1"/>
  <c r="AG105" i="2" a="1"/>
  <c r="AG105" i="2" s="1"/>
  <c r="AD105" i="2" a="1"/>
  <c r="AD105" i="2" s="1"/>
  <c r="Z105" i="2" a="1"/>
  <c r="Z105" i="2" s="1"/>
  <c r="W105" i="2" a="1"/>
  <c r="W105" i="2" s="1"/>
  <c r="S105" i="2" a="1"/>
  <c r="S105" i="2" s="1"/>
  <c r="R105" i="2" a="1"/>
  <c r="R105" i="2" s="1"/>
  <c r="P105" i="2" a="1"/>
  <c r="P105" i="2" s="1"/>
  <c r="L105" i="2" a="1"/>
  <c r="L105" i="2" s="1"/>
  <c r="I105" i="2" a="1"/>
  <c r="I105" i="2" s="1"/>
  <c r="AI91" i="2" a="1"/>
  <c r="AI91" i="2" s="1"/>
  <c r="AG91" i="2" a="1"/>
  <c r="AG91" i="2" s="1"/>
  <c r="AF91" i="2" a="1"/>
  <c r="AF91" i="2" s="1"/>
  <c r="AD91" i="2" a="1"/>
  <c r="AD91" i="2" s="1"/>
  <c r="Z91" i="2" a="1"/>
  <c r="Z91" i="2" s="1"/>
  <c r="W91" i="2" a="1"/>
  <c r="W91" i="2" s="1"/>
  <c r="S91" i="2" a="1"/>
  <c r="S91" i="2" s="1"/>
  <c r="P91" i="2" a="1"/>
  <c r="P91" i="2" s="1"/>
  <c r="L91" i="2" a="1"/>
  <c r="L91" i="2" s="1"/>
  <c r="I91" i="2" a="1"/>
  <c r="I91" i="2" s="1"/>
  <c r="AI75" i="2" a="1"/>
  <c r="AI75" i="2" s="1"/>
  <c r="AG75" i="2" a="1"/>
  <c r="AG75" i="2" s="1"/>
  <c r="AF75" i="2" a="1"/>
  <c r="AF75" i="2" s="1"/>
  <c r="AD75" i="2" a="1"/>
  <c r="AD75" i="2" s="1"/>
  <c r="Z75" i="2" a="1"/>
  <c r="Z75" i="2" s="1"/>
  <c r="W75" i="2" a="1"/>
  <c r="W75" i="2" s="1"/>
  <c r="S75" i="2" a="1"/>
  <c r="S75" i="2" s="1"/>
  <c r="P75" i="2" a="1"/>
  <c r="P75" i="2" s="1"/>
  <c r="L75" i="2" a="1"/>
  <c r="L75" i="2" s="1"/>
  <c r="I75" i="2" a="1"/>
  <c r="I75" i="2" s="1"/>
  <c r="E117" i="2" a="1"/>
  <c r="E117" i="2" s="1"/>
  <c r="D117" i="2" a="1"/>
  <c r="D117" i="2" s="1"/>
  <c r="B117" i="2" a="1"/>
  <c r="B117" i="2" s="1"/>
  <c r="G130" i="2" a="1"/>
  <c r="G130" i="2" s="1"/>
  <c r="E130" i="2" a="1"/>
  <c r="E130" i="2" s="1"/>
  <c r="B130" i="2" a="1"/>
  <c r="B130" i="2" s="1"/>
  <c r="G105" i="2" a="1"/>
  <c r="G105" i="2" s="1"/>
  <c r="E105" i="2" a="1"/>
  <c r="E105" i="2" s="1"/>
  <c r="B105" i="2" a="1"/>
  <c r="B105" i="2" s="1"/>
  <c r="E91" i="2" a="1"/>
  <c r="E91" i="2" s="1"/>
  <c r="B91" i="2" a="1"/>
  <c r="B91" i="2" s="1"/>
  <c r="E75" i="2" a="1"/>
  <c r="E75" i="2" s="1"/>
  <c r="B75" i="2" a="1"/>
  <c r="B75" i="2" s="1"/>
  <c r="AI60" i="2" a="1"/>
  <c r="AI60" i="2" s="1"/>
  <c r="AG60" i="2" a="1"/>
  <c r="AG60" i="2" s="1"/>
  <c r="AF60" i="2" a="1"/>
  <c r="AF60" i="2" s="1"/>
  <c r="AD60" i="2" a="1"/>
  <c r="AD60" i="2" s="1"/>
  <c r="Z60" i="2" a="1"/>
  <c r="Z60" i="2" s="1"/>
  <c r="Y60" i="2" a="1"/>
  <c r="Y60" i="2" s="1"/>
  <c r="W60" i="2" a="1"/>
  <c r="W60" i="2" s="1"/>
  <c r="S60" i="2" a="1"/>
  <c r="S60" i="2" s="1"/>
  <c r="P60" i="2" a="1"/>
  <c r="P60" i="2" s="1"/>
  <c r="L60" i="2" a="1"/>
  <c r="L60" i="2" s="1"/>
  <c r="E60" i="2" a="1"/>
  <c r="E60" i="2" s="1"/>
  <c r="D60" i="2" a="1"/>
  <c r="D60" i="2" s="1"/>
  <c r="B60" i="2" a="1"/>
  <c r="B60" i="2" s="1"/>
  <c r="AI45" i="2" a="1"/>
  <c r="AI45" i="2" s="1"/>
  <c r="AG45" i="2" a="1"/>
  <c r="AG45" i="2" s="1"/>
  <c r="AF45" i="2" a="1"/>
  <c r="AF45" i="2" s="1"/>
  <c r="AD45" i="2" a="1"/>
  <c r="AD45" i="2" s="1"/>
  <c r="AB45" i="2" a="1"/>
  <c r="AB45" i="2" s="1"/>
  <c r="Z45" i="2" a="1"/>
  <c r="Z45" i="2" s="1"/>
  <c r="Y45" i="2" a="1"/>
  <c r="Y45" i="2" s="1"/>
  <c r="W45" i="2" a="1"/>
  <c r="W45" i="2" s="1"/>
  <c r="S45" i="2" a="1"/>
  <c r="S45" i="2" s="1"/>
  <c r="R45" i="2" a="1"/>
  <c r="R45" i="2" s="1"/>
  <c r="P45" i="2" a="1"/>
  <c r="P45" i="2" s="1"/>
  <c r="L45" i="2" a="1"/>
  <c r="L45" i="2" s="1"/>
  <c r="K45" i="2" a="1"/>
  <c r="K45" i="2" s="1"/>
  <c r="I45" i="2" a="1"/>
  <c r="I45" i="2" s="1"/>
  <c r="E45" i="2" a="1"/>
  <c r="E45" i="2" s="1"/>
  <c r="D45" i="2" a="1"/>
  <c r="D45" i="2" s="1"/>
  <c r="B45" i="2" a="1"/>
  <c r="B45" i="2" s="1"/>
  <c r="AU31" i="2" a="1"/>
  <c r="AU31" i="2" s="1"/>
  <c r="AT31" i="2" a="1"/>
  <c r="AT31" i="2" s="1"/>
  <c r="AR31" i="2" a="1"/>
  <c r="AR31" i="2" s="1"/>
  <c r="AN31" i="2" a="1"/>
  <c r="AN31" i="2" s="1"/>
  <c r="AM31" i="2" a="1"/>
  <c r="AM31" i="2" s="1"/>
  <c r="AK31" i="2" a="1"/>
  <c r="AK31" i="2" s="1"/>
  <c r="AG31" i="2" a="1"/>
  <c r="AG31" i="2" s="1"/>
  <c r="AF31" i="2" a="1"/>
  <c r="AF31" i="2" s="1"/>
  <c r="AD31" i="2" a="1"/>
  <c r="AD31" i="2" s="1"/>
  <c r="Z31" i="2" a="1"/>
  <c r="Z31" i="2" s="1"/>
  <c r="Y31" i="2" a="1"/>
  <c r="Y31" i="2" s="1"/>
  <c r="W31" i="2" a="1"/>
  <c r="W31" i="2" s="1"/>
  <c r="P31" i="2" a="1"/>
  <c r="P31" i="2" s="1"/>
  <c r="N31" i="2" a="1"/>
  <c r="N31" i="2" s="1"/>
  <c r="L31" i="2" a="1"/>
  <c r="L31" i="2" s="1"/>
  <c r="K31" i="2" a="1"/>
  <c r="K31" i="2" s="1"/>
  <c r="I31" i="2" a="1"/>
  <c r="I31" i="2" s="1"/>
  <c r="G31" i="2" a="1"/>
  <c r="G31" i="2" s="1"/>
  <c r="E31" i="2" a="1"/>
  <c r="E31" i="2" s="1"/>
  <c r="D31" i="2" a="1"/>
  <c r="D31" i="2" s="1"/>
  <c r="B31" i="2" a="1"/>
  <c r="B31" i="2" s="1"/>
  <c r="BA31" i="2" a="1"/>
  <c r="BA31" i="2" s="1"/>
  <c r="AP105" i="2" a="1"/>
  <c r="AP105" i="2" s="1"/>
  <c r="D4" i="2" a="1"/>
  <c r="D4" i="2" s="1"/>
  <c r="AW105" i="2" a="1"/>
  <c r="AW105" i="2" s="1"/>
  <c r="D2" i="6" a="1"/>
  <c r="D2" i="6" s="1"/>
  <c r="F2" i="6" l="1" a="1"/>
  <c r="F2" i="6" s="1"/>
  <c r="AB4" i="2" a="1"/>
  <c r="AB4" i="2" s="1"/>
  <c r="AB91" i="2" a="1"/>
  <c r="AB91" i="2" s="1"/>
  <c r="AB89" i="2" s="1"/>
  <c r="U4" i="2" a="1"/>
  <c r="U4" i="2" s="1"/>
  <c r="N4" i="2" a="1"/>
  <c r="N4" i="2" s="1"/>
  <c r="Y4" i="2" a="1"/>
  <c r="Y4" i="2" s="1"/>
  <c r="K4" i="2" a="1"/>
  <c r="K4" i="2" s="1"/>
  <c r="R4" i="2" a="1"/>
  <c r="R4" i="2" s="1"/>
  <c r="N105" i="2" a="1"/>
  <c r="N105" i="2" s="1"/>
  <c r="AB31" i="2" a="1"/>
  <c r="AB31" i="2" s="1"/>
  <c r="AB29" i="2" s="1"/>
  <c r="C7" i="8"/>
  <c r="AW31" i="2" a="1"/>
  <c r="AW31" i="2" s="1"/>
  <c r="AW29" i="2" s="1"/>
  <c r="C66" i="8"/>
  <c r="C55" i="8"/>
  <c r="U31" i="2" a="1"/>
  <c r="U31" i="2" s="1"/>
  <c r="C281" i="8"/>
  <c r="C278" i="8"/>
  <c r="C275" i="8"/>
  <c r="C266" i="8"/>
  <c r="C263" i="8"/>
  <c r="C254" i="8"/>
  <c r="C251" i="8"/>
  <c r="C245" i="8"/>
  <c r="C239" i="8"/>
  <c r="C233" i="8"/>
  <c r="C218" i="8"/>
  <c r="C215" i="8"/>
  <c r="C209" i="8"/>
  <c r="C203" i="8"/>
  <c r="C194" i="8"/>
  <c r="C191" i="8"/>
  <c r="C182" i="8"/>
  <c r="C179" i="8"/>
  <c r="C173" i="8"/>
  <c r="C167" i="8"/>
  <c r="C161" i="8"/>
  <c r="C158" i="8"/>
  <c r="C155" i="8"/>
  <c r="C149" i="8"/>
  <c r="C146" i="8"/>
  <c r="C143" i="8"/>
  <c r="C137" i="8"/>
  <c r="C134" i="8"/>
  <c r="C131" i="8"/>
  <c r="C119" i="8"/>
  <c r="C113" i="8"/>
  <c r="C107" i="8"/>
  <c r="C101" i="8"/>
  <c r="C95" i="8"/>
  <c r="C89" i="8"/>
  <c r="C83" i="8"/>
  <c r="C80" i="8"/>
  <c r="C71" i="8"/>
  <c r="C59" i="8"/>
  <c r="C47" i="8"/>
  <c r="C41" i="8"/>
  <c r="C35" i="8"/>
  <c r="C29" i="8"/>
  <c r="C23" i="8"/>
  <c r="C17" i="8"/>
  <c r="C11" i="8"/>
  <c r="C8" i="8"/>
  <c r="C5" i="8"/>
  <c r="C279" i="8"/>
  <c r="C273" i="8"/>
  <c r="C270" i="8"/>
  <c r="C267" i="8"/>
  <c r="C258" i="8"/>
  <c r="C255" i="8"/>
  <c r="C252" i="8"/>
  <c r="C249" i="8"/>
  <c r="C246" i="8"/>
  <c r="C243" i="8"/>
  <c r="C240" i="8"/>
  <c r="C237" i="8"/>
  <c r="C231" i="8"/>
  <c r="C225" i="8"/>
  <c r="C222" i="8"/>
  <c r="C219" i="8"/>
  <c r="C213" i="8"/>
  <c r="C207" i="8"/>
  <c r="C201" i="8"/>
  <c r="C198" i="8"/>
  <c r="C195" i="8"/>
  <c r="C183" i="8"/>
  <c r="C177" i="8"/>
  <c r="C174" i="8"/>
  <c r="C171" i="8"/>
  <c r="C168" i="8"/>
  <c r="C159" i="8"/>
  <c r="C153" i="8"/>
  <c r="C147" i="8"/>
  <c r="C138" i="8"/>
  <c r="C135" i="8"/>
  <c r="C117" i="8"/>
  <c r="C111" i="8"/>
  <c r="C105" i="8"/>
  <c r="C99" i="8"/>
  <c r="C75" i="8"/>
  <c r="C72" i="8"/>
  <c r="C63" i="8"/>
  <c r="C57" i="8"/>
  <c r="C51" i="8"/>
  <c r="C48" i="8"/>
  <c r="C39" i="8"/>
  <c r="C27" i="8"/>
  <c r="C24" i="8"/>
  <c r="C15" i="8"/>
  <c r="C9" i="8"/>
  <c r="C3" i="8"/>
  <c r="AI31" i="2" a="1"/>
  <c r="AI31" i="2" s="1"/>
  <c r="AI29" i="2" s="1"/>
  <c r="C82" i="8"/>
  <c r="C58" i="8"/>
  <c r="AB60" i="2" a="1"/>
  <c r="AB60" i="2" s="1"/>
  <c r="AB58" i="2" s="1"/>
  <c r="C277" i="8"/>
  <c r="C271" i="8"/>
  <c r="C265" i="8"/>
  <c r="C259" i="8"/>
  <c r="C250" i="8"/>
  <c r="C247" i="8"/>
  <c r="C241" i="8"/>
  <c r="C235" i="8"/>
  <c r="C223" i="8"/>
  <c r="C217" i="8"/>
  <c r="C214" i="8"/>
  <c r="C211" i="8"/>
  <c r="C199" i="8"/>
  <c r="C193" i="8"/>
  <c r="C190" i="8"/>
  <c r="C187" i="8"/>
  <c r="C181" i="8"/>
  <c r="C175" i="8"/>
  <c r="C172" i="8"/>
  <c r="C163" i="8"/>
  <c r="C151" i="8"/>
  <c r="C145" i="8"/>
  <c r="C139" i="8"/>
  <c r="C136" i="8"/>
  <c r="C130" i="8"/>
  <c r="C121" i="8"/>
  <c r="C115" i="8"/>
  <c r="C109" i="8"/>
  <c r="C103" i="8"/>
  <c r="C100" i="8"/>
  <c r="C97" i="8"/>
  <c r="C91" i="8"/>
  <c r="C85" i="8"/>
  <c r="C79" i="8"/>
  <c r="C73" i="8"/>
  <c r="C67" i="8"/>
  <c r="C61" i="8"/>
  <c r="C49" i="8"/>
  <c r="C43" i="8"/>
  <c r="C37" i="8"/>
  <c r="C31" i="8"/>
  <c r="C25" i="8"/>
  <c r="C19" i="8"/>
  <c r="C88" i="8"/>
  <c r="G4" i="2" a="1"/>
  <c r="G4" i="2" s="1"/>
  <c r="G2" i="2" s="1"/>
  <c r="G45" i="2" a="1"/>
  <c r="G45" i="2" s="1"/>
  <c r="G43" i="2" s="1"/>
  <c r="C14" i="8"/>
  <c r="U45" i="2" a="1"/>
  <c r="U45" i="2" s="1"/>
  <c r="U43" i="2" s="1"/>
  <c r="N45" i="2" a="1"/>
  <c r="N45" i="2" s="1"/>
  <c r="N43" i="2" s="1"/>
  <c r="N75" i="2" a="1"/>
  <c r="N75" i="2" s="1"/>
  <c r="U91" i="2" a="1"/>
  <c r="U91" i="2" s="1"/>
  <c r="U89" i="2" s="1"/>
  <c r="C185" i="8"/>
  <c r="C81" i="8"/>
  <c r="C65" i="8"/>
  <c r="C33" i="8"/>
  <c r="F4" i="18"/>
  <c r="F3" i="18"/>
  <c r="F10" i="18"/>
  <c r="F9" i="18"/>
  <c r="AB105" i="2" a="1"/>
  <c r="AB105" i="2" s="1"/>
  <c r="F8" i="18"/>
  <c r="F7" i="18"/>
  <c r="F6" i="18"/>
  <c r="U60" i="2" a="1"/>
  <c r="U60" i="2" s="1"/>
  <c r="F5" i="18"/>
  <c r="C3" i="18"/>
  <c r="C10" i="18"/>
  <c r="C9" i="18"/>
  <c r="C8" i="18"/>
  <c r="C7" i="18"/>
  <c r="C6" i="18"/>
  <c r="C5" i="18"/>
  <c r="C4" i="18"/>
  <c r="C227" i="8"/>
  <c r="C282" i="8"/>
  <c r="C274" i="8"/>
  <c r="C242" i="8"/>
  <c r="C234" i="8"/>
  <c r="C226" i="8"/>
  <c r="C210" i="8"/>
  <c r="C202" i="8"/>
  <c r="C186" i="8"/>
  <c r="C178" i="8"/>
  <c r="C170" i="8"/>
  <c r="C162" i="8"/>
  <c r="C154" i="8"/>
  <c r="C114" i="8"/>
  <c r="C106" i="8"/>
  <c r="C98" i="8"/>
  <c r="C90" i="8"/>
  <c r="C74" i="8"/>
  <c r="C34" i="8"/>
  <c r="C26" i="8"/>
  <c r="C18" i="8"/>
  <c r="C10" i="8"/>
  <c r="C169" i="8"/>
  <c r="C144" i="8"/>
  <c r="C112" i="8"/>
  <c r="C118" i="8"/>
  <c r="C110" i="8"/>
  <c r="C94" i="8"/>
  <c r="C86" i="8"/>
  <c r="C70" i="8"/>
  <c r="C38" i="8"/>
  <c r="C6" i="8"/>
  <c r="C140" i="8"/>
  <c r="C132" i="8"/>
  <c r="C127" i="8"/>
  <c r="C123" i="8"/>
  <c r="C126" i="8"/>
  <c r="C128" i="8"/>
  <c r="C28" i="8"/>
  <c r="C205" i="8"/>
  <c r="C283" i="8"/>
  <c r="C257" i="8"/>
  <c r="C197" i="8"/>
  <c r="C93" i="8"/>
  <c r="C204" i="8"/>
  <c r="C36" i="8"/>
  <c r="C276" i="8"/>
  <c r="C164" i="8"/>
  <c r="C129" i="8"/>
  <c r="C196" i="8"/>
  <c r="C13" i="8"/>
  <c r="C180" i="8"/>
  <c r="C268" i="8"/>
  <c r="C244" i="8"/>
  <c r="C220" i="8"/>
  <c r="C124" i="8"/>
  <c r="C92" i="8"/>
  <c r="C20" i="8"/>
  <c r="C116" i="8"/>
  <c r="C76" i="8"/>
  <c r="C280" i="8"/>
  <c r="C256" i="8"/>
  <c r="C232" i="8"/>
  <c r="C176" i="8"/>
  <c r="C269" i="8"/>
  <c r="C261" i="8"/>
  <c r="C253" i="8"/>
  <c r="C229" i="8"/>
  <c r="C221" i="8"/>
  <c r="C189" i="8"/>
  <c r="C165" i="8"/>
  <c r="C157" i="8"/>
  <c r="C141" i="8"/>
  <c r="C133" i="8"/>
  <c r="C125" i="8"/>
  <c r="C77" i="8"/>
  <c r="C69" i="8"/>
  <c r="C53" i="8"/>
  <c r="C21" i="8"/>
  <c r="C260" i="8"/>
  <c r="C236" i="8"/>
  <c r="C228" i="8"/>
  <c r="C212" i="8"/>
  <c r="C188" i="8"/>
  <c r="C156" i="8"/>
  <c r="C148" i="8"/>
  <c r="C84" i="8"/>
  <c r="C68" i="8"/>
  <c r="C60" i="8"/>
  <c r="C52" i="8"/>
  <c r="C44" i="8"/>
  <c r="C12" i="8"/>
  <c r="C4" i="8"/>
  <c r="C272" i="8"/>
  <c r="C264" i="8"/>
  <c r="C224" i="8"/>
  <c r="C216" i="8"/>
  <c r="C184" i="8"/>
  <c r="C2" i="8"/>
  <c r="C262" i="8"/>
  <c r="C238" i="8"/>
  <c r="C230" i="8"/>
  <c r="C206" i="8"/>
  <c r="C166" i="8"/>
  <c r="C150" i="8"/>
  <c r="C142" i="8"/>
  <c r="C102" i="8"/>
  <c r="C62" i="8"/>
  <c r="C54" i="8"/>
  <c r="C46" i="8"/>
  <c r="C22" i="8"/>
  <c r="U105" i="2" a="1"/>
  <c r="U105" i="2" s="1"/>
  <c r="U103" i="2" s="1"/>
  <c r="C248" i="8"/>
  <c r="C208" i="8"/>
  <c r="C200" i="8"/>
  <c r="C192" i="8"/>
  <c r="C160" i="8"/>
  <c r="C152" i="8"/>
  <c r="C104" i="8"/>
  <c r="C96" i="8"/>
  <c r="C64" i="8"/>
  <c r="C56" i="8"/>
  <c r="C40" i="8"/>
  <c r="C32" i="8"/>
  <c r="C16" i="8"/>
  <c r="AB115" i="2"/>
  <c r="AI105" i="2" a="1"/>
  <c r="AI105" i="2" s="1"/>
  <c r="AI103" i="2" s="1"/>
  <c r="N91" i="2" a="1"/>
  <c r="N91" i="2" s="1"/>
  <c r="C122" i="8"/>
  <c r="C50" i="8"/>
  <c r="C42" i="8"/>
  <c r="C120" i="8"/>
  <c r="C108" i="8"/>
  <c r="C87" i="8"/>
  <c r="C78" i="8"/>
  <c r="C45" i="8"/>
  <c r="C30" i="8"/>
  <c r="Y97" i="14" a="1"/>
  <c r="Y97" i="14" s="1"/>
  <c r="G91" i="2" a="1"/>
  <c r="G91" i="2" s="1"/>
  <c r="G89" i="2" s="1"/>
  <c r="AB75" i="2" a="1"/>
  <c r="AB75" i="2" s="1"/>
  <c r="AB73" i="2" s="1"/>
  <c r="N60" i="2" a="1"/>
  <c r="N60" i="2" s="1"/>
  <c r="Y105" i="2" a="1"/>
  <c r="Y105" i="2" s="1"/>
  <c r="D105" i="2" a="1"/>
  <c r="D105" i="2" s="1"/>
  <c r="G103" i="2" s="1"/>
  <c r="AT105" i="2" a="1"/>
  <c r="AT105" i="2" s="1"/>
  <c r="AW103" i="2" s="1"/>
  <c r="V97" i="14" a="1"/>
  <c r="V97" i="14" s="1"/>
  <c r="K105" i="2" a="1"/>
  <c r="K105" i="2" s="1"/>
  <c r="D75" i="2" a="1"/>
  <c r="D75" i="2" s="1"/>
  <c r="G115" i="2"/>
  <c r="K91" i="2" a="1"/>
  <c r="K91" i="2" s="1"/>
  <c r="D2" i="5" a="1"/>
  <c r="D2" i="5" s="1"/>
  <c r="R75" i="2" a="1"/>
  <c r="R75" i="2" s="1"/>
  <c r="N29" i="2"/>
  <c r="L2" i="5" a="1"/>
  <c r="L2" i="5" s="1"/>
  <c r="N2" i="5" a="1"/>
  <c r="N2" i="5" s="1"/>
  <c r="G29" i="2"/>
  <c r="AP103" i="2"/>
  <c r="AI73" i="2"/>
  <c r="G75" i="2" a="1"/>
  <c r="G75" i="2" s="1"/>
  <c r="U75" i="2" a="1"/>
  <c r="U75" i="2" s="1"/>
  <c r="G60" i="2" a="1"/>
  <c r="G60" i="2" s="1"/>
  <c r="G58" i="2" s="1"/>
  <c r="BD31" i="2" a="1"/>
  <c r="BD31" i="2" s="1"/>
  <c r="BD29" i="2" s="1"/>
  <c r="AP29" i="2"/>
  <c r="AB43" i="2"/>
  <c r="AI43" i="2"/>
  <c r="AI89" i="2"/>
  <c r="AI58" i="2"/>
  <c r="U115" i="2"/>
  <c r="AI115" i="2"/>
  <c r="R60" i="2" a="1"/>
  <c r="R60" i="2" s="1"/>
  <c r="F2" i="5" a="1"/>
  <c r="F2" i="5" s="1"/>
  <c r="D130" i="2" a="1"/>
  <c r="D130" i="2" s="1"/>
  <c r="G128" i="2" s="1"/>
  <c r="K117" i="2" a="1"/>
  <c r="K117" i="2" s="1"/>
  <c r="N115" i="2" s="1"/>
  <c r="K75" i="2" a="1"/>
  <c r="K75" i="2" s="1"/>
  <c r="K60" i="2" a="1"/>
  <c r="K60" i="2" s="1"/>
  <c r="R31" i="2" a="1"/>
  <c r="R31" i="2" s="1"/>
  <c r="U2" i="2" l="1"/>
  <c r="AB2" i="2"/>
  <c r="N2" i="2"/>
  <c r="N103" i="2"/>
  <c r="U29" i="2"/>
  <c r="H5" i="18"/>
  <c r="H6" i="18"/>
  <c r="H8" i="18"/>
  <c r="H10" i="18"/>
  <c r="H3" i="18"/>
  <c r="H9" i="18"/>
  <c r="N73" i="2"/>
  <c r="H4" i="18"/>
  <c r="H7" i="18"/>
  <c r="U58" i="2"/>
  <c r="AB103" i="2"/>
  <c r="N58" i="2"/>
  <c r="N89" i="2"/>
  <c r="G73" i="2"/>
  <c r="U7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2F6C00-293B-48C3-8414-88A1BD171F97}" keepAlive="1" name="Query - leden" description="Verbinding maken met de query leden in de werkmap." type="5" refreshedVersion="8" background="1" saveData="1">
    <dbPr connection="Provider=Microsoft.Mashup.OleDb.1;Data Source=$Workbook$;Location=leden;Extended Properties=&quot;&quot;" command="SELECT * FROM [lede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<sst xmlns="http://schemas.openxmlformats.org/spreadsheetml/2006/main" count="5802" uniqueCount="1104">
  <si>
    <t>Selecties</t>
  </si>
  <si>
    <t>S1S2</t>
  </si>
  <si>
    <t>A1A2</t>
  </si>
  <si>
    <t>B1B2</t>
  </si>
  <si>
    <t>S5S6</t>
  </si>
  <si>
    <t>Senioren</t>
  </si>
  <si>
    <t>S1</t>
  </si>
  <si>
    <t>S2</t>
  </si>
  <si>
    <t>S3</t>
  </si>
  <si>
    <t>S4</t>
  </si>
  <si>
    <t>S5</t>
  </si>
  <si>
    <t>S6</t>
  </si>
  <si>
    <t>S7</t>
  </si>
  <si>
    <t>MW1</t>
  </si>
  <si>
    <t>A-Junioren</t>
  </si>
  <si>
    <t>A1</t>
  </si>
  <si>
    <t>A2</t>
  </si>
  <si>
    <t>A3</t>
  </si>
  <si>
    <t>A4</t>
  </si>
  <si>
    <t>A5</t>
  </si>
  <si>
    <t>B-Aspiranten</t>
  </si>
  <si>
    <t>B1</t>
  </si>
  <si>
    <t>B2</t>
  </si>
  <si>
    <t>B3</t>
  </si>
  <si>
    <t>B4</t>
  </si>
  <si>
    <t>B5</t>
  </si>
  <si>
    <t>C-Aspiranten</t>
  </si>
  <si>
    <t>C1</t>
  </si>
  <si>
    <t>C2</t>
  </si>
  <si>
    <t>C3</t>
  </si>
  <si>
    <t>C4</t>
  </si>
  <si>
    <t>C5</t>
  </si>
  <si>
    <t>D-Pupillen</t>
  </si>
  <si>
    <t>D1</t>
  </si>
  <si>
    <t>D2</t>
  </si>
  <si>
    <t>D3</t>
  </si>
  <si>
    <t>D4</t>
  </si>
  <si>
    <t>D5</t>
  </si>
  <si>
    <t>E-pupillen</t>
  </si>
  <si>
    <t>E1</t>
  </si>
  <si>
    <t>E2</t>
  </si>
  <si>
    <t>E3</t>
  </si>
  <si>
    <t>E4</t>
  </si>
  <si>
    <t>E5</t>
  </si>
  <si>
    <t>E6</t>
  </si>
  <si>
    <t>E7</t>
  </si>
  <si>
    <t>F-Pupillen</t>
  </si>
  <si>
    <t>F1</t>
  </si>
  <si>
    <t>F2</t>
  </si>
  <si>
    <t>F3</t>
  </si>
  <si>
    <t>F4</t>
  </si>
  <si>
    <t>F5</t>
  </si>
  <si>
    <t>Kangoeroes</t>
  </si>
  <si>
    <t>K</t>
  </si>
  <si>
    <t>Rel.nr</t>
  </si>
  <si>
    <t>Naam &amp; Initialen)</t>
  </si>
  <si>
    <t>Roepnaam</t>
  </si>
  <si>
    <t>Leeftijd Peildatum</t>
  </si>
  <si>
    <t>Geb datum</t>
  </si>
  <si>
    <t>Team op Peildatum</t>
  </si>
  <si>
    <t>Team 24-25</t>
  </si>
  <si>
    <t>Team 23-24</t>
  </si>
  <si>
    <t>AR</t>
  </si>
  <si>
    <t>Naam &amp; Initialen</t>
  </si>
  <si>
    <t>~Dame S1S2</t>
  </si>
  <si>
    <t>NLZ21F1</t>
  </si>
  <si>
    <t>Abel van de Ven</t>
  </si>
  <si>
    <t>Abel</t>
  </si>
  <si>
    <t>NMV71X5</t>
  </si>
  <si>
    <t>Amos Alberts</t>
  </si>
  <si>
    <t>Amos</t>
  </si>
  <si>
    <t>NMV61M3</t>
  </si>
  <si>
    <t>Alisa Stomp</t>
  </si>
  <si>
    <t>Alisa</t>
  </si>
  <si>
    <t>NFW92M3</t>
  </si>
  <si>
    <t>Antjan Laban</t>
  </si>
  <si>
    <t>Antjan</t>
  </si>
  <si>
    <t>NLB70T7</t>
  </si>
  <si>
    <t>Amber Boeije</t>
  </si>
  <si>
    <t>Amber</t>
  </si>
  <si>
    <t>NFW26G8</t>
  </si>
  <si>
    <t>Arjan Noels</t>
  </si>
  <si>
    <t>Arjan</t>
  </si>
  <si>
    <t>Stopt</t>
  </si>
  <si>
    <t>NLH27P1</t>
  </si>
  <si>
    <t>Amber de Haas</t>
  </si>
  <si>
    <t>NMV76G1</t>
  </si>
  <si>
    <t>Art Malschaert</t>
  </si>
  <si>
    <t>Art</t>
  </si>
  <si>
    <t>NLB70X5</t>
  </si>
  <si>
    <t>Angela Friebel</t>
  </si>
  <si>
    <t>Angela</t>
  </si>
  <si>
    <t>NMB99X9</t>
  </si>
  <si>
    <t>Ayden van den Bosch</t>
  </si>
  <si>
    <t>Ayden</t>
  </si>
  <si>
    <t>NMS40B0</t>
  </si>
  <si>
    <t>Aniek van den Bergh</t>
  </si>
  <si>
    <t>Aniek</t>
  </si>
  <si>
    <t>NFS90V6</t>
  </si>
  <si>
    <t>Bart de Wit</t>
  </si>
  <si>
    <t>Bart</t>
  </si>
  <si>
    <t>NKD19X7</t>
  </si>
  <si>
    <t>Anne Driesprong</t>
  </si>
  <si>
    <t>Anne</t>
  </si>
  <si>
    <t>NKD19Y4</t>
  </si>
  <si>
    <t>Bart Driesprong</t>
  </si>
  <si>
    <t>NMW65S8</t>
  </si>
  <si>
    <t>Annelieke Smouter</t>
  </si>
  <si>
    <t>Annelieke</t>
  </si>
  <si>
    <t>?</t>
  </si>
  <si>
    <t>NJH39X4</t>
  </si>
  <si>
    <t>Bart van der Brugge</t>
  </si>
  <si>
    <t>NMW83F1</t>
  </si>
  <si>
    <t>Anne-Sophie Lotgerink</t>
  </si>
  <si>
    <t>Anne-Sophie</t>
  </si>
  <si>
    <t>NGW10M4</t>
  </si>
  <si>
    <t>Bas de Jong</t>
  </si>
  <si>
    <t>Bas</t>
  </si>
  <si>
    <t>NKJ29C1</t>
  </si>
  <si>
    <t>Anniek Pierse</t>
  </si>
  <si>
    <t>Anniek</t>
  </si>
  <si>
    <t>NKX66V9</t>
  </si>
  <si>
    <t>Bert Seevinck</t>
  </si>
  <si>
    <t>Bert</t>
  </si>
  <si>
    <t>NLZ39C9</t>
  </si>
  <si>
    <t>Anouk Bakker</t>
  </si>
  <si>
    <t>Anouk</t>
  </si>
  <si>
    <t>NJF95S5</t>
  </si>
  <si>
    <t>Bob Mans</t>
  </si>
  <si>
    <t>Bob</t>
  </si>
  <si>
    <t>NKT92K1</t>
  </si>
  <si>
    <t>Anouk de Jongh</t>
  </si>
  <si>
    <t>NMZ29TO</t>
  </si>
  <si>
    <t>Branley van Wingerden</t>
  </si>
  <si>
    <t>Branley</t>
  </si>
  <si>
    <t>Nieuw</t>
  </si>
  <si>
    <t>NFW41S7</t>
  </si>
  <si>
    <t>Barbara Camphens-Moerman</t>
  </si>
  <si>
    <t>Barbara</t>
  </si>
  <si>
    <t>NMQ44L0</t>
  </si>
  <si>
    <t>Cas Tieleman</t>
  </si>
  <si>
    <t>Cas</t>
  </si>
  <si>
    <t>NKS24S7</t>
  </si>
  <si>
    <t>Bente van Wijngaarden</t>
  </si>
  <si>
    <t>Bente</t>
  </si>
  <si>
    <t>NMQ65B3</t>
  </si>
  <si>
    <t>Cas Uljee</t>
  </si>
  <si>
    <t>NLP78D3</t>
  </si>
  <si>
    <t>Benthe van der Linden</t>
  </si>
  <si>
    <t>Benthe</t>
  </si>
  <si>
    <t>NMJ10P4</t>
  </si>
  <si>
    <t>Casper Boshoven</t>
  </si>
  <si>
    <t>Casper</t>
  </si>
  <si>
    <t>NMZ00X1</t>
  </si>
  <si>
    <t>Benthe van Dijl</t>
  </si>
  <si>
    <t>nieuw</t>
  </si>
  <si>
    <t>NJZ26Z2</t>
  </si>
  <si>
    <t>Ché Kooper</t>
  </si>
  <si>
    <t>Ché</t>
  </si>
  <si>
    <t>NKR88F7</t>
  </si>
  <si>
    <t>Bridget ter Horst</t>
  </si>
  <si>
    <t>Bridget</t>
  </si>
  <si>
    <t>NMX21V8</t>
  </si>
  <si>
    <t>Ciprian Minzararu</t>
  </si>
  <si>
    <t>Ciprian</t>
  </si>
  <si>
    <t>NML00R5</t>
  </si>
  <si>
    <t>Bryanna Bos</t>
  </si>
  <si>
    <t>Bryanna</t>
  </si>
  <si>
    <t>NMX53X3</t>
  </si>
  <si>
    <t>Collin Koppelaar</t>
  </si>
  <si>
    <t>Collin</t>
  </si>
  <si>
    <t>NLB70Z9</t>
  </si>
  <si>
    <t>Carlijn Lievaart</t>
  </si>
  <si>
    <t>Carlijn</t>
  </si>
  <si>
    <t>Daan vd Weijde</t>
  </si>
  <si>
    <t>Daan</t>
  </si>
  <si>
    <t>NLN05N7</t>
  </si>
  <si>
    <t>Carmen van der Klooster</t>
  </si>
  <si>
    <t>Carmen</t>
  </si>
  <si>
    <t>NLS75Y4</t>
  </si>
  <si>
    <t>Dani Heersping</t>
  </si>
  <si>
    <t>Dani</t>
  </si>
  <si>
    <t>NKX56Q9</t>
  </si>
  <si>
    <t>Damaris Everaarts</t>
  </si>
  <si>
    <t>Damaris</t>
  </si>
  <si>
    <t>NKY88T2</t>
  </si>
  <si>
    <t>Daniel den Uijl</t>
  </si>
  <si>
    <t>Daniel</t>
  </si>
  <si>
    <t>NLP77Z4</t>
  </si>
  <si>
    <t>Danique van der Klooster</t>
  </si>
  <si>
    <t>Danique</t>
  </si>
  <si>
    <t>NKW21H5</t>
  </si>
  <si>
    <t>David Kuijper</t>
  </si>
  <si>
    <t>David</t>
  </si>
  <si>
    <t>NLP78L9</t>
  </si>
  <si>
    <t>Danique van der Wiel</t>
  </si>
  <si>
    <t>NMG85H5</t>
  </si>
  <si>
    <t>Diederik Hovestadt</t>
  </si>
  <si>
    <t>Diederik</t>
  </si>
  <si>
    <t>NMN23K7</t>
  </si>
  <si>
    <t>Davina Moniz</t>
  </si>
  <si>
    <t>Davina</t>
  </si>
  <si>
    <t>NMB42C6</t>
  </si>
  <si>
    <t>Djess van Heeren</t>
  </si>
  <si>
    <t>Djess</t>
  </si>
  <si>
    <t>NFW15S4</t>
  </si>
  <si>
    <t>Debita Zwanenburg-Moerman</t>
  </si>
  <si>
    <t>Debita</t>
  </si>
  <si>
    <t>S</t>
  </si>
  <si>
    <t>NFW26Q8</t>
  </si>
  <si>
    <t>Egbert Vos</t>
  </si>
  <si>
    <t>Egbert</t>
  </si>
  <si>
    <t>NLX25R5</t>
  </si>
  <si>
    <t>Demi Engelfriet</t>
  </si>
  <si>
    <t>Demi</t>
  </si>
  <si>
    <t>NMZ29R6</t>
  </si>
  <si>
    <t>Elroy van Wingerden</t>
  </si>
  <si>
    <t>Elroy</t>
  </si>
  <si>
    <t>NMB60Y4</t>
  </si>
  <si>
    <t>Demi Lindhout</t>
  </si>
  <si>
    <t>NJC26C8</t>
  </si>
  <si>
    <t>Emiel Houwerzijl</t>
  </si>
  <si>
    <t>Emiel</t>
  </si>
  <si>
    <t>NKG59L6</t>
  </si>
  <si>
    <t>Demi van Dijk</t>
  </si>
  <si>
    <t>NFW40B5</t>
  </si>
  <si>
    <t>Erwin Belder</t>
  </si>
  <si>
    <t>Erwin</t>
  </si>
  <si>
    <t>NSL</t>
  </si>
  <si>
    <t>NJC15T9</t>
  </si>
  <si>
    <t>Diana Visser-Michelsen</t>
  </si>
  <si>
    <t>Diana</t>
  </si>
  <si>
    <t>NMJ72R4</t>
  </si>
  <si>
    <t>Falco Bemer</t>
  </si>
  <si>
    <t>Falco</t>
  </si>
  <si>
    <t>NMR70L4</t>
  </si>
  <si>
    <t>Diede van den Boogaart</t>
  </si>
  <si>
    <t>Diede</t>
  </si>
  <si>
    <t>Finn de Haseth</t>
  </si>
  <si>
    <t>Finn</t>
  </si>
  <si>
    <t>NKR20L5</t>
  </si>
  <si>
    <t>Djuna Seevinck</t>
  </si>
  <si>
    <t>Djuna</t>
  </si>
  <si>
    <t>-</t>
  </si>
  <si>
    <t>Finn Ploeg</t>
  </si>
  <si>
    <t>NLT96R9</t>
  </si>
  <si>
    <t>Doeska Voorbij</t>
  </si>
  <si>
    <t>Doeska</t>
  </si>
  <si>
    <t>NMG03C4</t>
  </si>
  <si>
    <t>Finn Verboom</t>
  </si>
  <si>
    <t>NFW28D3</t>
  </si>
  <si>
    <t>Dorien in 't Veld</t>
  </si>
  <si>
    <t>Dorien</t>
  </si>
  <si>
    <t>NJG52P6</t>
  </si>
  <si>
    <t>Freek de Peuter</t>
  </si>
  <si>
    <t>Freek</t>
  </si>
  <si>
    <t>NLB70S0</t>
  </si>
  <si>
    <t>Elena Quarré</t>
  </si>
  <si>
    <t>Elena</t>
  </si>
  <si>
    <t>NLV80M3</t>
  </si>
  <si>
    <t>Freek Laban</t>
  </si>
  <si>
    <t>NMN23N8</t>
  </si>
  <si>
    <t>Eline Veenendaal</t>
  </si>
  <si>
    <t>Eline</t>
  </si>
  <si>
    <t>NLG58X4</t>
  </si>
  <si>
    <t>Freek van Dongen</t>
  </si>
  <si>
    <t>NMX01Q3</t>
  </si>
  <si>
    <t>Elize Bohms</t>
  </si>
  <si>
    <t>Elize</t>
  </si>
  <si>
    <t>NMN23L4</t>
  </si>
  <si>
    <t>Fynn Kuling</t>
  </si>
  <si>
    <t>Fynn</t>
  </si>
  <si>
    <t>NLL20G1</t>
  </si>
  <si>
    <t>Elize van de Burgt</t>
  </si>
  <si>
    <t>NMW39Z4</t>
  </si>
  <si>
    <t>Gideon Verberkt</t>
  </si>
  <si>
    <t>Gideon</t>
  </si>
  <si>
    <t>NMY80F4</t>
  </si>
  <si>
    <t>Elske Niehof</t>
  </si>
  <si>
    <t>Eslke</t>
  </si>
  <si>
    <t>NGG54S2</t>
  </si>
  <si>
    <t>Hans Ploeg</t>
  </si>
  <si>
    <t>Hans</t>
  </si>
  <si>
    <t>NMQ40P6</t>
  </si>
  <si>
    <t>Emma Schot</t>
  </si>
  <si>
    <t>Emma</t>
  </si>
  <si>
    <t>~Heer S1S2</t>
  </si>
  <si>
    <t>NLM40K0</t>
  </si>
  <si>
    <t>Enora Bouwknegt</t>
  </si>
  <si>
    <t>Enora</t>
  </si>
  <si>
    <t>NLX64V0</t>
  </si>
  <si>
    <t>Esmée de Boer</t>
  </si>
  <si>
    <t>Esmée</t>
  </si>
  <si>
    <t>NLL19V8</t>
  </si>
  <si>
    <t>Jack Zwanenburg</t>
  </si>
  <si>
    <t>Jack</t>
  </si>
  <si>
    <t>NJG13L1</t>
  </si>
  <si>
    <t>Esther Ardon</t>
  </si>
  <si>
    <t>Esther</t>
  </si>
  <si>
    <t>NJB54T5</t>
  </si>
  <si>
    <t>Jaimy van Arkel</t>
  </si>
  <si>
    <t>Jaimy</t>
  </si>
  <si>
    <t>NMN14R4</t>
  </si>
  <si>
    <t>Esther Oosse</t>
  </si>
  <si>
    <t>NGW00S1</t>
  </si>
  <si>
    <t>Jan Booy</t>
  </si>
  <si>
    <t>Jan</t>
  </si>
  <si>
    <t>NJC46R3</t>
  </si>
  <si>
    <t>Esther Wibbens</t>
  </si>
  <si>
    <t>NFW14Y3</t>
  </si>
  <si>
    <t>Jan-Peter Verwaal</t>
  </si>
  <si>
    <t>Jan-Peter</t>
  </si>
  <si>
    <t>NMD22V1</t>
  </si>
  <si>
    <t>Eva Bezemer</t>
  </si>
  <si>
    <t>Eva</t>
  </si>
  <si>
    <t>NMJ72N6</t>
  </si>
  <si>
    <t>Jarno Bemer</t>
  </si>
  <si>
    <t>Jarno</t>
  </si>
  <si>
    <t>NKG18N7</t>
  </si>
  <si>
    <t>Eva Teerds</t>
  </si>
  <si>
    <t>NLG57L7</t>
  </si>
  <si>
    <t>Jarno Valk</t>
  </si>
  <si>
    <t>NMJ53F3</t>
  </si>
  <si>
    <t>Eva van Rooij</t>
  </si>
  <si>
    <t>NFW28T5</t>
  </si>
  <si>
    <t>Jasper Kleingeld</t>
  </si>
  <si>
    <t>Jasper</t>
  </si>
  <si>
    <t>NMD71P1</t>
  </si>
  <si>
    <t>Evi Kleingeld</t>
  </si>
  <si>
    <t>Evi</t>
  </si>
  <si>
    <t>NLX00G3</t>
  </si>
  <si>
    <t>Jasper Sempel</t>
  </si>
  <si>
    <t>NMK12F1</t>
  </si>
  <si>
    <t>Evie Groen</t>
  </si>
  <si>
    <t>Evie</t>
  </si>
  <si>
    <t>NKW30G0</t>
  </si>
  <si>
    <t>Jens de Vlaming</t>
  </si>
  <si>
    <t>Jens</t>
  </si>
  <si>
    <t>NMK74C6</t>
  </si>
  <si>
    <t>Famke Nijman</t>
  </si>
  <si>
    <t>Famke</t>
  </si>
  <si>
    <t>NLG59F1</t>
  </si>
  <si>
    <t>Jens Lohuis</t>
  </si>
  <si>
    <t>NMK12D7</t>
  </si>
  <si>
    <t>Fay Tims</t>
  </si>
  <si>
    <t>Fay</t>
  </si>
  <si>
    <t>NJH51J2</t>
  </si>
  <si>
    <t>Jeroen Huijgen</t>
  </si>
  <si>
    <t>Jeroen</t>
  </si>
  <si>
    <t>NMK31G5</t>
  </si>
  <si>
    <t>Feline Littooij</t>
  </si>
  <si>
    <t>Feline</t>
  </si>
  <si>
    <t>NLX04H2</t>
  </si>
  <si>
    <t>Joaz Post</t>
  </si>
  <si>
    <t>Joaz</t>
  </si>
  <si>
    <t>NLL20H8</t>
  </si>
  <si>
    <t>Feline van de Burgt</t>
  </si>
  <si>
    <t>NKX66T5</t>
  </si>
  <si>
    <t>Joël Wietses</t>
  </si>
  <si>
    <t>Joël</t>
  </si>
  <si>
    <t>NMQ57Y5</t>
  </si>
  <si>
    <t>Feliz Lanser</t>
  </si>
  <si>
    <t>Feliz</t>
  </si>
  <si>
    <t>NMN66T9</t>
  </si>
  <si>
    <t>Joep Jongkind</t>
  </si>
  <si>
    <t>Joep</t>
  </si>
  <si>
    <t>NLQ98H2</t>
  </si>
  <si>
    <t>Femke Bakker</t>
  </si>
  <si>
    <t>Femke</t>
  </si>
  <si>
    <t>NMC41W4</t>
  </si>
  <si>
    <t>Joep van Ameijden</t>
  </si>
  <si>
    <t>NMN85P8</t>
  </si>
  <si>
    <t>Fenna van Rijswijk</t>
  </si>
  <si>
    <t>Fenna</t>
  </si>
  <si>
    <t>NJD65S8</t>
  </si>
  <si>
    <t>Joeri van Dijk</t>
  </si>
  <si>
    <t>Joeri</t>
  </si>
  <si>
    <t>NLJ04Z4</t>
  </si>
  <si>
    <t>Floor Lohuis</t>
  </si>
  <si>
    <t>Floor</t>
  </si>
  <si>
    <t>NFW15F3</t>
  </si>
  <si>
    <t>Johan van der Wall</t>
  </si>
  <si>
    <t>Johan</t>
  </si>
  <si>
    <t>NMZ15W4</t>
  </si>
  <si>
    <t>Floor van de Merwe</t>
  </si>
  <si>
    <t>NLY32T6</t>
  </si>
  <si>
    <t>Jonas van de Ven</t>
  </si>
  <si>
    <t>Jonas</t>
  </si>
  <si>
    <t>NLR34F7</t>
  </si>
  <si>
    <t>Floortje Jongkind</t>
  </si>
  <si>
    <t>Floortje</t>
  </si>
  <si>
    <t>NKX56P2</t>
  </si>
  <si>
    <t>Joram Flach</t>
  </si>
  <si>
    <t>Joram</t>
  </si>
  <si>
    <t>NKX20W8</t>
  </si>
  <si>
    <t>Flore Steenks</t>
  </si>
  <si>
    <t>Flore</t>
  </si>
  <si>
    <t>NLL37Q7</t>
  </si>
  <si>
    <t>Jordan Timmer</t>
  </si>
  <si>
    <t>Jordan</t>
  </si>
  <si>
    <t>NLX00H0</t>
  </si>
  <si>
    <t>Githa Bemer</t>
  </si>
  <si>
    <t>Githa</t>
  </si>
  <si>
    <t>NLG58W7</t>
  </si>
  <si>
    <t>Jordi Vaartmans</t>
  </si>
  <si>
    <t>Jordi</t>
  </si>
  <si>
    <t>NGG54V3</t>
  </si>
  <si>
    <t>Hanneke Batenburg</t>
  </si>
  <si>
    <t>Hanneke</t>
  </si>
  <si>
    <t>NMN09P0</t>
  </si>
  <si>
    <t>Jorn den Dekker</t>
  </si>
  <si>
    <t>Jorn</t>
  </si>
  <si>
    <t>NGT43N2</t>
  </si>
  <si>
    <t>Hilde Visser</t>
  </si>
  <si>
    <t>Hilde</t>
  </si>
  <si>
    <t>NMC29Z9</t>
  </si>
  <si>
    <t>Juda Vos</t>
  </si>
  <si>
    <t>Juda</t>
  </si>
  <si>
    <t>NMP92X2</t>
  </si>
  <si>
    <t>Imke van Geldrop</t>
  </si>
  <si>
    <t>Imke</t>
  </si>
  <si>
    <t>NMV37K2</t>
  </si>
  <si>
    <t>Jurre van der Linden</t>
  </si>
  <si>
    <t>Jurre</t>
  </si>
  <si>
    <t>NMS67Y2</t>
  </si>
  <si>
    <t>Imme Bouman</t>
  </si>
  <si>
    <t>Imme</t>
  </si>
  <si>
    <t>NLY54F4</t>
  </si>
  <si>
    <t>Justin Vos</t>
  </si>
  <si>
    <t>Justin</t>
  </si>
  <si>
    <t>NLP78N3</t>
  </si>
  <si>
    <t>Iza Wolleswinkel</t>
  </si>
  <si>
    <t>Iza</t>
  </si>
  <si>
    <t>NLS85J4</t>
  </si>
  <si>
    <t>Kian Vliet</t>
  </si>
  <si>
    <t>Kian</t>
  </si>
  <si>
    <t>NMH37W2</t>
  </si>
  <si>
    <t>Ize van der Linden</t>
  </si>
  <si>
    <t>Ize</t>
  </si>
  <si>
    <t>NMN39T3</t>
  </si>
  <si>
    <t>Koen Ploeg</t>
  </si>
  <si>
    <t>Koen</t>
  </si>
  <si>
    <t>NJH13R4</t>
  </si>
  <si>
    <t>Jany Lacroes</t>
  </si>
  <si>
    <t>Jany</t>
  </si>
  <si>
    <t>NJF53H2</t>
  </si>
  <si>
    <t>Lars van Strijen</t>
  </si>
  <si>
    <t>Lars</t>
  </si>
  <si>
    <t>Jaylinn Ottevanger</t>
  </si>
  <si>
    <t>Jaylinn</t>
  </si>
  <si>
    <t>NLT47Y6</t>
  </si>
  <si>
    <t>Lars Visser</t>
  </si>
  <si>
    <t>NMK01M2</t>
  </si>
  <si>
    <t>Jenna Ehmila</t>
  </si>
  <si>
    <t>Jenna</t>
  </si>
  <si>
    <t>NMN10V0</t>
  </si>
  <si>
    <t>Lars Winter</t>
  </si>
  <si>
    <t>NLF29C4</t>
  </si>
  <si>
    <t>Jennifer Herremans</t>
  </si>
  <si>
    <t>Jennifer</t>
  </si>
  <si>
    <t>NKX56T0</t>
  </si>
  <si>
    <t>Laurens Verhagen</t>
  </si>
  <si>
    <t>Laurens</t>
  </si>
  <si>
    <t>NMH07D4</t>
  </si>
  <si>
    <t>Jeslynn Vos</t>
  </si>
  <si>
    <t>Jeslynn</t>
  </si>
  <si>
    <t>NMG18G2</t>
  </si>
  <si>
    <t>Lenn Belder</t>
  </si>
  <si>
    <t>Lenn</t>
  </si>
  <si>
    <t>NMR12K3</t>
  </si>
  <si>
    <t>Jolijn van den Bergh</t>
  </si>
  <si>
    <t>Jolijn</t>
  </si>
  <si>
    <t>NMJ03L0</t>
  </si>
  <si>
    <t>Levi Everaarts</t>
  </si>
  <si>
    <t>Levi</t>
  </si>
  <si>
    <t>NMX55K8</t>
  </si>
  <si>
    <t>Julia Baas</t>
  </si>
  <si>
    <t>Julia</t>
  </si>
  <si>
    <t>NMP90X6</t>
  </si>
  <si>
    <t>Levi Molendijk</t>
  </si>
  <si>
    <t>NLP78G4</t>
  </si>
  <si>
    <t>Julia Bozuwa</t>
  </si>
  <si>
    <t>NFX11D8</t>
  </si>
  <si>
    <t>Lex van Dalen</t>
  </si>
  <si>
    <t>Lex</t>
  </si>
  <si>
    <t>NKT65Z0</t>
  </si>
  <si>
    <t>Julia Kleingeld</t>
  </si>
  <si>
    <t>NJC17J5</t>
  </si>
  <si>
    <t>Lex van Gent</t>
  </si>
  <si>
    <t>NMS09V7</t>
  </si>
  <si>
    <t>Julia van Twist</t>
  </si>
  <si>
    <t>NMN65L0</t>
  </si>
  <si>
    <t>Lucas van de Rest</t>
  </si>
  <si>
    <t>Lucas</t>
  </si>
  <si>
    <t>NMQ48V2</t>
  </si>
  <si>
    <t>Karlijn Bakker</t>
  </si>
  <si>
    <t>Karlijn</t>
  </si>
  <si>
    <t>Lucien Mol</t>
  </si>
  <si>
    <t>Lucien</t>
  </si>
  <si>
    <t>NMZ36R2</t>
  </si>
  <si>
    <t>Kayleigh Gerritsen</t>
  </si>
  <si>
    <t>Kayleigh</t>
  </si>
  <si>
    <t>NMX35P3</t>
  </si>
  <si>
    <t>Lukas van der Weijde</t>
  </si>
  <si>
    <t>Lukas</t>
  </si>
  <si>
    <t>NKG59H8</t>
  </si>
  <si>
    <t>Kim Dommisse</t>
  </si>
  <si>
    <t>Kim</t>
  </si>
  <si>
    <t>NKN65B6</t>
  </si>
  <si>
    <t>Luuk Baars</t>
  </si>
  <si>
    <t>Luuk</t>
  </si>
  <si>
    <t>NGD85T4</t>
  </si>
  <si>
    <t>Kim Heesterbeek</t>
  </si>
  <si>
    <t>Luuk Ploeg</t>
  </si>
  <si>
    <t>NJK09N2</t>
  </si>
  <si>
    <t>Kim van der Starre-Scheurwater</t>
  </si>
  <si>
    <t>NML47R6</t>
  </si>
  <si>
    <t>Maarten Rutten</t>
  </si>
  <si>
    <t>Maarten</t>
  </si>
  <si>
    <t>NKX36X8</t>
  </si>
  <si>
    <t>Kimberley Witman</t>
  </si>
  <si>
    <t>Kimberley</t>
  </si>
  <si>
    <t>NLP78Q4</t>
  </si>
  <si>
    <t>Maarten Sas</t>
  </si>
  <si>
    <t>NMV77N3</t>
  </si>
  <si>
    <t>Lara Mans</t>
  </si>
  <si>
    <t>Lara</t>
  </si>
  <si>
    <t>NFW13Y0</t>
  </si>
  <si>
    <t>Marco van Kalkeren</t>
  </si>
  <si>
    <t>Marco</t>
  </si>
  <si>
    <t>NKC46S7</t>
  </si>
  <si>
    <t>Lara Schram</t>
  </si>
  <si>
    <t>NJF77Y3</t>
  </si>
  <si>
    <t>Marijn Klink</t>
  </si>
  <si>
    <t>Marijn</t>
  </si>
  <si>
    <t>NMB03R4</t>
  </si>
  <si>
    <t>Laura Exalto</t>
  </si>
  <si>
    <t>Laura</t>
  </si>
  <si>
    <t>NKD39Q8</t>
  </si>
  <si>
    <t>Mark Schindler</t>
  </si>
  <si>
    <t>Mark</t>
  </si>
  <si>
    <t>NKC46T4</t>
  </si>
  <si>
    <t>Laura Koote</t>
  </si>
  <si>
    <t>NMN23M1</t>
  </si>
  <si>
    <t>Martijn Veenendaal</t>
  </si>
  <si>
    <t>Martijn</t>
  </si>
  <si>
    <t>Laura Mol</t>
  </si>
  <si>
    <t>NKZ28R9</t>
  </si>
  <si>
    <t>Matthijs de Jongh</t>
  </si>
  <si>
    <t>Matthijs</t>
  </si>
  <si>
    <t>NMG13P0</t>
  </si>
  <si>
    <t>Layla de Boer</t>
  </si>
  <si>
    <t>Layla</t>
  </si>
  <si>
    <t>NMT18Q5</t>
  </si>
  <si>
    <t>Matthijs de Reus</t>
  </si>
  <si>
    <t>NMM21T3</t>
  </si>
  <si>
    <t>Lenthe van den Boogaart</t>
  </si>
  <si>
    <t>Lenthe</t>
  </si>
  <si>
    <t>Mayson Josefina</t>
  </si>
  <si>
    <t>Mayson</t>
  </si>
  <si>
    <t>NKY54N3</t>
  </si>
  <si>
    <t>Lianne Bouwknegt</t>
  </si>
  <si>
    <t>Lianne</t>
  </si>
  <si>
    <t>NLR06X4</t>
  </si>
  <si>
    <t>Menno Pille</t>
  </si>
  <si>
    <t>Menno</t>
  </si>
  <si>
    <t>NJK34W5</t>
  </si>
  <si>
    <t>Lieke Ploeg</t>
  </si>
  <si>
    <t>Lieke</t>
  </si>
  <si>
    <t>NMJ57G2</t>
  </si>
  <si>
    <t>Merlijn de Wit</t>
  </si>
  <si>
    <t>Merlijn</t>
  </si>
  <si>
    <t>NGT42S4</t>
  </si>
  <si>
    <t>Liesbeth Brand</t>
  </si>
  <si>
    <t>Liesbeth</t>
  </si>
  <si>
    <t>NFW42X5</t>
  </si>
  <si>
    <t>Michiel 't Jong</t>
  </si>
  <si>
    <t>Michiel</t>
  </si>
  <si>
    <t>NJK42D1</t>
  </si>
  <si>
    <t>Linda Ardon</t>
  </si>
  <si>
    <t>Linda</t>
  </si>
  <si>
    <t>NMQ51D0</t>
  </si>
  <si>
    <t>Mika Kerschkamp</t>
  </si>
  <si>
    <t>Mika</t>
  </si>
  <si>
    <t>NLF50K8</t>
  </si>
  <si>
    <t>Lindi Fasbender</t>
  </si>
  <si>
    <t>Lindi</t>
  </si>
  <si>
    <t>NMK59H6</t>
  </si>
  <si>
    <t>Morris van Ameijden</t>
  </si>
  <si>
    <t>Morris</t>
  </si>
  <si>
    <t>NMD34T8</t>
  </si>
  <si>
    <t>Lisa Exalto</t>
  </si>
  <si>
    <t>Lisa</t>
  </si>
  <si>
    <t>NMN49T8</t>
  </si>
  <si>
    <t>Nathan Verberkt</t>
  </si>
  <si>
    <t>Nathan</t>
  </si>
  <si>
    <t>NLS08H9</t>
  </si>
  <si>
    <t>Lisa Reuvers</t>
  </si>
  <si>
    <t>NLD36P9</t>
  </si>
  <si>
    <t>Niek Driesprong</t>
  </si>
  <si>
    <t>Niek</t>
  </si>
  <si>
    <t>NMK07T9</t>
  </si>
  <si>
    <t>Lisanne Naeije</t>
  </si>
  <si>
    <t>Lisanne</t>
  </si>
  <si>
    <t>NLP78P7</t>
  </si>
  <si>
    <t>Niek Sas</t>
  </si>
  <si>
    <t>NFW26V3</t>
  </si>
  <si>
    <t>Lisette van den Assem</t>
  </si>
  <si>
    <t>Lisette</t>
  </si>
  <si>
    <t>NJH76N5</t>
  </si>
  <si>
    <t>Olivier Klink</t>
  </si>
  <si>
    <t>Olivier</t>
  </si>
  <si>
    <t>NMV90Z6</t>
  </si>
  <si>
    <t>Livia van de Burgt</t>
  </si>
  <si>
    <t>Livia</t>
  </si>
  <si>
    <t>NMY03K8</t>
  </si>
  <si>
    <t>Olle Bezemer</t>
  </si>
  <si>
    <t>Olle</t>
  </si>
  <si>
    <t>NKK27B9</t>
  </si>
  <si>
    <t>Loïs Fernhout</t>
  </si>
  <si>
    <t>Loïs</t>
  </si>
  <si>
    <t>NLS85H0</t>
  </si>
  <si>
    <t>Onno den Dekker</t>
  </si>
  <si>
    <t>Onno</t>
  </si>
  <si>
    <t>NMM97Y1</t>
  </si>
  <si>
    <t>Maartje Laban</t>
  </si>
  <si>
    <t>Maartje</t>
  </si>
  <si>
    <t>NMC41D1</t>
  </si>
  <si>
    <t>Parham Afsharbegloe</t>
  </si>
  <si>
    <t>Parham</t>
  </si>
  <si>
    <t>NLL53K3</t>
  </si>
  <si>
    <t>Madelief van Dongen</t>
  </si>
  <si>
    <t>Madelief</t>
  </si>
  <si>
    <t>NFZ85W0</t>
  </si>
  <si>
    <t>Peter Batenburg</t>
  </si>
  <si>
    <t>Peter</t>
  </si>
  <si>
    <t>NMN07F4</t>
  </si>
  <si>
    <t>Manon Barbaroux</t>
  </si>
  <si>
    <t>Manon</t>
  </si>
  <si>
    <t>NJH51W3</t>
  </si>
  <si>
    <t>Peter Berendsen</t>
  </si>
  <si>
    <t>NMP10M9</t>
  </si>
  <si>
    <t>Marit van den Bergh</t>
  </si>
  <si>
    <t>Marit</t>
  </si>
  <si>
    <t>NKT73W8</t>
  </si>
  <si>
    <t>Quinten van Driel</t>
  </si>
  <si>
    <t>Quinten</t>
  </si>
  <si>
    <t>NKK27G4</t>
  </si>
  <si>
    <t>Marlies Valk</t>
  </si>
  <si>
    <t>Marlies</t>
  </si>
  <si>
    <t>NMQ45V3</t>
  </si>
  <si>
    <t>Ralf Dijkstra</t>
  </si>
  <si>
    <t>Ralf</t>
  </si>
  <si>
    <t>NLL20B6</t>
  </si>
  <si>
    <t>Maud van Wensen</t>
  </si>
  <si>
    <t>Maud</t>
  </si>
  <si>
    <t>NLN28Y3</t>
  </si>
  <si>
    <t>Raoul Kuijper</t>
  </si>
  <si>
    <t>Raoul</t>
  </si>
  <si>
    <t>NMX49N6</t>
  </si>
  <si>
    <t>Mayvin Nawar</t>
  </si>
  <si>
    <t>Mayvin</t>
  </si>
  <si>
    <t>NMV01T2</t>
  </si>
  <si>
    <t>Rens Boekee</t>
  </si>
  <si>
    <t>Rens</t>
  </si>
  <si>
    <t>NKQ40Q9</t>
  </si>
  <si>
    <t>Meike Driesprong</t>
  </si>
  <si>
    <t>Meike</t>
  </si>
  <si>
    <t>NGT42V5</t>
  </si>
  <si>
    <t>Rens Draaijer</t>
  </si>
  <si>
    <t>NLL81G4</t>
  </si>
  <si>
    <t>Merel Manduapessy</t>
  </si>
  <si>
    <t>Merel</t>
  </si>
  <si>
    <t>NLR23F9</t>
  </si>
  <si>
    <t>Rick van de Wijgaart</t>
  </si>
  <si>
    <t>Rick</t>
  </si>
  <si>
    <t>NJW77M6</t>
  </si>
  <si>
    <t>Merel Schram</t>
  </si>
  <si>
    <t>NGP49B2</t>
  </si>
  <si>
    <t>Robbert van Ameijden</t>
  </si>
  <si>
    <t>Robbert</t>
  </si>
  <si>
    <t>NJK08X9</t>
  </si>
  <si>
    <t>Merel van Gurp</t>
  </si>
  <si>
    <t>NJF24X2</t>
  </si>
  <si>
    <t>Robin van Kalkeren</t>
  </si>
  <si>
    <t>Robin</t>
  </si>
  <si>
    <t>NLL19T4</t>
  </si>
  <si>
    <t>Mila de Wit</t>
  </si>
  <si>
    <t>Mila</t>
  </si>
  <si>
    <t>NFV13V8</t>
  </si>
  <si>
    <t>Ronald Riet</t>
  </si>
  <si>
    <t>Ronald</t>
  </si>
  <si>
    <t>NMX62K4</t>
  </si>
  <si>
    <t>Milou Markusse</t>
  </si>
  <si>
    <t>Milou</t>
  </si>
  <si>
    <t>NKQ40P2</t>
  </si>
  <si>
    <t>Roy de Vlaming</t>
  </si>
  <si>
    <t>Roy</t>
  </si>
  <si>
    <t>NKJ95L7</t>
  </si>
  <si>
    <t>Milou Oppe</t>
  </si>
  <si>
    <t>NJY83B4</t>
  </si>
  <si>
    <t>Ruben Dubbeld</t>
  </si>
  <si>
    <t>Ruben</t>
  </si>
  <si>
    <t>NMT10Q1</t>
  </si>
  <si>
    <t>Mirjam de Wit</t>
  </si>
  <si>
    <t>Mirjam</t>
  </si>
  <si>
    <t>NMW39Y7</t>
  </si>
  <si>
    <t>Ruben Verberkt</t>
  </si>
  <si>
    <t>NGT43H0</t>
  </si>
  <si>
    <t>Mirjam Noordam</t>
  </si>
  <si>
    <t>NLV80P4</t>
  </si>
  <si>
    <t>Sander Heerspring</t>
  </si>
  <si>
    <t>Sander</t>
  </si>
  <si>
    <t>NJC72L4</t>
  </si>
  <si>
    <t>Nada Hussein</t>
  </si>
  <si>
    <t>Nada</t>
  </si>
  <si>
    <t>NFW13G4</t>
  </si>
  <si>
    <t>Sebastiaan Belder</t>
  </si>
  <si>
    <t>Sebastiaan</t>
  </si>
  <si>
    <t>NKQ14R3</t>
  </si>
  <si>
    <t>Nadia de Wit</t>
  </si>
  <si>
    <t>Nadia</t>
  </si>
  <si>
    <t>NLG59G8</t>
  </si>
  <si>
    <t>Senne Koster</t>
  </si>
  <si>
    <t>Senne</t>
  </si>
  <si>
    <t>NMW98N7</t>
  </si>
  <si>
    <t>Nehir Torbali</t>
  </si>
  <si>
    <t>Nehir</t>
  </si>
  <si>
    <t>Sepp de Jong</t>
  </si>
  <si>
    <t>Sepp</t>
  </si>
  <si>
    <t>NMW80G9</t>
  </si>
  <si>
    <t>Nesrin Kombe</t>
  </si>
  <si>
    <t>Nesrin</t>
  </si>
  <si>
    <t>NMN65C7</t>
  </si>
  <si>
    <t>Sepp Jongkind</t>
  </si>
  <si>
    <t>NLS54M7</t>
  </si>
  <si>
    <t>Nikki Baas</t>
  </si>
  <si>
    <t>Nikki</t>
  </si>
  <si>
    <t>NLL20F4</t>
  </si>
  <si>
    <t>Seth van de Burgt</t>
  </si>
  <si>
    <t>Seth</t>
  </si>
  <si>
    <t>NLN41L1</t>
  </si>
  <si>
    <t>Noa Stomp</t>
  </si>
  <si>
    <t>Noa</t>
  </si>
  <si>
    <t>NGT16K5</t>
  </si>
  <si>
    <t>Stefan Naaktgeboren</t>
  </si>
  <si>
    <t>Stefan</t>
  </si>
  <si>
    <t>NMM85F7</t>
  </si>
  <si>
    <t>Noor Brouwer</t>
  </si>
  <si>
    <t>Noor</t>
  </si>
  <si>
    <t>NMX02T7</t>
  </si>
  <si>
    <t>Stepan Polumysni</t>
  </si>
  <si>
    <t>Stepan</t>
  </si>
  <si>
    <t>NLV84L8</t>
  </si>
  <si>
    <t>Noortje Vercouteren</t>
  </si>
  <si>
    <t>Noortje</t>
  </si>
  <si>
    <t>NLV35B6</t>
  </si>
  <si>
    <t>Stephan Quarre</t>
  </si>
  <si>
    <t>Stephan</t>
  </si>
  <si>
    <t>NMW80H6</t>
  </si>
  <si>
    <t>Nurefsan Kombe</t>
  </si>
  <si>
    <t>Nurefsan</t>
  </si>
  <si>
    <t>NGT92Q5</t>
  </si>
  <si>
    <t>Steven Kuperus</t>
  </si>
  <si>
    <t>Steven</t>
  </si>
  <si>
    <t>NML06D5</t>
  </si>
  <si>
    <t>Olivia de Waard</t>
  </si>
  <si>
    <t>Olivia</t>
  </si>
  <si>
    <t>NMY03L5</t>
  </si>
  <si>
    <t>Ted Bezemer</t>
  </si>
  <si>
    <t>Ted</t>
  </si>
  <si>
    <t>NMH24Z9</t>
  </si>
  <si>
    <t>Petra Verheijde</t>
  </si>
  <si>
    <t>Petra</t>
  </si>
  <si>
    <t>NKW50C2</t>
  </si>
  <si>
    <t>Thijs Boon</t>
  </si>
  <si>
    <t>Thijs</t>
  </si>
  <si>
    <t>NMJ35H3</t>
  </si>
  <si>
    <t>Pien van Dongen</t>
  </si>
  <si>
    <t>Pien</t>
  </si>
  <si>
    <t>NMK12K6</t>
  </si>
  <si>
    <t>Thijs Vos</t>
  </si>
  <si>
    <t>NMN06Y4</t>
  </si>
  <si>
    <t>Pippa Jongkind</t>
  </si>
  <si>
    <t>Pippa</t>
  </si>
  <si>
    <t>NGD51N5</t>
  </si>
  <si>
    <t>Thomas Isarin</t>
  </si>
  <si>
    <t>Thomas</t>
  </si>
  <si>
    <t>NJG35B7</t>
  </si>
  <si>
    <t>Renske Visser</t>
  </si>
  <si>
    <t>Renske</t>
  </si>
  <si>
    <t>NMD51K6</t>
  </si>
  <si>
    <t>Thomas Vos</t>
  </si>
  <si>
    <t>NJQ72K1</t>
  </si>
  <si>
    <t>Robin Dommisse</t>
  </si>
  <si>
    <t>NMC61P5</t>
  </si>
  <si>
    <t>Tiemen den Dekker</t>
  </si>
  <si>
    <t>Tiemen</t>
  </si>
  <si>
    <t>NJF17P0</t>
  </si>
  <si>
    <t>Robin Leijdsman</t>
  </si>
  <si>
    <t>NKV95Q4</t>
  </si>
  <si>
    <t>Tijmen Fasbender</t>
  </si>
  <si>
    <t>Tijmen</t>
  </si>
  <si>
    <t>NMK64V4</t>
  </si>
  <si>
    <t>Robin Mans</t>
  </si>
  <si>
    <t>NLG57P5</t>
  </si>
  <si>
    <t>Tijn Bäcker</t>
  </si>
  <si>
    <t>Tijn</t>
  </si>
  <si>
    <t>NLS76C3</t>
  </si>
  <si>
    <t>Robin Zwanenburg</t>
  </si>
  <si>
    <t>NLL37S1</t>
  </si>
  <si>
    <t>Tijn Camphens</t>
  </si>
  <si>
    <t>NKY17P6</t>
  </si>
  <si>
    <t>Roos Groeneweg</t>
  </si>
  <si>
    <t>Roos</t>
  </si>
  <si>
    <t>NKG59J2</t>
  </si>
  <si>
    <t>Tim Groeneweg</t>
  </si>
  <si>
    <t>Tim</t>
  </si>
  <si>
    <t>NLS34M7</t>
  </si>
  <si>
    <t>Saar Camphens</t>
  </si>
  <si>
    <t>Saar</t>
  </si>
  <si>
    <t>NKR20M2</t>
  </si>
  <si>
    <t>Tim Seevinck</t>
  </si>
  <si>
    <t>NMW34Q6</t>
  </si>
  <si>
    <t>Sanae el Arbiati</t>
  </si>
  <si>
    <t>Sanae</t>
  </si>
  <si>
    <t>NJZ00W3</t>
  </si>
  <si>
    <t>Tim van Gent</t>
  </si>
  <si>
    <t>NMQ42K7</t>
  </si>
  <si>
    <t>Sanna de Lange</t>
  </si>
  <si>
    <t>Sanna</t>
  </si>
  <si>
    <t>NMK85P5</t>
  </si>
  <si>
    <t>Timo Pichel</t>
  </si>
  <si>
    <t>Timo</t>
  </si>
  <si>
    <t>NLS08G2</t>
  </si>
  <si>
    <t>Sanne Dubbeld</t>
  </si>
  <si>
    <t>Sanne</t>
  </si>
  <si>
    <t>NMV70H0</t>
  </si>
  <si>
    <t>Timo van der Sijde</t>
  </si>
  <si>
    <t>NMT44W0</t>
  </si>
  <si>
    <t>Sanne Peters</t>
  </si>
  <si>
    <t>NMK07M0</t>
  </si>
  <si>
    <t>Tobias Hoedelmans</t>
  </si>
  <si>
    <t>Tobias</t>
  </si>
  <si>
    <t>NJK27R4</t>
  </si>
  <si>
    <t>Sanne van Andel</t>
  </si>
  <si>
    <t>NJF34K6</t>
  </si>
  <si>
    <t>Tom Hendriks</t>
  </si>
  <si>
    <t>Tom</t>
  </si>
  <si>
    <t>NMQ57X8</t>
  </si>
  <si>
    <t>Sanne van Driel</t>
  </si>
  <si>
    <t>NMZ32V8</t>
  </si>
  <si>
    <t>Tom van der Stel</t>
  </si>
  <si>
    <t>NLB71D8</t>
  </si>
  <si>
    <t>Sara Boshoven</t>
  </si>
  <si>
    <t>Sara</t>
  </si>
  <si>
    <t>NLB71B4</t>
  </si>
  <si>
    <t>Tommie Koornneef</t>
  </si>
  <si>
    <t>Tommie</t>
  </si>
  <si>
    <t>NJQ72J4</t>
  </si>
  <si>
    <t>Simone van Zwoll</t>
  </si>
  <si>
    <t>Simone</t>
  </si>
  <si>
    <t>NLM05B2</t>
  </si>
  <si>
    <t>Tycho Vliet</t>
  </si>
  <si>
    <t>Tycho</t>
  </si>
  <si>
    <t>NML53R9</t>
  </si>
  <si>
    <t>Sofie Kleingeld</t>
  </si>
  <si>
    <t>Sofie</t>
  </si>
  <si>
    <t>NMJ72P0</t>
  </si>
  <si>
    <t>Tygo Bemer</t>
  </si>
  <si>
    <t>Tygo</t>
  </si>
  <si>
    <t>NLS45N2</t>
  </si>
  <si>
    <t>Sophie Kilsdonk</t>
  </si>
  <si>
    <t>Sophie</t>
  </si>
  <si>
    <t>NMS76D7</t>
  </si>
  <si>
    <t>Vince van der Hoeven</t>
  </si>
  <si>
    <t>Vince</t>
  </si>
  <si>
    <t>NLP78C6</t>
  </si>
  <si>
    <t>Stella Verboom</t>
  </si>
  <si>
    <t>Stella</t>
  </si>
  <si>
    <t>NKH71P1</t>
  </si>
  <si>
    <t>Wilco Kooij</t>
  </si>
  <si>
    <t>Wilco</t>
  </si>
  <si>
    <t>NML14J6</t>
  </si>
  <si>
    <t>Suze Maaskant</t>
  </si>
  <si>
    <t>Suze</t>
  </si>
  <si>
    <t>NLB71F2</t>
  </si>
  <si>
    <t>Wouter Koornneef</t>
  </si>
  <si>
    <t>Wouter</t>
  </si>
  <si>
    <t>NKQ13Q3</t>
  </si>
  <si>
    <t>Syrah de Wit</t>
  </si>
  <si>
    <t>Syrah</t>
  </si>
  <si>
    <t>NMF22Q8</t>
  </si>
  <si>
    <t>Xavi Jacobs</t>
  </si>
  <si>
    <t>Xavi</t>
  </si>
  <si>
    <t>NFX24T4</t>
  </si>
  <si>
    <t>Tamara van Opstal-Haksteen</t>
  </si>
  <si>
    <t>Tamara</t>
  </si>
  <si>
    <t>NMS99T8</t>
  </si>
  <si>
    <t>Tess Rebollo</t>
  </si>
  <si>
    <t>Tess</t>
  </si>
  <si>
    <t>NMZ21H2</t>
  </si>
  <si>
    <t>Tess Rombouts</t>
  </si>
  <si>
    <t>NMP73C8</t>
  </si>
  <si>
    <t>Tess Uljee</t>
  </si>
  <si>
    <t>NLP89W4</t>
  </si>
  <si>
    <t>Tess Volker</t>
  </si>
  <si>
    <t>NJY82Z9</t>
  </si>
  <si>
    <t>Tessa Dubbeld</t>
  </si>
  <si>
    <t>Tessa</t>
  </si>
  <si>
    <t>NLJ47P3</t>
  </si>
  <si>
    <t>Tessa van Everdingen</t>
  </si>
  <si>
    <t>NKF94H2</t>
  </si>
  <si>
    <t>Tirsa Fernhout</t>
  </si>
  <si>
    <t>Tirsa</t>
  </si>
  <si>
    <t>NKL40B9</t>
  </si>
  <si>
    <t>Vera Klootwijk</t>
  </si>
  <si>
    <t>Vera</t>
  </si>
  <si>
    <t>NMM42W7</t>
  </si>
  <si>
    <t>Vive Jacobs</t>
  </si>
  <si>
    <t>Vive</t>
  </si>
  <si>
    <t>NKN53B5</t>
  </si>
  <si>
    <t>Vivienne Versnel</t>
  </si>
  <si>
    <t>Vivienne</t>
  </si>
  <si>
    <t>NMV75Z1</t>
  </si>
  <si>
    <t>Wies van den Berg</t>
  </si>
  <si>
    <t>Wies</t>
  </si>
  <si>
    <t>NJF85B1</t>
  </si>
  <si>
    <t>Xanne Klink</t>
  </si>
  <si>
    <t>Xanne</t>
  </si>
  <si>
    <t>NMC85Q4</t>
  </si>
  <si>
    <t>Yara van der Wiel</t>
  </si>
  <si>
    <t>Yara</t>
  </si>
  <si>
    <t>NLX08G7</t>
  </si>
  <si>
    <t>Zoë Kamerman</t>
  </si>
  <si>
    <t>Zoë</t>
  </si>
  <si>
    <t>Naam</t>
  </si>
  <si>
    <t>Team</t>
  </si>
  <si>
    <t>Functie</t>
  </si>
  <si>
    <t>eigen team</t>
  </si>
  <si>
    <t>team vorig jaar</t>
  </si>
  <si>
    <t xml:space="preserve">Niveau </t>
  </si>
  <si>
    <t>Trainer/Coach</t>
  </si>
  <si>
    <t>A1/A2</t>
  </si>
  <si>
    <t>Startend - KT2</t>
  </si>
  <si>
    <t xml:space="preserve">Medior </t>
  </si>
  <si>
    <t>Kimberly Jacobs</t>
  </si>
  <si>
    <t>X</t>
  </si>
  <si>
    <t>Medior</t>
  </si>
  <si>
    <t>Junior</t>
  </si>
  <si>
    <t xml:space="preserve">Vacature </t>
  </si>
  <si>
    <t xml:space="preserve">Demi </t>
  </si>
  <si>
    <t>Assistent-trainer</t>
  </si>
  <si>
    <t>Senior</t>
  </si>
  <si>
    <t>Michel Sas</t>
  </si>
  <si>
    <t>Teambegeleider</t>
  </si>
  <si>
    <t>Lenny van den Bergh</t>
  </si>
  <si>
    <t>Ondersteuning</t>
  </si>
  <si>
    <t>Rob van Dongen</t>
  </si>
  <si>
    <t>Trainer/Coach A1</t>
  </si>
  <si>
    <t>Ruben Blokland</t>
  </si>
  <si>
    <t>Trainer/Coach A2</t>
  </si>
  <si>
    <t>Medior - KT3</t>
  </si>
  <si>
    <t>Alex van de Klooster</t>
  </si>
  <si>
    <t>Trainer/Coach B1</t>
  </si>
  <si>
    <t>Mees Oppe</t>
  </si>
  <si>
    <t>DeetosSnel 1</t>
  </si>
  <si>
    <t>Junior - KT2</t>
  </si>
  <si>
    <t>Daniël den Uijl</t>
  </si>
  <si>
    <t>Trainer/Coach B2</t>
  </si>
  <si>
    <t>Martijn van der Wiel</t>
  </si>
  <si>
    <t xml:space="preserve">Laura Mol </t>
  </si>
  <si>
    <t>Nog in te vullen</t>
  </si>
  <si>
    <t>S1/S2</t>
  </si>
  <si>
    <t>Robert Koster</t>
  </si>
  <si>
    <t>Marcel St. Nicolaas</t>
  </si>
  <si>
    <t>Tom van de Ven</t>
  </si>
  <si>
    <t>Alex de Boer</t>
  </si>
  <si>
    <t>Sjoerd van Ameijden</t>
  </si>
  <si>
    <t>Liesbeth Wibbens</t>
  </si>
  <si>
    <t>Monique te Witt</t>
  </si>
  <si>
    <t>Gertjan Ploeg</t>
  </si>
  <si>
    <t>Ondersteuning E-trainers</t>
  </si>
  <si>
    <t>Ilonka Bouwknegt</t>
  </si>
  <si>
    <t>Jet van Trooijen</t>
  </si>
  <si>
    <t>Lianne Stomp - vd Burgt</t>
  </si>
  <si>
    <t>Hoofd trainer/coach F</t>
  </si>
  <si>
    <t>Seth vd Burgt</t>
  </si>
  <si>
    <t>Irene Ploeg</t>
  </si>
  <si>
    <t>Bo van Hoof</t>
  </si>
  <si>
    <t>Trainer/Coach S1</t>
  </si>
  <si>
    <t>Senior - KT3</t>
  </si>
  <si>
    <t>Arthyn Muller</t>
  </si>
  <si>
    <t>Trainer/Coach S2</t>
  </si>
  <si>
    <t>Dionne Broere</t>
  </si>
  <si>
    <t>Teambegeleider S1</t>
  </si>
  <si>
    <t>nvt</t>
  </si>
  <si>
    <t>Fred Lichteveld</t>
  </si>
  <si>
    <t>Teambegeleider S2</t>
  </si>
  <si>
    <t>Joris van den Neucker</t>
  </si>
  <si>
    <t>Analist S1</t>
  </si>
  <si>
    <t>Ruben Kamerbeek</t>
  </si>
  <si>
    <t>Fysio</t>
  </si>
  <si>
    <t>Theo Anrochte</t>
  </si>
  <si>
    <t>Verzorger</t>
  </si>
  <si>
    <t>Kim Ardon</t>
  </si>
  <si>
    <t>Begeleider</t>
  </si>
  <si>
    <t>Monique Kooper</t>
  </si>
  <si>
    <t>Stephan Ligtmans</t>
  </si>
  <si>
    <t>Sandra Kerklaan</t>
  </si>
  <si>
    <t>Jeroen de Kruif</t>
  </si>
  <si>
    <t>Coach S2</t>
  </si>
  <si>
    <t>Viviënne Versnel</t>
  </si>
  <si>
    <t>Lieke Bakker</t>
  </si>
  <si>
    <t>SPELERS - TEAMS</t>
  </si>
  <si>
    <t xml:space="preserve">Situatie </t>
  </si>
  <si>
    <t>Scenario 1</t>
  </si>
  <si>
    <t xml:space="preserve"> Scenario 2</t>
  </si>
  <si>
    <t>Scenario 3</t>
  </si>
  <si>
    <t>Keuze + argumentatie</t>
  </si>
  <si>
    <t>Consequenties</t>
  </si>
  <si>
    <t>TRAINERSINDELING</t>
  </si>
  <si>
    <t>Optie 1</t>
  </si>
  <si>
    <t>Optie 2</t>
  </si>
  <si>
    <t>Optie 3</t>
  </si>
  <si>
    <t>Andere kandidaten</t>
  </si>
  <si>
    <t>Ingevuld</t>
  </si>
  <si>
    <t>Opties / ideeën</t>
  </si>
  <si>
    <t xml:space="preserve">Open </t>
  </si>
  <si>
    <t>Opties</t>
  </si>
  <si>
    <t>Categorie</t>
  </si>
  <si>
    <t>Aandachtspunten</t>
  </si>
  <si>
    <t>Onderwerp</t>
  </si>
  <si>
    <t>Antwoord</t>
  </si>
  <si>
    <t>Actiehouder</t>
  </si>
  <si>
    <t>Wanneer</t>
  </si>
  <si>
    <t>Status</t>
  </si>
  <si>
    <t>E/D</t>
  </si>
  <si>
    <t>Definitief? Ja</t>
  </si>
  <si>
    <t>Vera Klootwijk / Jaimy van Arkel</t>
  </si>
  <si>
    <t>Blijft?</t>
  </si>
  <si>
    <t>Komt ze ooit nog terug</t>
  </si>
  <si>
    <t>Selectie?</t>
  </si>
  <si>
    <t>Robin Domisse</t>
  </si>
  <si>
    <t>Elena - minimaal S5 .. Mogelijk plekje S1S2</t>
  </si>
  <si>
    <t>Wat gaat Naakie doen?</t>
  </si>
  <si>
    <t>Collin van Vitesse (misschien S1S2)</t>
  </si>
  <si>
    <t>A1B1</t>
  </si>
  <si>
    <t>Wat gaan alle Vissers doen?</t>
  </si>
  <si>
    <t>Onno den Dekker - Als A1 niet dan B1?</t>
  </si>
  <si>
    <t>Tijn Camphens - (ook) nog een jaar B1?</t>
  </si>
  <si>
    <t>Benthe van der Linden, stopt?</t>
  </si>
  <si>
    <t xml:space="preserve">Esmee / Tess  samen of niet naar B2 </t>
  </si>
  <si>
    <t>Definitief naar C1</t>
  </si>
  <si>
    <t>C1C2</t>
  </si>
  <si>
    <t>Finn Verboom - wat gaan we doen</t>
  </si>
  <si>
    <t>Stopt?</t>
  </si>
  <si>
    <t>E</t>
  </si>
  <si>
    <t>Sanae door naar D is fanatiek</t>
  </si>
  <si>
    <t>Zeker</t>
  </si>
  <si>
    <t>Ralph nog een jaartje in E houden voor ontwikkeling</t>
  </si>
  <si>
    <t>Gaat Suze stoppen?</t>
  </si>
  <si>
    <t>Joep en Sepp bij elkaar?</t>
  </si>
  <si>
    <t>Scenario 1. - nu</t>
  </si>
  <si>
    <t>Scenario 2 - Evie Groen door en Pippa naar D4</t>
  </si>
  <si>
    <t xml:space="preserve">Scenario 3 - Manon, Noortje en Evie naar C4 -met 17 kids + wedstrijdlid </t>
  </si>
  <si>
    <t>Dames</t>
  </si>
  <si>
    <t>Aantal</t>
  </si>
  <si>
    <t>Heren</t>
  </si>
  <si>
    <t>Totaal</t>
  </si>
  <si>
    <t>F</t>
  </si>
  <si>
    <t>D</t>
  </si>
  <si>
    <t>C</t>
  </si>
  <si>
    <t>B</t>
  </si>
  <si>
    <t>A</t>
  </si>
  <si>
    <t xml:space="preserve"> </t>
  </si>
  <si>
    <t>Team       20-21</t>
  </si>
  <si>
    <t>Check V</t>
  </si>
  <si>
    <t>Check M</t>
  </si>
  <si>
    <t>Check</t>
  </si>
  <si>
    <t>Relatiecode</t>
  </si>
  <si>
    <t>Volledige naam (2)</t>
  </si>
  <si>
    <t>Geboortedatum</t>
  </si>
  <si>
    <t>Lidmaatschapcode</t>
  </si>
  <si>
    <t>Geslacht</t>
  </si>
  <si>
    <t>200</t>
  </si>
  <si>
    <t>definitief</t>
  </si>
  <si>
    <t>M</t>
  </si>
  <si>
    <t>203</t>
  </si>
  <si>
    <t>202</t>
  </si>
  <si>
    <t>Debita Moerman</t>
  </si>
  <si>
    <t>V</t>
  </si>
  <si>
    <t>204</t>
  </si>
  <si>
    <t>210</t>
  </si>
  <si>
    <t>af te melden</t>
  </si>
  <si>
    <t>220</t>
  </si>
  <si>
    <t>230</t>
  </si>
  <si>
    <t>Sander Heersping</t>
  </si>
  <si>
    <t>Merlijn Wit, de</t>
  </si>
  <si>
    <t>240</t>
  </si>
  <si>
    <t>Pijltabel</t>
  </si>
  <si>
    <t>24/25</t>
  </si>
  <si>
    <t>Jaartal</t>
  </si>
  <si>
    <t>Leeftijd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</si>
</sst>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 tint="0.79998168889431442"/>
      </right>
      <top style="medium">
        <color theme="5"/>
      </top>
      <bottom style="thin">
        <color theme="5" tint="0.79998168889431442"/>
      </bottom>
      <diagonal/>
    </border>
    <border>
      <left style="thin">
        <color theme="5" tint="0.79998168889431442"/>
      </left>
      <right style="thin">
        <color theme="5" tint="0.79998168889431442"/>
      </right>
      <top style="medium">
        <color theme="5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theme="5"/>
      </right>
      <top style="medium">
        <color theme="5"/>
      </top>
      <bottom style="thin">
        <color theme="5" tint="0.79998168889431442"/>
      </bottom>
      <diagonal/>
    </border>
    <border>
      <left style="medium">
        <color theme="5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theme="5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thin">
        <color theme="5" tint="0.79998168889431442"/>
      </bottom>
      <diagonal/>
    </border>
    <border>
      <left style="medium">
        <color theme="5"/>
      </left>
      <right style="medium">
        <color theme="5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/>
      </left>
      <right/>
      <top style="thin">
        <color theme="5" tint="0.79998168889431442"/>
      </top>
      <bottom style="thin">
        <color theme="5" tint="0.79998168889431442"/>
      </bottom>
      <diagonal/>
    </border>
  </borders>
  <cellStyleXfs count="1">
    <xf numFmtId="0" fontId="0" fillId="0" borderId="0"/>
  </cellStyleXfs>
  <cellXfs count="117">
    <xf numFmtId="0" fontId="0" fillId="0" borderId="0" xfId="0"/>
    <xf numFmtId="14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0" xfId="0" applyFill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4" borderId="13" xfId="0" applyFont="1" applyFill="1" applyBorder="1"/>
    <xf numFmtId="164" fontId="1" fillId="5" borderId="3" xfId="0" applyNumberFormat="1" applyFont="1" applyFill="1" applyBorder="1"/>
    <xf numFmtId="0" fontId="0" fillId="4" borderId="20" xfId="0" applyFill="1" applyBorder="1"/>
    <xf numFmtId="0" fontId="0" fillId="0" borderId="20" xfId="0" applyBorder="1"/>
    <xf numFmtId="14" fontId="0" fillId="4" borderId="20" xfId="0" applyNumberFormat="1" applyFill="1" applyBorder="1"/>
    <xf numFmtId="14" fontId="0" fillId="0" borderId="20" xfId="0" applyNumberFormat="1" applyBorder="1"/>
    <xf numFmtId="14" fontId="0" fillId="4" borderId="0" xfId="0" applyNumberFormat="1" applyFill="1"/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2" xfId="0" applyFont="1" applyBorder="1" applyAlignment="1">
      <alignment horizontal="center" wrapText="1"/>
    </xf>
    <xf numFmtId="14" fontId="3" fillId="0" borderId="22" xfId="0" applyNumberFormat="1" applyFont="1" applyBorder="1"/>
    <xf numFmtId="0" fontId="3" fillId="0" borderId="23" xfId="0" applyFont="1" applyBorder="1" applyAlignment="1">
      <alignment wrapText="1"/>
    </xf>
    <xf numFmtId="0" fontId="3" fillId="0" borderId="24" xfId="0" applyFont="1" applyBorder="1"/>
    <xf numFmtId="0" fontId="3" fillId="0" borderId="25" xfId="0" applyFont="1" applyBorder="1"/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0" borderId="26" xfId="0" applyFont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0" fontId="3" fillId="0" borderId="28" xfId="0" applyFont="1" applyBorder="1" applyAlignment="1">
      <alignment horizontal="center"/>
    </xf>
    <xf numFmtId="14" fontId="3" fillId="0" borderId="28" xfId="0" applyNumberFormat="1" applyFont="1" applyBorder="1"/>
    <xf numFmtId="0" fontId="1" fillId="0" borderId="0" xfId="0" applyFont="1"/>
    <xf numFmtId="0" fontId="6" fillId="0" borderId="0" xfId="0" applyFont="1"/>
    <xf numFmtId="0" fontId="0" fillId="0" borderId="24" xfId="0" applyBorder="1"/>
    <xf numFmtId="14" fontId="0" fillId="0" borderId="1" xfId="0" applyNumberFormat="1" applyBorder="1"/>
    <xf numFmtId="0" fontId="0" fillId="7" borderId="7" xfId="0" applyFill="1" applyBorder="1"/>
    <xf numFmtId="1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30" xfId="0" applyBorder="1" applyAlignment="1">
      <alignment vertical="top" wrapText="1"/>
    </xf>
    <xf numFmtId="0" fontId="0" fillId="0" borderId="30" xfId="0" applyBorder="1" applyAlignment="1">
      <alignment vertical="top"/>
    </xf>
    <xf numFmtId="0" fontId="0" fillId="0" borderId="31" xfId="0" applyBorder="1"/>
    <xf numFmtId="0" fontId="0" fillId="0" borderId="33" xfId="0" applyBorder="1"/>
    <xf numFmtId="0" fontId="0" fillId="0" borderId="35" xfId="0" applyBorder="1" applyAlignment="1">
      <alignment vertical="top"/>
    </xf>
    <xf numFmtId="0" fontId="0" fillId="0" borderId="36" xfId="0" applyBorder="1"/>
    <xf numFmtId="0" fontId="1" fillId="0" borderId="37" xfId="0" applyFont="1" applyBorder="1"/>
    <xf numFmtId="0" fontId="1" fillId="0" borderId="30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0" fillId="0" borderId="38" xfId="0" applyBorder="1" applyAlignment="1">
      <alignment vertical="top"/>
    </xf>
    <xf numFmtId="0" fontId="0" fillId="0" borderId="35" xfId="0" applyBorder="1"/>
    <xf numFmtId="0" fontId="7" fillId="0" borderId="40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7" fillId="0" borderId="40" xfId="0" applyFont="1" applyBorder="1" applyAlignment="1">
      <alignment vertical="center" wrapText="1"/>
    </xf>
    <xf numFmtId="0" fontId="7" fillId="0" borderId="41" xfId="0" applyFont="1" applyBorder="1" applyAlignment="1">
      <alignment vertical="center" wrapText="1"/>
    </xf>
    <xf numFmtId="0" fontId="0" fillId="9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5" borderId="4" xfId="0" applyFill="1" applyBorder="1"/>
    <xf numFmtId="14" fontId="3" fillId="0" borderId="1" xfId="0" applyNumberFormat="1" applyFont="1" applyBorder="1" applyAlignment="1">
      <alignment horizontal="left"/>
    </xf>
    <xf numFmtId="0" fontId="1" fillId="4" borderId="12" xfId="0" applyFont="1" applyFill="1" applyBorder="1"/>
    <xf numFmtId="0" fontId="0" fillId="0" borderId="15" xfId="0" applyBorder="1"/>
    <xf numFmtId="0" fontId="0" fillId="0" borderId="0" xfId="0" applyAlignment="1">
      <alignment horizontal="left"/>
    </xf>
    <xf numFmtId="0" fontId="0" fillId="10" borderId="0" xfId="0" applyFill="1"/>
    <xf numFmtId="0" fontId="0" fillId="0" borderId="39" xfId="0" applyBorder="1" applyAlignment="1">
      <alignment vertical="top"/>
    </xf>
    <xf numFmtId="0" fontId="0" fillId="0" borderId="0" xfId="0" quotePrefix="1"/>
    <xf numFmtId="14" fontId="3" fillId="0" borderId="28" xfId="0" applyNumberFormat="1" applyFont="1" applyBorder="1" applyAlignment="1">
      <alignment horizontal="right"/>
    </xf>
    <xf numFmtId="0" fontId="3" fillId="0" borderId="26" xfId="0" applyFont="1" applyBorder="1"/>
    <xf numFmtId="0" fontId="0" fillId="5" borderId="38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5" borderId="33" xfId="0" applyFill="1" applyBorder="1"/>
    <xf numFmtId="0" fontId="0" fillId="5" borderId="1" xfId="0" applyFill="1" applyBorder="1"/>
    <xf numFmtId="0" fontId="0" fillId="5" borderId="42" xfId="0" applyFill="1" applyBorder="1" applyAlignment="1">
      <alignment vertical="top"/>
    </xf>
    <xf numFmtId="0" fontId="0" fillId="5" borderId="28" xfId="0" applyFill="1" applyBorder="1"/>
    <xf numFmtId="0" fontId="0" fillId="5" borderId="43" xfId="0" applyFill="1" applyBorder="1"/>
    <xf numFmtId="0" fontId="0" fillId="5" borderId="39" xfId="0" applyFill="1" applyBorder="1" applyAlignment="1">
      <alignment vertical="top"/>
    </xf>
    <xf numFmtId="0" fontId="0" fillId="5" borderId="35" xfId="0" applyFill="1" applyBorder="1"/>
    <xf numFmtId="0" fontId="0" fillId="5" borderId="36" xfId="0" applyFill="1" applyBorder="1"/>
    <xf numFmtId="14" fontId="0" fillId="0" borderId="28" xfId="0" applyNumberFormat="1" applyBorder="1"/>
    <xf numFmtId="0" fontId="3" fillId="0" borderId="1" xfId="0" quotePrefix="1" applyFont="1" applyBorder="1" applyAlignment="1">
      <alignment horizontal="center"/>
    </xf>
    <xf numFmtId="0" fontId="1" fillId="4" borderId="14" xfId="0" applyFont="1" applyFill="1" applyBorder="1"/>
    <xf numFmtId="0" fontId="0" fillId="3" borderId="3" xfId="0" applyFill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2" fillId="6" borderId="16" xfId="0" applyFont="1" applyFill="1" applyBorder="1" applyAlignment="1">
      <alignment horizontal="center" vertical="center" textRotation="90"/>
    </xf>
    <xf numFmtId="14" fontId="1" fillId="0" borderId="37" xfId="0" applyNumberFormat="1" applyFont="1" applyBorder="1" applyAlignment="1">
      <alignment horizontal="center" vertical="center"/>
    </xf>
    <xf numFmtId="14" fontId="1" fillId="0" borderId="38" xfId="0" applyNumberFormat="1" applyFont="1" applyBorder="1" applyAlignment="1">
      <alignment horizontal="center" vertical="center"/>
    </xf>
    <xf numFmtId="14" fontId="1" fillId="0" borderId="39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14" fontId="1" fillId="0" borderId="32" xfId="0" applyNumberFormat="1" applyFont="1" applyBorder="1" applyAlignment="1">
      <alignment horizontal="center" vertical="center"/>
    </xf>
    <xf numFmtId="14" fontId="1" fillId="0" borderId="34" xfId="0" applyNumberFormat="1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textRotation="90"/>
    </xf>
  </cellXfs>
  <cellStyles count="1">
    <cellStyle name="Standaard" xfId="0" builtinId="0"/>
  </cellStyles>
  <dxfs count="35"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C0F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E9BBE-C725-4F1C-BD01-A039350FEC28}" name="Tabel1" displayName="Tabel1" ref="A1:I167" totalsRowShown="0" headerRowDxfId="34" dataDxfId="33" headerRowBorderDxfId="31" tableBorderDxfId="32" totalsRowBorderDxfId="30">
  <autoFilter ref="A1:I167" xr:uid="{AE6E9BBE-C725-4F1C-BD01-A039350FEC28}"/>
  <sortState xmlns:xlrd2="http://schemas.microsoft.com/office/spreadsheetml/2017/richdata2" ref="A2:I167">
    <sortCondition ref="B1:B167"/>
  </sortState>
  <tableColumns count="9">
    <tableColumn id="1" xr3:uid="{DAD90888-E12D-4FE7-96A0-7F4BFF04D99D}" name="Rel.nr" dataDxfId="29"/>
    <tableColumn id="2" xr3:uid="{D9B86D9B-3872-43E4-B56E-B6D22C092B3D}" name="Naam &amp; Initialen)" dataDxfId="28"/>
    <tableColumn id="3" xr3:uid="{CFC207A0-0670-4B58-A13D-75317CFE7CA0}" name="Roepnaam" dataDxfId="27"/>
    <tableColumn id="4" xr3:uid="{4B4FD741-0429-4F2D-B9C5-42EED222BB21}" name="Leeftijd Peildatum" dataDxfId="26">
      <calculatedColumnFormula>VLOOKUP(YEAR(Tabel1[[#This Row],[Geb datum]]),Tabel8[#All],2,FALSE)</calculatedColumnFormula>
    </tableColumn>
    <tableColumn id="5" xr3:uid="{671D7D19-9841-4CCC-9AE4-344DB8604D3E}" name="Geb datum" dataDxfId="25"/>
    <tableColumn id="6" xr3:uid="{6D5D68BF-CD98-4A54-AB00-D70A65528EAB}" name="Team op Peildatum" dataDxfId="24">
      <calculatedColumnFormula>VLOOKUP(YEAR(Tabel1[[#This Row],[Geb datum]]),Tabel8[#All],3,FALSE)</calculatedColumnFormula>
    </tableColumn>
    <tableColumn id="7" xr3:uid="{08FA66E4-6DA5-4CB2-8E6E-0FD40911EDEA}" name="Team 24-25" dataDxfId="23"/>
    <tableColumn id="10" xr3:uid="{E050B8F8-294D-4103-89CA-DBE14B263FDE}" name="Team 23-24" dataDxfId="22"/>
    <tableColumn id="8" xr3:uid="{4059E91F-D872-4761-905F-839B29A8AAD5}" name="AR" dataDxfId="2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46C684-F586-4B64-BE6C-6ADE40A70A37}" name="Tabel3" displayName="Tabel3" ref="K1:S152" totalsRowShown="0" headerRowDxfId="20" dataDxfId="19" headerRowBorderDxfId="17" tableBorderDxfId="18" totalsRowBorderDxfId="16">
  <autoFilter ref="K1:S152" xr:uid="{4B46C684-F586-4B64-BE6C-6ADE40A70A37}"/>
  <sortState xmlns:xlrd2="http://schemas.microsoft.com/office/spreadsheetml/2017/richdata2" ref="K2:S152">
    <sortCondition ref="L1:L152"/>
  </sortState>
  <tableColumns count="9">
    <tableColumn id="1" xr3:uid="{39F9CA59-15DF-4038-A3D0-F30CE46BB845}" name="Rel.nr" dataDxfId="15"/>
    <tableColumn id="2" xr3:uid="{E4A71CD9-07CE-46AC-9546-D216D4E285ED}" name="Naam &amp; Initialen" dataDxfId="14"/>
    <tableColumn id="3" xr3:uid="{B1BB36A2-7C76-49C9-8DEB-279B073BDB6C}" name="Roepnaam" dataDxfId="13"/>
    <tableColumn id="4" xr3:uid="{CE56645C-EDBF-4F56-90C1-7F5123429BDC}" name="Leeftijd Peildatum" dataDxfId="12">
      <calculatedColumnFormula>VLOOKUP(YEAR(Tabel3[[#This Row],[Geb datum]]),Tabel8[#All],2,FALSE)</calculatedColumnFormula>
    </tableColumn>
    <tableColumn id="5" xr3:uid="{6BE2106D-00C6-41F4-A7DA-6E00DA33CA3D}" name="Geb datum" dataDxfId="11"/>
    <tableColumn id="6" xr3:uid="{92951544-1477-4890-995E-AAB450B80516}" name="Team op Peildatum" dataDxfId="10">
      <calculatedColumnFormula>VLOOKUP(YEAR(Tabel3[[#This Row],[Geb datum]]),Tabel8[#All],3,FALSE)</calculatedColumnFormula>
    </tableColumn>
    <tableColumn id="7" xr3:uid="{B275FF8B-3F2F-4977-A3EC-117059BE15C7}" name="Team 24-25" dataDxfId="9"/>
    <tableColumn id="10" xr3:uid="{EFEA58FD-932C-4942-AC5F-1AFB98BD08C6}" name="Team 23-24" dataDxfId="8"/>
    <tableColumn id="8" xr3:uid="{6A33BB6B-B238-4E49-9ADF-87306C92EF3E}" name="AR" dataDxfId="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9AF53-1EE6-4B39-9B64-3F02F0D774AB}" name="Tabel2" displayName="Tabel2" ref="A1:F85" totalsRowShown="0">
  <autoFilter ref="A1:F85" xr:uid="{E269AF53-1EE6-4B39-9B64-3F02F0D774AB}"/>
  <sortState xmlns:xlrd2="http://schemas.microsoft.com/office/spreadsheetml/2017/richdata2" ref="A2:F78">
    <sortCondition ref="B2:B78"/>
    <sortCondition ref="C2:C78" customList="Trainer/Coach S1,Trainer/Coach S2,Trainer/Coach S4,Trainer/Coach S5,Trainer/Coach A1,Trainer/Coach A2,Trainer/Coach B1,Trainer/Coach B2,Hoofd trainer/coach F,Trainer/Coach,Assistent-trainer,Teambegeleider S1,Teambegeleider S2,Teambegeleider,Ondersteuning,Analist S1,Fysio,Verzorger,Begeleide"/>
  </sortState>
  <tableColumns count="6">
    <tableColumn id="1" xr3:uid="{F4E38EE9-E2FC-4DCA-B87D-D17E9FD692D4}" name="Naam"/>
    <tableColumn id="2" xr3:uid="{E0C059FB-2261-46E4-8C50-90A4F5ABD7DD}" name="Team"/>
    <tableColumn id="3" xr3:uid="{67CE2758-1409-40A2-8A95-2CBB5A36DB73}" name="Functie"/>
    <tableColumn id="4" xr3:uid="{64EA5507-E898-44C2-B83B-BFCAFEEFA8A6}" name="eigen team"/>
    <tableColumn id="6" xr3:uid="{ACAEE753-D911-4971-83AE-435141B09E91}" name="team vorig jaar"/>
    <tableColumn id="5" xr3:uid="{75C6463C-DB32-427D-94DD-9D29F902A228}" name="Niveau 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628C8C-BCCD-4FC7-A5B4-5360C09A208A}" name="Tabel7" displayName="Tabel7" ref="B2:C11" totalsRowShown="0">
  <autoFilter ref="B2:C11" xr:uid="{F8628C8C-BCCD-4FC7-A5B4-5360C09A208A}"/>
  <tableColumns count="2">
    <tableColumn id="1" xr3:uid="{1B390E14-F8E2-4F54-A08F-8AA23E2A9984}" name="Dames"/>
    <tableColumn id="2" xr3:uid="{61C13FE2-AC50-4E71-9818-B40B53590669}" name="Aantal">
      <calculatedColumnFormula>COUNTIF(Spelerslijst!F:F,Count!B3)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FDAF4D-8C00-4043-9290-7D80FB3211E8}" name="Tabel9" displayName="Tabel9" ref="E2:F11" totalsRowShown="0">
  <autoFilter ref="E2:F11" xr:uid="{DEFDAF4D-8C00-4043-9290-7D80FB3211E8}"/>
  <tableColumns count="2">
    <tableColumn id="1" xr3:uid="{39B40BC4-DC06-4D24-BB91-A3D811BEBF48}" name="Heren"/>
    <tableColumn id="2" xr3:uid="{2A34FA23-05E2-42E4-99A9-1156E1DCED66}" name="Aantal">
      <calculatedColumnFormula>COUNTIF(Spelerslijst!P:P,Count!E3)</calculatedColumn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2E077B-EFDB-4BE9-95F0-C5851D1F372D}" name="Tabel4" displayName="Tabel4" ref="A1:J283" totalsRowShown="0">
  <autoFilter ref="A1:J283" xr:uid="{DB2E077B-EFDB-4BE9-95F0-C5851D1F372D}">
    <filterColumn colId="9">
      <filters>
        <filter val="M"/>
      </filters>
    </filterColumn>
  </autoFilter>
  <tableColumns count="10">
    <tableColumn id="1" xr3:uid="{390FA4D9-7F0A-4BB6-A140-982BB6D7A811}" name="Check V">
      <calculatedColumnFormula>_xlfn.IFNA(VLOOKUP(D2,Spelerslijst!A:B,1,FALSE),FALSE)</calculatedColumnFormula>
    </tableColumn>
    <tableColumn id="2" xr3:uid="{977EBCCD-91E1-4DCC-99C6-8CCFED16D1DF}" name="Check M">
      <calculatedColumnFormula>_xlfn.IFNA(VLOOKUP(D2,Spelerslijst!K:L,1,FALSE),FALSE)</calculatedColumnFormula>
    </tableColumn>
    <tableColumn id="3" xr3:uid="{B2966DC8-CE2C-4EB3-B74E-4061D9D554EB}" name="Check">
      <calculatedColumnFormula>IF(AND(A2=FALSE,B2=FALSE),"Onbekend","")</calculatedColumnFormula>
    </tableColumn>
    <tableColumn id="4" xr3:uid="{F4AA3EB5-2D93-4AF4-B8FE-0E77F21A9F25}" name="Relatiecode"/>
    <tableColumn id="5" xr3:uid="{14C2EDE9-3848-49D1-A70E-D143B5F976F0}" name="Volledige naam (2)"/>
    <tableColumn id="6" xr3:uid="{54ABA6FA-6424-483D-A4A0-960F613D68CF}" name="Roepnaam"/>
    <tableColumn id="7" xr3:uid="{7A2406CC-946C-434C-A196-2EBD2FA91D0E}" name="Geboortedatum" dataDxfId="6"/>
    <tableColumn id="8" xr3:uid="{0F2F822A-F4FB-4A73-A7DF-1D774843FA5A}" name="Lidmaatschapcode"/>
    <tableColumn id="9" xr3:uid="{73148EA2-0DFD-45B9-9AE6-4E916BF63EF5}" name="Status"/>
    <tableColumn id="10" xr3:uid="{E55C5606-DF07-402F-A1B5-A1C7640C3644}" name="Geslacht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279E89-959C-4714-883A-F89E51BDA26F}" name="leden" displayName="leden" ref="A1:G481" totalsRowShown="0">
  <autoFilter ref="A1:G481" xr:uid="{4E279E89-959C-4714-883A-F89E51BDA26F}"/>
  <sortState xmlns:xlrd2="http://schemas.microsoft.com/office/spreadsheetml/2017/richdata2" ref="A2:G481">
    <sortCondition ref="B1:B481"/>
  </sortState>
  <tableColumns count="7">
    <tableColumn id="1" xr3:uid="{A742683D-A38B-4A68-B88D-712F7B708810}" name="Relatiecode" dataDxfId="5"/>
    <tableColumn id="2" xr3:uid="{C139250B-3C78-4E04-9AF9-0FBFB22516A5}" name="Volledige naam (2)" dataDxfId="4"/>
    <tableColumn id="3" xr3:uid="{2AA56838-2700-4E0E-954D-284A07FE7CD5}" name="Roepnaam" dataDxfId="3"/>
    <tableColumn id="4" xr3:uid="{1A3BD2E5-AE62-4B29-847F-8FBDA5DF7209}" name="Geboortedatum" dataDxfId="2"/>
    <tableColumn id="5" xr3:uid="{89565097-8C85-48B3-ADEF-37950D086E41}" name="Lidmaatschapcode"/>
    <tableColumn id="6" xr3:uid="{D5FECF69-F75F-4C4E-95C0-E1DB6795F794}" name="Status" dataDxfId="1"/>
    <tableColumn id="7" xr3:uid="{95EA97AB-8610-4782-A5B7-36A59B284C5C}" name="Geslacht" dataDxfId="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D57A63-77EA-4177-9A7F-236BACEC798E}" name="Tabel8" displayName="Tabel8" ref="A2:C76" totalsRowShown="0">
  <autoFilter ref="A2:C76" xr:uid="{00D57A63-77EA-4177-9A7F-236BACEC798E}"/>
  <tableColumns count="3">
    <tableColumn id="1" xr3:uid="{9A321647-84D2-456C-B9F0-ED42F3DDCE97}" name="Jaartal"/>
    <tableColumn id="2" xr3:uid="{5C825974-8B28-4C9E-8B3F-96D82C0CEA46}" name="Leeftijd"/>
    <tableColumn id="3" xr3:uid="{5A30BC24-B032-4AAA-AB53-9C5A94DCFD6C}" name="Categori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8073-5F9E-4B29-B2F6-04C6098E941D}">
  <sheetPr>
    <tabColor theme="9"/>
  </sheetPr>
  <dimension ref="A1:BD140"/>
  <sheetViews>
    <sheetView topLeftCell="B1" zoomScale="80" zoomScaleNormal="80" workbookViewId="0">
      <selection activeCell="W13" sqref="W13"/>
    </sheetView>
  </sheetViews>
  <sheetFormatPr defaultColWidth="8.7109375" defaultRowHeight="15"/>
  <cols>
    <col min="1" max="1" width="4.7109375" customWidth="1"/>
    <col min="2" max="2" width="24.7109375" customWidth="1"/>
    <col min="3" max="3" width="7.42578125" bestFit="1" customWidth="1"/>
    <col min="4" max="4" width="4.7109375" customWidth="1"/>
    <col min="5" max="5" width="24.7109375" customWidth="1"/>
    <col min="6" max="6" width="6.7109375" bestFit="1" customWidth="1"/>
    <col min="7" max="7" width="4.7109375" customWidth="1"/>
    <col min="8" max="8" width="3.42578125" customWidth="1"/>
    <col min="9" max="9" width="24.7109375" customWidth="1"/>
    <col min="10" max="10" width="12.140625" customWidth="1"/>
    <col min="11" max="11" width="4.7109375" customWidth="1"/>
    <col min="12" max="12" width="24.7109375" customWidth="1"/>
    <col min="13" max="13" width="7.42578125" bestFit="1" customWidth="1"/>
    <col min="14" max="14" width="4.7109375" customWidth="1"/>
    <col min="15" max="15" width="3.42578125" customWidth="1"/>
    <col min="16" max="16" width="24.7109375" customWidth="1"/>
    <col min="17" max="17" width="8.7109375" bestFit="1" customWidth="1"/>
    <col min="18" max="18" width="4.7109375" customWidth="1"/>
    <col min="19" max="19" width="24.7109375" customWidth="1"/>
    <col min="20" max="20" width="8.7109375" bestFit="1" customWidth="1"/>
    <col min="21" max="21" width="4.7109375" customWidth="1"/>
    <col min="22" max="22" width="3.42578125" customWidth="1"/>
    <col min="23" max="23" width="24.7109375" customWidth="1"/>
    <col min="24" max="24" width="8.7109375" bestFit="1" customWidth="1"/>
    <col min="25" max="25" width="4.7109375" customWidth="1"/>
    <col min="26" max="26" width="24.7109375" customWidth="1"/>
    <col min="27" max="27" width="8.7109375" bestFit="1" customWidth="1"/>
    <col min="28" max="28" width="4.7109375" customWidth="1"/>
    <col min="29" max="29" width="3.7109375" customWidth="1"/>
    <col min="30" max="30" width="24.7109375" customWidth="1"/>
    <col min="31" max="31" width="8.7109375" bestFit="1" customWidth="1"/>
    <col min="32" max="32" width="4.7109375" customWidth="1"/>
    <col min="33" max="33" width="24.7109375" customWidth="1"/>
    <col min="34" max="34" width="8.7109375" bestFit="1" customWidth="1"/>
    <col min="35" max="35" width="5.28515625" customWidth="1"/>
    <col min="36" max="36" width="3.7109375" customWidth="1"/>
    <col min="37" max="37" width="24.7109375" customWidth="1"/>
    <col min="38" max="38" width="8.7109375" bestFit="1" customWidth="1"/>
    <col min="39" max="39" width="4.7109375" customWidth="1"/>
    <col min="40" max="40" width="24.7109375" customWidth="1"/>
    <col min="41" max="41" width="8.7109375" bestFit="1" customWidth="1"/>
    <col min="42" max="42" width="4.7109375" customWidth="1"/>
    <col min="43" max="43" width="4.28515625" customWidth="1"/>
    <col min="44" max="44" width="24.7109375" customWidth="1"/>
    <col min="45" max="45" width="8.7109375" bestFit="1" customWidth="1"/>
    <col min="46" max="46" width="4.7109375" customWidth="1"/>
    <col min="47" max="47" width="24.7109375" customWidth="1"/>
    <col min="48" max="48" width="8.7109375" bestFit="1" customWidth="1"/>
    <col min="49" max="49" width="4.7109375" customWidth="1"/>
    <col min="51" max="51" width="24.7109375" customWidth="1"/>
    <col min="53" max="53" width="4.7109375" customWidth="1"/>
    <col min="54" max="54" width="24.7109375" customWidth="1"/>
    <col min="56" max="56" width="4.7109375" customWidth="1"/>
  </cols>
  <sheetData>
    <row r="1" spans="1:28" ht="13.5" customHeight="1" thickBot="1"/>
    <row r="2" spans="1:28" ht="15.75" customHeight="1" thickBot="1">
      <c r="A2" s="109" t="s">
        <v>0</v>
      </c>
      <c r="B2" s="21" t="s">
        <v>1</v>
      </c>
      <c r="C2" s="21"/>
      <c r="D2" s="21"/>
      <c r="E2" s="21"/>
      <c r="F2" s="21"/>
      <c r="G2" s="22">
        <f>AVERAGE(D4:D24,G4:G24)</f>
        <v>22.458333333333332</v>
      </c>
      <c r="I2" s="21" t="s">
        <v>2</v>
      </c>
      <c r="J2" s="21"/>
      <c r="K2" s="21"/>
      <c r="L2" s="21"/>
      <c r="M2" s="21"/>
      <c r="N2" s="22">
        <f>AVERAGE(K4:K24,N4:N24)</f>
        <v>16.476190476190474</v>
      </c>
      <c r="P2" s="21" t="s">
        <v>3</v>
      </c>
      <c r="Q2" s="21"/>
      <c r="R2" s="21"/>
      <c r="S2" s="21"/>
      <c r="T2" s="21"/>
      <c r="U2" s="22">
        <f>AVERAGE(R4:R24,U4:U24)</f>
        <v>14.5</v>
      </c>
      <c r="W2" s="21" t="s">
        <v>4</v>
      </c>
      <c r="X2" s="21"/>
      <c r="Y2" s="21"/>
      <c r="Z2" s="21"/>
      <c r="AA2" s="21"/>
      <c r="AB2" s="22" t="e">
        <f>AVERAGE(Y4:Y24,AB4:AB24)</f>
        <v>#DIV/0!</v>
      </c>
    </row>
    <row r="3" spans="1:28" ht="15.95" thickBot="1">
      <c r="A3" s="109"/>
      <c r="B3" s="8" t="str">
        <f>CONCATENATE("Dames (",COUNTA(C4:C19),")")</f>
        <v>Dames (12)</v>
      </c>
      <c r="C3" s="9"/>
      <c r="D3" s="10"/>
      <c r="E3" s="8" t="str">
        <f>CONCATENATE("Heren (",COUNTA(F4:F19),")")</f>
        <v>Heren (12)</v>
      </c>
      <c r="F3" s="9"/>
      <c r="G3" s="10"/>
      <c r="I3" s="8" t="str">
        <f>CONCATENATE("Dames (",COUNTA(J4:J19),")")</f>
        <v>Dames (9)</v>
      </c>
      <c r="J3" s="9"/>
      <c r="K3" s="10"/>
      <c r="L3" s="8" t="str">
        <f>CONCATENATE("Heren (",COUNTA(M4:M19),")")</f>
        <v>Heren (12)</v>
      </c>
      <c r="M3" s="9"/>
      <c r="N3" s="10"/>
      <c r="P3" s="8" t="str">
        <f>CONCATENATE("Dames (",COUNTA(Q4:Q19),")")</f>
        <v>Dames (9)</v>
      </c>
      <c r="Q3" s="9"/>
      <c r="R3" s="10"/>
      <c r="S3" s="8" t="str">
        <f>CONCATENATE("Heren (",COUNTA(T4:T19),")")</f>
        <v>Heren (9)</v>
      </c>
      <c r="T3" s="9"/>
      <c r="U3" s="10"/>
      <c r="W3" s="8" t="str">
        <f>CONCATENATE("Dames (",COUNTA(X4:X19),")")</f>
        <v>Dames (1)</v>
      </c>
      <c r="X3" s="9"/>
      <c r="Y3" s="10"/>
      <c r="Z3" s="8" t="str">
        <f>CONCATENATE("Heren (",COUNTA(AA4:AA19),")")</f>
        <v>Heren (1)</v>
      </c>
      <c r="AA3" s="9"/>
      <c r="AB3" s="10"/>
    </row>
    <row r="4" spans="1:28">
      <c r="A4" s="109"/>
      <c r="B4" s="3" t="str" cm="1">
        <f t="array" ref="B4:B15">_xlfn._xlws.FILTER(Spelerslijst!$B:$B,Spelerslijst!$G:$G=B$2,"")</f>
        <v>Demi van Dijk</v>
      </c>
      <c r="C4" s="4" t="str" cm="1">
        <f t="array" ref="C4:C15">_xlfn._xlws.FILTER(Spelerslijst!$H:$H,Spelerslijst!$G:$G=B$2,"")</f>
        <v>S2</v>
      </c>
      <c r="D4" s="5" cm="1">
        <f t="array" ref="D4:D15">_xlfn._xlws.FILTER(Spelerslijst!$D:$D,Spelerslijst!$G:$G=B$2,"")</f>
        <v>23</v>
      </c>
      <c r="E4" s="3" t="str" cm="1">
        <f t="array" ref="E4:E15">_xlfn._xlws.FILTER(Spelerslijst!$L:$L,Spelerslijst!$Q:$Q=B$2,"")</f>
        <v>Bart Driesprong</v>
      </c>
      <c r="F4" s="4" t="str" cm="1">
        <f t="array" ref="F4:F15">_xlfn._xlws.FILTER(Spelerslijst!$R:$R,Spelerslijst!$Q:$Q=B$2,"")</f>
        <v>S1</v>
      </c>
      <c r="G4" s="5" cm="1">
        <f t="array" ref="G4:G15">_xlfn._xlws.FILTER(Spelerslijst!$N:$N,Spelerslijst!$Q:$Q=B$2,"")</f>
        <v>26</v>
      </c>
      <c r="I4" s="3" t="str" cm="1">
        <f t="array" ref="I4:I12">_xlfn._xlws.FILTER(Spelerslijst!$B:$B,Spelerslijst!$G:$G=I$2,"")</f>
        <v>Amber de Haas</v>
      </c>
      <c r="J4" s="4" t="str" cm="1">
        <f t="array" ref="J4:J12">_xlfn._xlws.FILTER(Spelerslijst!$H:$H,Spelerslijst!$G:$G=I$2,"")</f>
        <v>A1</v>
      </c>
      <c r="K4" s="5" cm="1">
        <f t="array" ref="K4:K12">_xlfn._xlws.FILTER(Spelerslijst!$D:$D,Spelerslijst!$G:$G=I$2,"")</f>
        <v>17</v>
      </c>
      <c r="L4" s="3" t="str" cm="1">
        <f t="array" ref="L4:L15">_xlfn._xlws.FILTER(Spelerslijst!$L:$L,Spelerslijst!$Q:$Q=I$2,"")</f>
        <v>Dani Heersping</v>
      </c>
      <c r="M4" s="4" t="str" cm="1">
        <f t="array" ref="M4:M15">_xlfn._xlws.FILTER(Spelerslijst!$R:$R,Spelerslijst!$Q:$Q=I$2,"")</f>
        <v>B2</v>
      </c>
      <c r="N4" s="5" cm="1">
        <f t="array" ref="N4:N15">_xlfn._xlws.FILTER(Spelerslijst!$N:$N,Spelerslijst!$Q:$Q=I$2,"")</f>
        <v>16</v>
      </c>
      <c r="P4" s="3" t="str" cm="1">
        <f t="array" ref="P4:P12">_xlfn._xlws.FILTER(Spelerslijst!$B:$B,Spelerslijst!$G:$G=P$2,"")</f>
        <v>Danique van der Klooster</v>
      </c>
      <c r="Q4" s="4" t="str" cm="1">
        <f t="array" ref="Q4:Q12">_xlfn._xlws.FILTER(Spelerslijst!$H:$H,Spelerslijst!$G:$G=P$2,"")</f>
        <v>C1</v>
      </c>
      <c r="R4" s="5" cm="1">
        <f t="array" ref="R4:R12">_xlfn._xlws.FILTER(Spelerslijst!$D:$D,Spelerslijst!$G:$G=P$2,"")</f>
        <v>14</v>
      </c>
      <c r="S4" s="3" t="str" cm="1">
        <f t="array" ref="S4:S12">_xlfn._xlws.FILTER(Spelerslijst!$L:$L,Spelerslijst!$Q:$Q=P$2,"")</f>
        <v>Diederik Hovestadt</v>
      </c>
      <c r="T4" s="4" t="str" cm="1">
        <f t="array" ref="T4:T12">_xlfn._xlws.FILTER(Spelerslijst!$R:$R,Spelerslijst!$Q:$Q=P$2,"")</f>
        <v>C2</v>
      </c>
      <c r="U4" s="5" cm="1">
        <f t="array" ref="U4:U12">_xlfn._xlws.FILTER(Spelerslijst!$N:$N,Spelerslijst!$Q:$Q=P$2,"")</f>
        <v>15</v>
      </c>
      <c r="W4" s="3" t="str" cm="1">
        <f t="array" ref="W4">_xlfn._xlws.FILTER(Spelerslijst!$B:$B,Spelerslijst!$G:$G=W$2,"")</f>
        <v/>
      </c>
      <c r="X4" s="4" t="str" cm="1">
        <f t="array" ref="X4">_xlfn._xlws.FILTER(Spelerslijst!$H:$H,Spelerslijst!$G:$G=W$2,"")</f>
        <v/>
      </c>
      <c r="Y4" s="5" t="str" cm="1">
        <f t="array" ref="Y4">_xlfn._xlws.FILTER(Spelerslijst!$D:$D,Spelerslijst!$G:$G=W$2,"")</f>
        <v/>
      </c>
      <c r="Z4" s="3" t="str" cm="1">
        <f t="array" ref="Z4">_xlfn._xlws.FILTER(Spelerslijst!$L:$L,Spelerslijst!$Q:$Q=W$2,"")</f>
        <v/>
      </c>
      <c r="AA4" s="4" t="str" cm="1">
        <f t="array" ref="AA4">_xlfn._xlws.FILTER(Spelerslijst!$R:$R,Spelerslijst!$Q:$Q=W$2,"")</f>
        <v/>
      </c>
      <c r="AB4" s="5" t="str" cm="1">
        <f t="array" ref="AB4">_xlfn._xlws.FILTER(Spelerslijst!$N:$N,Spelerslijst!$Q:$Q=W$2,"")</f>
        <v/>
      </c>
    </row>
    <row r="5" spans="1:28">
      <c r="A5" s="109"/>
      <c r="B5" s="6" t="str">
        <v>Eva Teerds</v>
      </c>
      <c r="C5" s="2" t="str">
        <v>S2</v>
      </c>
      <c r="D5" s="7">
        <v>22</v>
      </c>
      <c r="E5" s="6" t="str">
        <v>Bob Mans</v>
      </c>
      <c r="F5" s="2" t="str">
        <v>S2</v>
      </c>
      <c r="G5" s="7">
        <v>28</v>
      </c>
      <c r="I5" s="6" t="str">
        <v>Benthe van der Linden</v>
      </c>
      <c r="J5" s="2" t="str">
        <v>B2</v>
      </c>
      <c r="K5" s="7">
        <v>16</v>
      </c>
      <c r="L5" s="6" t="str">
        <v>Freek van Dongen</v>
      </c>
      <c r="M5" s="2" t="str">
        <v>A2</v>
      </c>
      <c r="N5" s="7">
        <v>17</v>
      </c>
      <c r="P5" s="6" t="str">
        <v>Demi Engelfriet</v>
      </c>
      <c r="Q5" s="2" t="str">
        <v>C1</v>
      </c>
      <c r="R5" s="7">
        <v>14</v>
      </c>
      <c r="S5" s="6" t="str">
        <v>Jarno Bemer</v>
      </c>
      <c r="T5" s="2" t="str">
        <v>B2</v>
      </c>
      <c r="U5" s="7">
        <v>15</v>
      </c>
      <c r="W5" s="6"/>
      <c r="X5" s="2"/>
      <c r="Y5" s="7"/>
      <c r="Z5" s="6"/>
      <c r="AA5" s="2"/>
      <c r="AB5" s="7"/>
    </row>
    <row r="6" spans="1:28">
      <c r="A6" s="109"/>
      <c r="B6" s="6" t="str">
        <v>Iza Wolleswinkel</v>
      </c>
      <c r="C6" s="2" t="str">
        <v>A1</v>
      </c>
      <c r="D6" s="7">
        <v>17</v>
      </c>
      <c r="E6" s="6" t="str">
        <v>Daniel den Uijl</v>
      </c>
      <c r="F6" s="2" t="str">
        <v>S2</v>
      </c>
      <c r="G6" s="7">
        <v>21</v>
      </c>
      <c r="I6" s="6" t="str">
        <v>Carmen van der Klooster</v>
      </c>
      <c r="J6" s="2" t="str">
        <v>B1</v>
      </c>
      <c r="K6" s="7">
        <v>16</v>
      </c>
      <c r="L6" s="6" t="str">
        <v>Jack Zwanenburg</v>
      </c>
      <c r="M6" s="2" t="str">
        <v>A1</v>
      </c>
      <c r="N6" s="7">
        <v>17</v>
      </c>
      <c r="P6" s="6" t="str">
        <v>Demi Lindhout</v>
      </c>
      <c r="Q6" s="2" t="str">
        <v>C1</v>
      </c>
      <c r="R6" s="7">
        <v>14</v>
      </c>
      <c r="S6" s="6" t="str">
        <v>Jasper Sempel</v>
      </c>
      <c r="T6" s="2" t="str">
        <v>B2</v>
      </c>
      <c r="U6" s="7">
        <v>15</v>
      </c>
      <c r="W6" s="6"/>
      <c r="X6" s="2"/>
      <c r="Y6" s="7"/>
      <c r="Z6" s="6"/>
      <c r="AA6" s="2"/>
      <c r="AB6" s="7"/>
    </row>
    <row r="7" spans="1:28">
      <c r="A7" s="109"/>
      <c r="B7" s="6" t="str">
        <v>Lindi Fasbender</v>
      </c>
      <c r="C7" s="2" t="str">
        <v>A2</v>
      </c>
      <c r="D7" s="7">
        <v>19</v>
      </c>
      <c r="E7" s="6" t="str">
        <v>Jens Lohuis</v>
      </c>
      <c r="F7" s="2" t="str">
        <v>A1</v>
      </c>
      <c r="G7" s="7">
        <v>19</v>
      </c>
      <c r="I7" s="6" t="str">
        <v>Doeska Voorbij</v>
      </c>
      <c r="J7" s="2" t="str">
        <v>B1</v>
      </c>
      <c r="K7" s="7">
        <v>16</v>
      </c>
      <c r="L7" s="6" t="str">
        <v>Jarno Valk</v>
      </c>
      <c r="M7" s="2" t="str">
        <v>A1</v>
      </c>
      <c r="N7" s="7">
        <v>17</v>
      </c>
      <c r="P7" s="6" t="str">
        <v>Feline van de Burgt</v>
      </c>
      <c r="Q7" s="2" t="str">
        <v>C2</v>
      </c>
      <c r="R7" s="7">
        <v>14</v>
      </c>
      <c r="S7" s="6" t="str">
        <v>Jonas van de Ven</v>
      </c>
      <c r="T7" s="2" t="str">
        <v>C2</v>
      </c>
      <c r="U7" s="7">
        <v>14</v>
      </c>
      <c r="W7" s="6"/>
      <c r="X7" s="2"/>
      <c r="Y7" s="7"/>
      <c r="Z7" s="6"/>
      <c r="AA7" s="2"/>
      <c r="AB7" s="7"/>
    </row>
    <row r="8" spans="1:28">
      <c r="A8" s="109"/>
      <c r="B8" s="6" t="str">
        <v>Loïs Fernhout</v>
      </c>
      <c r="C8" s="2" t="str">
        <v>S1</v>
      </c>
      <c r="D8" s="7">
        <v>21</v>
      </c>
      <c r="E8" s="6" t="str">
        <v>Joël Wietses</v>
      </c>
      <c r="F8" s="2" t="str">
        <v>A2</v>
      </c>
      <c r="G8" s="7">
        <v>19</v>
      </c>
      <c r="I8" s="6" t="str">
        <v>Elize van de Burgt</v>
      </c>
      <c r="J8" s="2" t="str">
        <v>B2</v>
      </c>
      <c r="K8" s="7">
        <v>16</v>
      </c>
      <c r="L8" s="6" t="str">
        <v>Jordi Vaartmans</v>
      </c>
      <c r="M8" s="2" t="str">
        <v>A1</v>
      </c>
      <c r="N8" s="7">
        <v>18</v>
      </c>
      <c r="P8" s="6" t="str">
        <v>Floor Lohuis</v>
      </c>
      <c r="Q8" s="2" t="str">
        <v>B2</v>
      </c>
      <c r="R8" s="7">
        <v>15</v>
      </c>
      <c r="S8" s="6" t="str">
        <v>Kian Vliet</v>
      </c>
      <c r="T8" s="2" t="str">
        <v>B2</v>
      </c>
      <c r="U8" s="7">
        <v>15</v>
      </c>
      <c r="W8" s="6"/>
      <c r="X8" s="2"/>
      <c r="Y8" s="7"/>
      <c r="Z8" s="6"/>
      <c r="AA8" s="2"/>
      <c r="AB8" s="7"/>
    </row>
    <row r="9" spans="1:28">
      <c r="A9" s="109"/>
      <c r="B9" s="6" t="str">
        <v>Maud van Wensen</v>
      </c>
      <c r="C9" s="2" t="str">
        <v>A2</v>
      </c>
      <c r="D9" s="7">
        <v>19</v>
      </c>
      <c r="E9" s="6" t="str">
        <v>Joeri van Dijk</v>
      </c>
      <c r="F9" s="2" t="str">
        <v>S1</v>
      </c>
      <c r="G9" s="7">
        <v>26</v>
      </c>
      <c r="I9" s="6" t="str">
        <v>Lisa Reuvers</v>
      </c>
      <c r="J9" s="2" t="str">
        <v>B1</v>
      </c>
      <c r="K9" s="7">
        <v>15</v>
      </c>
      <c r="L9" s="6" t="str">
        <v>Lars Visser</v>
      </c>
      <c r="M9" s="2" t="str">
        <v>B1</v>
      </c>
      <c r="N9" s="7">
        <v>16</v>
      </c>
      <c r="P9" s="6" t="str">
        <v>Floortje Jongkind</v>
      </c>
      <c r="Q9" s="2" t="str">
        <v>B3</v>
      </c>
      <c r="R9" s="7">
        <v>14</v>
      </c>
      <c r="S9" s="6" t="str">
        <v>Niek Sas</v>
      </c>
      <c r="T9" s="2" t="str">
        <v>C1</v>
      </c>
      <c r="U9" s="7">
        <v>14</v>
      </c>
      <c r="W9" s="6"/>
      <c r="X9" s="2"/>
      <c r="Y9" s="7"/>
      <c r="Z9" s="6"/>
      <c r="AA9" s="2"/>
      <c r="AB9" s="7"/>
    </row>
    <row r="10" spans="1:28">
      <c r="A10" s="109"/>
      <c r="B10" s="6" t="str">
        <v>Meike Driesprong</v>
      </c>
      <c r="C10" s="2" t="str">
        <v>S1</v>
      </c>
      <c r="D10" s="7">
        <v>20</v>
      </c>
      <c r="E10" s="6" t="str">
        <v>Jordan Timmer</v>
      </c>
      <c r="F10" s="2" t="str">
        <v>S2</v>
      </c>
      <c r="G10" s="7">
        <v>20</v>
      </c>
      <c r="I10" s="6" t="str">
        <v>Merel Manduapessy</v>
      </c>
      <c r="J10" s="2" t="str">
        <v>A1</v>
      </c>
      <c r="K10" s="7">
        <v>17</v>
      </c>
      <c r="L10" s="6" t="str">
        <v>Maarten Sas</v>
      </c>
      <c r="M10" s="2" t="str">
        <v>B1</v>
      </c>
      <c r="N10" s="7">
        <v>16</v>
      </c>
      <c r="P10" s="6" t="str">
        <v>Githa Bemer</v>
      </c>
      <c r="Q10" s="2" t="str">
        <v>B2</v>
      </c>
      <c r="R10" s="7">
        <v>15</v>
      </c>
      <c r="S10" s="6" t="str">
        <v>Onno den Dekker</v>
      </c>
      <c r="T10" s="2" t="str">
        <v>B1</v>
      </c>
      <c r="U10" s="7">
        <v>16</v>
      </c>
      <c r="W10" s="6"/>
      <c r="X10" s="2"/>
      <c r="Y10" s="7"/>
      <c r="Z10" s="6"/>
      <c r="AA10" s="2"/>
      <c r="AB10" s="7"/>
    </row>
    <row r="11" spans="1:28">
      <c r="A11" s="109"/>
      <c r="B11" s="6" t="str">
        <v>Milou Oppe</v>
      </c>
      <c r="C11" s="2" t="str">
        <v>S1</v>
      </c>
      <c r="D11" s="7">
        <v>22</v>
      </c>
      <c r="E11" s="6" t="str">
        <v>Marijn Klink</v>
      </c>
      <c r="F11" s="2" t="str">
        <v>S2</v>
      </c>
      <c r="G11" s="7">
        <v>27</v>
      </c>
      <c r="I11" s="6" t="str">
        <v>Sophie Kilsdonk</v>
      </c>
      <c r="J11" s="2" t="str">
        <v>B1</v>
      </c>
      <c r="K11" s="7">
        <v>16</v>
      </c>
      <c r="L11" s="6" t="str">
        <v>Niek Driesprong</v>
      </c>
      <c r="M11" s="2" t="str">
        <v>B1</v>
      </c>
      <c r="N11" s="7">
        <v>16</v>
      </c>
      <c r="P11" s="6" t="str">
        <v>Julia Kleingeld</v>
      </c>
      <c r="Q11" s="2" t="str">
        <v>C1</v>
      </c>
      <c r="R11" s="7">
        <v>14</v>
      </c>
      <c r="S11" s="6" t="str">
        <v>Thomas Vos</v>
      </c>
      <c r="T11" s="2" t="str">
        <v>C1</v>
      </c>
      <c r="U11" s="7">
        <v>14</v>
      </c>
      <c r="W11" s="6"/>
      <c r="X11" s="2"/>
      <c r="Y11" s="7"/>
      <c r="Z11" s="6"/>
      <c r="AA11" s="2"/>
      <c r="AB11" s="7"/>
    </row>
    <row r="12" spans="1:28">
      <c r="A12" s="109"/>
      <c r="B12" s="6" t="str">
        <v>Robin Dommisse</v>
      </c>
      <c r="C12" s="2" t="str">
        <v>S2</v>
      </c>
      <c r="D12" s="7">
        <v>26</v>
      </c>
      <c r="E12" s="6" t="str">
        <v>Olivier Klink</v>
      </c>
      <c r="F12" s="2" t="str">
        <v>AR</v>
      </c>
      <c r="G12" s="7">
        <v>26</v>
      </c>
      <c r="I12" s="6" t="str">
        <v>Stella Verboom</v>
      </c>
      <c r="J12" s="2" t="str">
        <v>B2</v>
      </c>
      <c r="K12" s="7">
        <v>16</v>
      </c>
      <c r="L12" s="6" t="str">
        <v>Seth van de Burgt</v>
      </c>
      <c r="M12" s="2" t="str">
        <v>A2</v>
      </c>
      <c r="N12" s="7">
        <v>18</v>
      </c>
      <c r="P12" s="6" t="str">
        <v>Noa Stomp</v>
      </c>
      <c r="Q12" s="2" t="str">
        <v>C1</v>
      </c>
      <c r="R12" s="7">
        <v>14</v>
      </c>
      <c r="S12" s="6" t="str">
        <v>Timo Pichel</v>
      </c>
      <c r="T12" s="2" t="str">
        <v>B3</v>
      </c>
      <c r="U12" s="7">
        <v>15</v>
      </c>
      <c r="W12" s="6"/>
      <c r="X12" s="2"/>
      <c r="Y12" s="7"/>
      <c r="Z12" s="6"/>
      <c r="AA12" s="2"/>
      <c r="AB12" s="7"/>
    </row>
    <row r="13" spans="1:28">
      <c r="A13" s="109"/>
      <c r="B13" s="6" t="str">
        <v>Roos Groeneweg</v>
      </c>
      <c r="C13" s="2" t="str">
        <v>A1</v>
      </c>
      <c r="D13" s="7">
        <v>19</v>
      </c>
      <c r="E13" s="6" t="str">
        <v>Robin van Kalkeren</v>
      </c>
      <c r="F13" s="2" t="str">
        <v>S1</v>
      </c>
      <c r="G13" s="7">
        <v>28</v>
      </c>
      <c r="I13" s="6"/>
      <c r="J13" s="2"/>
      <c r="K13" s="7"/>
      <c r="L13" s="6" t="str">
        <v>Tijn Bäcker</v>
      </c>
      <c r="M13" s="2" t="str">
        <v>A2</v>
      </c>
      <c r="N13" s="7">
        <v>17</v>
      </c>
      <c r="P13" s="6"/>
      <c r="Q13" s="2"/>
      <c r="R13" s="7"/>
      <c r="S13" s="6"/>
      <c r="T13" s="2"/>
      <c r="U13" s="7"/>
      <c r="W13" s="6"/>
      <c r="X13" s="2"/>
      <c r="Y13" s="7"/>
      <c r="Z13" s="6"/>
      <c r="AA13" s="2"/>
      <c r="AB13" s="7"/>
    </row>
    <row r="14" spans="1:28">
      <c r="A14" s="109"/>
      <c r="B14" s="6" t="str">
        <v>Sara Boshoven</v>
      </c>
      <c r="C14" s="2" t="str">
        <v>A1</v>
      </c>
      <c r="D14" s="7">
        <v>19</v>
      </c>
      <c r="E14" s="6" t="str">
        <v>Senne Koster</v>
      </c>
      <c r="F14" s="2" t="str">
        <v>A1</v>
      </c>
      <c r="G14" s="7">
        <v>19</v>
      </c>
      <c r="I14" s="6"/>
      <c r="J14" s="2"/>
      <c r="K14" s="7"/>
      <c r="L14" s="6" t="str">
        <v>Tijn Camphens</v>
      </c>
      <c r="M14" s="2" t="str">
        <v>B2</v>
      </c>
      <c r="N14" s="7">
        <v>16</v>
      </c>
      <c r="P14" s="6"/>
      <c r="Q14" s="2"/>
      <c r="R14" s="7"/>
      <c r="S14" s="6"/>
      <c r="T14" s="2"/>
      <c r="U14" s="7"/>
      <c r="W14" s="6"/>
      <c r="X14" s="2"/>
      <c r="Y14" s="7"/>
      <c r="Z14" s="6"/>
      <c r="AA14" s="2"/>
      <c r="AB14" s="7"/>
    </row>
    <row r="15" spans="1:28">
      <c r="A15" s="109"/>
      <c r="B15" s="6" t="str">
        <v>Xanne Klink</v>
      </c>
      <c r="C15" s="2" t="str">
        <v>S1</v>
      </c>
      <c r="D15" s="7">
        <v>29</v>
      </c>
      <c r="E15" s="6" t="str">
        <v>Tim van Gent</v>
      </c>
      <c r="F15" s="2" t="str">
        <v>S1</v>
      </c>
      <c r="G15" s="7">
        <v>24</v>
      </c>
      <c r="I15" s="6"/>
      <c r="J15" s="2"/>
      <c r="K15" s="7"/>
      <c r="L15" s="6" t="str">
        <v>Tycho Vliet</v>
      </c>
      <c r="M15" s="2" t="str">
        <v>B2</v>
      </c>
      <c r="N15" s="7">
        <v>17</v>
      </c>
      <c r="P15" s="6"/>
      <c r="Q15" s="2"/>
      <c r="R15" s="7"/>
      <c r="S15" s="6"/>
      <c r="T15" s="2"/>
      <c r="U15" s="7"/>
      <c r="W15" s="6"/>
      <c r="X15" s="2"/>
      <c r="Y15" s="7"/>
      <c r="Z15" s="6"/>
      <c r="AA15" s="2"/>
      <c r="AB15" s="7"/>
    </row>
    <row r="16" spans="1:28">
      <c r="A16" s="109"/>
      <c r="B16" s="6"/>
      <c r="C16" s="2"/>
      <c r="D16" s="7"/>
      <c r="E16" s="6"/>
      <c r="F16" s="2"/>
      <c r="G16" s="7"/>
      <c r="I16" s="6"/>
      <c r="J16" s="2"/>
      <c r="K16" s="7"/>
      <c r="L16" s="6"/>
      <c r="M16" s="2"/>
      <c r="N16" s="7"/>
      <c r="P16" s="6"/>
      <c r="Q16" s="2"/>
      <c r="R16" s="7"/>
      <c r="S16" s="6"/>
      <c r="T16" s="2"/>
      <c r="U16" s="7"/>
      <c r="W16" s="6"/>
      <c r="X16" s="2"/>
      <c r="Y16" s="7"/>
      <c r="Z16" s="6"/>
      <c r="AA16" s="2"/>
      <c r="AB16" s="7"/>
    </row>
    <row r="17" spans="1:56">
      <c r="A17" s="109"/>
      <c r="B17" s="6"/>
      <c r="C17" s="2"/>
      <c r="D17" s="7"/>
      <c r="E17" s="6"/>
      <c r="F17" s="2"/>
      <c r="G17" s="7"/>
      <c r="I17" s="6"/>
      <c r="J17" s="2"/>
      <c r="K17" s="7"/>
      <c r="L17" s="6"/>
      <c r="M17" s="2"/>
      <c r="N17" s="7"/>
      <c r="P17" s="6"/>
      <c r="Q17" s="2"/>
      <c r="R17" s="7"/>
      <c r="S17" s="6"/>
      <c r="T17" s="2"/>
      <c r="U17" s="7"/>
      <c r="W17" s="6"/>
      <c r="X17" s="2"/>
      <c r="Y17" s="7"/>
      <c r="Z17" s="6"/>
      <c r="AA17" s="2"/>
      <c r="AB17" s="7"/>
    </row>
    <row r="18" spans="1:56">
      <c r="A18" s="109"/>
      <c r="B18" s="6"/>
      <c r="C18" s="2"/>
      <c r="D18" s="7"/>
      <c r="E18" s="6"/>
      <c r="F18" s="2"/>
      <c r="G18" s="7"/>
      <c r="I18" s="6"/>
      <c r="J18" s="2"/>
      <c r="K18" s="7"/>
      <c r="L18" s="6"/>
      <c r="M18" s="2"/>
      <c r="N18" s="7"/>
      <c r="P18" s="6"/>
      <c r="Q18" s="2"/>
      <c r="R18" s="7"/>
      <c r="S18" s="6"/>
      <c r="T18" s="2"/>
      <c r="U18" s="7"/>
      <c r="W18" s="6"/>
      <c r="X18" s="2"/>
      <c r="Y18" s="7"/>
      <c r="Z18" s="6"/>
      <c r="AA18" s="2"/>
      <c r="AB18" s="7"/>
    </row>
    <row r="19" spans="1:56" ht="15.95" thickBot="1">
      <c r="A19" s="109"/>
      <c r="B19" s="6"/>
      <c r="C19" s="2"/>
      <c r="D19" s="7"/>
      <c r="E19" s="6"/>
      <c r="F19" s="2"/>
      <c r="G19" s="7"/>
      <c r="I19" s="6"/>
      <c r="J19" s="2"/>
      <c r="K19" s="7"/>
      <c r="L19" s="6"/>
      <c r="M19" s="2"/>
      <c r="N19" s="7"/>
      <c r="P19" s="6"/>
      <c r="Q19" s="2"/>
      <c r="R19" s="7"/>
      <c r="S19" s="6"/>
      <c r="T19" s="2"/>
      <c r="U19" s="7"/>
      <c r="W19" s="6"/>
      <c r="X19" s="2"/>
      <c r="Y19" s="7"/>
      <c r="Z19" s="6"/>
      <c r="AA19" s="2"/>
      <c r="AB19" s="7"/>
    </row>
    <row r="20" spans="1:56">
      <c r="A20" s="109"/>
      <c r="B20" s="12" t="str" cm="1">
        <f t="array" ref="B20:B26">_xlfn._xlws.FILTER(Staf!$C:$C,Staf!$B:$B=Teams!B2,"")</f>
        <v>Trainer/Coach S1</v>
      </c>
      <c r="C20" s="13" t="str" cm="1">
        <f t="array" ref="C20:C26">_xlfn._xlws.FILTER(Staf!$A:$A,Staf!$B:$B=Teams!B2,"")</f>
        <v>Bo van Hoof</v>
      </c>
      <c r="D20" s="13"/>
      <c r="E20" s="13"/>
      <c r="F20" s="13"/>
      <c r="G20" s="14"/>
      <c r="I20" s="12" t="str" cm="1">
        <f t="array" ref="I20:I24">_xlfn._xlws.FILTER(Staf!$C:$C,Staf!$B:$B=Teams!I2,"")</f>
        <v>Trainer/Coach A1</v>
      </c>
      <c r="J20" s="13" t="str" cm="1">
        <f t="array" ref="J20:J24">_xlfn._xlws.FILTER(Staf!$A:$A,Staf!$B:$B=Teams!I2,"")</f>
        <v>Rob van Dongen</v>
      </c>
      <c r="K20" s="13"/>
      <c r="L20" s="13"/>
      <c r="M20" s="13"/>
      <c r="N20" s="14"/>
      <c r="P20" s="12" t="str" cm="1">
        <f t="array" ref="P20:P25">_xlfn._xlws.FILTER(Staf!$C:$C,Staf!$B:$B=Teams!P2,"")</f>
        <v>Trainer/Coach B1</v>
      </c>
      <c r="Q20" s="13" t="str" cm="1">
        <f t="array" ref="Q20:Q25">_xlfn._xlws.FILTER(Staf!$A:$A,Staf!$B:$B=Teams!P2,"")</f>
        <v>Jasper Kleingeld</v>
      </c>
      <c r="R20" s="13"/>
      <c r="S20" s="13"/>
      <c r="T20" s="13"/>
      <c r="U20" s="14"/>
      <c r="W20" s="12" t="e" cm="1">
        <f t="array" ref="W20">_xlfn._xlws.FILTER(Staf!$C:$C,Staf!$B:$B=#REF!,"")</f>
        <v>#REF!</v>
      </c>
      <c r="X20" s="13" t="e" cm="1">
        <f t="array" ref="X20">_xlfn._xlws.FILTER(Staf!$A:$A,Staf!$B:$B=#REF!,"")</f>
        <v>#REF!</v>
      </c>
      <c r="Y20" s="13"/>
      <c r="Z20" s="13"/>
      <c r="AA20" s="13"/>
      <c r="AB20" s="14"/>
    </row>
    <row r="21" spans="1:56">
      <c r="A21" s="109"/>
      <c r="B21" s="15" t="str">
        <v>Trainer/Coach S2</v>
      </c>
      <c r="C21" s="16" t="str">
        <v>Arthyn Muller</v>
      </c>
      <c r="D21" s="16"/>
      <c r="E21" s="16"/>
      <c r="F21" s="16"/>
      <c r="G21" s="17"/>
      <c r="I21" s="15" t="str">
        <v>Trainer/Coach A1</v>
      </c>
      <c r="J21" s="16" t="str">
        <v>Ruben Blokland</v>
      </c>
      <c r="K21" s="16"/>
      <c r="L21" s="16"/>
      <c r="M21" s="16"/>
      <c r="N21" s="17"/>
      <c r="P21" s="15" t="str">
        <v>Trainer/Coach B1</v>
      </c>
      <c r="Q21" s="16" t="str">
        <v>Mees Oppe</v>
      </c>
      <c r="R21" s="16"/>
      <c r="S21" s="16"/>
      <c r="T21" s="16"/>
      <c r="U21" s="17"/>
      <c r="W21" s="15"/>
      <c r="X21" s="16"/>
      <c r="Y21" s="16"/>
      <c r="Z21" s="16"/>
      <c r="AA21" s="16"/>
      <c r="AB21" s="17"/>
    </row>
    <row r="22" spans="1:56">
      <c r="A22" s="109"/>
      <c r="B22" s="15" t="str">
        <v>Teambegeleider S1</v>
      </c>
      <c r="C22" s="16" t="str">
        <v>Dionne Broere</v>
      </c>
      <c r="D22" s="16"/>
      <c r="E22" s="16"/>
      <c r="F22" s="16"/>
      <c r="G22" s="17"/>
      <c r="I22" s="15" t="str">
        <v>Trainer/Coach A2</v>
      </c>
      <c r="J22" s="16" t="str">
        <v>Olivier Klink</v>
      </c>
      <c r="K22" s="16"/>
      <c r="L22" s="16"/>
      <c r="M22" s="16"/>
      <c r="N22" s="17"/>
      <c r="P22" s="15" t="str">
        <v>Trainer/Coach B2</v>
      </c>
      <c r="Q22" s="16" t="str">
        <v>Daniël den Uijl</v>
      </c>
      <c r="R22" s="16"/>
      <c r="S22" s="16"/>
      <c r="T22" s="16"/>
      <c r="U22" s="17"/>
      <c r="W22" s="15"/>
      <c r="X22" s="16"/>
      <c r="Y22" s="16"/>
      <c r="Z22" s="16"/>
      <c r="AA22" s="16"/>
      <c r="AB22" s="17"/>
    </row>
    <row r="23" spans="1:56">
      <c r="A23" s="109"/>
      <c r="B23" s="15" t="str">
        <v>Teambegeleider S2</v>
      </c>
      <c r="C23" s="16" t="str">
        <v>Fred Lichteveld</v>
      </c>
      <c r="D23" s="16"/>
      <c r="E23" s="16"/>
      <c r="F23" s="16"/>
      <c r="G23" s="17"/>
      <c r="I23" s="15" t="str">
        <v>Trainer/Coach A2</v>
      </c>
      <c r="J23" s="16" t="str">
        <v>Tim van Gent</v>
      </c>
      <c r="K23" s="16"/>
      <c r="L23" s="16"/>
      <c r="M23" s="16"/>
      <c r="N23" s="17"/>
      <c r="P23" s="15" t="str">
        <v>Trainer/Coach B2</v>
      </c>
      <c r="Q23" s="16" t="str">
        <v>Eva Teerds</v>
      </c>
      <c r="R23" s="16"/>
      <c r="S23" s="16"/>
      <c r="T23" s="16"/>
      <c r="U23" s="17"/>
      <c r="W23" s="15"/>
      <c r="X23" s="16"/>
      <c r="Y23" s="16"/>
      <c r="Z23" s="16"/>
      <c r="AA23" s="16"/>
      <c r="AB23" s="17"/>
    </row>
    <row r="24" spans="1:56">
      <c r="A24" s="109"/>
      <c r="B24" s="15" t="str">
        <v>Analist S1</v>
      </c>
      <c r="C24" s="16" t="str">
        <v>Joris van den Neucker</v>
      </c>
      <c r="D24" s="16"/>
      <c r="E24" s="16"/>
      <c r="F24" s="16"/>
      <c r="G24" s="17"/>
      <c r="I24" s="15" t="str">
        <v>Teambegeleider</v>
      </c>
      <c r="J24" s="16" t="str">
        <v>Alex van de Klooster</v>
      </c>
      <c r="K24" s="16"/>
      <c r="L24" s="16"/>
      <c r="M24" s="16"/>
      <c r="N24" s="17"/>
      <c r="P24" s="15" t="str">
        <v>Trainer/Coach B2</v>
      </c>
      <c r="Q24" s="16" t="str">
        <v xml:space="preserve">Vacature </v>
      </c>
      <c r="R24" s="16"/>
      <c r="S24" s="16"/>
      <c r="T24" s="16"/>
      <c r="U24" s="17"/>
      <c r="W24" s="15"/>
      <c r="X24" s="16"/>
      <c r="Y24" s="16"/>
      <c r="Z24" s="16"/>
      <c r="AA24" s="16"/>
      <c r="AB24" s="17"/>
    </row>
    <row r="25" spans="1:56">
      <c r="A25" s="109"/>
      <c r="B25" s="15" t="str">
        <v>Fysio</v>
      </c>
      <c r="C25" s="16" t="str">
        <v>Ruben Kamerbeek</v>
      </c>
      <c r="D25" s="16"/>
      <c r="E25" s="16"/>
      <c r="F25" s="16"/>
      <c r="G25" s="17"/>
      <c r="I25" s="15"/>
      <c r="J25" s="16"/>
      <c r="K25" s="16"/>
      <c r="L25" s="16"/>
      <c r="M25" s="16"/>
      <c r="N25" s="17"/>
      <c r="P25" s="15" t="str">
        <v>Teambegeleider</v>
      </c>
      <c r="Q25" s="16" t="str">
        <v>Michel Sas</v>
      </c>
      <c r="R25" s="16"/>
      <c r="S25" s="16"/>
      <c r="T25" s="16"/>
      <c r="U25" s="17"/>
      <c r="W25" s="15"/>
      <c r="X25" s="16"/>
      <c r="Y25" s="16"/>
      <c r="Z25" s="16"/>
      <c r="AA25" s="16"/>
      <c r="AB25" s="17"/>
    </row>
    <row r="26" spans="1:56">
      <c r="A26" s="109"/>
      <c r="B26" s="15" t="str">
        <v>Verzorger</v>
      </c>
      <c r="C26" s="16" t="str">
        <v>Theo Anrochte</v>
      </c>
      <c r="D26" s="16"/>
      <c r="E26" s="16"/>
      <c r="F26" s="16"/>
      <c r="G26" s="17"/>
      <c r="I26" s="15"/>
      <c r="J26" s="16"/>
      <c r="K26" s="16"/>
      <c r="L26" s="16"/>
      <c r="M26" s="16"/>
      <c r="N26" s="17"/>
      <c r="P26" s="15"/>
      <c r="Q26" s="16"/>
      <c r="R26" s="16"/>
      <c r="S26" s="16"/>
      <c r="T26" s="16"/>
      <c r="U26" s="17"/>
      <c r="W26" s="15"/>
      <c r="X26" s="16"/>
      <c r="Y26" s="16"/>
      <c r="Z26" s="16"/>
      <c r="AA26" s="16"/>
      <c r="AB26" s="17"/>
    </row>
    <row r="27" spans="1:56" ht="15.95" thickBot="1">
      <c r="A27" s="109"/>
      <c r="B27" s="18"/>
      <c r="C27" s="19"/>
      <c r="D27" s="19"/>
      <c r="E27" s="19"/>
      <c r="F27" s="19"/>
      <c r="G27" s="20"/>
      <c r="I27" s="18"/>
      <c r="J27" s="19"/>
      <c r="K27" s="19"/>
      <c r="L27" s="19"/>
      <c r="M27" s="19"/>
      <c r="N27" s="20"/>
      <c r="P27" s="18"/>
      <c r="Q27" s="19"/>
      <c r="R27" s="19"/>
      <c r="S27" s="19"/>
      <c r="T27" s="19"/>
      <c r="U27" s="20"/>
      <c r="W27" s="18"/>
      <c r="X27" s="19"/>
      <c r="Y27" s="19"/>
      <c r="Z27" s="19"/>
      <c r="AA27" s="19"/>
      <c r="AB27" s="20"/>
    </row>
    <row r="28" spans="1:56" ht="15.95" thickBot="1"/>
    <row r="29" spans="1:56" ht="15.95" thickBot="1">
      <c r="A29" s="109" t="s">
        <v>5</v>
      </c>
      <c r="B29" s="21" t="s">
        <v>6</v>
      </c>
      <c r="C29" s="21"/>
      <c r="D29" s="21"/>
      <c r="E29" s="21"/>
      <c r="F29" s="21"/>
      <c r="G29" s="22" t="e">
        <f>AVERAGE(D31:D40,G31:G40)</f>
        <v>#DIV/0!</v>
      </c>
      <c r="I29" s="21" t="s">
        <v>7</v>
      </c>
      <c r="J29" s="21"/>
      <c r="K29" s="21"/>
      <c r="L29" s="21"/>
      <c r="M29" s="21"/>
      <c r="N29" s="22" t="e">
        <f>AVERAGE(K31:K40,N31:N40)</f>
        <v>#DIV/0!</v>
      </c>
      <c r="P29" s="21" t="s">
        <v>8</v>
      </c>
      <c r="Q29" s="21"/>
      <c r="R29" s="21"/>
      <c r="S29" s="21"/>
      <c r="T29" s="21"/>
      <c r="U29" s="22">
        <f>AVERAGE(R31:R40,U31:U40)</f>
        <v>32.81818181818182</v>
      </c>
      <c r="W29" s="21" t="s">
        <v>9</v>
      </c>
      <c r="X29" s="21"/>
      <c r="Y29" s="21"/>
      <c r="Z29" s="21"/>
      <c r="AA29" s="21"/>
      <c r="AB29" s="22" t="e">
        <f>AVERAGE(Y31:Y40,AB31:AB40)</f>
        <v>#N/A</v>
      </c>
      <c r="AD29" s="21" t="s">
        <v>10</v>
      </c>
      <c r="AE29" s="21"/>
      <c r="AF29" s="21"/>
      <c r="AG29" s="21"/>
      <c r="AH29" s="21"/>
      <c r="AI29" s="22">
        <f>AVERAGE(AF31:AF40,AI31:AI40)</f>
        <v>23</v>
      </c>
      <c r="AK29" s="21" t="s">
        <v>11</v>
      </c>
      <c r="AL29" s="21"/>
      <c r="AM29" s="21"/>
      <c r="AN29" s="21"/>
      <c r="AO29" s="21"/>
      <c r="AP29" s="22">
        <f>AVERAGE(AM31:AM40,AP31:AP40)</f>
        <v>21.333333333333332</v>
      </c>
      <c r="AR29" s="21" t="s">
        <v>12</v>
      </c>
      <c r="AS29" s="21"/>
      <c r="AT29" s="21"/>
      <c r="AU29" s="21"/>
      <c r="AV29" s="21"/>
      <c r="AW29" s="22" t="e">
        <f>AVERAGE(AT31:AT40,AW31:AW40)</f>
        <v>#DIV/0!</v>
      </c>
      <c r="AY29" s="21" t="s">
        <v>13</v>
      </c>
      <c r="AZ29" s="21"/>
      <c r="BA29" s="21"/>
      <c r="BB29" s="21"/>
      <c r="BC29" s="21"/>
      <c r="BD29" s="22">
        <f>AVERAGE(BA31:BA40,BD31:BD40)</f>
        <v>38.888888888888886</v>
      </c>
    </row>
    <row r="30" spans="1:56" ht="15.95" thickBot="1">
      <c r="A30" s="109"/>
      <c r="B30" s="8" t="str">
        <f>CONCATENATE("Dames (",COUNTA(C31:C38),")")</f>
        <v>Dames (1)</v>
      </c>
      <c r="C30" s="9"/>
      <c r="D30" s="10"/>
      <c r="E30" s="8" t="str">
        <f>CONCATENATE("Heren (",COUNTA(F31:F38),")")</f>
        <v>Heren (1)</v>
      </c>
      <c r="F30" s="9"/>
      <c r="G30" s="10"/>
      <c r="I30" s="8" t="str">
        <f>CONCATENATE("Dames (",COUNTA(J31:J38),")")</f>
        <v>Dames (1)</v>
      </c>
      <c r="J30" s="9"/>
      <c r="K30" s="10"/>
      <c r="L30" s="8" t="str">
        <f>CONCATENATE("Heren (",COUNTA(M31:M38),")")</f>
        <v>Heren (1)</v>
      </c>
      <c r="M30" s="9"/>
      <c r="N30" s="10"/>
      <c r="P30" s="8" t="str">
        <f>CONCATENATE("Dames (",COUNTA(Q31:Q38),")")</f>
        <v>Dames (6)</v>
      </c>
      <c r="Q30" s="9"/>
      <c r="R30" s="10"/>
      <c r="S30" s="8" t="str">
        <f>CONCATENATE("Heren (",COUNTA(T31:T38),")")</f>
        <v>Heren (5)</v>
      </c>
      <c r="T30" s="9"/>
      <c r="U30" s="10"/>
      <c r="W30" s="8" t="str">
        <f>CONCATENATE("Dames (",COUNTA(X31:X38),")")</f>
        <v>Dames (7)</v>
      </c>
      <c r="X30" s="9"/>
      <c r="Y30" s="10"/>
      <c r="Z30" s="8" t="str">
        <f>CONCATENATE("Heren (",COUNTA(AA31:AA38),")")</f>
        <v>Heren (5)</v>
      </c>
      <c r="AA30" s="9"/>
      <c r="AB30" s="10"/>
      <c r="AD30" s="8" t="str">
        <f>CONCATENATE("Dames (",COUNTA(AE31:AE38),")")</f>
        <v>Dames (7)</v>
      </c>
      <c r="AE30" s="9"/>
      <c r="AF30" s="10"/>
      <c r="AG30" s="8" t="str">
        <f>CONCATENATE("Heren (",COUNTA(AH31:AH38),")")</f>
        <v>Heren (5)</v>
      </c>
      <c r="AH30" s="9"/>
      <c r="AI30" s="10"/>
      <c r="AK30" s="8" t="str">
        <f>CONCATENATE("Dames (",COUNTA(AL31:AL38),")")</f>
        <v>Dames (6)</v>
      </c>
      <c r="AL30" s="9"/>
      <c r="AM30" s="10"/>
      <c r="AN30" s="8" t="str">
        <f>CONCATENATE("Heren (",COUNTA(AO31:AO38),")")</f>
        <v>Heren (6)</v>
      </c>
      <c r="AO30" s="9"/>
      <c r="AP30" s="10"/>
      <c r="AR30" s="8" t="str">
        <f>CONCATENATE("Dames (",COUNTA(AS31:AS38),")")</f>
        <v>Dames (1)</v>
      </c>
      <c r="AS30" s="9"/>
      <c r="AT30" s="10"/>
      <c r="AU30" s="8" t="str">
        <f>CONCATENATE("Heren (",COUNTA(AV31:AV38),")")</f>
        <v>Heren (1)</v>
      </c>
      <c r="AV30" s="9"/>
      <c r="AW30" s="10"/>
      <c r="AY30" s="8" t="str">
        <f>CONCATENATE("Dames (",COUNTA(AZ31:AZ38),")")</f>
        <v>Dames (5)</v>
      </c>
      <c r="AZ30" s="9"/>
      <c r="BA30" s="10"/>
      <c r="BB30" s="8" t="str">
        <f>CONCATENATE("Heren (",COUNTA(BC31:BC38),")")</f>
        <v>Heren (4)</v>
      </c>
      <c r="BC30" s="9"/>
      <c r="BD30" s="10"/>
    </row>
    <row r="31" spans="1:56">
      <c r="A31" s="109"/>
      <c r="B31" s="3" t="str" cm="1">
        <f t="array" ref="B31">_xlfn._xlws.FILTER(Spelerslijst!$B:$B,Spelerslijst!$G:$G=B$29,"")</f>
        <v/>
      </c>
      <c r="C31" s="4" t="str" cm="1">
        <f t="array" ref="C31">_xlfn._xlws.FILTER(Spelerslijst!$H:$H,Spelerslijst!$G:$G=B$29,"")</f>
        <v/>
      </c>
      <c r="D31" s="5" t="str" cm="1">
        <f t="array" ref="D31">_xlfn._xlws.FILTER(Spelerslijst!$D:$D,Spelerslijst!$G:$G=B$29,"")</f>
        <v/>
      </c>
      <c r="E31" s="3" t="str" cm="1">
        <f t="array" ref="E31">_xlfn._xlws.FILTER(Spelerslijst!$L:$L,Spelerslijst!$Q:$Q=B$29,"")</f>
        <v/>
      </c>
      <c r="F31" s="4" t="str" cm="1">
        <f t="array" ref="F31">_xlfn._xlws.FILTER(Spelerslijst!$R:$R,Spelerslijst!$Q:$Q=B$29,"")</f>
        <v/>
      </c>
      <c r="G31" s="5" t="str" cm="1">
        <f t="array" ref="G31">_xlfn._xlws.FILTER(Spelerslijst!$N:$N,Spelerslijst!$Q:$Q=B$29,"")</f>
        <v/>
      </c>
      <c r="I31" s="3" t="str" cm="1">
        <f t="array" ref="I31">_xlfn._xlws.FILTER(Spelerslijst!$B:$B,Spelerslijst!$G:$G=I$29,"")</f>
        <v/>
      </c>
      <c r="J31" s="4" t="str" cm="1">
        <f t="array" ref="J31">_xlfn._xlws.FILTER(Spelerslijst!$H:$H,Spelerslijst!$G:$G=I$29,"")</f>
        <v/>
      </c>
      <c r="K31" s="5" t="str" cm="1">
        <f t="array" ref="K31">_xlfn._xlws.FILTER(Spelerslijst!$D:$D,Spelerslijst!$G:$G=I$29,"")</f>
        <v/>
      </c>
      <c r="L31" s="3" t="str" cm="1">
        <f t="array" ref="L31">_xlfn._xlws.FILTER(Spelerslijst!$L:$L,Spelerslijst!$Q:$Q=I$29,"")</f>
        <v/>
      </c>
      <c r="M31" s="4" t="str" cm="1">
        <f t="array" ref="M31">_xlfn._xlws.FILTER(Spelerslijst!$R:$R,Spelerslijst!$Q:$Q=I$29,"")</f>
        <v/>
      </c>
      <c r="N31" s="5" t="str" cm="1">
        <f t="array" ref="N31">_xlfn._xlws.FILTER(Spelerslijst!$N:$N,Spelerslijst!$Q:$Q=I$29,"")</f>
        <v/>
      </c>
      <c r="P31" s="3" t="str" cm="1">
        <f t="array" ref="P31:P36">_xlfn._xlws.FILTER(Spelerslijst!$B:$B,Spelerslijst!$G:$G=P$29,"")</f>
        <v>Esther Ardon</v>
      </c>
      <c r="Q31" s="4" t="str" cm="1">
        <f t="array" ref="Q31:Q36">_xlfn._xlws.FILTER(Spelerslijst!$H:$H,Spelerslijst!$G:$G=P$29,"")</f>
        <v>S3</v>
      </c>
      <c r="R31" s="5" cm="1">
        <f t="array" ref="R31:R36">_xlfn._xlws.FILTER(Spelerslijst!$D:$D,Spelerslijst!$G:$G=P$29,"")</f>
        <v>28</v>
      </c>
      <c r="S31" s="3" t="str" cm="1">
        <f t="array" ref="S31:S35">_xlfn._xlws.FILTER(Spelerslijst!$L:$L,Spelerslijst!$Q:$Q=P$29,"")</f>
        <v>Emiel Houwerzijl</v>
      </c>
      <c r="T31" s="4" t="str" cm="1">
        <f t="array" ref="T31:T35">_xlfn._xlws.FILTER(Spelerslijst!$R:$R,Spelerslijst!$Q:$Q=P$29,"")</f>
        <v>S3</v>
      </c>
      <c r="U31" s="5" cm="1">
        <f t="array" ref="U31:U35">_xlfn._xlws.FILTER(Spelerslijst!$N:$N,Spelerslijst!$Q:$Q=P$29,"")</f>
        <v>30</v>
      </c>
      <c r="W31" s="3" t="str" cm="1">
        <f t="array" ref="W31:W37">_xlfn._xlws.FILTER(Spelerslijst!$B:$B,Spelerslijst!$G:$G=W$29,"")</f>
        <v>~Dame S1S2</v>
      </c>
      <c r="X31" s="4" cm="1">
        <f t="array" ref="X31:X37">_xlfn._xlws.FILTER(Spelerslijst!$H:$H,Spelerslijst!$G:$G=W$29,"")</f>
        <v>0</v>
      </c>
      <c r="Y31" s="5" cm="1">
        <f t="array" ref="Y31:Y37">_xlfn._xlws.FILTER(Spelerslijst!$D:$D,Spelerslijst!$G:$G=W$29,"")</f>
        <v>24</v>
      </c>
      <c r="Z31" s="3" t="str" cm="1">
        <f t="array" ref="Z31:Z35">_xlfn._xlws.FILTER(Spelerslijst!$L:$L,Spelerslijst!$Q:$Q=W$29,"")</f>
        <v>~Heer S1S2</v>
      </c>
      <c r="AA31" s="4" cm="1">
        <f t="array" ref="AA31:AA35">_xlfn._xlws.FILTER(Spelerslijst!$R:$R,Spelerslijst!$Q:$Q=W$29,"")</f>
        <v>0</v>
      </c>
      <c r="AB31" s="5" cm="1">
        <f t="array" ref="AB31:AB35">_xlfn._xlws.FILTER(Spelerslijst!$N:$N,Spelerslijst!$Q:$Q=W$29,"")</f>
        <v>24</v>
      </c>
      <c r="AD31" s="3" t="str" cm="1">
        <f t="array" ref="AD31:AD37">_xlfn._xlws.FILTER(Spelerslijst!$B:$B,Spelerslijst!$G:$G=AD$29,"")</f>
        <v>Anniek Pierse</v>
      </c>
      <c r="AE31" s="4" t="str" cm="1">
        <f t="array" ref="AE31:AE37">_xlfn._xlws.FILTER(Spelerslijst!$H:$H,Spelerslijst!$G:$G=AD$29,"")</f>
        <v>S7</v>
      </c>
      <c r="AF31" s="5" cm="1">
        <f t="array" ref="AF31:AF37">_xlfn._xlws.FILTER(Spelerslijst!$D:$D,Spelerslijst!$G:$G=AD$29,"")</f>
        <v>22</v>
      </c>
      <c r="AG31" s="3" t="str" cm="1">
        <f t="array" ref="AG31:AG35">_xlfn._xlws.FILTER(Spelerslijst!$L:$L,Spelerslijst!$Q:$Q=AD$29,"")</f>
        <v>Joram Flach</v>
      </c>
      <c r="AH31" s="4" t="str" cm="1">
        <f t="array" ref="AH31:AH35">_xlfn._xlws.FILTER(Spelerslijst!$R:$R,Spelerslijst!$Q:$Q=AD$29,"")</f>
        <v>S5</v>
      </c>
      <c r="AI31" s="5" cm="1">
        <f t="array" ref="AI31:AI35">_xlfn._xlws.FILTER(Spelerslijst!$N:$N,Spelerslijst!$Q:$Q=AD$29,"")</f>
        <v>25</v>
      </c>
      <c r="AK31" s="3" t="str" cm="1">
        <f t="array" ref="AK31:AK36">_xlfn._xlws.FILTER(Spelerslijst!$B:$B,Spelerslijst!$G:$G=AK$29,"")</f>
        <v>Amber Boeije</v>
      </c>
      <c r="AL31" s="4" t="str" cm="1">
        <f t="array" ref="AL31:AL36">_xlfn._xlws.FILTER(Spelerslijst!$H:$H,Spelerslijst!$G:$G=AK$29,"")</f>
        <v>A3</v>
      </c>
      <c r="AM31" s="5" cm="1">
        <f t="array" ref="AM31:AM36">_xlfn._xlws.FILTER(Spelerslijst!$D:$D,Spelerslijst!$G:$G=AK$29,"")</f>
        <v>19</v>
      </c>
      <c r="AN31" s="3" t="str" cm="1">
        <f t="array" ref="AN31:AN36">_xlfn._xlws.FILTER(Spelerslijst!$L:$L,Spelerslijst!$Q:$Q=AK$29,"")</f>
        <v>Ché Kooper</v>
      </c>
      <c r="AO31" s="4" t="str" cm="1">
        <f t="array" ref="AO31:AO36">_xlfn._xlws.FILTER(Spelerslijst!$R:$R,Spelerslijst!$Q:$Q=AK$29,"")</f>
        <v>S6</v>
      </c>
      <c r="AP31" s="5" cm="1">
        <f t="array" ref="AP31:AP36">_xlfn._xlws.FILTER(Spelerslijst!$N:$N,Spelerslijst!$Q:$Q=AK$29,"")</f>
        <v>22</v>
      </c>
      <c r="AR31" s="3" t="str" cm="1">
        <f t="array" ref="AR31">_xlfn._xlws.FILTER(Spelerslijst!$B:$B,Spelerslijst!$G:$G=AR$29,"")</f>
        <v/>
      </c>
      <c r="AS31" s="4" t="str" cm="1">
        <f t="array" ref="AS31">_xlfn._xlws.FILTER(Spelerslijst!$H:$H,Spelerslijst!$G:$G=AR$29,"")</f>
        <v/>
      </c>
      <c r="AT31" s="5" t="str" cm="1">
        <f t="array" ref="AT31">_xlfn._xlws.FILTER(Spelerslijst!$D:$D,Spelerslijst!$G:$G=AR$29,"")</f>
        <v/>
      </c>
      <c r="AU31" s="3" t="str" cm="1">
        <f t="array" ref="AU31">_xlfn._xlws.FILTER(Spelerslijst!$L:$L,Spelerslijst!$Q:$Q=AR$29,"")</f>
        <v/>
      </c>
      <c r="AV31" s="4" t="str" cm="1">
        <f t="array" ref="AV31">_xlfn._xlws.FILTER(Spelerslijst!$R:$R,Spelerslijst!$Q:$Q=AR$29,"")</f>
        <v/>
      </c>
      <c r="AW31" s="5" t="str" cm="1">
        <f t="array" ref="AW31">_xlfn._xlws.FILTER(Spelerslijst!$N:$N,Spelerslijst!$Q:$Q=AR$29,"")</f>
        <v/>
      </c>
      <c r="AY31" s="3" t="str" cm="1">
        <f t="array" ref="AY31:AY35">_xlfn._xlws.FILTER(Spelerslijst!$B:$B,Spelerslijst!$G:$G=AY$29,"")</f>
        <v>Dorien in 't Veld</v>
      </c>
      <c r="AZ31" s="4" t="str" cm="1">
        <f t="array" ref="AZ31:AZ35">_xlfn._xlws.FILTER(Spelerslijst!$H:$H,Spelerslijst!$G:$G=AY$29,"")</f>
        <v>MW1</v>
      </c>
      <c r="BA31" s="5" cm="1">
        <f t="array" ref="BA31:BA35">_xlfn._xlws.FILTER(Spelerslijst!$D:$D,Spelerslijst!$G:$G=AY$29,"")</f>
        <v>39</v>
      </c>
      <c r="BB31" s="3" t="str" cm="1">
        <f t="array" ref="BB31:BB34">_xlfn._xlws.FILTER(Spelerslijst!$L:$L,Spelerslijst!$Q:$Q=AY$29,"")</f>
        <v>Hans Ploeg</v>
      </c>
      <c r="BC31" s="4" t="str" cm="1">
        <f t="array" ref="BC31:BC34">_xlfn._xlws.FILTER(Spelerslijst!$R:$R,Spelerslijst!$Q:$Q=AY$29,"")</f>
        <v>MW1</v>
      </c>
      <c r="BD31" s="5" cm="1">
        <f t="array" ref="BD31:BD34">_xlfn._xlws.FILTER(Spelerslijst!$N:$N,Spelerslijst!$Q:$Q=AY$29,"")</f>
        <v>36</v>
      </c>
    </row>
    <row r="32" spans="1:56">
      <c r="A32" s="109"/>
      <c r="B32" s="6"/>
      <c r="C32" s="2"/>
      <c r="D32" s="7"/>
      <c r="E32" s="6"/>
      <c r="F32" s="2"/>
      <c r="G32" s="7"/>
      <c r="I32" s="6"/>
      <c r="J32" s="2"/>
      <c r="K32" s="7"/>
      <c r="L32" s="6"/>
      <c r="M32" s="2"/>
      <c r="N32" s="7"/>
      <c r="P32" s="6" t="str">
        <v>Hilde Visser</v>
      </c>
      <c r="Q32" s="2" t="str">
        <v>AR</v>
      </c>
      <c r="R32" s="7">
        <v>34</v>
      </c>
      <c r="S32" s="6" t="str">
        <v>Jan Booy</v>
      </c>
      <c r="T32" s="2" t="str">
        <v>S3</v>
      </c>
      <c r="U32" s="7">
        <v>34</v>
      </c>
      <c r="W32" s="6" t="str">
        <v>~Dame S1S2</v>
      </c>
      <c r="X32" s="2">
        <v>0</v>
      </c>
      <c r="Y32" s="7">
        <v>24</v>
      </c>
      <c r="Z32" s="6" t="str">
        <v>~Heer S1S2</v>
      </c>
      <c r="AA32" s="2">
        <v>0</v>
      </c>
      <c r="AB32" s="7">
        <v>24</v>
      </c>
      <c r="AD32" s="6" t="str">
        <v>Jany Lacroes</v>
      </c>
      <c r="AE32" s="2" t="str">
        <v>S5</v>
      </c>
      <c r="AF32" s="7">
        <v>26</v>
      </c>
      <c r="AG32" s="6" t="str">
        <v>Laurens Verhagen</v>
      </c>
      <c r="AH32" s="2" t="str">
        <v>A3</v>
      </c>
      <c r="AI32" s="7">
        <v>20</v>
      </c>
      <c r="AK32" s="6" t="str">
        <v>Angela Friebel</v>
      </c>
      <c r="AL32" s="2" t="str">
        <v>S6</v>
      </c>
      <c r="AM32" s="7">
        <v>22</v>
      </c>
      <c r="AN32" s="6" t="str">
        <v>David Kuijper</v>
      </c>
      <c r="AO32" s="2" t="str">
        <v>S6</v>
      </c>
      <c r="AP32" s="7">
        <v>21</v>
      </c>
      <c r="AR32" s="6"/>
      <c r="AS32" s="2"/>
      <c r="AT32" s="7"/>
      <c r="AU32" s="6"/>
      <c r="AV32" s="2"/>
      <c r="AW32" s="7"/>
      <c r="AY32" s="6" t="str">
        <v>Kim Heesterbeek</v>
      </c>
      <c r="AZ32" s="2" t="str">
        <v>MW1</v>
      </c>
      <c r="BA32" s="7">
        <v>37</v>
      </c>
      <c r="BB32" s="6" t="str">
        <v>Michiel 't Jong</v>
      </c>
      <c r="BC32" s="2" t="str">
        <v>MW1</v>
      </c>
      <c r="BD32" s="7">
        <v>43</v>
      </c>
    </row>
    <row r="33" spans="1:56">
      <c r="A33" s="109"/>
      <c r="B33" s="6"/>
      <c r="C33" s="2"/>
      <c r="D33" s="7"/>
      <c r="E33" s="6"/>
      <c r="F33" s="2"/>
      <c r="G33" s="7"/>
      <c r="I33" s="6"/>
      <c r="J33" s="2"/>
      <c r="K33" s="7"/>
      <c r="L33" s="6"/>
      <c r="M33" s="2"/>
      <c r="N33" s="7"/>
      <c r="P33" s="6" t="str">
        <v>Lieke Ploeg</v>
      </c>
      <c r="Q33" s="2" t="str">
        <v>S4</v>
      </c>
      <c r="R33" s="7">
        <v>38</v>
      </c>
      <c r="S33" s="6" t="str">
        <v>Lex van Gent</v>
      </c>
      <c r="T33" s="2" t="str">
        <v>S3</v>
      </c>
      <c r="U33" s="7">
        <v>29</v>
      </c>
      <c r="W33" s="6" t="str">
        <v>Anouk de Jongh</v>
      </c>
      <c r="X33" s="2" t="str">
        <v>A2</v>
      </c>
      <c r="Y33" s="7">
        <v>19</v>
      </c>
      <c r="Z33" s="6" t="str">
        <v>Luuk Baars</v>
      </c>
      <c r="AA33" s="2" t="str">
        <v>S5</v>
      </c>
      <c r="AB33" s="7">
        <v>23</v>
      </c>
      <c r="AD33" s="6" t="str">
        <v>Lara Schram</v>
      </c>
      <c r="AE33" s="2" t="str">
        <v>S5</v>
      </c>
      <c r="AF33" s="7">
        <v>24</v>
      </c>
      <c r="AG33" s="6" t="str">
        <v>Mark Schindler</v>
      </c>
      <c r="AH33" s="2" t="str">
        <v>S5</v>
      </c>
      <c r="AI33" s="7">
        <v>25</v>
      </c>
      <c r="AK33" s="6" t="str">
        <v>Jennifer Herremans</v>
      </c>
      <c r="AL33" s="2" t="str">
        <v>S6</v>
      </c>
      <c r="AM33" s="7">
        <v>21</v>
      </c>
      <c r="AN33" s="6" t="str">
        <v>Jens de Vlaming</v>
      </c>
      <c r="AO33" s="2" t="str">
        <v>S6</v>
      </c>
      <c r="AP33" s="7">
        <v>21</v>
      </c>
      <c r="AR33" s="6"/>
      <c r="AS33" s="2"/>
      <c r="AT33" s="7"/>
      <c r="AU33" s="6"/>
      <c r="AV33" s="2"/>
      <c r="AW33" s="7"/>
      <c r="AY33" s="6" t="str">
        <v>Kim van der Starre-Scheurwater</v>
      </c>
      <c r="AZ33" s="2" t="str">
        <v>MW1</v>
      </c>
      <c r="BA33" s="7">
        <v>35</v>
      </c>
      <c r="BB33" s="6" t="str">
        <v>Ronald Riet</v>
      </c>
      <c r="BC33" s="2" t="str">
        <v>MW1</v>
      </c>
      <c r="BD33" s="7">
        <v>41</v>
      </c>
    </row>
    <row r="34" spans="1:56">
      <c r="A34" s="109"/>
      <c r="B34" s="6"/>
      <c r="C34" s="2"/>
      <c r="D34" s="7"/>
      <c r="E34" s="6"/>
      <c r="F34" s="2"/>
      <c r="G34" s="7"/>
      <c r="I34" s="6"/>
      <c r="J34" s="2"/>
      <c r="K34" s="7"/>
      <c r="L34" s="6"/>
      <c r="M34" s="2"/>
      <c r="N34" s="7"/>
      <c r="P34" s="6" t="str">
        <v>Linda Ardon</v>
      </c>
      <c r="Q34" s="2" t="str">
        <v>S3</v>
      </c>
      <c r="R34" s="7">
        <v>32</v>
      </c>
      <c r="S34" s="6" t="str">
        <v>Roy de Vlaming</v>
      </c>
      <c r="T34" s="2" t="str">
        <v>S3</v>
      </c>
      <c r="U34" s="7">
        <v>40</v>
      </c>
      <c r="W34" s="6" t="str">
        <v>Carlijn Lievaart</v>
      </c>
      <c r="X34" s="2" t="str">
        <v>S5</v>
      </c>
      <c r="Y34" s="7">
        <v>20</v>
      </c>
      <c r="Z34" s="6" t="str">
        <v>Tijmen Fasbender</v>
      </c>
      <c r="AA34" s="2" t="str">
        <v>S5</v>
      </c>
      <c r="AB34" s="7">
        <v>21</v>
      </c>
      <c r="AD34" s="6" t="str">
        <v>Laura Koote</v>
      </c>
      <c r="AE34" s="2" t="str">
        <v>S7</v>
      </c>
      <c r="AF34" s="7">
        <v>22</v>
      </c>
      <c r="AG34" s="6" t="str">
        <v>Quinten van Driel</v>
      </c>
      <c r="AH34" s="2" t="str">
        <v>S5</v>
      </c>
      <c r="AI34" s="7">
        <v>24</v>
      </c>
      <c r="AK34" s="6" t="str">
        <v>Kimberley Witman</v>
      </c>
      <c r="AL34" s="2" t="str">
        <v>S6</v>
      </c>
      <c r="AM34" s="7">
        <v>20</v>
      </c>
      <c r="AN34" s="6" t="str">
        <v>Ruben Dubbeld</v>
      </c>
      <c r="AO34" s="2" t="str">
        <v>S6</v>
      </c>
      <c r="AP34" s="7">
        <v>24</v>
      </c>
      <c r="AR34" s="6"/>
      <c r="AS34" s="2"/>
      <c r="AT34" s="7"/>
      <c r="AU34" s="6"/>
      <c r="AV34" s="2"/>
      <c r="AW34" s="7"/>
      <c r="AY34" s="6" t="str">
        <v>Liesbeth Brand</v>
      </c>
      <c r="AZ34" s="2" t="str">
        <v>MW1</v>
      </c>
      <c r="BA34" s="7">
        <v>34</v>
      </c>
      <c r="BB34" s="6" t="str">
        <v>Wilco Kooij</v>
      </c>
      <c r="BC34" s="2" t="str">
        <v>MW1</v>
      </c>
      <c r="BD34" s="7">
        <v>49</v>
      </c>
    </row>
    <row r="35" spans="1:56">
      <c r="A35" s="109"/>
      <c r="B35" s="6"/>
      <c r="C35" s="2"/>
      <c r="D35" s="7"/>
      <c r="E35" s="6"/>
      <c r="F35" s="2"/>
      <c r="G35" s="7"/>
      <c r="I35" s="6"/>
      <c r="J35" s="2"/>
      <c r="K35" s="7"/>
      <c r="L35" s="6"/>
      <c r="M35" s="2"/>
      <c r="N35" s="7"/>
      <c r="P35" s="6" t="str">
        <v>Merel van Gurp</v>
      </c>
      <c r="Q35" s="2" t="str">
        <v>S3</v>
      </c>
      <c r="R35" s="7">
        <v>32</v>
      </c>
      <c r="S35" s="6" t="str">
        <v>Thomas Isarin</v>
      </c>
      <c r="T35" s="2" t="str">
        <v>S3</v>
      </c>
      <c r="U35" s="7">
        <v>36</v>
      </c>
      <c r="W35" s="6" t="str">
        <v>Elena Quarré</v>
      </c>
      <c r="X35" s="2" t="str">
        <v>A2</v>
      </c>
      <c r="Y35" s="7">
        <v>19</v>
      </c>
      <c r="Z35" s="6" t="str">
        <v>Tim Seevinck</v>
      </c>
      <c r="AA35" s="2" t="str">
        <v>Stopt</v>
      </c>
      <c r="AB35" s="7">
        <v>21</v>
      </c>
      <c r="AD35" s="6" t="str">
        <v>Marlies Valk</v>
      </c>
      <c r="AE35" s="2" t="str">
        <v>S5</v>
      </c>
      <c r="AF35" s="7">
        <v>21</v>
      </c>
      <c r="AG35" s="6" t="str">
        <v>Rick van de Wijgaart</v>
      </c>
      <c r="AH35" s="2" t="str">
        <v>S5</v>
      </c>
      <c r="AI35" s="7">
        <v>21</v>
      </c>
      <c r="AK35" s="6" t="str">
        <v>Sanne Dubbeld</v>
      </c>
      <c r="AL35" s="2" t="str">
        <v>S6</v>
      </c>
      <c r="AM35" s="7">
        <v>22</v>
      </c>
      <c r="AN35" s="6" t="str">
        <v>Thijs Boon</v>
      </c>
      <c r="AO35" s="2" t="str">
        <v>S6</v>
      </c>
      <c r="AP35" s="7">
        <v>21</v>
      </c>
      <c r="AR35" s="6"/>
      <c r="AS35" s="2"/>
      <c r="AT35" s="7"/>
      <c r="AU35" s="6"/>
      <c r="AV35" s="2"/>
      <c r="AW35" s="7"/>
      <c r="AY35" s="6" t="str">
        <v>Tamara van Opstal-Haksteen</v>
      </c>
      <c r="AZ35" s="2" t="str">
        <v>MW1</v>
      </c>
      <c r="BA35" s="7">
        <v>36</v>
      </c>
      <c r="BB35" s="6"/>
      <c r="BC35" s="2"/>
      <c r="BD35" s="7"/>
    </row>
    <row r="36" spans="1:56">
      <c r="A36" s="109"/>
      <c r="B36" s="6"/>
      <c r="C36" s="2"/>
      <c r="D36" s="7"/>
      <c r="E36" s="6"/>
      <c r="F36" s="2"/>
      <c r="G36" s="7"/>
      <c r="I36" s="6"/>
      <c r="J36" s="2"/>
      <c r="K36" s="7"/>
      <c r="L36" s="6"/>
      <c r="M36" s="2"/>
      <c r="N36" s="7"/>
      <c r="P36" s="6" t="str">
        <v>Robin Leijdsman</v>
      </c>
      <c r="Q36" s="2" t="str">
        <v>S3</v>
      </c>
      <c r="R36" s="7">
        <v>28</v>
      </c>
      <c r="S36" s="6"/>
      <c r="T36" s="2"/>
      <c r="U36" s="7"/>
      <c r="W36" s="6" t="str">
        <v>Kim Dommisse</v>
      </c>
      <c r="X36" s="2" t="str">
        <v>S2</v>
      </c>
      <c r="Y36" s="7">
        <v>23</v>
      </c>
      <c r="Z36" s="6"/>
      <c r="AA36" s="2"/>
      <c r="AB36" s="7"/>
      <c r="AD36" s="6" t="str">
        <v>Nadia de Wit</v>
      </c>
      <c r="AE36" s="2" t="str">
        <v>S7</v>
      </c>
      <c r="AF36" s="7">
        <v>23</v>
      </c>
      <c r="AG36" s="6"/>
      <c r="AH36" s="2"/>
      <c r="AI36" s="7"/>
      <c r="AK36" s="6" t="str">
        <v>Tessa Dubbeld</v>
      </c>
      <c r="AL36" s="2" t="str">
        <v>-</v>
      </c>
      <c r="AM36" s="7">
        <v>24</v>
      </c>
      <c r="AN36" s="6" t="str">
        <v>Wouter Koornneef</v>
      </c>
      <c r="AO36" s="2" t="str">
        <v>A2</v>
      </c>
      <c r="AP36" s="7">
        <v>19</v>
      </c>
      <c r="AR36" s="6"/>
      <c r="AS36" s="2"/>
      <c r="AT36" s="7"/>
      <c r="AU36" s="6"/>
      <c r="AV36" s="2"/>
      <c r="AW36" s="7"/>
      <c r="AY36" s="6"/>
      <c r="AZ36" s="2"/>
      <c r="BA36" s="7"/>
      <c r="BB36" s="6"/>
      <c r="BC36" s="2"/>
      <c r="BD36" s="7"/>
    </row>
    <row r="37" spans="1:56">
      <c r="A37" s="109"/>
      <c r="B37" s="6"/>
      <c r="C37" s="2"/>
      <c r="D37" s="7"/>
      <c r="E37" s="6"/>
      <c r="F37" s="2"/>
      <c r="G37" s="7"/>
      <c r="I37" s="6"/>
      <c r="J37" s="2"/>
      <c r="K37" s="7"/>
      <c r="L37" s="6"/>
      <c r="M37" s="2"/>
      <c r="N37" s="7"/>
      <c r="P37" s="6"/>
      <c r="Q37" s="2"/>
      <c r="R37" s="7"/>
      <c r="S37" s="6"/>
      <c r="T37" s="2"/>
      <c r="U37" s="7"/>
      <c r="W37" s="6" t="str">
        <v>Laura Mol</v>
      </c>
      <c r="X37" s="2">
        <v>0</v>
      </c>
      <c r="Y37" s="7" t="e">
        <v>#N/A</v>
      </c>
      <c r="Z37" s="6"/>
      <c r="AA37" s="2"/>
      <c r="AB37" s="7"/>
      <c r="AD37" s="6" t="str">
        <v>Syrah de Wit</v>
      </c>
      <c r="AE37" s="2" t="str">
        <v>S7</v>
      </c>
      <c r="AF37" s="7">
        <v>23</v>
      </c>
      <c r="AG37" s="6"/>
      <c r="AH37" s="2"/>
      <c r="AI37" s="7"/>
      <c r="AK37" s="6"/>
      <c r="AL37" s="2"/>
      <c r="AM37" s="7"/>
      <c r="AN37" s="6"/>
      <c r="AO37" s="2"/>
      <c r="AP37" s="7"/>
      <c r="AR37" s="6"/>
      <c r="AS37" s="2"/>
      <c r="AT37" s="7"/>
      <c r="AU37" s="6"/>
      <c r="AV37" s="2"/>
      <c r="AW37" s="7"/>
      <c r="AY37" s="6"/>
      <c r="AZ37" s="2"/>
      <c r="BA37" s="7"/>
      <c r="BB37" s="6"/>
      <c r="BC37" s="2"/>
      <c r="BD37" s="7"/>
    </row>
    <row r="38" spans="1:56" ht="15.95" thickBot="1">
      <c r="A38" s="109"/>
      <c r="B38" s="6"/>
      <c r="C38" s="2"/>
      <c r="D38" s="7"/>
      <c r="E38" s="6"/>
      <c r="F38" s="2"/>
      <c r="G38" s="7"/>
      <c r="I38" s="6"/>
      <c r="J38" s="2"/>
      <c r="K38" s="7"/>
      <c r="L38" s="6"/>
      <c r="M38" s="2"/>
      <c r="N38" s="7"/>
      <c r="P38" s="6"/>
      <c r="Q38" s="2"/>
      <c r="R38" s="7"/>
      <c r="S38" s="6"/>
      <c r="T38" s="2"/>
      <c r="U38" s="7"/>
      <c r="W38" s="6"/>
      <c r="X38" s="2"/>
      <c r="Y38" s="7"/>
      <c r="Z38" s="6"/>
      <c r="AA38" s="2"/>
      <c r="AB38" s="7"/>
      <c r="AD38" s="6"/>
      <c r="AE38" s="2"/>
      <c r="AF38" s="7"/>
      <c r="AG38" s="6"/>
      <c r="AH38" s="2"/>
      <c r="AI38" s="7"/>
      <c r="AK38" s="6"/>
      <c r="AL38" s="2"/>
      <c r="AM38" s="7"/>
      <c r="AN38" s="6"/>
      <c r="AO38" s="2"/>
      <c r="AP38" s="7"/>
      <c r="AR38" s="6"/>
      <c r="AS38" s="2"/>
      <c r="AT38" s="7"/>
      <c r="AU38" s="6"/>
      <c r="AV38" s="2"/>
      <c r="AW38" s="7"/>
      <c r="AY38" s="6"/>
      <c r="AZ38" s="2"/>
      <c r="BA38" s="7"/>
      <c r="BB38" s="6"/>
      <c r="BC38" s="2"/>
      <c r="BD38" s="7"/>
    </row>
    <row r="39" spans="1:56">
      <c r="A39" s="109"/>
      <c r="B39" s="12" t="str" cm="1">
        <f t="array" ref="B39">_xlfn._xlws.FILTER(Staf!$C:$C,Staf!$B:$B=Teams!B29,"")</f>
        <v/>
      </c>
      <c r="C39" s="13" t="str" cm="1">
        <f t="array" ref="C39">_xlfn._xlws.FILTER(Staf!$A:$A,Staf!$B:$B=Teams!B29,"")</f>
        <v/>
      </c>
      <c r="D39" s="13"/>
      <c r="E39" s="13"/>
      <c r="F39" s="13"/>
      <c r="G39" s="14"/>
      <c r="I39" s="12" t="str" cm="1">
        <f t="array" ref="I39">_xlfn._xlws.FILTER(Staf!$C:$C,Staf!$B:$B=Teams!I29,"")</f>
        <v/>
      </c>
      <c r="J39" s="13" t="str" cm="1">
        <f t="array" ref="J39">_xlfn._xlws.FILTER(Staf!$A:$A,Staf!$B:$B=Teams!I29,"")</f>
        <v/>
      </c>
      <c r="K39" s="13"/>
      <c r="L39" s="13"/>
      <c r="M39" s="13"/>
      <c r="N39" s="14"/>
      <c r="P39" s="12" t="str" cm="1">
        <f t="array" ref="P39">_xlfn._xlws.FILTER(Staf!$C:$C,Staf!$B:$B=Teams!P29,"")</f>
        <v>Begeleider</v>
      </c>
      <c r="Q39" s="13" t="str" cm="1">
        <f t="array" ref="Q39">_xlfn._xlws.FILTER(Staf!$A:$A,Staf!$B:$B=Teams!P29,"")</f>
        <v>Kim Ardon</v>
      </c>
      <c r="R39" s="13"/>
      <c r="S39" s="13"/>
      <c r="T39" s="13"/>
      <c r="U39" s="14"/>
      <c r="W39" s="12" t="str" cm="1">
        <f t="array" ref="W39:W40">_xlfn._xlws.FILTER(Staf!$C:$C,Staf!$B:$B=Teams!W29,"")</f>
        <v>Trainer/Coach</v>
      </c>
      <c r="X39" s="13" t="str" cm="1">
        <f t="array" ref="X39:X40">_xlfn._xlws.FILTER(Staf!$A:$A,Staf!$B:$B=Teams!W29,"")</f>
        <v xml:space="preserve">Vacature </v>
      </c>
      <c r="Y39" s="13"/>
      <c r="Z39" s="13"/>
      <c r="AA39" s="13"/>
      <c r="AB39" s="14"/>
      <c r="AD39" s="12" t="str" cm="1">
        <f t="array" ref="AD39">_xlfn._xlws.FILTER(Staf!$C:$C,Staf!$B:$B=Teams!AD29,"")</f>
        <v>Trainer/Coach</v>
      </c>
      <c r="AE39" s="13" t="str" cm="1">
        <f t="array" ref="AE39">_xlfn._xlws.FILTER(Staf!$A:$A,Staf!$B:$B=Teams!AD29,"")</f>
        <v xml:space="preserve">Vacature </v>
      </c>
      <c r="AF39" s="13"/>
      <c r="AG39" s="13"/>
      <c r="AH39" s="13"/>
      <c r="AI39" s="14"/>
      <c r="AK39" s="12" t="str" cm="1">
        <f t="array" ref="AK39">_xlfn._xlws.FILTER(Staf!$C:$C,Staf!$B:$B=Teams!AK29,"")</f>
        <v>Trainer/Coach</v>
      </c>
      <c r="AL39" s="13" t="str" cm="1">
        <f t="array" ref="AL39">_xlfn._xlws.FILTER(Staf!$A:$A,Staf!$B:$B=Teams!AK29,"")</f>
        <v>Monique Kooper</v>
      </c>
      <c r="AM39" s="13"/>
      <c r="AN39" s="13"/>
      <c r="AO39" s="13"/>
      <c r="AP39" s="14"/>
      <c r="AR39" s="12" t="str" cm="1">
        <f t="array" ref="AR39">_xlfn._xlws.FILTER(Staf!$C:$C,Staf!$B:$B=Teams!AR29,"")</f>
        <v/>
      </c>
      <c r="AS39" s="13" t="str" cm="1">
        <f t="array" ref="AS39">_xlfn._xlws.FILTER(Staf!$A:$A,Staf!$B:$B=Teams!AR29,"")</f>
        <v/>
      </c>
      <c r="AT39" s="13"/>
      <c r="AU39" s="13"/>
      <c r="AV39" s="13"/>
      <c r="AW39" s="14"/>
      <c r="AY39" s="12" t="str" cm="1">
        <f t="array" ref="AY39">_xlfn._xlws.FILTER(Staf!$C:$C,Staf!$B:$B=Teams!AY29,"")</f>
        <v/>
      </c>
      <c r="AZ39" s="13" t="str" cm="1">
        <f t="array" ref="AZ39">_xlfn._xlws.FILTER(Staf!$A:$A,Staf!$B:$B=Teams!AY29,"")</f>
        <v/>
      </c>
      <c r="BA39" s="13"/>
      <c r="BB39" s="13"/>
      <c r="BC39" s="13"/>
      <c r="BD39" s="14"/>
    </row>
    <row r="40" spans="1:56">
      <c r="A40" s="109"/>
      <c r="B40" s="15"/>
      <c r="C40" s="16"/>
      <c r="D40" s="16"/>
      <c r="E40" s="16"/>
      <c r="F40" s="16"/>
      <c r="G40" s="17"/>
      <c r="I40" s="15"/>
      <c r="J40" s="16"/>
      <c r="K40" s="16"/>
      <c r="L40" s="16"/>
      <c r="M40" s="16"/>
      <c r="N40" s="17"/>
      <c r="P40" s="15"/>
      <c r="Q40" s="16"/>
      <c r="R40" s="16"/>
      <c r="S40" s="16"/>
      <c r="T40" s="16"/>
      <c r="U40" s="17"/>
      <c r="W40" s="15" t="str">
        <v>Trainer/Coach</v>
      </c>
      <c r="X40" s="16" t="str">
        <v xml:space="preserve">Vacature </v>
      </c>
      <c r="Y40" s="16"/>
      <c r="Z40" s="16"/>
      <c r="AA40" s="16"/>
      <c r="AB40" s="17"/>
      <c r="AD40" s="15"/>
      <c r="AE40" s="16"/>
      <c r="AF40" s="16"/>
      <c r="AG40" s="16"/>
      <c r="AH40" s="16"/>
      <c r="AI40" s="17"/>
      <c r="AK40" s="15"/>
      <c r="AL40" s="16"/>
      <c r="AM40" s="16"/>
      <c r="AN40" s="16"/>
      <c r="AO40" s="16"/>
      <c r="AP40" s="17"/>
      <c r="AR40" s="15"/>
      <c r="AS40" s="16"/>
      <c r="AT40" s="16"/>
      <c r="AU40" s="16"/>
      <c r="AV40" s="16"/>
      <c r="AW40" s="17"/>
      <c r="AY40" s="15"/>
      <c r="AZ40" s="16"/>
      <c r="BA40" s="16"/>
      <c r="BB40" s="16"/>
      <c r="BC40" s="16"/>
      <c r="BD40" s="17"/>
    </row>
    <row r="41" spans="1:56" ht="15.95" thickBot="1">
      <c r="A41" s="109"/>
      <c r="B41" s="18"/>
      <c r="C41" s="19"/>
      <c r="D41" s="19"/>
      <c r="E41" s="19"/>
      <c r="F41" s="19"/>
      <c r="G41" s="20"/>
      <c r="I41" s="18"/>
      <c r="J41" s="19"/>
      <c r="K41" s="19"/>
      <c r="L41" s="19"/>
      <c r="M41" s="19"/>
      <c r="N41" s="20"/>
      <c r="P41" s="18"/>
      <c r="Q41" s="19"/>
      <c r="R41" s="19"/>
      <c r="S41" s="19"/>
      <c r="T41" s="19"/>
      <c r="U41" s="20"/>
      <c r="W41" s="18"/>
      <c r="X41" s="19"/>
      <c r="Y41" s="19"/>
      <c r="Z41" s="19"/>
      <c r="AA41" s="19"/>
      <c r="AB41" s="20"/>
      <c r="AD41" s="18"/>
      <c r="AE41" s="19"/>
      <c r="AF41" s="19"/>
      <c r="AG41" s="19"/>
      <c r="AH41" s="19"/>
      <c r="AI41" s="20"/>
      <c r="AK41" s="18"/>
      <c r="AL41" s="19"/>
      <c r="AM41" s="19"/>
      <c r="AN41" s="19"/>
      <c r="AO41" s="19"/>
      <c r="AP41" s="20"/>
      <c r="AR41" s="18"/>
      <c r="AS41" s="19"/>
      <c r="AT41" s="19"/>
      <c r="AU41" s="19"/>
      <c r="AV41" s="19"/>
      <c r="AW41" s="20"/>
      <c r="AY41" s="18"/>
      <c r="AZ41" s="19"/>
      <c r="BA41" s="19"/>
      <c r="BB41" s="19"/>
      <c r="BC41" s="19"/>
      <c r="BD41" s="20"/>
    </row>
    <row r="42" spans="1:56" ht="15.95" thickBot="1"/>
    <row r="43" spans="1:56" ht="15.95" thickBot="1">
      <c r="A43" s="109" t="s">
        <v>14</v>
      </c>
      <c r="B43" s="21" t="s">
        <v>15</v>
      </c>
      <c r="C43" s="21"/>
      <c r="D43" s="21"/>
      <c r="E43" s="21"/>
      <c r="F43" s="21"/>
      <c r="G43" s="22" t="e">
        <f>AVERAGE(D45:D55,G45:G55)</f>
        <v>#DIV/0!</v>
      </c>
      <c r="I43" s="21" t="s">
        <v>16</v>
      </c>
      <c r="J43" s="21"/>
      <c r="K43" s="21"/>
      <c r="L43" s="21"/>
      <c r="M43" s="21"/>
      <c r="N43" s="22" t="e">
        <f>AVERAGE(K45:K55,N45:N55)</f>
        <v>#DIV/0!</v>
      </c>
      <c r="P43" s="21" t="s">
        <v>17</v>
      </c>
      <c r="Q43" s="21"/>
      <c r="R43" s="21"/>
      <c r="S43" s="21"/>
      <c r="T43" s="21"/>
      <c r="U43" s="22">
        <f>AVERAGE(R45:R55,U45:U55)</f>
        <v>16.727272727272727</v>
      </c>
      <c r="W43" s="21" t="s">
        <v>18</v>
      </c>
      <c r="X43" s="21"/>
      <c r="Y43" s="21"/>
      <c r="Z43" s="21"/>
      <c r="AA43" s="21"/>
      <c r="AB43" s="22" t="e">
        <f>AVERAGE(Y45:Y55,AB45:AB55)</f>
        <v>#DIV/0!</v>
      </c>
      <c r="AD43" s="21" t="s">
        <v>19</v>
      </c>
      <c r="AE43" s="21"/>
      <c r="AF43" s="21"/>
      <c r="AG43" s="21"/>
      <c r="AH43" s="21"/>
      <c r="AI43" s="22" t="e">
        <f>AVERAGE(AF45:AF55,AI45:AI55)</f>
        <v>#DIV/0!</v>
      </c>
    </row>
    <row r="44" spans="1:56" ht="15.95" thickBot="1">
      <c r="A44" s="109"/>
      <c r="B44" s="8" t="str">
        <f>CONCATENATE("Dames (",COUNTA(C45:C53),")")</f>
        <v>Dames (1)</v>
      </c>
      <c r="C44" s="9"/>
      <c r="D44" s="10"/>
      <c r="E44" s="8" t="str">
        <f>CONCATENATE("Heren (",COUNTA(F45:F53),")")</f>
        <v>Heren (1)</v>
      </c>
      <c r="F44" s="9"/>
      <c r="G44" s="10"/>
      <c r="I44" s="8" t="str">
        <f>CONCATENATE("Dames (",COUNTA(J45:J53),")")</f>
        <v>Dames (1)</v>
      </c>
      <c r="J44" s="9"/>
      <c r="K44" s="10"/>
      <c r="L44" s="8" t="str">
        <f>CONCATENATE("Heren (",COUNTA(M45:M53),")")</f>
        <v>Heren (1)</v>
      </c>
      <c r="M44" s="9"/>
      <c r="N44" s="10"/>
      <c r="P44" s="8" t="str">
        <f>CONCATENATE("Dames (",COUNTA(Q45:Q53),")")</f>
        <v>Dames (6)</v>
      </c>
      <c r="Q44" s="9"/>
      <c r="R44" s="10"/>
      <c r="S44" s="8" t="str">
        <f>CONCATENATE("Heren (",COUNTA(T45:T53),")")</f>
        <v>Heren (5)</v>
      </c>
      <c r="T44" s="9"/>
      <c r="U44" s="10"/>
      <c r="W44" s="8" t="str">
        <f>CONCATENATE("Dames (",COUNTA(X45:X53),")")</f>
        <v>Dames (1)</v>
      </c>
      <c r="X44" s="9"/>
      <c r="Y44" s="10"/>
      <c r="Z44" s="8" t="str">
        <f>CONCATENATE("Heren (",COUNTA(AA45:AA53),")")</f>
        <v>Heren (1)</v>
      </c>
      <c r="AA44" s="9"/>
      <c r="AB44" s="10"/>
      <c r="AD44" s="8" t="str">
        <f>CONCATENATE("Dames (",COUNTA(AE45:AE53),")")</f>
        <v>Dames (1)</v>
      </c>
      <c r="AE44" s="9"/>
      <c r="AF44" s="10"/>
      <c r="AG44" s="8" t="str">
        <f>CONCATENATE("Heren (",COUNTA(AH45:AH53),")")</f>
        <v>Heren (1)</v>
      </c>
      <c r="AH44" s="9"/>
      <c r="AI44" s="10"/>
    </row>
    <row r="45" spans="1:56">
      <c r="A45" s="109"/>
      <c r="B45" s="3" t="str" cm="1">
        <f t="array" ref="B45">_xlfn._xlws.FILTER(Spelerslijst!$B:$B,Spelerslijst!$G:$G=B$43,"")</f>
        <v/>
      </c>
      <c r="C45" s="4" t="str" cm="1">
        <f t="array" ref="C45">_xlfn._xlws.FILTER(Spelerslijst!$H:$H,Spelerslijst!$G:$G=B$43,"")</f>
        <v/>
      </c>
      <c r="D45" s="5" t="str" cm="1">
        <f t="array" ref="D45">_xlfn._xlws.FILTER(Spelerslijst!$D:$D,Spelerslijst!$G:$G=B$43,"")</f>
        <v/>
      </c>
      <c r="E45" s="3" t="str" cm="1">
        <f t="array" ref="E45">_xlfn._xlws.FILTER(Spelerslijst!$L:$L,Spelerslijst!$Q:$Q=B$43,"")</f>
        <v/>
      </c>
      <c r="F45" s="4" t="str" cm="1">
        <f t="array" ref="F45">_xlfn._xlws.FILTER(Spelerslijst!$R:$R,Spelerslijst!$Q:$Q=B$43,"")</f>
        <v/>
      </c>
      <c r="G45" s="5" t="str" cm="1">
        <f t="array" ref="G45">_xlfn._xlws.FILTER(Spelerslijst!$N:$N,Spelerslijst!$Q:$Q=B$43,"")</f>
        <v/>
      </c>
      <c r="I45" s="3" t="str" cm="1">
        <f t="array" ref="I45">_xlfn._xlws.FILTER(Spelerslijst!$B:$B,Spelerslijst!$G:$G=I$43,"")</f>
        <v/>
      </c>
      <c r="J45" s="4" t="str" cm="1">
        <f t="array" ref="J45">_xlfn._xlws.FILTER(Spelerslijst!$H:$H,Spelerslijst!$G:$G=I$43,"")</f>
        <v/>
      </c>
      <c r="K45" s="5" t="str" cm="1">
        <f t="array" ref="K45">_xlfn._xlws.FILTER(Spelerslijst!$D:$D,Spelerslijst!$G:$G=I$43,"")</f>
        <v/>
      </c>
      <c r="L45" s="3" t="str" cm="1">
        <f t="array" ref="L45">_xlfn._xlws.FILTER(Spelerslijst!$L:$L,Spelerslijst!$Q:$Q=I$43,"")</f>
        <v/>
      </c>
      <c r="M45" s="4" t="str" cm="1">
        <f t="array" ref="M45">_xlfn._xlws.FILTER(Spelerslijst!$R:$R,Spelerslijst!$Q:$Q=I$43,"")</f>
        <v/>
      </c>
      <c r="N45" s="5" t="str" cm="1">
        <f t="array" ref="N45">_xlfn._xlws.FILTER(Spelerslijst!$N:$N,Spelerslijst!$Q:$Q=I$43,"")</f>
        <v/>
      </c>
      <c r="P45" s="3" t="str" cm="1">
        <f t="array" ref="P45:P50">_xlfn._xlws.FILTER(Spelerslijst!$B:$B,Spelerslijst!$G:$G=P$43,"")</f>
        <v>Julia Bozuwa</v>
      </c>
      <c r="Q45" s="4" t="str" cm="1">
        <f t="array" ref="Q45:Q50">_xlfn._xlws.FILTER(Spelerslijst!$H:$H,Spelerslijst!$G:$G=P$43,"")</f>
        <v>A3</v>
      </c>
      <c r="R45" s="5" cm="1">
        <f t="array" ref="R45:R50">_xlfn._xlws.FILTER(Spelerslijst!$D:$D,Spelerslijst!$G:$G=P$43,"")</f>
        <v>17</v>
      </c>
      <c r="S45" s="3" t="str" cm="1">
        <f t="array" ref="S45:S49">_xlfn._xlws.FILTER(Spelerslijst!$L:$L,Spelerslijst!$Q:$Q=P$43,"")</f>
        <v>Casper Boshoven</v>
      </c>
      <c r="T45" s="4" t="str" cm="1">
        <f t="array" ref="T45:T49">_xlfn._xlws.FILTER(Spelerslijst!$R:$R,Spelerslijst!$Q:$Q=P$43,"")</f>
        <v>B3</v>
      </c>
      <c r="U45" s="5" cm="1">
        <f t="array" ref="U45:U49">_xlfn._xlws.FILTER(Spelerslijst!$N:$N,Spelerslijst!$Q:$Q=P$43,"")</f>
        <v>16</v>
      </c>
      <c r="W45" s="3" t="str" cm="1">
        <f t="array" ref="W45">_xlfn._xlws.FILTER(Spelerslijst!$B:$B,Spelerslijst!$G:$G=W$43,"")</f>
        <v/>
      </c>
      <c r="X45" s="4" t="str" cm="1">
        <f t="array" ref="X45">_xlfn._xlws.FILTER(Spelerslijst!$H:$H,Spelerslijst!$G:$G=W$43,"")</f>
        <v/>
      </c>
      <c r="Y45" s="5" t="str" cm="1">
        <f t="array" ref="Y45">_xlfn._xlws.FILTER(Spelerslijst!$D:$D,Spelerslijst!$G:$G=W$43,"")</f>
        <v/>
      </c>
      <c r="Z45" s="3" t="str" cm="1">
        <f t="array" ref="Z45">_xlfn._xlws.FILTER(Spelerslijst!$L:$L,Spelerslijst!$Q:$Q=W$43,"")</f>
        <v/>
      </c>
      <c r="AA45" s="4" t="str" cm="1">
        <f t="array" ref="AA45">_xlfn._xlws.FILTER(Spelerslijst!$R:$R,Spelerslijst!$Q:$Q=W$43,"")</f>
        <v/>
      </c>
      <c r="AB45" s="5" t="str" cm="1">
        <f t="array" ref="AB45">_xlfn._xlws.FILTER(Spelerslijst!$N:$N,Spelerslijst!$Q:$Q=W$43,"")</f>
        <v/>
      </c>
      <c r="AD45" s="3" t="str" cm="1">
        <f t="array" ref="AD45">_xlfn._xlws.FILTER(Spelerslijst!$B:$B,Spelerslijst!$G:$G=AD$43,"")</f>
        <v/>
      </c>
      <c r="AE45" s="4" t="str" cm="1">
        <f t="array" ref="AE45">_xlfn._xlws.FILTER(Spelerslijst!$H:$H,Spelerslijst!$G:$G=AD$43,"")</f>
        <v/>
      </c>
      <c r="AF45" s="5" t="str" cm="1">
        <f t="array" ref="AF45">_xlfn._xlws.FILTER(Spelerslijst!$D:$D,Spelerslijst!$G:$G=AD$43,"")</f>
        <v/>
      </c>
      <c r="AG45" s="3" t="str" cm="1">
        <f t="array" ref="AG45">_xlfn._xlws.FILTER(Spelerslijst!$L:$L,Spelerslijst!$Q:$Q=AD$43,"")</f>
        <v/>
      </c>
      <c r="AH45" s="4" t="str" cm="1">
        <f t="array" ref="AH45">_xlfn._xlws.FILTER(Spelerslijst!$R:$R,Spelerslijst!$Q:$Q=AD$43,"")</f>
        <v/>
      </c>
      <c r="AI45" s="5" t="str" cm="1">
        <f t="array" ref="AI45">_xlfn._xlws.FILTER(Spelerslijst!$N:$N,Spelerslijst!$Q:$Q=AD$43,"")</f>
        <v/>
      </c>
    </row>
    <row r="46" spans="1:56">
      <c r="A46" s="109"/>
      <c r="B46" s="6"/>
      <c r="C46" s="2"/>
      <c r="D46" s="7"/>
      <c r="E46" s="6"/>
      <c r="F46" s="2"/>
      <c r="G46" s="7"/>
      <c r="I46" s="6"/>
      <c r="J46" s="2"/>
      <c r="K46" s="7"/>
      <c r="L46" s="6"/>
      <c r="M46" s="2"/>
      <c r="N46" s="7"/>
      <c r="P46" s="6" t="str">
        <v>Lianne Bouwknegt</v>
      </c>
      <c r="Q46" s="2" t="str">
        <v>A3</v>
      </c>
      <c r="R46" s="7">
        <v>17</v>
      </c>
      <c r="S46" s="6" t="str">
        <v>Matthijs de Jongh</v>
      </c>
      <c r="T46" s="2" t="str">
        <v>A3</v>
      </c>
      <c r="U46" s="7">
        <v>17</v>
      </c>
      <c r="W46" s="6"/>
      <c r="X46" s="2"/>
      <c r="Y46" s="7"/>
      <c r="Z46" s="6"/>
      <c r="AA46" s="2"/>
      <c r="AB46" s="7"/>
      <c r="AD46" s="6"/>
      <c r="AE46" s="2"/>
      <c r="AF46" s="7"/>
      <c r="AG46" s="6"/>
      <c r="AH46" s="2"/>
      <c r="AI46" s="7"/>
    </row>
    <row r="47" spans="1:56">
      <c r="A47" s="109"/>
      <c r="B47" s="6"/>
      <c r="C47" s="2"/>
      <c r="D47" s="7"/>
      <c r="E47" s="6"/>
      <c r="F47" s="2"/>
      <c r="G47" s="7"/>
      <c r="I47" s="6"/>
      <c r="J47" s="2"/>
      <c r="K47" s="7"/>
      <c r="L47" s="6"/>
      <c r="M47" s="2"/>
      <c r="N47" s="7"/>
      <c r="P47" s="6" t="str">
        <v>Robin Zwanenburg</v>
      </c>
      <c r="Q47" s="2" t="str">
        <v>B3</v>
      </c>
      <c r="R47" s="7">
        <v>15</v>
      </c>
      <c r="S47" s="6" t="str">
        <v>Menno Pille</v>
      </c>
      <c r="T47" s="2" t="str">
        <v>A3</v>
      </c>
      <c r="U47" s="7">
        <v>17</v>
      </c>
      <c r="W47" s="6"/>
      <c r="X47" s="2"/>
      <c r="Y47" s="7"/>
      <c r="Z47" s="6"/>
      <c r="AA47" s="2"/>
      <c r="AB47" s="7"/>
      <c r="AD47" s="6"/>
      <c r="AE47" s="2"/>
      <c r="AF47" s="7"/>
      <c r="AG47" s="6"/>
      <c r="AH47" s="2"/>
      <c r="AI47" s="7"/>
    </row>
    <row r="48" spans="1:56">
      <c r="A48" s="109"/>
      <c r="B48" s="6"/>
      <c r="C48" s="2"/>
      <c r="D48" s="7"/>
      <c r="E48" s="6"/>
      <c r="F48" s="2"/>
      <c r="G48" s="7"/>
      <c r="I48" s="6"/>
      <c r="J48" s="2"/>
      <c r="K48" s="7"/>
      <c r="L48" s="6"/>
      <c r="M48" s="2"/>
      <c r="N48" s="7"/>
      <c r="P48" s="6" t="str">
        <v>Tessa van Everdingen</v>
      </c>
      <c r="Q48" s="2" t="str">
        <v>A3</v>
      </c>
      <c r="R48" s="7">
        <v>18</v>
      </c>
      <c r="S48" s="6" t="str">
        <v>Raoul Kuijper</v>
      </c>
      <c r="T48" s="2" t="str">
        <v>B3</v>
      </c>
      <c r="U48" s="7">
        <v>16</v>
      </c>
      <c r="W48" s="6"/>
      <c r="X48" s="2"/>
      <c r="Y48" s="7"/>
      <c r="Z48" s="6"/>
      <c r="AA48" s="2"/>
      <c r="AB48" s="7"/>
      <c r="AD48" s="6"/>
      <c r="AE48" s="2"/>
      <c r="AF48" s="7"/>
      <c r="AG48" s="6"/>
      <c r="AH48" s="2"/>
      <c r="AI48" s="7"/>
    </row>
    <row r="49" spans="1:35">
      <c r="A49" s="109"/>
      <c r="B49" s="6"/>
      <c r="C49" s="2"/>
      <c r="D49" s="7"/>
      <c r="E49" s="6"/>
      <c r="F49" s="2"/>
      <c r="G49" s="7"/>
      <c r="I49" s="6"/>
      <c r="J49" s="2"/>
      <c r="K49" s="7"/>
      <c r="L49" s="6"/>
      <c r="M49" s="2"/>
      <c r="N49" s="7"/>
      <c r="P49" s="6" t="str">
        <v>Vivienne Versnel</v>
      </c>
      <c r="Q49" s="2" t="str">
        <v>A3</v>
      </c>
      <c r="R49" s="7">
        <v>19</v>
      </c>
      <c r="S49" s="6" t="str">
        <v>Tommie Koornneef</v>
      </c>
      <c r="T49" s="2" t="str">
        <v>A3</v>
      </c>
      <c r="U49" s="7">
        <v>17</v>
      </c>
      <c r="W49" s="6"/>
      <c r="X49" s="2"/>
      <c r="Y49" s="7"/>
      <c r="Z49" s="6"/>
      <c r="AA49" s="2"/>
      <c r="AB49" s="7"/>
      <c r="AD49" s="6"/>
      <c r="AE49" s="2"/>
      <c r="AF49" s="7"/>
      <c r="AG49" s="6"/>
      <c r="AH49" s="2"/>
      <c r="AI49" s="7"/>
    </row>
    <row r="50" spans="1:35">
      <c r="A50" s="109"/>
      <c r="B50" s="6"/>
      <c r="C50" s="2"/>
      <c r="D50" s="7"/>
      <c r="E50" s="6"/>
      <c r="F50" s="2"/>
      <c r="G50" s="7"/>
      <c r="I50" s="6"/>
      <c r="J50" s="2"/>
      <c r="K50" s="7"/>
      <c r="L50" s="6"/>
      <c r="M50" s="2"/>
      <c r="N50" s="7"/>
      <c r="P50" s="6" t="str">
        <v>Zoë Kamerman</v>
      </c>
      <c r="Q50" s="2" t="str">
        <v>B3</v>
      </c>
      <c r="R50" s="7">
        <v>15</v>
      </c>
      <c r="S50" s="6"/>
      <c r="T50" s="2"/>
      <c r="U50" s="7"/>
      <c r="W50" s="6"/>
      <c r="X50" s="2"/>
      <c r="Y50" s="7"/>
      <c r="Z50" s="6"/>
      <c r="AA50" s="2"/>
      <c r="AB50" s="7"/>
      <c r="AD50" s="6"/>
      <c r="AE50" s="2"/>
      <c r="AF50" s="7"/>
      <c r="AG50" s="6"/>
      <c r="AH50" s="2"/>
      <c r="AI50" s="7"/>
    </row>
    <row r="51" spans="1:35">
      <c r="A51" s="109"/>
      <c r="B51" s="6"/>
      <c r="C51" s="2"/>
      <c r="D51" s="7"/>
      <c r="E51" s="6"/>
      <c r="F51" s="2"/>
      <c r="G51" s="7"/>
      <c r="I51" s="6"/>
      <c r="J51" s="2"/>
      <c r="K51" s="7"/>
      <c r="L51" s="6"/>
      <c r="M51" s="2"/>
      <c r="N51" s="7"/>
      <c r="P51" s="6"/>
      <c r="Q51" s="2"/>
      <c r="R51" s="7"/>
      <c r="S51" s="6"/>
      <c r="T51" s="2"/>
      <c r="U51" s="7"/>
      <c r="W51" s="6"/>
      <c r="X51" s="2"/>
      <c r="Y51" s="7"/>
      <c r="Z51" s="6"/>
      <c r="AA51" s="2"/>
      <c r="AB51" s="7"/>
      <c r="AD51" s="6"/>
      <c r="AE51" s="2"/>
      <c r="AF51" s="7"/>
      <c r="AG51" s="6"/>
      <c r="AH51" s="2"/>
      <c r="AI51" s="7"/>
    </row>
    <row r="52" spans="1:35">
      <c r="A52" s="109"/>
      <c r="B52" s="6"/>
      <c r="C52" s="2"/>
      <c r="D52" s="7"/>
      <c r="E52" s="6"/>
      <c r="F52" s="2"/>
      <c r="G52" s="7"/>
      <c r="I52" s="6"/>
      <c r="J52" s="2"/>
      <c r="K52" s="7"/>
      <c r="L52" s="6"/>
      <c r="M52" s="2"/>
      <c r="N52" s="7"/>
      <c r="P52" s="6"/>
      <c r="Q52" s="2"/>
      <c r="R52" s="7"/>
      <c r="S52" s="6"/>
      <c r="T52" s="2"/>
      <c r="U52" s="7"/>
      <c r="W52" s="6"/>
      <c r="X52" s="2"/>
      <c r="Y52" s="7"/>
      <c r="Z52" s="6"/>
      <c r="AA52" s="2"/>
      <c r="AB52" s="7"/>
      <c r="AD52" s="6"/>
      <c r="AE52" s="2"/>
      <c r="AF52" s="7"/>
      <c r="AG52" s="6"/>
      <c r="AH52" s="2"/>
      <c r="AI52" s="7"/>
    </row>
    <row r="53" spans="1:35" ht="15.95" thickBot="1">
      <c r="A53" s="109"/>
      <c r="B53" s="6"/>
      <c r="C53" s="2"/>
      <c r="D53" s="7"/>
      <c r="E53" s="6"/>
      <c r="F53" s="2"/>
      <c r="G53" s="7"/>
      <c r="I53" s="6"/>
      <c r="J53" s="2"/>
      <c r="K53" s="7"/>
      <c r="L53" s="6"/>
      <c r="M53" s="2"/>
      <c r="N53" s="7"/>
      <c r="P53" s="6"/>
      <c r="Q53" s="2"/>
      <c r="R53" s="7"/>
      <c r="S53" s="6"/>
      <c r="T53" s="2"/>
      <c r="U53" s="7"/>
      <c r="W53" s="6"/>
      <c r="X53" s="2"/>
      <c r="Y53" s="7"/>
      <c r="Z53" s="6"/>
      <c r="AA53" s="2"/>
      <c r="AB53" s="7"/>
      <c r="AD53" s="6"/>
      <c r="AE53" s="2"/>
      <c r="AF53" s="7"/>
      <c r="AG53" s="6"/>
      <c r="AH53" s="2"/>
      <c r="AI53" s="7"/>
    </row>
    <row r="54" spans="1:35">
      <c r="A54" s="109"/>
      <c r="B54" s="12" t="str" cm="1">
        <f t="array" ref="B54">_xlfn._xlws.FILTER(Staf!$C:$C,Staf!$B:$B=Teams!B43,"")</f>
        <v/>
      </c>
      <c r="C54" s="13" t="str" cm="1">
        <f t="array" ref="C54">_xlfn._xlws.FILTER(Staf!$A:$A,Staf!$B:$B=Teams!B43,"")</f>
        <v/>
      </c>
      <c r="D54" s="13"/>
      <c r="E54" s="13"/>
      <c r="F54" s="13"/>
      <c r="G54" s="14"/>
      <c r="I54" s="12" t="str" cm="1">
        <f t="array" ref="I54">_xlfn._xlws.FILTER(Staf!$C:$C,Staf!$B:$B=Teams!I43,"")</f>
        <v/>
      </c>
      <c r="J54" s="13" t="str" cm="1">
        <f t="array" ref="J54">_xlfn._xlws.FILTER(Staf!$A:$A,Staf!$B:$B=Teams!I43,"")</f>
        <v/>
      </c>
      <c r="K54" s="13"/>
      <c r="L54" s="13"/>
      <c r="M54" s="13"/>
      <c r="N54" s="14"/>
      <c r="P54" s="12" t="str" cm="1">
        <f t="array" ref="P54:P55">_xlfn._xlws.FILTER(Staf!$C:$C,Staf!$B:$B=Teams!P43,"")</f>
        <v>Trainer/Coach</v>
      </c>
      <c r="Q54" s="13" t="str" cm="1">
        <f t="array" ref="Q54:Q55">_xlfn._xlws.FILTER(Staf!$A:$A,Staf!$B:$B=Teams!P43,"")</f>
        <v>David Kuijper</v>
      </c>
      <c r="R54" s="13"/>
      <c r="S54" s="13"/>
      <c r="T54" s="13"/>
      <c r="U54" s="14"/>
      <c r="W54" s="12" t="str" cm="1">
        <f t="array" ref="W54">_xlfn._xlws.FILTER(Staf!$C:$C,Staf!$B:$B=Teams!W43,"")</f>
        <v/>
      </c>
      <c r="X54" s="13" t="str" cm="1">
        <f t="array" ref="X54">_xlfn._xlws.FILTER(Staf!$A:$A,Staf!$B:$B=Teams!W43,"")</f>
        <v/>
      </c>
      <c r="Y54" s="13"/>
      <c r="Z54" s="13"/>
      <c r="AA54" s="13"/>
      <c r="AB54" s="14"/>
      <c r="AD54" s="12" t="str" cm="1">
        <f t="array" ref="AD54">_xlfn._xlws.FILTER(Staf!$C:$C,Staf!$B:$B=Teams!AD43,"")</f>
        <v/>
      </c>
      <c r="AE54" s="13" t="str" cm="1">
        <f t="array" ref="AE54">_xlfn._xlws.FILTER(Staf!$A:$A,Staf!$B:$B=Teams!AD43,"")</f>
        <v/>
      </c>
      <c r="AF54" s="13"/>
      <c r="AG54" s="13"/>
      <c r="AH54" s="13"/>
      <c r="AI54" s="14"/>
    </row>
    <row r="55" spans="1:35">
      <c r="A55" s="109"/>
      <c r="B55" s="15"/>
      <c r="C55" s="16"/>
      <c r="D55" s="16"/>
      <c r="E55" s="16"/>
      <c r="F55" s="16"/>
      <c r="G55" s="17"/>
      <c r="I55" s="15"/>
      <c r="J55" s="16"/>
      <c r="K55" s="16"/>
      <c r="L55" s="16"/>
      <c r="M55" s="16"/>
      <c r="N55" s="17"/>
      <c r="P55" s="15" t="str">
        <v>Trainer/Coach</v>
      </c>
      <c r="Q55" s="16" t="str">
        <v>Ruben Dubbeld</v>
      </c>
      <c r="R55" s="16"/>
      <c r="S55" s="16"/>
      <c r="T55" s="16"/>
      <c r="U55" s="17"/>
      <c r="W55" s="15"/>
      <c r="X55" s="16"/>
      <c r="Y55" s="16"/>
      <c r="Z55" s="16"/>
      <c r="AA55" s="16"/>
      <c r="AB55" s="17"/>
      <c r="AD55" s="15"/>
      <c r="AE55" s="16"/>
      <c r="AF55" s="16"/>
      <c r="AG55" s="16"/>
      <c r="AH55" s="16"/>
      <c r="AI55" s="17"/>
    </row>
    <row r="56" spans="1:35" ht="15.95" thickBot="1">
      <c r="A56" s="109"/>
      <c r="B56" s="18"/>
      <c r="C56" s="19"/>
      <c r="D56" s="19"/>
      <c r="E56" s="19"/>
      <c r="F56" s="19"/>
      <c r="G56" s="20"/>
      <c r="I56" s="18"/>
      <c r="J56" s="19"/>
      <c r="K56" s="19"/>
      <c r="L56" s="19"/>
      <c r="M56" s="19"/>
      <c r="N56" s="20"/>
      <c r="P56" s="18"/>
      <c r="Q56" s="19"/>
      <c r="R56" s="19"/>
      <c r="S56" s="19"/>
      <c r="T56" s="19"/>
      <c r="U56" s="20"/>
      <c r="W56" s="18"/>
      <c r="X56" s="19"/>
      <c r="Y56" s="19"/>
      <c r="Z56" s="19"/>
      <c r="AA56" s="19"/>
      <c r="AB56" s="20"/>
      <c r="AD56" s="18"/>
      <c r="AE56" s="19"/>
      <c r="AF56" s="19"/>
      <c r="AG56" s="19"/>
      <c r="AH56" s="19"/>
      <c r="AI56" s="20"/>
    </row>
    <row r="57" spans="1:35" ht="15.95" thickBot="1"/>
    <row r="58" spans="1:35" ht="15.95" thickBot="1">
      <c r="A58" s="109" t="s">
        <v>20</v>
      </c>
      <c r="B58" s="21" t="s">
        <v>21</v>
      </c>
      <c r="C58" s="21"/>
      <c r="D58" s="21"/>
      <c r="E58" s="21"/>
      <c r="F58" s="21"/>
      <c r="G58" s="22" t="e">
        <f>AVERAGE(D60:D70,G60:G70)</f>
        <v>#DIV/0!</v>
      </c>
      <c r="I58" s="21" t="s">
        <v>22</v>
      </c>
      <c r="J58" s="21"/>
      <c r="K58" s="21"/>
      <c r="L58" s="21"/>
      <c r="M58" s="21"/>
      <c r="N58" s="22" t="e">
        <f>AVERAGE(K60:K70,N60:N70)</f>
        <v>#DIV/0!</v>
      </c>
      <c r="P58" s="21" t="s">
        <v>23</v>
      </c>
      <c r="Q58" s="21"/>
      <c r="R58" s="21"/>
      <c r="S58" s="21"/>
      <c r="T58" s="21"/>
      <c r="U58" s="22">
        <f>AVERAGE(R60:R70,U60:U70)</f>
        <v>14.333333333333334</v>
      </c>
      <c r="W58" s="21" t="s">
        <v>24</v>
      </c>
      <c r="X58" s="21"/>
      <c r="Y58" s="21"/>
      <c r="Z58" s="21"/>
      <c r="AA58" s="21"/>
      <c r="AB58" s="22">
        <f>AVERAGE(Y60:Y70,AB60:AB70)</f>
        <v>14</v>
      </c>
      <c r="AD58" s="21" t="s">
        <v>25</v>
      </c>
      <c r="AE58" s="21"/>
      <c r="AF58" s="21"/>
      <c r="AG58" s="21"/>
      <c r="AH58" s="21" t="s">
        <v>25</v>
      </c>
      <c r="AI58" s="22" t="e">
        <f>AVERAGE(AF60:AF70,AI60:AI70)</f>
        <v>#DIV/0!</v>
      </c>
    </row>
    <row r="59" spans="1:35" ht="15.95" thickBot="1">
      <c r="A59" s="109"/>
      <c r="B59" s="8" t="str">
        <f>CONCATENATE("Dames (",COUNTA(C60:C68),")")</f>
        <v>Dames (1)</v>
      </c>
      <c r="C59" s="9"/>
      <c r="D59" s="10"/>
      <c r="E59" s="8" t="str">
        <f>CONCATENATE("Heren (",COUNTA(F60:F68),")")</f>
        <v>Heren (1)</v>
      </c>
      <c r="F59" s="9"/>
      <c r="G59" s="10"/>
      <c r="I59" s="8" t="str">
        <f>CONCATENATE("Dames (",COUNTA(J60:J68),")")</f>
        <v>Dames (1)</v>
      </c>
      <c r="J59" s="9"/>
      <c r="K59" s="10"/>
      <c r="L59" s="8" t="str">
        <f>CONCATENATE("Heren (",COUNTA(M60:M68),")")</f>
        <v>Heren (1)</v>
      </c>
      <c r="M59" s="9"/>
      <c r="N59" s="10"/>
      <c r="P59" s="8" t="str">
        <f>CONCATENATE("Dames (",COUNTA(Q60:Q68),")")</f>
        <v>Dames (6)</v>
      </c>
      <c r="Q59" s="9"/>
      <c r="R59" s="10"/>
      <c r="S59" s="8" t="str">
        <f>CONCATENATE("Heren (",COUNTA(T60:T68),")")</f>
        <v>Heren (3)</v>
      </c>
      <c r="T59" s="9"/>
      <c r="U59" s="10"/>
      <c r="W59" s="8" t="str">
        <f>CONCATENATE("Dames (",COUNTA(X60:X68),")")</f>
        <v>Dames (6)</v>
      </c>
      <c r="X59" s="9"/>
      <c r="Y59" s="10"/>
      <c r="Z59" s="8" t="str">
        <f>CONCATENATE("Heren (",COUNTA(AA60:AA68),")")</f>
        <v>Heren (3)</v>
      </c>
      <c r="AA59" s="9"/>
      <c r="AB59" s="10"/>
      <c r="AD59" s="8" t="str">
        <f>CONCATENATE("Dames (",COUNTA(AE60:AE68),")")</f>
        <v>Dames (1)</v>
      </c>
      <c r="AE59" s="9"/>
      <c r="AF59" s="10"/>
      <c r="AG59" s="8" t="str">
        <f>CONCATENATE("Heren (",COUNTA(AH60:AH68),")")</f>
        <v>Heren (1)</v>
      </c>
      <c r="AH59" s="9"/>
      <c r="AI59" s="10"/>
    </row>
    <row r="60" spans="1:35">
      <c r="A60" s="109"/>
      <c r="B60" s="3" t="str" cm="1">
        <f t="array" ref="B60">_xlfn._xlws.FILTER(Spelerslijst!$B:$B,Spelerslijst!$G:$G=B$58,"")</f>
        <v/>
      </c>
      <c r="C60" s="4" t="str" cm="1">
        <f t="array" ref="C60">_xlfn._xlws.FILTER(Spelerslijst!$H:$H,Spelerslijst!$G:$G=B$58,"")</f>
        <v/>
      </c>
      <c r="D60" s="5" t="str" cm="1">
        <f t="array" ref="D60">_xlfn._xlws.FILTER(Spelerslijst!$D:$D,Spelerslijst!$G:$G=B$58,"")</f>
        <v/>
      </c>
      <c r="E60" s="3" t="str" cm="1">
        <f t="array" ref="E60">_xlfn._xlws.FILTER(Spelerslijst!$L:$L,Spelerslijst!$Q:$Q=B$58,"")</f>
        <v/>
      </c>
      <c r="F60" s="4" t="str" cm="1">
        <f t="array" ref="F60">_xlfn._xlws.FILTER(Spelerslijst!$R:$R,Spelerslijst!$Q:$Q=B$58,"")</f>
        <v/>
      </c>
      <c r="G60" s="5" t="str" cm="1">
        <f t="array" ref="G60">_xlfn._xlws.FILTER(Spelerslijst!$N:$N,Spelerslijst!$Q:$Q=B$58,"")</f>
        <v/>
      </c>
      <c r="I60" s="3" t="str" cm="1">
        <f t="array" ref="I60">_xlfn._xlws.FILTER(Spelerslijst!$B:$B,Spelerslijst!$G:$G=I$58,"")</f>
        <v/>
      </c>
      <c r="J60" s="4" t="str" cm="1">
        <f t="array" ref="J60">_xlfn._xlws.FILTER(Spelerslijst!$H:$H,Spelerslijst!$G:$G=I$58,"")</f>
        <v/>
      </c>
      <c r="K60" s="5" t="str" cm="1">
        <f t="array" ref="K60">_xlfn._xlws.FILTER(Spelerslijst!$D:$D,Spelerslijst!$G:$G=I$58,"")</f>
        <v/>
      </c>
      <c r="L60" s="3" t="str" cm="1">
        <f t="array" ref="L60">_xlfn._xlws.FILTER(Spelerslijst!$L:$L,Spelerslijst!$Q:$Q=I$58,"")</f>
        <v/>
      </c>
      <c r="M60" s="4" t="str" cm="1">
        <f t="array" ref="M60">_xlfn._xlws.FILTER(Spelerslijst!$R:$R,Spelerslijst!$Q:$Q=I$58,"")</f>
        <v/>
      </c>
      <c r="N60" s="5" t="str" cm="1">
        <f t="array" ref="N60">_xlfn._xlws.FILTER(Spelerslijst!$N:$N,Spelerslijst!$Q:$Q=I$58,"")</f>
        <v/>
      </c>
      <c r="P60" s="3" t="str" cm="1">
        <f t="array" ref="P60:P65">_xlfn._xlws.FILTER(Spelerslijst!$B:$B,Spelerslijst!$G:$G=P$58,"")</f>
        <v>Danique van der Wiel</v>
      </c>
      <c r="Q60" s="4" t="str" cm="1">
        <f t="array" ref="Q60:Q65">_xlfn._xlws.FILTER(Spelerslijst!$H:$H,Spelerslijst!$G:$G=P$58,"")</f>
        <v>C3</v>
      </c>
      <c r="R60" s="5" cm="1">
        <f t="array" ref="R60:R65">_xlfn._xlws.FILTER(Spelerslijst!$D:$D,Spelerslijst!$G:$G=P$58,"")</f>
        <v>14</v>
      </c>
      <c r="S60" s="3" t="str" cm="1">
        <f t="array" ref="S60:S62">_xlfn._xlws.FILTER(Spelerslijst!$L:$L,Spelerslijst!$Q:$Q=P$58,"")</f>
        <v>Joaz Post</v>
      </c>
      <c r="T60" s="4" t="str" cm="1">
        <f t="array" ref="T60:T62">_xlfn._xlws.FILTER(Spelerslijst!$R:$R,Spelerslijst!$Q:$Q=P$58,"")</f>
        <v>C3</v>
      </c>
      <c r="U60" s="5" cm="1">
        <f t="array" ref="U60:U62">_xlfn._xlws.FILTER(Spelerslijst!$N:$N,Spelerslijst!$Q:$Q=P$58,"")</f>
        <v>14</v>
      </c>
      <c r="W60" s="3" t="str" cm="1">
        <f t="array" ref="W60:W65">_xlfn._xlws.FILTER(Spelerslijst!$B:$B,Spelerslijst!$G:$G=W$58,"")</f>
        <v>Eline Veenendaal</v>
      </c>
      <c r="X60" s="4" t="str" cm="1">
        <f t="array" ref="X60:X65">_xlfn._xlws.FILTER(Spelerslijst!$H:$H,Spelerslijst!$G:$G=W$58,"")</f>
        <v>C4</v>
      </c>
      <c r="Y60" s="5" cm="1">
        <f t="array" ref="Y60:Y65">_xlfn._xlws.FILTER(Spelerslijst!$D:$D,Spelerslijst!$G:$G=W$58,"")</f>
        <v>15</v>
      </c>
      <c r="Z60" s="3" t="str" cm="1">
        <f t="array" ref="Z60:Z62">_xlfn._xlws.FILTER(Spelerslijst!$L:$L,Spelerslijst!$Q:$Q=W$58,"")</f>
        <v>Djess van Heeren</v>
      </c>
      <c r="AA60" s="4" t="str" cm="1">
        <f t="array" ref="AA60:AA62">_xlfn._xlws.FILTER(Spelerslijst!$R:$R,Spelerslijst!$Q:$Q=W$58,"")</f>
        <v>C4</v>
      </c>
      <c r="AB60" s="5" cm="1">
        <f t="array" ref="AB60:AB62">_xlfn._xlws.FILTER(Spelerslijst!$N:$N,Spelerslijst!$Q:$Q=W$58,"")</f>
        <v>14</v>
      </c>
      <c r="AD60" s="3" t="str" cm="1">
        <f t="array" ref="AD60">_xlfn._xlws.FILTER(Spelerslijst!$B:$B,Spelerslijst!$G:$G=AH$58,"")</f>
        <v/>
      </c>
      <c r="AE60" s="4" t="str" cm="1">
        <f t="array" ref="AE60">_xlfn._xlws.FILTER(Spelerslijst!$H:$H,Spelerslijst!$G:$G=AH$58,"")</f>
        <v/>
      </c>
      <c r="AF60" s="5" t="str" cm="1">
        <f t="array" ref="AF60">_xlfn._xlws.FILTER(Spelerslijst!$D:$D,Spelerslijst!$G:$G=AH$58,"")</f>
        <v/>
      </c>
      <c r="AG60" s="3" t="str" cm="1">
        <f t="array" ref="AG60">_xlfn._xlws.FILTER(Spelerslijst!$L:$L,Spelerslijst!$Q:$Q=AH$58,"")</f>
        <v/>
      </c>
      <c r="AH60" s="4" t="str" cm="1">
        <f t="array" ref="AH60">_xlfn._xlws.FILTER(Spelerslijst!$R:$R,Spelerslijst!$Q:$Q=AH$58,"")</f>
        <v/>
      </c>
      <c r="AI60" s="5" t="str" cm="1">
        <f t="array" ref="AI60">_xlfn._xlws.FILTER(Spelerslijst!$N:$N,Spelerslijst!$Q:$Q=AH$58,"")</f>
        <v/>
      </c>
    </row>
    <row r="61" spans="1:35">
      <c r="A61" s="109"/>
      <c r="B61" s="6"/>
      <c r="C61" s="2"/>
      <c r="D61" s="7"/>
      <c r="E61" s="6"/>
      <c r="F61" s="2"/>
      <c r="G61" s="7"/>
      <c r="I61" s="6"/>
      <c r="J61" s="2"/>
      <c r="K61" s="7"/>
      <c r="L61" s="6"/>
      <c r="M61" s="2"/>
      <c r="N61" s="7"/>
      <c r="P61" s="6" t="str">
        <v>Enora Bouwknegt</v>
      </c>
      <c r="Q61" s="2" t="str">
        <v>C3</v>
      </c>
      <c r="R61" s="7">
        <v>14</v>
      </c>
      <c r="S61" s="6" t="str">
        <v>Justin Vos</v>
      </c>
      <c r="T61" s="2" t="str">
        <v>B3</v>
      </c>
      <c r="U61" s="7">
        <v>15</v>
      </c>
      <c r="W61" s="6" t="str">
        <v>Evie Groen</v>
      </c>
      <c r="X61" s="2" t="str">
        <v>C4</v>
      </c>
      <c r="Y61" s="7">
        <v>14</v>
      </c>
      <c r="Z61" s="6" t="str">
        <v>Jurre van der Linden</v>
      </c>
      <c r="AA61" s="2" t="str">
        <v>C4</v>
      </c>
      <c r="AB61" s="7">
        <v>14</v>
      </c>
      <c r="AD61" s="6"/>
      <c r="AE61" s="2"/>
      <c r="AF61" s="7"/>
      <c r="AG61" s="6"/>
      <c r="AH61" s="2"/>
      <c r="AI61" s="7"/>
    </row>
    <row r="62" spans="1:35">
      <c r="A62" s="109"/>
      <c r="B62" s="6"/>
      <c r="C62" s="2"/>
      <c r="D62" s="7"/>
      <c r="E62" s="6"/>
      <c r="F62" s="2"/>
      <c r="G62" s="7"/>
      <c r="I62" s="6"/>
      <c r="J62" s="2"/>
      <c r="K62" s="7"/>
      <c r="L62" s="6"/>
      <c r="M62" s="2"/>
      <c r="N62" s="7"/>
      <c r="P62" s="6" t="str">
        <v>Femke Bakker</v>
      </c>
      <c r="Q62" s="2" t="str">
        <v>C3</v>
      </c>
      <c r="R62" s="7">
        <v>14</v>
      </c>
      <c r="S62" s="6" t="str">
        <v>Stephan Quarre</v>
      </c>
      <c r="T62" s="2" t="str">
        <v>B3</v>
      </c>
      <c r="U62" s="7">
        <v>15</v>
      </c>
      <c r="W62" s="6" t="str">
        <v>Manon Barbaroux</v>
      </c>
      <c r="X62" s="2" t="str">
        <v>C4</v>
      </c>
      <c r="Y62" s="7">
        <v>13</v>
      </c>
      <c r="Z62" s="6" t="str">
        <v>Parham Afsharbegloe</v>
      </c>
      <c r="AA62" s="2" t="str">
        <v>C4</v>
      </c>
      <c r="AB62" s="7">
        <v>15</v>
      </c>
      <c r="AD62" s="6"/>
      <c r="AE62" s="2"/>
      <c r="AF62" s="7"/>
      <c r="AG62" s="6"/>
      <c r="AH62" s="2"/>
      <c r="AI62" s="7"/>
    </row>
    <row r="63" spans="1:35">
      <c r="A63" s="109"/>
      <c r="B63" s="6"/>
      <c r="C63" s="2"/>
      <c r="D63" s="7"/>
      <c r="E63" s="6"/>
      <c r="F63" s="2"/>
      <c r="G63" s="7"/>
      <c r="I63" s="6"/>
      <c r="J63" s="2"/>
      <c r="K63" s="7"/>
      <c r="L63" s="6"/>
      <c r="M63" s="2"/>
      <c r="N63" s="7"/>
      <c r="P63" s="6" t="str">
        <v>Madelief van Dongen</v>
      </c>
      <c r="Q63" s="2" t="str">
        <v>B3</v>
      </c>
      <c r="R63" s="7">
        <v>15</v>
      </c>
      <c r="S63" s="6"/>
      <c r="T63" s="2"/>
      <c r="U63" s="7"/>
      <c r="W63" s="6" t="str">
        <v>Noortje Vercouteren</v>
      </c>
      <c r="X63" s="2" t="str">
        <v>C4</v>
      </c>
      <c r="Y63" s="7">
        <v>14</v>
      </c>
      <c r="Z63" s="6"/>
      <c r="AA63" s="2"/>
      <c r="AB63" s="7"/>
      <c r="AD63" s="6"/>
      <c r="AE63" s="2"/>
      <c r="AF63" s="7"/>
      <c r="AG63" s="6"/>
      <c r="AH63" s="2"/>
      <c r="AI63" s="7"/>
    </row>
    <row r="64" spans="1:35">
      <c r="A64" s="109"/>
      <c r="B64" s="6"/>
      <c r="C64" s="2"/>
      <c r="D64" s="7"/>
      <c r="E64" s="6"/>
      <c r="F64" s="2"/>
      <c r="G64" s="7"/>
      <c r="I64" s="6"/>
      <c r="J64" s="2"/>
      <c r="K64" s="7"/>
      <c r="L64" s="6"/>
      <c r="M64" s="2"/>
      <c r="N64" s="7"/>
      <c r="P64" s="6" t="str">
        <v>Marit van den Bergh</v>
      </c>
      <c r="Q64" s="2" t="str">
        <v>B3</v>
      </c>
      <c r="R64" s="7">
        <v>14</v>
      </c>
      <c r="S64" s="6"/>
      <c r="T64" s="2"/>
      <c r="U64" s="7"/>
      <c r="W64" s="6" t="str">
        <v>Pippa Jongkind</v>
      </c>
      <c r="X64" s="2" t="str">
        <v>C4</v>
      </c>
      <c r="Y64" s="7">
        <v>13</v>
      </c>
      <c r="Z64" s="6"/>
      <c r="AA64" s="2"/>
      <c r="AB64" s="7"/>
      <c r="AD64" s="6"/>
      <c r="AE64" s="2"/>
      <c r="AF64" s="7"/>
      <c r="AG64" s="6"/>
      <c r="AH64" s="2"/>
      <c r="AI64" s="7"/>
    </row>
    <row r="65" spans="1:35">
      <c r="A65" s="109"/>
      <c r="B65" s="6"/>
      <c r="C65" s="2"/>
      <c r="D65" s="7"/>
      <c r="E65" s="6"/>
      <c r="F65" s="2"/>
      <c r="G65" s="7"/>
      <c r="I65" s="6"/>
      <c r="J65" s="2"/>
      <c r="K65" s="7"/>
      <c r="L65" s="6"/>
      <c r="M65" s="2"/>
      <c r="N65" s="7"/>
      <c r="P65" s="6" t="str">
        <v>Nikki Baas</v>
      </c>
      <c r="Q65" s="2" t="str">
        <v>C3</v>
      </c>
      <c r="R65" s="7">
        <v>14</v>
      </c>
      <c r="S65" s="6"/>
      <c r="T65" s="2"/>
      <c r="U65" s="7"/>
      <c r="W65" s="6" t="str">
        <v>Sanne Peters</v>
      </c>
      <c r="X65" s="2" t="str">
        <v>C4</v>
      </c>
      <c r="Y65" s="7">
        <v>14</v>
      </c>
      <c r="Z65" s="6"/>
      <c r="AA65" s="2"/>
      <c r="AB65" s="7"/>
      <c r="AD65" s="6"/>
      <c r="AE65" s="2"/>
      <c r="AF65" s="7"/>
      <c r="AG65" s="6"/>
      <c r="AH65" s="2"/>
      <c r="AI65" s="7"/>
    </row>
    <row r="66" spans="1:35">
      <c r="A66" s="109"/>
      <c r="B66" s="6"/>
      <c r="C66" s="2"/>
      <c r="D66" s="7"/>
      <c r="E66" s="6"/>
      <c r="F66" s="2"/>
      <c r="G66" s="7"/>
      <c r="I66" s="6"/>
      <c r="J66" s="2"/>
      <c r="K66" s="7"/>
      <c r="L66" s="6"/>
      <c r="M66" s="2"/>
      <c r="N66" s="7"/>
      <c r="P66" s="6"/>
      <c r="Q66" s="2"/>
      <c r="R66" s="7"/>
      <c r="S66" s="6"/>
      <c r="T66" s="2"/>
      <c r="U66" s="7"/>
      <c r="W66" s="6"/>
      <c r="X66" s="2"/>
      <c r="Y66" s="7"/>
      <c r="Z66" s="6"/>
      <c r="AA66" s="2"/>
      <c r="AB66" s="7"/>
      <c r="AD66" s="6"/>
      <c r="AE66" s="2"/>
      <c r="AF66" s="7"/>
      <c r="AG66" s="6"/>
      <c r="AH66" s="2"/>
      <c r="AI66" s="7"/>
    </row>
    <row r="67" spans="1:35">
      <c r="A67" s="109"/>
      <c r="B67" s="6"/>
      <c r="C67" s="2"/>
      <c r="D67" s="7"/>
      <c r="E67" s="6"/>
      <c r="F67" s="2"/>
      <c r="G67" s="7"/>
      <c r="I67" s="6"/>
      <c r="J67" s="2"/>
      <c r="K67" s="7"/>
      <c r="L67" s="6"/>
      <c r="M67" s="2"/>
      <c r="N67" s="7"/>
      <c r="P67" s="6"/>
      <c r="Q67" s="2"/>
      <c r="R67" s="7"/>
      <c r="S67" s="6"/>
      <c r="T67" s="2"/>
      <c r="U67" s="7"/>
      <c r="W67" s="6"/>
      <c r="X67" s="2"/>
      <c r="Y67" s="7"/>
      <c r="Z67" s="6"/>
      <c r="AA67" s="2"/>
      <c r="AB67" s="7"/>
      <c r="AD67" s="6"/>
      <c r="AE67" s="2"/>
      <c r="AF67" s="7"/>
      <c r="AG67" s="6"/>
      <c r="AH67" s="2"/>
      <c r="AI67" s="7"/>
    </row>
    <row r="68" spans="1:35" ht="15.95" thickBot="1">
      <c r="A68" s="109"/>
      <c r="B68" s="6"/>
      <c r="C68" s="2"/>
      <c r="D68" s="7"/>
      <c r="E68" s="6"/>
      <c r="F68" s="2"/>
      <c r="G68" s="7"/>
      <c r="I68" s="6"/>
      <c r="J68" s="2"/>
      <c r="K68" s="7"/>
      <c r="L68" s="6"/>
      <c r="M68" s="2"/>
      <c r="N68" s="7"/>
      <c r="P68" s="6"/>
      <c r="Q68" s="2"/>
      <c r="R68" s="7"/>
      <c r="S68" s="6"/>
      <c r="T68" s="2"/>
      <c r="U68" s="7"/>
      <c r="W68" s="6"/>
      <c r="X68" s="2"/>
      <c r="Y68" s="7"/>
      <c r="Z68" s="6"/>
      <c r="AA68" s="2"/>
      <c r="AB68" s="7"/>
      <c r="AD68" s="6"/>
      <c r="AE68" s="2"/>
      <c r="AF68" s="7"/>
      <c r="AG68" s="6"/>
      <c r="AH68" s="2"/>
      <c r="AI68" s="7"/>
    </row>
    <row r="69" spans="1:35">
      <c r="A69" s="109"/>
      <c r="B69" s="12" t="str" cm="1">
        <f t="array" ref="B69">_xlfn._xlws.FILTER(Staf!$C:$C,Staf!$B:$B=Teams!B58,"")</f>
        <v/>
      </c>
      <c r="C69" s="13" t="str" cm="1">
        <f t="array" ref="C69">_xlfn._xlws.FILTER(Staf!$A:$A,Staf!$B:$B=Teams!B58,"")</f>
        <v/>
      </c>
      <c r="D69" s="13"/>
      <c r="E69" s="13"/>
      <c r="F69" s="13"/>
      <c r="G69" s="14"/>
      <c r="I69" s="12" t="str" cm="1">
        <f t="array" ref="I69">_xlfn._xlws.FILTER(Staf!$C:$C,Staf!$B:$B=Teams!I58,"")</f>
        <v/>
      </c>
      <c r="J69" s="13" t="str" cm="1">
        <f t="array" ref="J69">_xlfn._xlws.FILTER(Staf!$A:$A,Staf!$B:$B=Teams!I58,"")</f>
        <v/>
      </c>
      <c r="K69" s="13"/>
      <c r="L69" s="13"/>
      <c r="M69" s="13"/>
      <c r="N69" s="14"/>
      <c r="P69" s="12" t="str" cm="1">
        <f t="array" ref="P69:P70">_xlfn._xlws.FILTER(Staf!$C:$C,Staf!$B:$B=Teams!P58,"")</f>
        <v>Trainer/Coach</v>
      </c>
      <c r="Q69" s="13" t="str" cm="1">
        <f t="array" ref="Q69:Q70">_xlfn._xlws.FILTER(Staf!$A:$A,Staf!$B:$B=Teams!P58,"")</f>
        <v>Martijn van der Wiel</v>
      </c>
      <c r="R69" s="13"/>
      <c r="S69" s="13"/>
      <c r="T69" s="13"/>
      <c r="U69" s="14"/>
      <c r="W69" s="12" t="str" cm="1">
        <f t="array" ref="W69:W71">_xlfn._xlws.FILTER(Staf!$C:$C,Staf!$B:$B=Teams!W58,"")</f>
        <v>Trainer/Coach</v>
      </c>
      <c r="X69" s="13" t="str" cm="1">
        <f t="array" ref="X69:X71">_xlfn._xlws.FILTER(Staf!$A:$A,Staf!$B:$B=Teams!W58,"")</f>
        <v xml:space="preserve">Laura Mol </v>
      </c>
      <c r="Y69" s="13"/>
      <c r="Z69" s="13"/>
      <c r="AA69" s="13"/>
      <c r="AB69" s="14"/>
      <c r="AD69" s="12" t="str" cm="1">
        <f t="array" ref="AD69">_xlfn._xlws.FILTER(Staf!$C:$C,Staf!$B:$B=Teams!AD58,"")</f>
        <v/>
      </c>
      <c r="AE69" s="13" t="str" cm="1">
        <f t="array" ref="AE69">_xlfn._xlws.FILTER(Staf!$A:$A,Staf!$B:$B=Teams!AD58,"")</f>
        <v/>
      </c>
      <c r="AF69" s="13"/>
      <c r="AG69" s="13"/>
      <c r="AH69" s="13"/>
      <c r="AI69" s="14"/>
    </row>
    <row r="70" spans="1:35">
      <c r="A70" s="109"/>
      <c r="B70" s="15"/>
      <c r="C70" s="16"/>
      <c r="D70" s="16"/>
      <c r="E70" s="16"/>
      <c r="F70" s="16"/>
      <c r="G70" s="17"/>
      <c r="I70" s="15"/>
      <c r="J70" s="16"/>
      <c r="K70" s="16"/>
      <c r="L70" s="16"/>
      <c r="M70" s="16"/>
      <c r="N70" s="17"/>
      <c r="P70" s="15" t="str">
        <v>Trainer/Coach</v>
      </c>
      <c r="Q70" s="16" t="str">
        <v xml:space="preserve">Vacature </v>
      </c>
      <c r="R70" s="16"/>
      <c r="S70" s="16"/>
      <c r="T70" s="16"/>
      <c r="U70" s="17"/>
      <c r="W70" s="15" t="str">
        <v>Trainer/Coach</v>
      </c>
      <c r="X70" s="16" t="str">
        <v>Maud van Wensen</v>
      </c>
      <c r="Y70" s="16"/>
      <c r="Z70" s="16"/>
      <c r="AA70" s="16"/>
      <c r="AB70" s="17"/>
      <c r="AD70" s="15"/>
      <c r="AE70" s="16"/>
      <c r="AF70" s="16"/>
      <c r="AG70" s="16"/>
      <c r="AH70" s="16"/>
      <c r="AI70" s="17"/>
    </row>
    <row r="71" spans="1:35" ht="15.95" thickBot="1">
      <c r="A71" s="109"/>
      <c r="B71" s="18"/>
      <c r="C71" s="19"/>
      <c r="D71" s="19"/>
      <c r="E71" s="19"/>
      <c r="F71" s="19"/>
      <c r="G71" s="20"/>
      <c r="I71" s="18"/>
      <c r="J71" s="19"/>
      <c r="K71" s="19"/>
      <c r="L71" s="19"/>
      <c r="M71" s="19"/>
      <c r="N71" s="20"/>
      <c r="P71" s="18"/>
      <c r="Q71" s="19"/>
      <c r="R71" s="19"/>
      <c r="S71" s="19"/>
      <c r="T71" s="19"/>
      <c r="U71" s="20"/>
      <c r="W71" s="18" t="str">
        <v>Teambegeleider</v>
      </c>
      <c r="X71" s="19" t="str">
        <v>Nog in te vullen</v>
      </c>
      <c r="Y71" s="19"/>
      <c r="Z71" s="19"/>
      <c r="AA71" s="19"/>
      <c r="AB71" s="20"/>
      <c r="AD71" s="18"/>
      <c r="AE71" s="19"/>
      <c r="AF71" s="19"/>
      <c r="AG71" s="19"/>
      <c r="AH71" s="19"/>
      <c r="AI71" s="20"/>
    </row>
    <row r="72" spans="1:35" ht="15.95" thickBot="1"/>
    <row r="73" spans="1:35" ht="15.95" thickBot="1">
      <c r="A73" s="109" t="s">
        <v>26</v>
      </c>
      <c r="B73" s="21" t="s">
        <v>27</v>
      </c>
      <c r="C73" s="21"/>
      <c r="D73" s="21"/>
      <c r="E73" s="21"/>
      <c r="F73" s="21"/>
      <c r="G73" s="22">
        <f>AVERAGE(D75:D86,G75:G86)</f>
        <v>12.888888888888889</v>
      </c>
      <c r="I73" s="21" t="s">
        <v>28</v>
      </c>
      <c r="J73" s="21"/>
      <c r="K73" s="21"/>
      <c r="L73" s="21"/>
      <c r="M73" s="21"/>
      <c r="N73" s="22">
        <f>AVERAGE(K75:K86,N75:N86)</f>
        <v>12.454545454545455</v>
      </c>
      <c r="P73" s="21" t="s">
        <v>29</v>
      </c>
      <c r="Q73" s="21"/>
      <c r="R73" s="21"/>
      <c r="S73" s="21"/>
      <c r="T73" s="21"/>
      <c r="U73" s="22">
        <f>AVERAGE(R75:R86,U75:U86)</f>
        <v>12.3</v>
      </c>
      <c r="W73" s="84" t="s">
        <v>30</v>
      </c>
      <c r="X73" s="21"/>
      <c r="Y73" s="21"/>
      <c r="Z73" s="21"/>
      <c r="AA73" s="21"/>
      <c r="AB73" s="22" t="e">
        <f>AVERAGE(Y75:Y86,AB75:AB86)</f>
        <v>#DIV/0!</v>
      </c>
      <c r="AD73" s="21" t="s">
        <v>31</v>
      </c>
      <c r="AE73" s="21"/>
      <c r="AF73" s="21"/>
      <c r="AG73" s="21"/>
      <c r="AH73" s="21"/>
      <c r="AI73" s="22" t="e">
        <f>AVERAGE(AF75:AF86,AI75:AI86)</f>
        <v>#DIV/0!</v>
      </c>
    </row>
    <row r="74" spans="1:35" ht="15.95" thickBot="1">
      <c r="A74" s="109"/>
      <c r="B74" s="8" t="str">
        <f>CONCATENATE("Dames (",COUNTA(C75:C84),")")</f>
        <v>Dames (5)</v>
      </c>
      <c r="C74" s="9"/>
      <c r="D74" s="10"/>
      <c r="E74" s="8" t="str">
        <f>CONCATENATE("Heren (",COUNTA(F75:F84),")")</f>
        <v>Heren (4)</v>
      </c>
      <c r="F74" s="9"/>
      <c r="G74" s="10"/>
      <c r="I74" s="8" t="str">
        <f>CONCATENATE("Dames (",COUNTA(J75:J84),")")</f>
        <v>Dames (6)</v>
      </c>
      <c r="J74" s="9"/>
      <c r="K74" s="10"/>
      <c r="L74" s="8" t="str">
        <f>CONCATENATE("Heren (",COUNTA(M75:M84),")")</f>
        <v>Heren (5)</v>
      </c>
      <c r="M74" s="9"/>
      <c r="N74" s="10"/>
      <c r="P74" s="8" t="str">
        <f>CONCATENATE("Dames (",COUNTA(Q75:Q84),")")</f>
        <v>Dames (6)</v>
      </c>
      <c r="Q74" s="9"/>
      <c r="R74" s="10"/>
      <c r="S74" s="8" t="str">
        <f>CONCATENATE("Heren (",COUNTA(T75:T84),")")</f>
        <v>Heren (4)</v>
      </c>
      <c r="T74" s="9"/>
      <c r="U74" s="10"/>
      <c r="W74" s="8" t="str">
        <f>CONCATENATE("Dames (",COUNTA(X75:X84),")")</f>
        <v>Dames (1)</v>
      </c>
      <c r="X74" s="9"/>
      <c r="Y74" s="10"/>
      <c r="Z74" s="8" t="str">
        <f>CONCATENATE("Heren (",COUNTA(AA75:AA84),")")</f>
        <v>Heren (1)</v>
      </c>
      <c r="AA74" s="9"/>
      <c r="AB74" s="10"/>
      <c r="AD74" s="8" t="str">
        <f>CONCATENATE("Dames (",COUNTA(AE75:AE84),")")</f>
        <v>Dames (1)</v>
      </c>
      <c r="AE74" s="9"/>
      <c r="AF74" s="10"/>
      <c r="AG74" s="8" t="str">
        <f>CONCATENATE("Heren (",COUNTA(AH75:AH84),")")</f>
        <v>Heren (1)</v>
      </c>
      <c r="AH74" s="9"/>
      <c r="AI74" s="10"/>
    </row>
    <row r="75" spans="1:35">
      <c r="A75" s="109"/>
      <c r="B75" s="3" t="str" cm="1">
        <f t="array" ref="B75:B79">_xlfn._xlws.FILTER(Spelerslijst!$B:$B,Spelerslijst!$G:$G=B$73,"")</f>
        <v>Esmée de Boer</v>
      </c>
      <c r="C75" s="4" t="str" cm="1">
        <f t="array" ref="C75:C79">_xlfn._xlws.FILTER(Spelerslijst!$H:$H,Spelerslijst!$G:$G=B$73,"")</f>
        <v>C2</v>
      </c>
      <c r="D75" s="5" cm="1">
        <f t="array" ref="D75:D79">_xlfn._xlws.FILTER(Spelerslijst!$D:$D,Spelerslijst!$G:$G=B$73,"")</f>
        <v>14</v>
      </c>
      <c r="E75" s="3" t="str" cm="1">
        <f t="array" ref="E75:E78">_xlfn._xlws.FILTER(Spelerslijst!$L:$L,Spelerslijst!$Q:$Q=B$73,"")</f>
        <v>Freek Laban</v>
      </c>
      <c r="F75" s="4" t="str" cm="1">
        <f t="array" ref="F75:F78">_xlfn._xlws.FILTER(Spelerslijst!$R:$R,Spelerslijst!$Q:$Q=B$73,"")</f>
        <v>C2</v>
      </c>
      <c r="G75" s="5" cm="1">
        <f t="array" ref="G75:G78">_xlfn._xlws.FILTER(Spelerslijst!$N:$N,Spelerslijst!$Q:$Q=B$73,"")</f>
        <v>12</v>
      </c>
      <c r="I75" s="3" t="str" cm="1">
        <f t="array" ref="I75:I80">_xlfn._xlws.FILTER(Spelerslijst!$B:$B,Spelerslijst!$G:$G=I$73,"")</f>
        <v>Anouk Bakker</v>
      </c>
      <c r="J75" s="4" t="str" cm="1">
        <f t="array" ref="J75:J80">_xlfn._xlws.FILTER(Spelerslijst!$H:$H,Spelerslijst!$G:$G=I$73,"")</f>
        <v>D1</v>
      </c>
      <c r="K75" s="5" cm="1">
        <f t="array" ref="K75:K80">_xlfn._xlws.FILTER(Spelerslijst!$D:$D,Spelerslijst!$G:$G=I$73,"")</f>
        <v>12</v>
      </c>
      <c r="L75" s="3" t="str" cm="1">
        <f t="array" ref="L75:L79">_xlfn._xlws.FILTER(Spelerslijst!$L:$L,Spelerslijst!$Q:$Q=I$73,"")</f>
        <v>Joep van Ameijden</v>
      </c>
      <c r="M75" s="4" t="str" cm="1">
        <f t="array" ref="M75:M79">_xlfn._xlws.FILTER(Spelerslijst!$R:$R,Spelerslijst!$Q:$Q=I$73,"")</f>
        <v>D1</v>
      </c>
      <c r="N75" s="5" cm="1">
        <f t="array" ref="N75:N79">_xlfn._xlws.FILTER(Spelerslijst!$N:$N,Spelerslijst!$Q:$Q=I$73,"")</f>
        <v>12</v>
      </c>
      <c r="P75" s="3" t="str" cm="1">
        <f t="array" ref="P75:P80">_xlfn._xlws.FILTER(Spelerslijst!$B:$B,Spelerslijst!$G:$G=P$73,"")</f>
        <v>Anne-Sophie Lotgerink</v>
      </c>
      <c r="Q75" s="4" t="str" cm="1">
        <f t="array" ref="Q75:Q80">_xlfn._xlws.FILTER(Spelerslijst!$H:$H,Spelerslijst!$G:$G=P$73,"")</f>
        <v>D4</v>
      </c>
      <c r="R75" s="5" cm="1">
        <f t="array" ref="R75:R80">_xlfn._xlws.FILTER(Spelerslijst!$D:$D,Spelerslijst!$G:$G=P$73,"")</f>
        <v>12</v>
      </c>
      <c r="S75" s="3" t="str" cm="1">
        <f t="array" ref="S75:S78">_xlfn._xlws.FILTER(Spelerslijst!$L:$L,Spelerslijst!$Q:$Q=P$73,"")</f>
        <v>Daan vd Weijde</v>
      </c>
      <c r="T75" s="4" t="str" cm="1">
        <f t="array" ref="T75:T78">_xlfn._xlws.FILTER(Spelerslijst!$R:$R,Spelerslijst!$Q:$Q=P$73,"")</f>
        <v>Nieuw</v>
      </c>
      <c r="U75" s="5" cm="1">
        <f t="array" ref="U75:U78">_xlfn._xlws.FILTER(Spelerslijst!$N:$N,Spelerslijst!$Q:$Q=P$73,"")</f>
        <v>13</v>
      </c>
      <c r="W75" s="3" t="str" cm="1">
        <f t="array" ref="W75">_xlfn._xlws.FILTER(Spelerslijst!$B:$B,Spelerslijst!$G:$G=W$73,"")</f>
        <v/>
      </c>
      <c r="X75" s="4" t="str" cm="1">
        <f t="array" ref="X75">_xlfn._xlws.FILTER(Spelerslijst!$H:$H,Spelerslijst!$G:$G=W$73,"")</f>
        <v/>
      </c>
      <c r="Y75" s="5" t="str" cm="1">
        <f t="array" ref="Y75">_xlfn._xlws.FILTER(Spelerslijst!$D:$D,Spelerslijst!$G:$G=W$73,"")</f>
        <v/>
      </c>
      <c r="Z75" s="3" t="str" cm="1">
        <f t="array" ref="Z75">_xlfn._xlws.FILTER(Spelerslijst!$L:$L,Spelerslijst!$Q:$Q=W$73,"")</f>
        <v/>
      </c>
      <c r="AA75" s="4" t="str" cm="1">
        <f t="array" ref="AA75">_xlfn._xlws.FILTER(Spelerslijst!$R:$R,Spelerslijst!$Q:$Q=W$73,"")</f>
        <v/>
      </c>
      <c r="AB75" s="5" t="str" cm="1">
        <f t="array" ref="AB75">_xlfn._xlws.FILTER(Spelerslijst!$N:$N,Spelerslijst!$Q:$Q=W$73,"")</f>
        <v/>
      </c>
      <c r="AD75" s="3" t="str" cm="1">
        <f t="array" ref="AD75">_xlfn._xlws.FILTER(Spelerslijst!$B:$B,Spelerslijst!$G:$G=AD$73,"")</f>
        <v/>
      </c>
      <c r="AE75" s="4" t="str" cm="1">
        <f t="array" ref="AE75">_xlfn._xlws.FILTER(Spelerslijst!$H:$H,Spelerslijst!$G:$G=AD$73,"")</f>
        <v/>
      </c>
      <c r="AF75" s="5" t="str" cm="1">
        <f t="array" ref="AF75">_xlfn._xlws.FILTER(Spelerslijst!$D:$D,Spelerslijst!$G:$G=AD$73,"")</f>
        <v/>
      </c>
      <c r="AG75" s="3" t="str" cm="1">
        <f t="array" ref="AG75">_xlfn._xlws.FILTER(Spelerslijst!$L:$L,Spelerslijst!$Q:$Q=AD$73,"")</f>
        <v/>
      </c>
      <c r="AH75" s="4" t="str" cm="1">
        <f t="array" ref="AH75">_xlfn._xlws.FILTER(Spelerslijst!$R:$R,Spelerslijst!$Q:$Q=AD$73,"")</f>
        <v/>
      </c>
      <c r="AI75" s="5" t="str" cm="1">
        <f t="array" ref="AI75">_xlfn._xlws.FILTER(Spelerslijst!$N:$N,Spelerslijst!$Q:$Q=AD$73,"")</f>
        <v/>
      </c>
    </row>
    <row r="76" spans="1:35">
      <c r="A76" s="109"/>
      <c r="B76" s="6" t="str">
        <v>Eva van Rooij</v>
      </c>
      <c r="C76" s="2" t="str">
        <v>C2</v>
      </c>
      <c r="D76" s="7">
        <v>12</v>
      </c>
      <c r="E76" s="6" t="str">
        <v>Lenn Belder</v>
      </c>
      <c r="F76" s="2" t="str">
        <v>C1</v>
      </c>
      <c r="G76" s="7">
        <v>13</v>
      </c>
      <c r="I76" s="6" t="str">
        <v>Eva Bezemer</v>
      </c>
      <c r="J76" s="2" t="str">
        <v>D1</v>
      </c>
      <c r="K76" s="7">
        <v>12</v>
      </c>
      <c r="L76" s="6" t="str">
        <v>Juda Vos</v>
      </c>
      <c r="M76" s="2" t="str">
        <v>D1</v>
      </c>
      <c r="N76" s="7">
        <v>12</v>
      </c>
      <c r="P76" s="6" t="str">
        <v>Feline Littooij</v>
      </c>
      <c r="Q76" s="2" t="str">
        <v>D3</v>
      </c>
      <c r="R76" s="7">
        <v>12</v>
      </c>
      <c r="S76" s="6" t="str">
        <v>Finn de Haseth</v>
      </c>
      <c r="T76" s="2" t="str">
        <v>Nieuw</v>
      </c>
      <c r="U76" s="7">
        <v>12</v>
      </c>
      <c r="W76" s="6"/>
      <c r="X76" s="2"/>
      <c r="Y76" s="7"/>
      <c r="Z76" s="6"/>
      <c r="AA76" s="2"/>
      <c r="AB76" s="7"/>
      <c r="AD76" s="6"/>
      <c r="AE76" s="2"/>
      <c r="AF76" s="7"/>
      <c r="AG76" s="6"/>
      <c r="AH76" s="2"/>
      <c r="AI76" s="7"/>
    </row>
    <row r="77" spans="1:35">
      <c r="A77" s="109"/>
      <c r="B77" s="6" t="str">
        <v>Olivia de Waard</v>
      </c>
      <c r="C77" s="2" t="str">
        <v>D1</v>
      </c>
      <c r="D77" s="7">
        <v>12</v>
      </c>
      <c r="E77" s="6" t="str">
        <v>Sander Heerspring</v>
      </c>
      <c r="F77" s="2" t="str">
        <v>C2</v>
      </c>
      <c r="G77" s="7">
        <v>13</v>
      </c>
      <c r="I77" s="6" t="str">
        <v>Famke Nijman</v>
      </c>
      <c r="J77" s="2" t="str">
        <v>C3</v>
      </c>
      <c r="K77" s="7">
        <v>13</v>
      </c>
      <c r="L77" s="6" t="str">
        <v>Matthijs de Reus</v>
      </c>
      <c r="M77" s="2" t="str">
        <v>D1</v>
      </c>
      <c r="N77" s="7">
        <v>13</v>
      </c>
      <c r="P77" s="6" t="str">
        <v>Jenna Ehmila</v>
      </c>
      <c r="Q77" s="2" t="str">
        <v>D2</v>
      </c>
      <c r="R77" s="7">
        <v>12</v>
      </c>
      <c r="S77" s="6" t="str">
        <v>Levi Molendijk</v>
      </c>
      <c r="T77" s="2" t="str">
        <v>C4</v>
      </c>
      <c r="U77" s="7">
        <v>13</v>
      </c>
      <c r="W77" s="6"/>
      <c r="X77" s="2"/>
      <c r="Y77" s="7"/>
      <c r="Z77" s="6"/>
      <c r="AA77" s="2"/>
      <c r="AB77" s="7"/>
      <c r="AD77" s="6"/>
      <c r="AE77" s="2"/>
      <c r="AF77" s="7"/>
      <c r="AG77" s="6"/>
      <c r="AH77" s="2"/>
      <c r="AI77" s="7"/>
    </row>
    <row r="78" spans="1:35">
      <c r="A78" s="109"/>
      <c r="B78" s="6" t="str">
        <v>Saar Camphens</v>
      </c>
      <c r="C78" s="2" t="str">
        <v>C2</v>
      </c>
      <c r="D78" s="7">
        <v>13</v>
      </c>
      <c r="E78" s="6" t="str">
        <v>Tiemen den Dekker</v>
      </c>
      <c r="F78" s="2" t="str">
        <v>C1</v>
      </c>
      <c r="G78" s="7">
        <v>13</v>
      </c>
      <c r="I78" s="6" t="str">
        <v>Fenna van Rijswijk</v>
      </c>
      <c r="J78" s="2" t="str">
        <v>D2</v>
      </c>
      <c r="K78" s="7">
        <v>12</v>
      </c>
      <c r="L78" s="6" t="str">
        <v>Thijs Vos</v>
      </c>
      <c r="M78" s="2" t="str">
        <v>C3</v>
      </c>
      <c r="N78" s="7">
        <v>13</v>
      </c>
      <c r="P78" s="6" t="str">
        <v>Kayleigh Gerritsen</v>
      </c>
      <c r="Q78" s="2" t="str">
        <v>nieuw</v>
      </c>
      <c r="R78" s="7">
        <v>12</v>
      </c>
      <c r="S78" t="str">
        <v>Mika Kerschkamp</v>
      </c>
      <c r="T78" t="str">
        <v>C4</v>
      </c>
      <c r="U78">
        <v>13</v>
      </c>
      <c r="W78" s="6"/>
      <c r="X78" s="2"/>
      <c r="Y78" s="7"/>
      <c r="Z78" s="6"/>
      <c r="AA78" s="2"/>
      <c r="AB78" s="7"/>
      <c r="AD78" s="6"/>
      <c r="AE78" s="2"/>
      <c r="AF78" s="7"/>
      <c r="AG78" s="6"/>
      <c r="AH78" s="2"/>
      <c r="AI78" s="7"/>
    </row>
    <row r="79" spans="1:35">
      <c r="A79" s="109"/>
      <c r="B79" s="6" t="str">
        <v>Tess Volker</v>
      </c>
      <c r="C79" s="2" t="str">
        <v>C2</v>
      </c>
      <c r="D79" s="7">
        <v>14</v>
      </c>
      <c r="E79" s="6"/>
      <c r="F79" s="2"/>
      <c r="G79" s="7"/>
      <c r="I79" s="6" t="str">
        <v>Laura Exalto</v>
      </c>
      <c r="J79" s="2" t="str">
        <v>D1</v>
      </c>
      <c r="K79" s="7">
        <v>12</v>
      </c>
      <c r="L79" s="6" t="str">
        <v>Xavi Jacobs</v>
      </c>
      <c r="M79" s="2" t="str">
        <v>C3</v>
      </c>
      <c r="N79" s="7">
        <v>13</v>
      </c>
      <c r="P79" s="6" t="str">
        <v>Lisanne Naeije</v>
      </c>
      <c r="Q79" s="2" t="str">
        <v>D3</v>
      </c>
      <c r="R79" s="7">
        <v>12</v>
      </c>
      <c r="S79" s="6"/>
      <c r="T79" s="2"/>
      <c r="U79" s="7"/>
      <c r="W79" s="85"/>
      <c r="X79" s="2"/>
      <c r="Y79" s="7"/>
      <c r="Z79" s="6"/>
      <c r="AA79" s="2"/>
      <c r="AB79" s="7"/>
      <c r="AD79" s="6"/>
      <c r="AE79" s="2"/>
      <c r="AF79" s="7"/>
      <c r="AG79" s="6"/>
      <c r="AH79" s="2"/>
      <c r="AI79" s="7"/>
    </row>
    <row r="80" spans="1:35">
      <c r="A80" s="109"/>
      <c r="B80" s="6"/>
      <c r="C80" s="2"/>
      <c r="D80" s="7"/>
      <c r="E80" s="6"/>
      <c r="F80" s="2"/>
      <c r="G80" s="7"/>
      <c r="I80" s="6" t="str">
        <v>Sanne van Driel</v>
      </c>
      <c r="J80" s="2" t="str">
        <v>C3</v>
      </c>
      <c r="K80" s="7">
        <v>13</v>
      </c>
      <c r="L80" s="6"/>
      <c r="M80" s="2"/>
      <c r="N80" s="7"/>
      <c r="P80" s="6" t="str">
        <v>Milou Markusse</v>
      </c>
      <c r="Q80" s="2" t="str">
        <v>D4</v>
      </c>
      <c r="R80" s="7">
        <v>12</v>
      </c>
      <c r="S80" s="6"/>
      <c r="T80" s="2"/>
      <c r="U80" s="7"/>
      <c r="W80" s="6"/>
      <c r="X80" s="2"/>
      <c r="Y80" s="7"/>
      <c r="Z80" s="6"/>
      <c r="AA80" s="2"/>
      <c r="AB80" s="7"/>
      <c r="AD80" s="6"/>
      <c r="AE80" s="2"/>
      <c r="AF80" s="7"/>
      <c r="AG80" s="6"/>
      <c r="AH80" s="2"/>
      <c r="AI80" s="7"/>
    </row>
    <row r="81" spans="1:35">
      <c r="A81" s="109"/>
      <c r="B81" s="6"/>
      <c r="C81" s="2"/>
      <c r="D81" s="7"/>
      <c r="E81" s="6"/>
      <c r="F81" s="2"/>
      <c r="G81" s="7"/>
      <c r="I81" s="6"/>
      <c r="J81" s="2"/>
      <c r="K81" s="7"/>
      <c r="L81" s="6"/>
      <c r="M81" s="2"/>
      <c r="N81" s="7"/>
      <c r="P81" s="6"/>
      <c r="Q81" s="2"/>
      <c r="R81" s="7"/>
      <c r="S81" s="6"/>
      <c r="T81" s="2"/>
      <c r="U81" s="7"/>
      <c r="W81" s="6"/>
      <c r="X81" s="2"/>
      <c r="Y81" s="7"/>
      <c r="Z81" s="6"/>
      <c r="AA81" s="2"/>
      <c r="AB81" s="7"/>
      <c r="AD81" s="6"/>
      <c r="AE81" s="2"/>
      <c r="AF81" s="7"/>
      <c r="AG81" s="6"/>
      <c r="AH81" s="2"/>
      <c r="AI81" s="7"/>
    </row>
    <row r="82" spans="1:35">
      <c r="A82" s="109"/>
      <c r="B82" s="6"/>
      <c r="C82" s="2"/>
      <c r="D82" s="7"/>
      <c r="E82" s="6"/>
      <c r="F82" s="2"/>
      <c r="G82" s="7"/>
      <c r="I82" s="6"/>
      <c r="J82" s="2"/>
      <c r="K82" s="7"/>
      <c r="L82" s="6"/>
      <c r="M82" s="2"/>
      <c r="N82" s="7"/>
      <c r="P82" s="6"/>
      <c r="Q82" s="2"/>
      <c r="R82" s="7"/>
      <c r="S82" s="6"/>
      <c r="T82" s="2"/>
      <c r="U82" s="7"/>
      <c r="W82" s="6"/>
      <c r="X82" s="2"/>
      <c r="Y82" s="7"/>
      <c r="Z82" s="6"/>
      <c r="AA82" s="2"/>
      <c r="AB82" s="7"/>
      <c r="AD82" s="6"/>
      <c r="AE82" s="2"/>
      <c r="AF82" s="7"/>
      <c r="AG82" s="6"/>
      <c r="AH82" s="2"/>
      <c r="AI82" s="7"/>
    </row>
    <row r="83" spans="1:35">
      <c r="A83" s="109"/>
      <c r="B83" s="6"/>
      <c r="C83" s="2"/>
      <c r="D83" s="7"/>
      <c r="E83" s="6"/>
      <c r="F83" s="2"/>
      <c r="G83" s="7"/>
      <c r="I83" s="6"/>
      <c r="J83" s="2"/>
      <c r="K83" s="7"/>
      <c r="L83" s="6"/>
      <c r="M83" s="2"/>
      <c r="N83" s="7"/>
      <c r="P83" s="6"/>
      <c r="Q83" s="2"/>
      <c r="R83" s="7"/>
      <c r="S83" s="6"/>
      <c r="T83" s="2"/>
      <c r="U83" s="7"/>
      <c r="W83" s="6"/>
      <c r="X83" s="2"/>
      <c r="Y83" s="7"/>
      <c r="Z83" s="6"/>
      <c r="AA83" s="2"/>
      <c r="AB83" s="7"/>
      <c r="AD83" s="6"/>
      <c r="AE83" s="2"/>
      <c r="AF83" s="7"/>
      <c r="AG83" s="6"/>
      <c r="AH83" s="2"/>
      <c r="AI83" s="7"/>
    </row>
    <row r="84" spans="1:35" ht="15.95" thickBot="1">
      <c r="A84" s="109"/>
      <c r="B84" s="6"/>
      <c r="C84" s="2"/>
      <c r="D84" s="7"/>
      <c r="E84" s="6"/>
      <c r="F84" s="2"/>
      <c r="G84" s="7"/>
      <c r="I84" s="6"/>
      <c r="J84" s="2"/>
      <c r="K84" s="7"/>
      <c r="L84" s="6"/>
      <c r="M84" s="2"/>
      <c r="N84" s="7"/>
      <c r="P84" s="6"/>
      <c r="Q84" s="2"/>
      <c r="R84" s="7"/>
      <c r="S84" s="6"/>
      <c r="T84" s="2"/>
      <c r="U84" s="7"/>
      <c r="W84" s="6"/>
      <c r="X84" s="2"/>
      <c r="Y84" s="7"/>
      <c r="Z84" s="6"/>
      <c r="AA84" s="2"/>
      <c r="AB84" s="7"/>
      <c r="AD84" s="6"/>
      <c r="AE84" s="2"/>
      <c r="AF84" s="7"/>
      <c r="AG84" s="6"/>
      <c r="AH84" s="2"/>
      <c r="AI84" s="7"/>
    </row>
    <row r="85" spans="1:35">
      <c r="A85" s="109"/>
      <c r="B85" s="12" t="str" cm="1">
        <f t="array" ref="B85:B86">_xlfn._xlws.FILTER(Staf!$C:$C,Staf!$B:$B=Teams!B73,"")</f>
        <v>Trainer/Coach</v>
      </c>
      <c r="C85" s="13" t="str" cm="1">
        <f t="array" ref="C85:C86">_xlfn._xlws.FILTER(Staf!$A:$A,Staf!$B:$B=Teams!B73,"")</f>
        <v>Antjan Laban</v>
      </c>
      <c r="D85" s="13"/>
      <c r="E85" s="13"/>
      <c r="F85" s="13"/>
      <c r="G85" s="14"/>
      <c r="I85" s="12" t="str" cm="1">
        <f t="array" ref="I85:I87">_xlfn._xlws.FILTER(Staf!$C:$C,Staf!$B:$B=Teams!I73,"")</f>
        <v>Trainer/Coach</v>
      </c>
      <c r="J85" s="13" t="str" cm="1">
        <f t="array" ref="J85:J87">_xlfn._xlws.FILTER(Staf!$A:$A,Staf!$B:$B=Teams!I73,"")</f>
        <v>Kimberley Witman</v>
      </c>
      <c r="K85" s="13"/>
      <c r="L85" s="13"/>
      <c r="M85" s="13"/>
      <c r="N85" s="14"/>
      <c r="P85" s="12" t="str" cm="1">
        <f t="array" ref="P85:P87">_xlfn._xlws.FILTER(Staf!$C:$C,Staf!$B:$B=Teams!P73,"")</f>
        <v>Trainer/Coach</v>
      </c>
      <c r="Q85" s="13" t="str" cm="1">
        <f t="array" ref="Q85:Q87">_xlfn._xlws.FILTER(Staf!$A:$A,Staf!$B:$B=Teams!P73,"")</f>
        <v>Nadia de Wit</v>
      </c>
      <c r="R85" s="13"/>
      <c r="S85" s="13"/>
      <c r="T85" s="13"/>
      <c r="U85" s="14"/>
      <c r="W85" s="12" t="str" cm="1">
        <f t="array" ref="W85">_xlfn._xlws.FILTER(Staf!$C:$C,Staf!$B:$B=Teams!W73,"")</f>
        <v/>
      </c>
      <c r="X85" s="13" t="str" cm="1">
        <f t="array" ref="X85">_xlfn._xlws.FILTER(Staf!$A:$A,Staf!$B:$B=Teams!W73,"")</f>
        <v/>
      </c>
      <c r="Y85" s="13"/>
      <c r="Z85" s="13"/>
      <c r="AA85" s="13"/>
      <c r="AB85" s="14"/>
      <c r="AD85" s="12" t="str" cm="1">
        <f t="array" ref="AD85">_xlfn._xlws.FILTER(Staf!$C:$C,Staf!$B:$B=Teams!AD73,"")</f>
        <v/>
      </c>
      <c r="AE85" s="13" t="str" cm="1">
        <f t="array" ref="AE85">_xlfn._xlws.FILTER(Staf!$A:$A,Staf!$B:$B=Teams!AD73,"")</f>
        <v/>
      </c>
      <c r="AF85" s="13"/>
      <c r="AG85" s="13"/>
      <c r="AH85" s="13"/>
      <c r="AI85" s="14"/>
    </row>
    <row r="86" spans="1:35">
      <c r="A86" s="109"/>
      <c r="B86" s="15" t="str">
        <v>Trainer/Coach</v>
      </c>
      <c r="C86" s="16" t="str">
        <v>Milou Oppe</v>
      </c>
      <c r="D86" s="16"/>
      <c r="E86" s="16"/>
      <c r="F86" s="16"/>
      <c r="G86" s="17"/>
      <c r="I86" s="15" t="str">
        <v>Trainer/Coach</v>
      </c>
      <c r="J86" s="16" t="str">
        <v>Robert Koster</v>
      </c>
      <c r="K86" s="16"/>
      <c r="L86" s="16"/>
      <c r="M86" s="16"/>
      <c r="N86" s="17"/>
      <c r="P86" s="15" t="str">
        <v>Trainer/Coach</v>
      </c>
      <c r="Q86" s="16" t="str">
        <v>Syrah de Wit</v>
      </c>
      <c r="R86" s="16"/>
      <c r="S86" s="16"/>
      <c r="T86" s="16"/>
      <c r="U86" s="17"/>
      <c r="W86" s="15"/>
      <c r="X86" s="16"/>
      <c r="Y86" s="16"/>
      <c r="Z86" s="16"/>
      <c r="AA86" s="16"/>
      <c r="AB86" s="17"/>
      <c r="AD86" s="15"/>
      <c r="AE86" s="16"/>
      <c r="AF86" s="16"/>
      <c r="AG86" s="16"/>
      <c r="AH86" s="16"/>
      <c r="AI86" s="17"/>
    </row>
    <row r="87" spans="1:35" ht="15.95" thickBot="1">
      <c r="A87" s="109"/>
      <c r="B87" s="18"/>
      <c r="C87" s="19"/>
      <c r="D87" s="19"/>
      <c r="E87" s="19"/>
      <c r="F87" s="19"/>
      <c r="G87" s="20"/>
      <c r="I87" s="18" t="str">
        <v>Trainer/Coach</v>
      </c>
      <c r="J87" s="19" t="str">
        <v>Senne Koster</v>
      </c>
      <c r="K87" s="19"/>
      <c r="L87" s="19"/>
      <c r="M87" s="19"/>
      <c r="N87" s="20"/>
      <c r="P87" s="18" t="str">
        <v>Assistent-trainer</v>
      </c>
      <c r="Q87" s="19" t="str">
        <v xml:space="preserve">Vacature </v>
      </c>
      <c r="R87" s="19"/>
      <c r="S87" s="19"/>
      <c r="T87" s="19"/>
      <c r="U87" s="20"/>
      <c r="W87" s="18"/>
      <c r="X87" s="19"/>
      <c r="Y87" s="19"/>
      <c r="Z87" s="19"/>
      <c r="AA87" s="19"/>
      <c r="AB87" s="20"/>
      <c r="AD87" s="18"/>
      <c r="AE87" s="19"/>
      <c r="AF87" s="19"/>
      <c r="AG87" s="19"/>
      <c r="AH87" s="19"/>
      <c r="AI87" s="20"/>
    </row>
    <row r="88" spans="1:35" ht="15.95" thickBot="1"/>
    <row r="89" spans="1:35" ht="15.95" thickBot="1">
      <c r="A89" s="109" t="s">
        <v>32</v>
      </c>
      <c r="B89" s="21" t="s">
        <v>33</v>
      </c>
      <c r="C89" s="21"/>
      <c r="D89" s="21"/>
      <c r="E89" s="21"/>
      <c r="F89" s="21"/>
      <c r="G89" s="22">
        <f>AVERAGE(D91:D100,G91:G100)</f>
        <v>10.9</v>
      </c>
      <c r="I89" s="21" t="s">
        <v>34</v>
      </c>
      <c r="J89" s="21"/>
      <c r="K89" s="21"/>
      <c r="L89" s="21"/>
      <c r="M89" s="21"/>
      <c r="N89" s="22">
        <f>AVERAGE(K91:K100,N91:N100)</f>
        <v>10.727272727272727</v>
      </c>
      <c r="P89" s="21" t="s">
        <v>35</v>
      </c>
      <c r="Q89" s="21"/>
      <c r="R89" s="21"/>
      <c r="S89" s="21"/>
      <c r="T89" s="21"/>
      <c r="U89" s="22">
        <f>AVERAGE(R91:R100,U91:U100)</f>
        <v>10</v>
      </c>
      <c r="W89" s="21" t="s">
        <v>36</v>
      </c>
      <c r="X89" s="21"/>
      <c r="Y89" s="21"/>
      <c r="Z89" s="21"/>
      <c r="AA89" s="21"/>
      <c r="AB89" s="22">
        <f>AVERAGE(Y91:Y100,AB91:AB100)</f>
        <v>10.3</v>
      </c>
      <c r="AD89" s="21" t="s">
        <v>37</v>
      </c>
      <c r="AE89" s="21"/>
      <c r="AF89" s="21"/>
      <c r="AG89" s="21"/>
      <c r="AH89" s="21"/>
      <c r="AI89" s="22" t="e">
        <f>AVERAGE(AF91:AF100,AI91:AI100)</f>
        <v>#DIV/0!</v>
      </c>
    </row>
    <row r="90" spans="1:35" ht="15.95" thickBot="1">
      <c r="A90" s="109"/>
      <c r="B90" s="8" t="str">
        <f>CONCATENATE("Dames (",COUNTA(C91:C98),")")</f>
        <v>Dames (6)</v>
      </c>
      <c r="C90" s="9"/>
      <c r="D90" s="10"/>
      <c r="E90" s="8" t="str">
        <f>CONCATENATE("Heren (",COUNTA(F91:F98),")")</f>
        <v>Heren (4)</v>
      </c>
      <c r="F90" s="9"/>
      <c r="G90" s="10"/>
      <c r="I90" s="8" t="str">
        <f>CONCATENATE("Dames (",COUNTA(J91:J98),")")</f>
        <v>Dames (6)</v>
      </c>
      <c r="J90" s="9"/>
      <c r="K90" s="10"/>
      <c r="L90" s="8" t="str">
        <f>CONCATENATE("Heren (",COUNTA(M91:M98),")")</f>
        <v>Heren (5)</v>
      </c>
      <c r="M90" s="9"/>
      <c r="N90" s="10"/>
      <c r="P90" s="8" t="str">
        <f>CONCATENATE("Dames (",COUNTA(Q91:Q97),")")</f>
        <v>Dames (4)</v>
      </c>
      <c r="Q90" s="9"/>
      <c r="R90" s="10"/>
      <c r="S90" s="8" t="str">
        <f>CONCATENATE("Heren (",COUNTA(T91:T98),")")</f>
        <v>Heren (5)</v>
      </c>
      <c r="T90" s="9"/>
      <c r="U90" s="10"/>
      <c r="W90" s="8" t="str">
        <f>CONCATENATE("Dames (",COUNTA(X91:X98),")")</f>
        <v>Dames (4)</v>
      </c>
      <c r="X90" s="9"/>
      <c r="Y90" s="10"/>
      <c r="Z90" s="8" t="str">
        <f>CONCATENATE("Heren (",COUNTA(AA91:AA98),")")</f>
        <v>Heren (6)</v>
      </c>
      <c r="AA90" s="9"/>
      <c r="AB90" s="10"/>
      <c r="AD90" s="8" t="str">
        <f>CONCATENATE("Dames (",COUNTA(AE91:AE98),")")</f>
        <v>Dames (1)</v>
      </c>
      <c r="AE90" s="9"/>
      <c r="AF90" s="10"/>
      <c r="AG90" s="8" t="str">
        <f>CONCATENATE("Heren (",COUNTA(AH91:AH98),")")</f>
        <v>Heren (1)</v>
      </c>
      <c r="AH90" s="9"/>
      <c r="AI90" s="10"/>
    </row>
    <row r="91" spans="1:35">
      <c r="A91" s="109"/>
      <c r="B91" s="3" t="str" cm="1">
        <f t="array" ref="B91:B96">_xlfn._xlws.FILTER(Spelerslijst!$B:$B,Spelerslijst!$G:$G=B$89,"")</f>
        <v>Davina Moniz</v>
      </c>
      <c r="C91" s="4" t="str" cm="1">
        <f t="array" ref="C91:C96">_xlfn._xlws.FILTER(Spelerslijst!$H:$H,Spelerslijst!$G:$G=B$89,"")</f>
        <v>D1</v>
      </c>
      <c r="D91" s="5" cm="1">
        <f t="array" ref="D91:D96">_xlfn._xlws.FILTER(Spelerslijst!$D:$D,Spelerslijst!$G:$G=B$89,"")</f>
        <v>11</v>
      </c>
      <c r="E91" s="3" t="str" cm="1">
        <f t="array" ref="E91:E94">_xlfn._xlws.FILTER(Spelerslijst!$L:$L,Spelerslijst!$Q:$Q=B$89,"")</f>
        <v>Abel van de Ven</v>
      </c>
      <c r="F91" s="4" t="str" cm="1">
        <f t="array" ref="F91:F94">_xlfn._xlws.FILTER(Spelerslijst!R:R,Spelerslijst!$Q:$Q=B$89,"")</f>
        <v>D2</v>
      </c>
      <c r="G91" s="5" cm="1">
        <f t="array" ref="G91:G94">_xlfn._xlws.FILTER(Spelerslijst!$N:$N,Spelerslijst!$Q:$Q=B$89,"")</f>
        <v>10</v>
      </c>
      <c r="I91" s="3" t="str" cm="1">
        <f t="array" ref="I91:I96">_xlfn._xlws.FILTER(Spelerslijst!$B:$B,Spelerslijst!$G:$G=I$89,"")</f>
        <v>Esther Oosse</v>
      </c>
      <c r="J91" s="4" t="str" cm="1">
        <f t="array" ref="J91:J96">_xlfn._xlws.FILTER(Spelerslijst!$H:$H,Spelerslijst!$G:$G=I$89,"")</f>
        <v>D3</v>
      </c>
      <c r="K91" s="5" cm="1">
        <f t="array" ref="K91:K96">_xlfn._xlws.FILTER(Spelerslijst!$D:$D,Spelerslijst!$G:$G=I$89,"")</f>
        <v>11</v>
      </c>
      <c r="L91" s="3" t="str" cm="1">
        <f t="array" ref="L91:L95">_xlfn._xlws.FILTER(Spelerslijst!$L:$L,Spelerslijst!$Q:$Q=I$89,"")</f>
        <v>Cas Uljee</v>
      </c>
      <c r="M91" s="4" t="str" cm="1">
        <f t="array" ref="M91:M95">_xlfn._xlws.FILTER(Spelerslijst!$R:$R,Spelerslijst!$Q:$Q=I$89,"")</f>
        <v>D3</v>
      </c>
      <c r="N91" s="5" cm="1">
        <f t="array" ref="N91:N95">_xlfn._xlws.FILTER(Spelerslijst!$N:$N,Spelerslijst!$Q:$Q=I$89,"")</f>
        <v>11</v>
      </c>
      <c r="P91" s="3" t="str" cm="1">
        <f t="array" ref="P91:P94">_xlfn._xlws.FILTER(Spelerslijst!$B:$B,Spelerslijst!$G:$G=P$89,"")</f>
        <v>Ize van der Linden</v>
      </c>
      <c r="Q91" s="4" t="str" cm="1">
        <f t="array" ref="Q91:Q94">_xlfn._xlws.FILTER(Spelerslijst!$H:$H,Spelerslijst!$G:$G=P$89,"")</f>
        <v>E2</v>
      </c>
      <c r="R91" s="5" cm="1">
        <f t="array" ref="R91:R94">_xlfn._xlws.FILTER(Spelerslijst!$D:$D,Spelerslijst!$G:$G=P$89,"")</f>
        <v>10</v>
      </c>
      <c r="S91" s="3" t="str" cm="1">
        <f t="array" ref="S91:S95">_xlfn._xlws.FILTER(Spelerslijst!$L:$L,Spelerslijst!$Q:$Q=P$89,"")</f>
        <v>Ayden van den Bosch</v>
      </c>
      <c r="T91" s="4" t="str" cm="1">
        <f t="array" ref="T91:T95">_xlfn._xlws.FILTER(Spelerslijst!$R:$R,Spelerslijst!$Q:$Q=P$89,"")</f>
        <v>E1</v>
      </c>
      <c r="U91" s="5" cm="1">
        <f t="array" ref="U91:U95">_xlfn._xlws.FILTER(Spelerslijst!$N:$N,Spelerslijst!$Q:$Q=P$89,"")</f>
        <v>10</v>
      </c>
      <c r="W91" s="3" t="str" cm="1">
        <f t="array" ref="W91:W94">_xlfn._xlws.FILTER(Spelerslijst!$B:$B,Spelerslijst!$G:$G=W$89,"")</f>
        <v>Benthe van Dijl</v>
      </c>
      <c r="X91" s="4" t="str" cm="1">
        <f t="array" ref="X91:X94">_xlfn._xlws.FILTER(Spelerslijst!$H:$H,Spelerslijst!$G:$G=W$89,"")</f>
        <v>nieuw</v>
      </c>
      <c r="Y91" s="5" cm="1">
        <f t="array" ref="Y91:Y94">_xlfn._xlws.FILTER(Spelerslijst!$D:$D,Spelerslijst!$G:$G=W$89,"")</f>
        <v>10</v>
      </c>
      <c r="Z91" s="3" t="str" cm="1">
        <f t="array" ref="Z91:Z96">_xlfn._xlws.FILTER(Spelerslijst!$L:$L,Spelerslijst!$Q:$Q=W$89,"")</f>
        <v>Collin Koppelaar</v>
      </c>
      <c r="AA91" s="4" t="str" cm="1">
        <f t="array" ref="AA91:AA96">_xlfn._xlws.FILTER(Spelerslijst!$R:$R,Spelerslijst!$Q:$Q=W$89,"")</f>
        <v>D4</v>
      </c>
      <c r="AB91" s="5" cm="1">
        <f t="array" ref="AB91:AB96">_xlfn._xlws.FILTER(Spelerslijst!$N:$N,Spelerslijst!$Q:$Q=W$89,"")</f>
        <v>10</v>
      </c>
      <c r="AD91" s="3" t="str" cm="1">
        <f t="array" ref="AD91">_xlfn._xlws.FILTER(Spelerslijst!$B:$B,Spelerslijst!$G:$G=AD$89,"")</f>
        <v/>
      </c>
      <c r="AE91" s="4" t="str" cm="1">
        <f t="array" ref="AE91">_xlfn._xlws.FILTER(Spelerslijst!$H:$H,Spelerslijst!$G:$G=AD$89,"")</f>
        <v/>
      </c>
      <c r="AF91" s="5" t="str" cm="1">
        <f t="array" ref="AF91">_xlfn._xlws.FILTER(Spelerslijst!$D:$D,Spelerslijst!$G:$G=AD$89,"")</f>
        <v/>
      </c>
      <c r="AG91" s="3" t="str" cm="1">
        <f t="array" ref="AG91">_xlfn._xlws.FILTER(Spelerslijst!$L:$L,Spelerslijst!$Q:$Q=AD$89,"")</f>
        <v/>
      </c>
      <c r="AH91" s="4" t="str" cm="1">
        <f t="array" ref="AH91">_xlfn._xlws.FILTER(Spelerslijst!$R:$R,Spelerslijst!$Q:$Q=AD$89,"")</f>
        <v/>
      </c>
      <c r="AI91" s="5" t="str" cm="1">
        <f t="array" ref="AI91">_xlfn._xlws.FILTER(Spelerslijst!$N:$N,Spelerslijst!$Q:$Q=AD$89,"")</f>
        <v/>
      </c>
    </row>
    <row r="92" spans="1:35">
      <c r="A92" s="109"/>
      <c r="B92" s="6" t="str">
        <v>Evi Kleingeld</v>
      </c>
      <c r="C92" s="2" t="str">
        <v>D2</v>
      </c>
      <c r="D92" s="7">
        <v>11</v>
      </c>
      <c r="E92" s="6" t="str">
        <v>Falco Bemer</v>
      </c>
      <c r="F92" s="2" t="str">
        <v>D2</v>
      </c>
      <c r="G92" s="7">
        <v>11</v>
      </c>
      <c r="I92" s="6" t="str">
        <v>Jolijn van den Bergh</v>
      </c>
      <c r="J92" s="2" t="str">
        <v>D3</v>
      </c>
      <c r="K92" s="7">
        <v>11</v>
      </c>
      <c r="L92" s="6" t="str">
        <v>Fynn Kuling</v>
      </c>
      <c r="M92" s="2" t="str">
        <v>D3</v>
      </c>
      <c r="N92" s="7">
        <v>11</v>
      </c>
      <c r="P92" s="6" t="str">
        <v>Jeslynn Vos</v>
      </c>
      <c r="Q92" s="2" t="str">
        <v>E1</v>
      </c>
      <c r="R92" s="7">
        <v>10</v>
      </c>
      <c r="S92" s="6" t="str">
        <v>Jorn den Dekker</v>
      </c>
      <c r="T92" s="2" t="str">
        <v>E2</v>
      </c>
      <c r="U92" s="7">
        <v>10</v>
      </c>
      <c r="W92" s="6" t="str">
        <v>Elske Niehof</v>
      </c>
      <c r="X92" s="2" t="str">
        <v>nieuw</v>
      </c>
      <c r="Y92" s="7">
        <v>11</v>
      </c>
      <c r="Z92" s="6" t="str">
        <v>Joep Jongkind</v>
      </c>
      <c r="AA92" s="2" t="str">
        <v>E4</v>
      </c>
      <c r="AB92" s="7">
        <v>10</v>
      </c>
      <c r="AD92" s="6"/>
      <c r="AE92" s="2"/>
      <c r="AF92" s="7"/>
      <c r="AG92" s="6"/>
      <c r="AH92" s="2"/>
      <c r="AI92" s="7"/>
    </row>
    <row r="93" spans="1:35">
      <c r="A93" s="109"/>
      <c r="B93" s="6" t="str">
        <v>Fay Tims</v>
      </c>
      <c r="C93" s="2" t="str">
        <v>D2</v>
      </c>
      <c r="D93" s="7">
        <v>11</v>
      </c>
      <c r="E93" s="6" t="str">
        <v>Nathan Verberkt</v>
      </c>
      <c r="F93" s="2" t="str">
        <v>D2</v>
      </c>
      <c r="G93" s="7">
        <v>11</v>
      </c>
      <c r="I93" s="6" t="str">
        <v>Lenthe van den Boogaart</v>
      </c>
      <c r="J93" s="2" t="str">
        <v>D3</v>
      </c>
      <c r="K93" s="7">
        <v>11</v>
      </c>
      <c r="L93" s="6" t="str">
        <v>Lars Winter</v>
      </c>
      <c r="M93" s="2" t="str">
        <v>E2</v>
      </c>
      <c r="N93" s="7">
        <v>10</v>
      </c>
      <c r="P93" s="6" t="str">
        <v>Pien van Dongen</v>
      </c>
      <c r="Q93" s="2" t="str">
        <v>E1</v>
      </c>
      <c r="R93" s="7">
        <v>10</v>
      </c>
      <c r="S93" s="6" t="str">
        <v>Levi Everaarts</v>
      </c>
      <c r="T93" s="2" t="str">
        <v>E1</v>
      </c>
      <c r="U93" s="7">
        <v>10</v>
      </c>
      <c r="W93" s="6" t="str">
        <v>Emma Schot</v>
      </c>
      <c r="X93" s="2" t="str">
        <v>E3</v>
      </c>
      <c r="Y93" s="7">
        <v>11</v>
      </c>
      <c r="Z93" s="6" t="str">
        <v>Lukas van der Weijde</v>
      </c>
      <c r="AA93" s="2" t="str">
        <v>D4</v>
      </c>
      <c r="AB93" s="7">
        <v>10</v>
      </c>
      <c r="AD93" s="6"/>
      <c r="AE93" s="2"/>
      <c r="AF93" s="7"/>
      <c r="AG93" s="6"/>
      <c r="AH93" s="2"/>
      <c r="AI93" s="7"/>
    </row>
    <row r="94" spans="1:35">
      <c r="A94" s="109"/>
      <c r="B94" s="6" t="str">
        <v>Imke van Geldrop</v>
      </c>
      <c r="C94" s="2" t="str">
        <v>D1</v>
      </c>
      <c r="D94" s="7">
        <v>11</v>
      </c>
      <c r="E94" s="6" t="str">
        <v>Tygo Bemer</v>
      </c>
      <c r="F94" s="2" t="str">
        <v>D2</v>
      </c>
      <c r="G94" s="7">
        <v>11</v>
      </c>
      <c r="I94" s="6" t="str">
        <v>Lisa Exalto</v>
      </c>
      <c r="J94" s="2" t="str">
        <v>E2</v>
      </c>
      <c r="K94" s="7">
        <v>10</v>
      </c>
      <c r="L94" s="6" t="str">
        <v>Martijn Veenendaal</v>
      </c>
      <c r="M94" s="2" t="str">
        <v>D3</v>
      </c>
      <c r="N94" s="7">
        <v>11</v>
      </c>
      <c r="P94" s="6" t="str">
        <v>Sanae el Arbiati</v>
      </c>
      <c r="Q94" s="2" t="str">
        <v>E5</v>
      </c>
      <c r="R94" s="7">
        <v>10</v>
      </c>
      <c r="S94" s="6" t="str">
        <v>Lucas van de Rest</v>
      </c>
      <c r="T94" s="2" t="str">
        <v>E3</v>
      </c>
      <c r="U94" s="7">
        <v>10</v>
      </c>
      <c r="W94" s="6" t="str">
        <v>Nurefsan Kombe</v>
      </c>
      <c r="X94" s="2" t="str">
        <v>D4</v>
      </c>
      <c r="Y94" s="7">
        <v>11</v>
      </c>
      <c r="Z94" s="6" t="str">
        <v>Mayson Josefina</v>
      </c>
      <c r="AA94" s="2" t="str">
        <v>NSL</v>
      </c>
      <c r="AB94" s="7">
        <v>10</v>
      </c>
      <c r="AD94" s="6"/>
      <c r="AE94" s="2"/>
      <c r="AF94" s="7"/>
      <c r="AG94" s="6"/>
      <c r="AH94" s="2"/>
      <c r="AI94" s="7"/>
    </row>
    <row r="95" spans="1:35">
      <c r="A95" s="109"/>
      <c r="B95" t="str">
        <v>Layla de Boer</v>
      </c>
      <c r="C95" s="2" t="str">
        <v>D2</v>
      </c>
      <c r="D95" s="7">
        <v>11</v>
      </c>
      <c r="E95" s="6"/>
      <c r="F95" s="2"/>
      <c r="G95" s="7"/>
      <c r="I95" s="6" t="str">
        <v>Noor Brouwer</v>
      </c>
      <c r="J95" s="2" t="str">
        <v>D3</v>
      </c>
      <c r="K95" s="7">
        <v>11</v>
      </c>
      <c r="L95" s="6" t="str">
        <v>Tobias Hoedelmans</v>
      </c>
      <c r="M95" s="2" t="str">
        <v>E2</v>
      </c>
      <c r="N95" s="7">
        <v>10</v>
      </c>
      <c r="P95" s="6"/>
      <c r="Q95" s="2"/>
      <c r="R95" s="7"/>
      <c r="S95" s="6" t="str">
        <v>Morris van Ameijden</v>
      </c>
      <c r="T95" s="2" t="str">
        <v>E2</v>
      </c>
      <c r="U95" s="7">
        <v>10</v>
      </c>
      <c r="W95" s="6"/>
      <c r="X95" s="2"/>
      <c r="Y95" s="7"/>
      <c r="Z95" s="6" t="str">
        <v>Ralf Dijkstra</v>
      </c>
      <c r="AA95" s="2" t="str">
        <v>E3</v>
      </c>
      <c r="AB95" s="7">
        <v>10</v>
      </c>
      <c r="AD95" s="6"/>
      <c r="AE95" s="2"/>
      <c r="AF95" s="7"/>
      <c r="AG95" s="6"/>
      <c r="AH95" s="2"/>
      <c r="AI95" s="7"/>
    </row>
    <row r="96" spans="1:35">
      <c r="A96" s="109"/>
      <c r="B96" s="6" t="str">
        <v>Yara van der Wiel</v>
      </c>
      <c r="C96" s="2" t="str">
        <v>D2</v>
      </c>
      <c r="D96" s="7">
        <v>11</v>
      </c>
      <c r="E96" s="6"/>
      <c r="F96" s="2"/>
      <c r="G96" s="7"/>
      <c r="I96" s="6" t="str">
        <v>Tess Uljee</v>
      </c>
      <c r="J96" s="2" t="str">
        <v>D3</v>
      </c>
      <c r="K96" s="7">
        <v>11</v>
      </c>
      <c r="L96" s="6"/>
      <c r="M96" s="2"/>
      <c r="N96" s="7"/>
      <c r="P96" s="6"/>
      <c r="Q96" s="2"/>
      <c r="R96" s="7"/>
      <c r="S96" s="6"/>
      <c r="T96" s="2"/>
      <c r="U96" s="7"/>
      <c r="W96" s="6"/>
      <c r="X96" s="2"/>
      <c r="Y96" s="7"/>
      <c r="Z96" s="6" t="str">
        <v>Sepp Jongkind</v>
      </c>
      <c r="AA96" s="2" t="str">
        <v>E3</v>
      </c>
      <c r="AB96" s="7">
        <v>10</v>
      </c>
      <c r="AD96" s="6"/>
      <c r="AE96" s="2"/>
      <c r="AF96" s="7"/>
      <c r="AG96" s="6"/>
      <c r="AH96" s="2"/>
      <c r="AI96" s="7"/>
    </row>
    <row r="97" spans="1:49">
      <c r="A97" s="109"/>
      <c r="B97" s="6"/>
      <c r="C97" s="2"/>
      <c r="D97" s="7"/>
      <c r="E97" s="6"/>
      <c r="F97" s="2"/>
      <c r="G97" s="7"/>
      <c r="I97" s="6"/>
      <c r="J97" s="2"/>
      <c r="K97" s="7"/>
      <c r="L97" s="6"/>
      <c r="M97" s="2"/>
      <c r="N97" s="7"/>
      <c r="P97" s="6"/>
      <c r="Q97" s="2"/>
      <c r="R97" s="7"/>
      <c r="S97" s="6"/>
      <c r="T97" s="2"/>
      <c r="U97" s="7"/>
      <c r="W97" s="6"/>
      <c r="X97" s="2"/>
      <c r="Y97" s="7"/>
      <c r="Z97" s="6"/>
      <c r="AA97" s="2"/>
      <c r="AB97" s="7"/>
      <c r="AD97" s="6"/>
      <c r="AE97" s="2"/>
      <c r="AF97" s="7"/>
      <c r="AG97" s="6"/>
      <c r="AH97" s="2"/>
      <c r="AI97" s="7"/>
    </row>
    <row r="98" spans="1:49" ht="15.95" thickBot="1">
      <c r="A98" s="109"/>
      <c r="B98" s="6"/>
      <c r="C98" s="2"/>
      <c r="D98" s="7"/>
      <c r="E98" s="6"/>
      <c r="F98" s="2"/>
      <c r="G98" s="7"/>
      <c r="I98" s="6"/>
      <c r="J98" s="2"/>
      <c r="K98" s="7"/>
      <c r="L98" s="6"/>
      <c r="M98" s="2"/>
      <c r="N98" s="7"/>
      <c r="P98" s="6"/>
      <c r="R98" s="7"/>
      <c r="S98" s="6"/>
      <c r="T98" s="2"/>
      <c r="U98" s="7"/>
      <c r="W98" s="6"/>
      <c r="X98" s="2"/>
      <c r="Y98" s="7"/>
      <c r="Z98" s="6"/>
      <c r="AA98" s="2"/>
      <c r="AB98" s="7"/>
      <c r="AD98" s="6"/>
      <c r="AE98" s="2"/>
      <c r="AF98" s="7"/>
      <c r="AG98" s="6"/>
      <c r="AH98" s="2"/>
      <c r="AI98" s="7"/>
    </row>
    <row r="99" spans="1:49">
      <c r="A99" s="109"/>
      <c r="B99" s="12" t="str" cm="1">
        <f t="array" ref="B99:B101">_xlfn._xlws.FILTER(Staf!$C:$C,Staf!$B:$B=Teams!B89,"")</f>
        <v>Trainer/Coach</v>
      </c>
      <c r="C99" s="13" t="str" cm="1">
        <f t="array" ref="C99:C101">_xlfn._xlws.FILTER(Staf!$A:$A,Staf!$B:$B=Teams!B89,"")</f>
        <v>Marcel St. Nicolaas</v>
      </c>
      <c r="D99" s="13"/>
      <c r="E99" s="13"/>
      <c r="F99" s="13"/>
      <c r="G99" s="14"/>
      <c r="I99" s="12" t="str" cm="1">
        <f t="array" ref="I99:I100">_xlfn._xlws.FILTER(Staf!$C:$C,Staf!$B:$B=Teams!I89,"")</f>
        <v>Trainer/Coach</v>
      </c>
      <c r="J99" s="13" t="str" cm="1">
        <f t="array" ref="J99:J100">_xlfn._xlws.FILTER(Staf!$A:$A,Staf!$B:$B=Teams!I89,"")</f>
        <v>Marlies Valk</v>
      </c>
      <c r="K99" s="13"/>
      <c r="L99" s="13"/>
      <c r="M99" s="13"/>
      <c r="N99" s="14"/>
      <c r="P99" s="12" t="str" cm="1">
        <f t="array" ref="P99:P100">_xlfn._xlws.FILTER(Staf!$C:$C,Staf!$B:$B=Teams!P89,"")</f>
        <v>Trainer/Coach</v>
      </c>
      <c r="Q99" s="13" t="str" cm="1">
        <f t="array" ref="Q99:Q100">_xlfn._xlws.FILTER(Staf!$A:$A,Staf!$B:$B=Teams!P89,"")</f>
        <v>Anouk de Jongh</v>
      </c>
      <c r="R99" s="13"/>
      <c r="S99" s="13"/>
      <c r="T99" s="13"/>
      <c r="U99" s="14"/>
      <c r="W99" s="12" t="str" cm="1">
        <f t="array" ref="W99:W100">_xlfn._xlws.FILTER(Staf!$C:$C,Staf!$B:$B=Teams!W89,"")</f>
        <v>Trainer/Coach</v>
      </c>
      <c r="X99" s="13" t="str" cm="1">
        <f t="array" ref="X99:X100">_xlfn._xlws.FILTER(Staf!$A:$A,Staf!$B:$B=Teams!W89,"")</f>
        <v xml:space="preserve">Vacature </v>
      </c>
      <c r="Y99" s="13"/>
      <c r="Z99" s="13"/>
      <c r="AA99" s="13"/>
      <c r="AB99" s="14"/>
      <c r="AD99" s="12" t="str" cm="1">
        <f t="array" ref="AD99">_xlfn._xlws.FILTER(Staf!$C:$C,Staf!$B:$B=Teams!AD89,"")</f>
        <v/>
      </c>
      <c r="AE99" s="13" t="str" cm="1">
        <f t="array" ref="AE99">_xlfn._xlws.FILTER(Staf!$A:$A,Staf!$B:$B=Teams!AD89,"")</f>
        <v/>
      </c>
      <c r="AF99" s="13"/>
      <c r="AG99" s="13"/>
      <c r="AH99" s="13"/>
      <c r="AI99" s="14"/>
    </row>
    <row r="100" spans="1:49">
      <c r="A100" s="109"/>
      <c r="B100" s="15" t="str">
        <v>Trainer/Coach</v>
      </c>
      <c r="C100" s="16" t="str">
        <v>Tom van de Ven</v>
      </c>
      <c r="D100" s="16"/>
      <c r="E100" s="16"/>
      <c r="F100" s="16"/>
      <c r="G100" s="17"/>
      <c r="I100" s="15" t="str">
        <v>Trainer/Coach</v>
      </c>
      <c r="J100" s="16" t="str">
        <v>Sara Boshoven</v>
      </c>
      <c r="K100" s="16"/>
      <c r="L100" s="16"/>
      <c r="M100" s="16"/>
      <c r="N100" s="17"/>
      <c r="P100" s="15" t="str">
        <v>Trainer/Coach</v>
      </c>
      <c r="Q100" s="16" t="str">
        <v>Sjoerd van Ameijden</v>
      </c>
      <c r="R100" s="16"/>
      <c r="S100" s="16"/>
      <c r="T100" s="16"/>
      <c r="U100" s="17"/>
      <c r="W100" s="15" t="str">
        <v>Trainer/Coach</v>
      </c>
      <c r="X100" s="16" t="str">
        <v xml:space="preserve">Vacature </v>
      </c>
      <c r="Y100" s="16"/>
      <c r="Z100" s="16"/>
      <c r="AA100" s="16"/>
      <c r="AB100" s="17"/>
      <c r="AD100" s="15"/>
      <c r="AE100" s="16"/>
      <c r="AF100" s="16"/>
      <c r="AG100" s="16"/>
      <c r="AH100" s="16"/>
      <c r="AI100" s="17"/>
    </row>
    <row r="101" spans="1:49" ht="15.95" thickBot="1">
      <c r="A101" s="109"/>
      <c r="B101" s="18" t="str">
        <v>Assistent-trainer</v>
      </c>
      <c r="C101" s="19" t="str">
        <v>Alex de Boer</v>
      </c>
      <c r="D101" s="19"/>
      <c r="E101" s="19"/>
      <c r="F101" s="19"/>
      <c r="G101" s="20"/>
      <c r="I101" s="18"/>
      <c r="J101" s="19"/>
      <c r="K101" s="19"/>
      <c r="L101" s="19"/>
      <c r="M101" s="19"/>
      <c r="N101" s="20"/>
      <c r="P101" s="18"/>
      <c r="Q101" s="19"/>
      <c r="R101" s="19"/>
      <c r="S101" s="19"/>
      <c r="T101" s="19"/>
      <c r="U101" s="20"/>
      <c r="W101" s="18"/>
      <c r="X101" s="19"/>
      <c r="Y101" s="19"/>
      <c r="Z101" s="19"/>
      <c r="AA101" s="19"/>
      <c r="AB101" s="20"/>
      <c r="AD101" s="18"/>
      <c r="AE101" s="19"/>
      <c r="AF101" s="19"/>
      <c r="AG101" s="19"/>
      <c r="AH101" s="19"/>
      <c r="AI101" s="20"/>
    </row>
    <row r="102" spans="1:49" ht="15.95" thickBot="1"/>
    <row r="103" spans="1:49" ht="15.95" thickBot="1">
      <c r="A103" s="109" t="s">
        <v>38</v>
      </c>
      <c r="B103" s="21" t="s">
        <v>39</v>
      </c>
      <c r="C103" s="21"/>
      <c r="D103" s="21"/>
      <c r="E103" s="21"/>
      <c r="F103" s="21"/>
      <c r="G103" s="22">
        <f>AVERAGE(D105:D112,G105:G112)</f>
        <v>9</v>
      </c>
      <c r="I103" s="21" t="s">
        <v>40</v>
      </c>
      <c r="J103" s="21"/>
      <c r="K103" s="21"/>
      <c r="L103" s="21"/>
      <c r="M103" s="21"/>
      <c r="N103" s="22">
        <f>AVERAGE(K105:K112,N105:N112)</f>
        <v>9</v>
      </c>
      <c r="P103" s="21" t="s">
        <v>41</v>
      </c>
      <c r="Q103" s="21"/>
      <c r="R103" s="21"/>
      <c r="S103" s="21"/>
      <c r="T103" s="21"/>
      <c r="U103" s="22">
        <f>AVERAGE(R105:R112,U105:U112)</f>
        <v>8.6</v>
      </c>
      <c r="W103" s="21" t="s">
        <v>42</v>
      </c>
      <c r="X103" s="21"/>
      <c r="Y103" s="21"/>
      <c r="Z103" s="21"/>
      <c r="AA103" s="21"/>
      <c r="AB103" s="22">
        <f>AVERAGE(Y105:Y112,AB105:AB112)</f>
        <v>8</v>
      </c>
      <c r="AD103" s="21" t="s">
        <v>43</v>
      </c>
      <c r="AE103" s="21"/>
      <c r="AF103" s="21"/>
      <c r="AG103" s="21"/>
      <c r="AH103" s="21"/>
      <c r="AI103" s="22" t="e">
        <f>AVERAGE(AF105:AF112,AI105:AI112)</f>
        <v>#DIV/0!</v>
      </c>
      <c r="AK103" s="21" t="s">
        <v>44</v>
      </c>
      <c r="AL103" s="21"/>
      <c r="AM103" s="21"/>
      <c r="AN103" s="21"/>
      <c r="AO103" s="21"/>
      <c r="AP103" s="22" t="e">
        <f>AVERAGE(AM105:AM112,AP105:AP112)</f>
        <v>#DIV/0!</v>
      </c>
      <c r="AR103" s="21" t="s">
        <v>45</v>
      </c>
      <c r="AS103" s="21"/>
      <c r="AT103" s="21"/>
      <c r="AU103" s="21"/>
      <c r="AV103" s="21"/>
      <c r="AW103" s="22" t="e">
        <f>AVERAGE(AT105:AT112,AW105:AW112)</f>
        <v>#DIV/0!</v>
      </c>
    </row>
    <row r="104" spans="1:49" ht="15.95" thickBot="1">
      <c r="A104" s="109"/>
      <c r="B104" s="8" t="str">
        <f>CONCATENATE("Dames (",COUNTA(C105:C110),")")</f>
        <v>Dames (3)</v>
      </c>
      <c r="C104" s="9"/>
      <c r="D104" s="10"/>
      <c r="E104" s="8" t="str">
        <f>CONCATENATE("Heren (",COUNTA(F105:F110),")")</f>
        <v>Heren (2)</v>
      </c>
      <c r="F104" s="9"/>
      <c r="G104" s="10"/>
      <c r="I104" s="8" t="str">
        <f>CONCATENATE("Dames (",COUNTA(J105:J110),")")</f>
        <v>Dames (3)</v>
      </c>
      <c r="J104" s="9"/>
      <c r="K104" s="10"/>
      <c r="L104" s="8" t="str">
        <f>CONCATENATE("Heren (",COUNTA(M105:M110),")")</f>
        <v>Heren (2)</v>
      </c>
      <c r="M104" s="9"/>
      <c r="N104" s="10"/>
      <c r="P104" s="8" t="str">
        <f>CONCATENATE("Dames (",COUNTA(Q105:Q110),")")</f>
        <v>Dames (4)</v>
      </c>
      <c r="Q104" s="9"/>
      <c r="R104" s="10"/>
      <c r="S104" s="8" t="str">
        <f>CONCATENATE("Heren (",COUNTA(T105:T110),")")</f>
        <v>Heren (1)</v>
      </c>
      <c r="T104" s="9"/>
      <c r="U104" s="10"/>
      <c r="W104" s="8" t="str">
        <f>CONCATENATE("Dames (",COUNTA(X105:X110),")")</f>
        <v>Dames (5)</v>
      </c>
      <c r="X104" s="9"/>
      <c r="Y104" s="10"/>
      <c r="Z104" s="8" t="str">
        <f>CONCATENATE("Heren (",COUNTA(AA105:AA110),")")</f>
        <v>Heren (1)</v>
      </c>
      <c r="AA104" s="9"/>
      <c r="AB104" s="10"/>
      <c r="AD104" s="8" t="str">
        <f>CONCATENATE("Dames (",COUNTA(AE105:AE110),")")</f>
        <v>Dames (1)</v>
      </c>
      <c r="AE104" s="9"/>
      <c r="AF104" s="10"/>
      <c r="AG104" s="8" t="str">
        <f>CONCATENATE("Heren (",COUNTA(AH105:AH110),")")</f>
        <v>Heren (1)</v>
      </c>
      <c r="AH104" s="9"/>
      <c r="AI104" s="10"/>
      <c r="AK104" s="8" t="str">
        <f>CONCATENATE("Dames (",COUNTA(AL105:AL110),")")</f>
        <v>Dames (1)</v>
      </c>
      <c r="AL104" s="9"/>
      <c r="AM104" s="10"/>
      <c r="AN104" s="8" t="str">
        <f>CONCATENATE("Heren (",COUNTA(AO105:AO110),")")</f>
        <v>Heren (1)</v>
      </c>
      <c r="AO104" s="9"/>
      <c r="AP104" s="10"/>
      <c r="AR104" s="8" t="str">
        <f>CONCATENATE("Dames (",COUNTA(AS105:AS110),")")</f>
        <v>Dames (1)</v>
      </c>
      <c r="AS104" s="9"/>
      <c r="AT104" s="10"/>
      <c r="AU104" s="8" t="str">
        <f>CONCATENATE("Heren (",COUNTA(AV105:AV110),")")</f>
        <v>Heren (1)</v>
      </c>
      <c r="AV104" s="9"/>
      <c r="AW104" s="10"/>
    </row>
    <row r="105" spans="1:49">
      <c r="A105" s="109"/>
      <c r="B105" s="3" t="str" cm="1">
        <f t="array" ref="B105:B107">_xlfn._xlws.FILTER(Spelerslijst!$B:$B,Spelerslijst!$G:$G=B$103,"")</f>
        <v>Maartje Laban</v>
      </c>
      <c r="C105" s="4" t="str" cm="1">
        <f t="array" ref="C105:C107">_xlfn._xlws.FILTER(Spelerslijst!$H:$H,Spelerslijst!$G:$G=B$103,"")</f>
        <v>E4</v>
      </c>
      <c r="D105" s="5" cm="1">
        <f t="array" ref="D105:D107">_xlfn._xlws.FILTER(Spelerslijst!$D:$D,Spelerslijst!$G:$G=B$103,"")</f>
        <v>9</v>
      </c>
      <c r="E105" s="3" t="str" cm="1">
        <f t="array" ref="E105:E106">_xlfn._xlws.FILTER(Spelerslijst!$L:$L,Spelerslijst!$Q:$Q=B$103,"")</f>
        <v>Koen Ploeg</v>
      </c>
      <c r="F105" s="4" t="str" cm="1">
        <f t="array" ref="F105:F106">_xlfn._xlws.FILTER(Spelerslijst!$R:$R,Spelerslijst!$Q:$Q=B$103,"")</f>
        <v>E4</v>
      </c>
      <c r="G105" s="5" cm="1">
        <f t="array" ref="G105:G106">_xlfn._xlws.FILTER(Spelerslijst!$N:$N,Spelerslijst!$Q:$Q=B$103,"")</f>
        <v>9</v>
      </c>
      <c r="I105" s="82" t="str" cm="1">
        <f t="array" ref="I105:I107">_xlfn._xlws.FILTER(Spelerslijst!$B:$B,Spelerslijst!$G:$G=I$103,"")</f>
        <v>Aniek van den Bergh</v>
      </c>
      <c r="J105" s="4" t="str" cm="1">
        <f t="array" ref="J105:J107">_xlfn._xlws.FILTER(Spelerslijst!$H:$H,Spelerslijst!$G:$G=I$103,"")</f>
        <v>E5</v>
      </c>
      <c r="K105" s="5" cm="1">
        <f t="array" ref="K105:K107">_xlfn._xlws.FILTER(Spelerslijst!$D:$D,Spelerslijst!$G:$G=I$103,"")</f>
        <v>9</v>
      </c>
      <c r="L105" s="82" t="str" cm="1">
        <f t="array" ref="L105:L106">_xlfn._xlws.FILTER(Spelerslijst!$L:$L,Spelerslijst!$Q:$Q=I$103,"")</f>
        <v>Gideon Verberkt</v>
      </c>
      <c r="M105" s="4" t="str" cm="1">
        <f t="array" ref="M105:M106">_xlfn._xlws.FILTER(Spelerslijst!$R:$R,Spelerslijst!$Q:$Q=I$103,"")</f>
        <v>E5</v>
      </c>
      <c r="N105" s="5" cm="1">
        <f t="array" ref="N105:N106">_xlfn._xlws.FILTER(Spelerslijst!$N:$N,Spelerslijst!$Q:$Q=I$103,"")</f>
        <v>9</v>
      </c>
      <c r="P105" s="3" t="str" cm="1">
        <f t="array" ref="P105:P108">_xlfn._xlws.FILTER(Spelerslijst!$B:$B,Spelerslijst!$G:$G=P$103,"")</f>
        <v>Imme Bouman</v>
      </c>
      <c r="Q105" s="4" t="str" cm="1">
        <f t="array" ref="Q105:Q108">_xlfn._xlws.FILTER(Spelerslijst!$H:$H,Spelerslijst!$G:$G=P$103,"")</f>
        <v>F1</v>
      </c>
      <c r="R105" s="5" cm="1">
        <f t="array" ref="R105:R108">_xlfn._xlws.FILTER(Spelerslijst!$D:$D,Spelerslijst!$G:$G=P$103,"")</f>
        <v>8</v>
      </c>
      <c r="S105" s="3" t="str" cm="1">
        <f t="array" ref="S105">_xlfn._xlws.FILTER(Spelerslijst!$L:$L,Spelerslijst!$Q:$Q=P$103,"")</f>
        <v>Tom van der Stel</v>
      </c>
      <c r="T105" s="4" t="str" cm="1">
        <f t="array" ref="T105">_xlfn._xlws.FILTER(Spelerslijst!$R:$R,Spelerslijst!$Q:$Q=P$103,"")</f>
        <v>Nieuw</v>
      </c>
      <c r="U105" s="5" cm="1">
        <f t="array" ref="U105">_xlfn._xlws.FILTER(Spelerslijst!$N:$N,Spelerslijst!$Q:$Q=P$103,"")</f>
        <v>9</v>
      </c>
      <c r="W105" s="3" t="str" cm="1">
        <f t="array" ref="W105:W109">_xlfn._xlws.FILTER(Spelerslijst!$B:$B,Spelerslijst!$G:$G=W$103,"")</f>
        <v>Jaylinn Ottevanger</v>
      </c>
      <c r="X105" s="4" t="str" cm="1">
        <f t="array" ref="X105:X109">_xlfn._xlws.FILTER(Spelerslijst!$H:$H,Spelerslijst!$G:$G=W$103,"")</f>
        <v>F2</v>
      </c>
      <c r="Y105" s="5" cm="1">
        <f t="array" ref="Y105:Y109">_xlfn._xlws.FILTER(Spelerslijst!$D:$D,Spelerslijst!$G:$G=W$103,"")</f>
        <v>8</v>
      </c>
      <c r="Z105" s="3" t="str" cm="1">
        <f t="array" ref="Z105">_xlfn._xlws.FILTER(Spelerslijst!$L:$L,Spelerslijst!$Q:$Q=W$103,"")</f>
        <v>Lucien Mol</v>
      </c>
      <c r="AA105" s="4" t="str" cm="1">
        <f t="array" ref="AA105">_xlfn._xlws.FILTER(Spelerslijst!$R:$R,Spelerslijst!$Q:$Q=W$103,"")</f>
        <v>Nieuw</v>
      </c>
      <c r="AB105" s="5" cm="1">
        <f t="array" ref="AB105">_xlfn._xlws.FILTER(Spelerslijst!$N:$N,Spelerslijst!$Q:$Q=W$103,"")</f>
        <v>8</v>
      </c>
      <c r="AD105" s="3" t="str" cm="1">
        <f t="array" ref="AD105">_xlfn._xlws.FILTER(Spelerslijst!$B:$B,Spelerslijst!$G:$G=AD$103,"")</f>
        <v/>
      </c>
      <c r="AE105" s="4" t="str" cm="1">
        <f t="array" ref="AE105">_xlfn._xlws.FILTER(Spelerslijst!$H:$H,Spelerslijst!$G:$G=AD$103,"")</f>
        <v/>
      </c>
      <c r="AF105" s="5" t="str" cm="1">
        <f t="array" ref="AF105">_xlfn._xlws.FILTER(Spelerslijst!$D:$D,Spelerslijst!$G:$G=AD$103,"")</f>
        <v/>
      </c>
      <c r="AG105" s="3" t="str" cm="1">
        <f t="array" ref="AG105">_xlfn._xlws.FILTER(Spelerslijst!$L:$L,Spelerslijst!$Q:$Q=AD$103,"")</f>
        <v/>
      </c>
      <c r="AH105" s="4" t="str" cm="1">
        <f t="array" ref="AH105">_xlfn._xlws.FILTER(Spelerslijst!$R:$R,Spelerslijst!$Q:$Q=AD$103,"")</f>
        <v/>
      </c>
      <c r="AI105" s="5" t="str" cm="1">
        <f t="array" ref="AI105">_xlfn._xlws.FILTER(Spelerslijst!$N:$N,Spelerslijst!$Q:$Q=AD$103,"")</f>
        <v/>
      </c>
      <c r="AK105" s="3" t="str" cm="1">
        <f t="array" ref="AK105">_xlfn._xlws.FILTER(Spelerslijst!$B:$B,Spelerslijst!$G:$G=AK$103,"")</f>
        <v/>
      </c>
      <c r="AL105" s="4" t="str" cm="1">
        <f t="array" ref="AL105">_xlfn._xlws.FILTER(Spelerslijst!$H:$H,Spelerslijst!$G:$G=AK$103,"")</f>
        <v/>
      </c>
      <c r="AM105" s="5" t="str" cm="1">
        <f t="array" ref="AM105">_xlfn._xlws.FILTER(Spelerslijst!$D:$D,Spelerslijst!$G:$G=AK$103,"")</f>
        <v/>
      </c>
      <c r="AN105" s="3" t="str" cm="1">
        <f t="array" ref="AN105">_xlfn._xlws.FILTER(Spelerslijst!$L:$L,Spelerslijst!$Q:$Q=AK$103,"")</f>
        <v/>
      </c>
      <c r="AO105" s="4" t="str" cm="1">
        <f t="array" ref="AO105">_xlfn._xlws.FILTER(Spelerslijst!$R:$R,Spelerslijst!$Q:$Q=AK$103,"")</f>
        <v/>
      </c>
      <c r="AP105" s="5" t="str" cm="1">
        <f t="array" ref="AP105">_xlfn._xlws.FILTER(Spelerslijst!$N:$N,Spelerslijst!$Q:$Q=AK$103,"")</f>
        <v/>
      </c>
      <c r="AR105" s="3" t="str" cm="1">
        <f t="array" ref="AR105">_xlfn._xlws.FILTER(Spelerslijst!$B:$B,Spelerslijst!$G:$G=AR$103,"")</f>
        <v/>
      </c>
      <c r="AS105" s="4" t="str" cm="1">
        <f t="array" ref="AS105">_xlfn._xlws.FILTER(Spelerslijst!$H:$H,Spelerslijst!$G:$G=AR$103,"")</f>
        <v/>
      </c>
      <c r="AT105" s="5" t="str" cm="1">
        <f t="array" ref="AT105">_xlfn._xlws.FILTER(Spelerslijst!$D:$D,Spelerslijst!$G:$G=AR$103,"")</f>
        <v/>
      </c>
      <c r="AU105" s="3" t="str" cm="1">
        <f t="array" ref="AU105">_xlfn._xlws.FILTER(Spelerslijst!$L:$L,Spelerslijst!$Q:$Q=AR$103,"")</f>
        <v/>
      </c>
      <c r="AV105" s="4" t="str" cm="1">
        <f t="array" ref="AV105">_xlfn._xlws.FILTER(Spelerslijst!$R:$R,Spelerslijst!$Q:$Q=AR$103,"")</f>
        <v/>
      </c>
      <c r="AW105" s="5" t="str" cm="1">
        <f t="array" ref="AW105">_xlfn._xlws.FILTER(Spelerslijst!$N:$N,Spelerslijst!$Q:$Q=AR$103,"")</f>
        <v/>
      </c>
    </row>
    <row r="106" spans="1:49">
      <c r="A106" s="109"/>
      <c r="B106" s="6" t="str">
        <v>Robin Mans</v>
      </c>
      <c r="C106" s="2" t="str">
        <v>E4</v>
      </c>
      <c r="D106" s="7">
        <v>9</v>
      </c>
      <c r="E106" s="6" t="str">
        <v>Rens Boekee</v>
      </c>
      <c r="F106" s="2" t="str">
        <v>E4</v>
      </c>
      <c r="G106" s="7">
        <v>9</v>
      </c>
      <c r="I106" s="6" t="str">
        <v>Julia van Twist</v>
      </c>
      <c r="J106" s="2" t="str">
        <v>E5</v>
      </c>
      <c r="K106" s="7">
        <v>9</v>
      </c>
      <c r="L106" s="6" t="str">
        <v>Timo van der Sijde</v>
      </c>
      <c r="M106" s="2" t="str">
        <v>E5</v>
      </c>
      <c r="N106" s="7">
        <v>9</v>
      </c>
      <c r="P106" s="6" t="str">
        <v>Karlijn Bakker</v>
      </c>
      <c r="Q106" s="2" t="str">
        <v>F1</v>
      </c>
      <c r="R106" s="7">
        <v>8</v>
      </c>
      <c r="S106" s="6"/>
      <c r="T106" s="2"/>
      <c r="U106" s="7"/>
      <c r="W106" s="6" t="str">
        <v>Julia Baas</v>
      </c>
      <c r="X106" s="2" t="str">
        <v>F2</v>
      </c>
      <c r="Y106" s="7">
        <v>8</v>
      </c>
      <c r="Z106" s="6"/>
      <c r="AA106" s="2"/>
      <c r="AB106" s="7"/>
      <c r="AD106" s="6"/>
      <c r="AE106" s="2"/>
      <c r="AF106" s="7"/>
      <c r="AG106" s="6"/>
      <c r="AH106" s="2"/>
      <c r="AI106" s="7"/>
      <c r="AK106" s="6"/>
      <c r="AL106" s="2"/>
      <c r="AM106" s="7"/>
      <c r="AN106" s="6"/>
      <c r="AO106" s="2"/>
      <c r="AP106" s="7"/>
      <c r="AR106" s="6"/>
      <c r="AS106" s="2"/>
      <c r="AT106" s="7"/>
      <c r="AU106" s="6"/>
      <c r="AV106" s="2"/>
      <c r="AW106" s="7"/>
    </row>
    <row r="107" spans="1:49">
      <c r="A107" s="109"/>
      <c r="B107" s="6" t="str">
        <v>Sofie Kleingeld</v>
      </c>
      <c r="C107" s="2" t="str">
        <v>E4</v>
      </c>
      <c r="D107" s="7">
        <v>9</v>
      </c>
      <c r="E107" s="6"/>
      <c r="F107" s="2"/>
      <c r="G107" s="7"/>
      <c r="I107" s="6" t="str">
        <v>Nehir Torbali</v>
      </c>
      <c r="J107" s="2" t="str">
        <v>E5</v>
      </c>
      <c r="K107" s="7">
        <v>9</v>
      </c>
      <c r="L107" s="6"/>
      <c r="M107" s="2"/>
      <c r="N107" s="7"/>
      <c r="P107" s="6" t="str">
        <v>Suze Maaskant</v>
      </c>
      <c r="Q107" s="2" t="str">
        <v>E3</v>
      </c>
      <c r="R107" s="7">
        <v>9</v>
      </c>
      <c r="S107" s="6"/>
      <c r="T107" s="2"/>
      <c r="U107" s="7"/>
      <c r="W107" s="6" t="str">
        <v>Nesrin Kombe</v>
      </c>
      <c r="X107" s="2" t="str">
        <v>F2</v>
      </c>
      <c r="Y107" s="7">
        <v>9</v>
      </c>
      <c r="Z107" s="6"/>
      <c r="AA107" s="2"/>
      <c r="AB107" s="7"/>
      <c r="AD107" s="6"/>
      <c r="AE107" s="2"/>
      <c r="AF107" s="7"/>
      <c r="AG107" s="6"/>
      <c r="AH107" s="2"/>
      <c r="AI107" s="7"/>
      <c r="AK107" s="6"/>
      <c r="AL107" s="2"/>
      <c r="AM107" s="7"/>
      <c r="AN107" s="6"/>
      <c r="AO107" s="2"/>
      <c r="AP107" s="7"/>
      <c r="AR107" s="6"/>
      <c r="AS107" s="2"/>
      <c r="AT107" s="7"/>
      <c r="AU107" s="6"/>
      <c r="AV107" s="2"/>
      <c r="AW107" s="7"/>
    </row>
    <row r="108" spans="1:49">
      <c r="A108" s="109"/>
      <c r="B108" s="6"/>
      <c r="C108" s="2"/>
      <c r="D108" s="7"/>
      <c r="E108" s="6"/>
      <c r="F108" s="2"/>
      <c r="G108" s="7"/>
      <c r="I108" s="6"/>
      <c r="J108" s="2"/>
      <c r="K108" s="7"/>
      <c r="L108" s="6"/>
      <c r="M108" s="2"/>
      <c r="N108" s="7"/>
      <c r="P108" s="6" t="str">
        <v>Tess Rebollo</v>
      </c>
      <c r="Q108" s="2" t="str">
        <v>E3</v>
      </c>
      <c r="R108" s="7">
        <v>9</v>
      </c>
      <c r="S108" s="6"/>
      <c r="T108" s="2"/>
      <c r="U108" s="7"/>
      <c r="W108" s="6" t="str">
        <v>Vive Jacobs</v>
      </c>
      <c r="X108" s="2" t="str">
        <v>F2</v>
      </c>
      <c r="Y108" s="7">
        <v>7</v>
      </c>
      <c r="Z108" s="6"/>
      <c r="AA108" s="2"/>
      <c r="AB108" s="7"/>
      <c r="AD108" s="6"/>
      <c r="AE108" s="2"/>
      <c r="AF108" s="7"/>
      <c r="AG108" s="6"/>
      <c r="AH108" s="2"/>
      <c r="AI108" s="7"/>
      <c r="AK108" s="6"/>
      <c r="AL108" s="2"/>
      <c r="AM108" s="7"/>
      <c r="AN108" s="6"/>
      <c r="AO108" s="2"/>
      <c r="AP108" s="7"/>
      <c r="AR108" s="6"/>
      <c r="AS108" s="2"/>
      <c r="AT108" s="7"/>
      <c r="AU108" s="6"/>
      <c r="AV108" s="2"/>
      <c r="AW108" s="7"/>
    </row>
    <row r="109" spans="1:49">
      <c r="A109" s="109"/>
      <c r="B109" s="6"/>
      <c r="C109" s="2"/>
      <c r="D109" s="7"/>
      <c r="E109" s="6"/>
      <c r="F109" s="2"/>
      <c r="G109" s="7"/>
      <c r="I109" s="6"/>
      <c r="J109" s="2"/>
      <c r="K109" s="7"/>
      <c r="L109" s="6"/>
      <c r="M109" s="2"/>
      <c r="N109" s="7"/>
      <c r="P109" s="6"/>
      <c r="Q109" s="2"/>
      <c r="R109" s="7"/>
      <c r="S109" s="6"/>
      <c r="T109" s="2"/>
      <c r="U109" s="7"/>
      <c r="W109" s="6" t="str">
        <v>Wies van den Berg</v>
      </c>
      <c r="X109" s="2" t="str">
        <v>F2</v>
      </c>
      <c r="Y109" s="7">
        <v>8</v>
      </c>
      <c r="Z109" s="6"/>
      <c r="AA109" s="2"/>
      <c r="AB109" s="7"/>
      <c r="AD109" s="6"/>
      <c r="AE109" s="2"/>
      <c r="AF109" s="7"/>
      <c r="AG109" s="6"/>
      <c r="AH109" s="2"/>
      <c r="AI109" s="7"/>
      <c r="AK109" s="6"/>
      <c r="AL109" s="2"/>
      <c r="AM109" s="7"/>
      <c r="AN109" s="6"/>
      <c r="AO109" s="2"/>
      <c r="AP109" s="7"/>
      <c r="AR109" s="6"/>
      <c r="AS109" s="2"/>
      <c r="AT109" s="7"/>
      <c r="AU109" s="6"/>
      <c r="AV109" s="2"/>
      <c r="AW109" s="7"/>
    </row>
    <row r="110" spans="1:49" ht="15.95" thickBot="1">
      <c r="A110" s="109"/>
      <c r="B110" s="6"/>
      <c r="C110" s="2"/>
      <c r="D110" s="7"/>
      <c r="E110" s="6"/>
      <c r="F110" s="2"/>
      <c r="G110" s="7"/>
      <c r="I110" s="6"/>
      <c r="J110" s="2"/>
      <c r="K110" s="7"/>
      <c r="L110" s="6"/>
      <c r="M110" s="2"/>
      <c r="N110" s="7"/>
      <c r="P110" s="6"/>
      <c r="Q110" s="2"/>
      <c r="R110" s="7"/>
      <c r="S110" s="6"/>
      <c r="T110" s="2"/>
      <c r="U110" s="7"/>
      <c r="W110" s="6"/>
      <c r="X110" s="2"/>
      <c r="Y110" s="7"/>
      <c r="Z110" s="6"/>
      <c r="AA110" s="2"/>
      <c r="AB110" s="7"/>
      <c r="AD110" s="6"/>
      <c r="AE110" s="2"/>
      <c r="AF110" s="7"/>
      <c r="AG110" s="6"/>
      <c r="AH110" s="2"/>
      <c r="AI110" s="7"/>
      <c r="AK110" s="6"/>
      <c r="AL110" s="2"/>
      <c r="AM110" s="7"/>
      <c r="AN110" s="6"/>
      <c r="AO110" s="2"/>
      <c r="AP110" s="7"/>
      <c r="AR110" s="6"/>
      <c r="AS110" s="2"/>
      <c r="AT110" s="7"/>
      <c r="AU110" s="6"/>
      <c r="AV110" s="2"/>
      <c r="AW110" s="7"/>
    </row>
    <row r="111" spans="1:49">
      <c r="A111" s="109"/>
      <c r="B111" s="12" t="str" cm="1">
        <f t="array" ref="B111:B113">_xlfn._xlws.FILTER(Staf!$C:$C,Staf!$B:$B=Teams!B103,"")</f>
        <v>Trainer/Coach</v>
      </c>
      <c r="C111" s="13" t="str" cm="1">
        <f t="array" ref="C111:C113">_xlfn._xlws.FILTER(Staf!$A:$A,Staf!$B:$B=Teams!B103,"")</f>
        <v>Liesbeth Wibbens</v>
      </c>
      <c r="D111" s="13"/>
      <c r="E111" s="13"/>
      <c r="F111" s="13"/>
      <c r="G111" s="14"/>
      <c r="I111" s="12" t="str" cm="1">
        <f t="array" ref="I111">_xlfn._xlws.FILTER(Staf!$C:$C,Staf!$B:$B=Teams!I103,"")</f>
        <v>Trainer/Coach</v>
      </c>
      <c r="J111" s="13" t="str" cm="1">
        <f t="array" ref="J111">_xlfn._xlws.FILTER(Staf!$A:$A,Staf!$B:$B=Teams!I103,"")</f>
        <v>Ilonka Bouwknegt</v>
      </c>
      <c r="K111" s="13"/>
      <c r="L111" s="13"/>
      <c r="M111" s="13"/>
      <c r="N111" s="14"/>
      <c r="P111" s="12" t="str" cm="1">
        <f t="array" ref="P111:P114">_xlfn._xlws.FILTER(Staf!$C:$C,Staf!$B:$B=Teams!P103,"")</f>
        <v>Trainer/Coach</v>
      </c>
      <c r="Q111" s="13" t="str" cm="1">
        <f t="array" ref="Q111:Q114">_xlfn._xlws.FILTER(Staf!$A:$A,Staf!$B:$B=Teams!P103,"")</f>
        <v>Matthijs de Jongh</v>
      </c>
      <c r="R111" s="13"/>
      <c r="S111" s="13"/>
      <c r="T111" s="13"/>
      <c r="U111" s="14"/>
      <c r="W111" s="12" t="str" cm="1">
        <f t="array" ref="W111:W112">_xlfn._xlws.FILTER(Staf!$C:$C,Staf!$B:$B=Teams!W103,"")</f>
        <v>Trainer/Coach</v>
      </c>
      <c r="X111" s="13" t="str" cm="1">
        <f t="array" ref="X111:X112">_xlfn._xlws.FILTER(Staf!$A:$A,Staf!$B:$B=Teams!W103,"")</f>
        <v>Jet van Trooijen</v>
      </c>
      <c r="Y111" s="13"/>
      <c r="Z111" s="13"/>
      <c r="AA111" s="13"/>
      <c r="AB111" s="14"/>
      <c r="AD111" s="12" t="str" cm="1">
        <f t="array" ref="AD111">_xlfn._xlws.FILTER(Staf!$C:$C,Staf!$B:$B=Teams!AD103,"")</f>
        <v/>
      </c>
      <c r="AE111" s="13" t="str" cm="1">
        <f t="array" ref="AE111">_xlfn._xlws.FILTER(Staf!$A:$A,Staf!$B:$B=Teams!AD103,"")</f>
        <v/>
      </c>
      <c r="AF111" s="13"/>
      <c r="AG111" s="13"/>
      <c r="AH111" s="13"/>
      <c r="AI111" s="14"/>
      <c r="AK111" s="12" t="str" cm="1">
        <f t="array" ref="AK111">_xlfn._xlws.FILTER(Staf!$C:$C,Staf!$B:$B=Teams!AK103,"")</f>
        <v/>
      </c>
      <c r="AL111" s="13" t="str" cm="1">
        <f t="array" ref="AL111">_xlfn._xlws.FILTER(Staf!$A:$A,Staf!$B:$B=Teams!AK103,"")</f>
        <v/>
      </c>
      <c r="AM111" s="13"/>
      <c r="AN111" s="13"/>
      <c r="AO111" s="13"/>
      <c r="AP111" s="14"/>
      <c r="AR111" s="12" t="str" cm="1">
        <f t="array" ref="AR111">_xlfn._xlws.FILTER(Staf!$C:$C,Staf!$B:$B=Teams!AR103,"")</f>
        <v/>
      </c>
      <c r="AS111" s="13" t="str" cm="1">
        <f t="array" ref="AS111">_xlfn._xlws.FILTER(Staf!$A:$A,Staf!$B:$B=Teams!AR103,"")</f>
        <v/>
      </c>
      <c r="AT111" s="13"/>
      <c r="AU111" s="13"/>
      <c r="AV111" s="13"/>
      <c r="AW111" s="14"/>
    </row>
    <row r="112" spans="1:49">
      <c r="A112" s="109"/>
      <c r="B112" s="15" t="str">
        <v>Trainer/Coach</v>
      </c>
      <c r="C112" s="16" t="str">
        <v>Monique te Witt</v>
      </c>
      <c r="D112" s="16"/>
      <c r="E112" s="16"/>
      <c r="F112" s="16"/>
      <c r="G112" s="17"/>
      <c r="I112" s="15"/>
      <c r="J112" s="16"/>
      <c r="K112" s="16"/>
      <c r="L112" s="16"/>
      <c r="M112" s="16"/>
      <c r="N112" s="17"/>
      <c r="P112" s="15" t="str">
        <v>Trainer/Coach</v>
      </c>
      <c r="Q112" s="16" t="str">
        <v>Viviënne Versnel</v>
      </c>
      <c r="R112" s="16"/>
      <c r="S112" s="16"/>
      <c r="T112" s="16"/>
      <c r="U112" s="17"/>
      <c r="W112" s="15" t="str">
        <v>Trainer/Coach</v>
      </c>
      <c r="X112" s="16" t="str">
        <v>Kimberly Jacobs</v>
      </c>
      <c r="Y112" s="16"/>
      <c r="Z112" s="16"/>
      <c r="AA112" s="16"/>
      <c r="AB112" s="17"/>
      <c r="AD112" s="15"/>
      <c r="AE112" s="16"/>
      <c r="AF112" s="16"/>
      <c r="AG112" s="16"/>
      <c r="AH112" s="16"/>
      <c r="AI112" s="17"/>
      <c r="AK112" s="15"/>
      <c r="AL112" s="16"/>
      <c r="AM112" s="16"/>
      <c r="AN112" s="16"/>
      <c r="AO112" s="16"/>
      <c r="AP112" s="17"/>
      <c r="AR112" s="15"/>
      <c r="AS112" s="16"/>
      <c r="AT112" s="16"/>
      <c r="AU112" s="16"/>
      <c r="AV112" s="16"/>
      <c r="AW112" s="17"/>
    </row>
    <row r="113" spans="1:49" ht="15.95" thickBot="1">
      <c r="A113" s="109"/>
      <c r="B113" s="18" t="str">
        <v>Ondersteuning E-trainers</v>
      </c>
      <c r="C113" s="19" t="str">
        <v>Gertjan Ploeg</v>
      </c>
      <c r="D113" s="19"/>
      <c r="E113" s="19"/>
      <c r="F113" s="19"/>
      <c r="G113" s="20"/>
      <c r="I113" s="18"/>
      <c r="J113" s="19"/>
      <c r="K113" s="19"/>
      <c r="L113" s="19"/>
      <c r="M113" s="19"/>
      <c r="N113" s="20"/>
      <c r="P113" s="18" t="str">
        <v>Trainer/Coach</v>
      </c>
      <c r="Q113" s="19" t="str">
        <v>Tessa van Everdingen</v>
      </c>
      <c r="R113" s="19"/>
      <c r="S113" s="19"/>
      <c r="T113" s="19"/>
      <c r="U113" s="20"/>
      <c r="W113" s="18"/>
      <c r="X113" s="19"/>
      <c r="Y113" s="19"/>
      <c r="Z113" s="19"/>
      <c r="AA113" s="19"/>
      <c r="AB113" s="20"/>
      <c r="AD113" s="18"/>
      <c r="AE113" s="19"/>
      <c r="AF113" s="19"/>
      <c r="AG113" s="19"/>
      <c r="AH113" s="19"/>
      <c r="AI113" s="20"/>
      <c r="AK113" s="18"/>
      <c r="AL113" s="19"/>
      <c r="AM113" s="19"/>
      <c r="AN113" s="19"/>
      <c r="AO113" s="19"/>
      <c r="AP113" s="20"/>
      <c r="AR113" s="18"/>
      <c r="AS113" s="19"/>
      <c r="AT113" s="19"/>
      <c r="AU113" s="19"/>
      <c r="AV113" s="19"/>
      <c r="AW113" s="20"/>
    </row>
    <row r="114" spans="1:49" ht="15.95" thickBot="1">
      <c r="P114" t="str">
        <v>Ondersteuning</v>
      </c>
      <c r="Q114" t="str">
        <v>Lieke Bakker</v>
      </c>
    </row>
    <row r="115" spans="1:49" ht="15.95" thickBot="1">
      <c r="A115" s="109" t="s">
        <v>46</v>
      </c>
      <c r="B115" s="21" t="s">
        <v>47</v>
      </c>
      <c r="C115" s="21"/>
      <c r="D115" s="21"/>
      <c r="E115" s="21"/>
      <c r="F115" s="21"/>
      <c r="G115" s="22">
        <f>AVERAGE(D117:D125,G117:G125)</f>
        <v>6.8</v>
      </c>
      <c r="I115" s="21" t="s">
        <v>48</v>
      </c>
      <c r="J115" s="21"/>
      <c r="K115" s="21"/>
      <c r="L115" s="21"/>
      <c r="M115" s="21"/>
      <c r="N115" s="22">
        <f>AVERAGE(K117:K125,N117:N125)</f>
        <v>6.5</v>
      </c>
      <c r="P115" s="21" t="s">
        <v>49</v>
      </c>
      <c r="Q115" s="21"/>
      <c r="R115" s="21"/>
      <c r="S115" s="21"/>
      <c r="T115" s="21"/>
      <c r="U115" s="22" t="e">
        <f>AVERAGE(R117:R125,U117:U125)</f>
        <v>#DIV/0!</v>
      </c>
      <c r="W115" s="21" t="s">
        <v>50</v>
      </c>
      <c r="X115" s="21"/>
      <c r="Y115" s="21"/>
      <c r="Z115" s="21"/>
      <c r="AA115" s="21"/>
      <c r="AB115" s="22" t="e">
        <f>AVERAGE(Y117:Y125,AB117:AB125)</f>
        <v>#DIV/0!</v>
      </c>
      <c r="AD115" s="21" t="s">
        <v>51</v>
      </c>
      <c r="AE115" s="21"/>
      <c r="AF115" s="21"/>
      <c r="AG115" s="21"/>
      <c r="AH115" s="21"/>
      <c r="AI115" s="22" t="e">
        <f>AVERAGE(AF117:AF125,AI117:AI125)</f>
        <v>#DIV/0!</v>
      </c>
    </row>
    <row r="116" spans="1:49" ht="15.95" thickBot="1">
      <c r="A116" s="109"/>
      <c r="B116" s="8" t="str">
        <f>CONCATENATE("Dames (",COUNTA(C117:C122),")")</f>
        <v>Dames (2)</v>
      </c>
      <c r="C116" s="9"/>
      <c r="D116" s="10"/>
      <c r="E116" s="8" t="str">
        <f>CONCATENATE("Heren (",COUNTA(F117:F122),")")</f>
        <v>Heren (3)</v>
      </c>
      <c r="F116" s="9"/>
      <c r="G116" s="10"/>
      <c r="I116" s="8" t="str">
        <f>CONCATENATE("Dames (",COUNTA(J117:J122),")")</f>
        <v>Dames (4)</v>
      </c>
      <c r="J116" s="9"/>
      <c r="K116" s="10"/>
      <c r="L116" s="8" t="str">
        <f>CONCATENATE("Heren (",COUNTA(M117:M122),")")</f>
        <v>Heren (4)</v>
      </c>
      <c r="M116" s="9"/>
      <c r="N116" s="10"/>
      <c r="P116" s="8" t="str">
        <f>CONCATENATE("Dames (",COUNTA(Q117:Q122),")")</f>
        <v>Dames (1)</v>
      </c>
      <c r="Q116" s="9"/>
      <c r="R116" s="10"/>
      <c r="S116" s="8" t="str">
        <f>CONCATENATE("Heren (",COUNTA(T117:T122),")")</f>
        <v>Heren (1)</v>
      </c>
      <c r="T116" s="9"/>
      <c r="U116" s="10"/>
      <c r="W116" s="8" t="str">
        <f>CONCATENATE("Dames (",COUNTA(X117:X122),")")</f>
        <v>Dames (1)</v>
      </c>
      <c r="X116" s="9"/>
      <c r="Y116" s="10"/>
      <c r="Z116" s="8" t="str">
        <f>CONCATENATE("Heren (",COUNTA(AA117:AA122),")")</f>
        <v>Heren (1)</v>
      </c>
      <c r="AA116" s="9"/>
      <c r="AB116" s="10"/>
      <c r="AD116" s="8" t="str">
        <f>CONCATENATE("Dames (",COUNTA(AE117:AE122),")")</f>
        <v>Dames (1)</v>
      </c>
      <c r="AE116" s="9"/>
      <c r="AF116" s="10"/>
      <c r="AG116" s="8" t="str">
        <f>CONCATENATE("Heren (",COUNTA(AH117:AH122),")")</f>
        <v>Heren (1)</v>
      </c>
      <c r="AH116" s="9"/>
      <c r="AI116" s="10"/>
    </row>
    <row r="117" spans="1:49">
      <c r="A117" s="109"/>
      <c r="B117" s="3" t="str" cm="1">
        <f t="array" ref="B117:B118">_xlfn._xlws.FILTER(Spelerslijst!$B:$B,Spelerslijst!$G:$G=B$115,"")</f>
        <v>Alisa Stomp</v>
      </c>
      <c r="C117" s="4" t="str" cm="1">
        <f t="array" ref="C117:C118">_xlfn._xlws.FILTER(Spelerslijst!$H:$H,Spelerslijst!$G:$G=B$115,"")</f>
        <v>F1</v>
      </c>
      <c r="D117" s="5" cm="1">
        <f t="array" ref="D117:D118">_xlfn._xlws.FILTER(Spelerslijst!$D:$D,Spelerslijst!$G:$G=B$115,"")</f>
        <v>7</v>
      </c>
      <c r="E117" s="3" t="str" cm="1">
        <f t="array" ref="E117:E119">_xlfn._xlws.FILTER(Spelerslijst!$L:$L,Spelerslijst!$Q:$Q=B$115,"")</f>
        <v>Amos Alberts</v>
      </c>
      <c r="F117" s="4" t="str" cm="1">
        <f t="array" ref="F117:F119">_xlfn._xlws.FILTER(Spelerslijst!$R:$R,Spelerslijst!$Q:$Q=B$115,"")</f>
        <v>F1</v>
      </c>
      <c r="G117" s="5" cm="1">
        <f t="array" ref="G117:G119">_xlfn._xlws.FILTER(Spelerslijst!$N:$N,Spelerslijst!$Q:$Q=B$115,"")</f>
        <v>7</v>
      </c>
      <c r="I117" s="3" t="str" cm="1">
        <f t="array" ref="I117:I120">_xlfn._xlws.FILTER(Spelerslijst!$B:$B,Spelerslijst!$G:$G=I$115,"")</f>
        <v>Livia van de Burgt</v>
      </c>
      <c r="J117" s="4" t="str" cm="1">
        <f t="array" ref="J117:J120">_xlfn._xlws.FILTER(Spelerslijst!$H:$H,Spelerslijst!$G:$G=I$115,"")</f>
        <v>F2</v>
      </c>
      <c r="K117" s="5" cm="1">
        <f t="array" ref="K117:K120">_xlfn._xlws.FILTER(Spelerslijst!$D:$D,Spelerslijst!$G:$G=I$115,"")</f>
        <v>7</v>
      </c>
      <c r="L117" s="3" t="str" cm="1">
        <f t="array" ref="L117:L120">_xlfn._xlws.FILTER(Spelerslijst!$L:$L,Spelerslijst!$Q:$Q=I$115,"")</f>
        <v>Elroy van Wingerden</v>
      </c>
      <c r="M117" s="4" t="str" cm="1">
        <f t="array" ref="M117:M120">_xlfn._xlws.FILTER(Spelerslijst!$R:$R,Spelerslijst!$Q:$Q=I$115,"")</f>
        <v>Nieuw</v>
      </c>
      <c r="N117" s="5" cm="1">
        <f t="array" ref="N117:N120">_xlfn._xlws.FILTER(Spelerslijst!$N:$N,Spelerslijst!$Q:$Q=I$115,"")</f>
        <v>7</v>
      </c>
      <c r="P117" s="3" t="str" cm="1">
        <f t="array" ref="P117">_xlfn._xlws.FILTER(Spelerslijst!$B:$B,Spelerslijst!$G:$G=P$115,"")</f>
        <v/>
      </c>
      <c r="Q117" s="4" t="str" cm="1">
        <f t="array" ref="Q117">_xlfn._xlws.FILTER(Spelerslijst!$H:$H,Spelerslijst!$G:$G=P$115,"")</f>
        <v/>
      </c>
      <c r="R117" s="5" t="str" cm="1">
        <f t="array" ref="R117">_xlfn._xlws.FILTER(Spelerslijst!$D:$D,Spelerslijst!$G:$G=P$115,"")</f>
        <v/>
      </c>
      <c r="S117" s="3" t="str" cm="1">
        <f t="array" ref="S117">_xlfn._xlws.FILTER(Spelerslijst!$L:$L,Spelerslijst!$Q:$Q=P$115,"")</f>
        <v/>
      </c>
      <c r="T117" s="4" t="str" cm="1">
        <f t="array" ref="T117">_xlfn._xlws.FILTER(Spelerslijst!$R:$R,Spelerslijst!$Q:$Q=P$115,"")</f>
        <v/>
      </c>
      <c r="U117" s="5" t="str" cm="1">
        <f t="array" ref="U117">_xlfn._xlws.FILTER(Spelerslijst!$N:$N,Spelerslijst!$Q:$Q=P$115,"")</f>
        <v/>
      </c>
      <c r="W117" s="3" t="str" cm="1">
        <f t="array" ref="W117">_xlfn._xlws.FILTER(Spelerslijst!$B:$B,Spelerslijst!$G:$G=W$115,"")</f>
        <v/>
      </c>
      <c r="X117" s="4" t="str" cm="1">
        <f t="array" ref="X117">_xlfn._xlws.FILTER(Spelerslijst!$H:$H,Spelerslijst!$G:$G=W$115,"")</f>
        <v/>
      </c>
      <c r="Y117" s="5" t="str" cm="1">
        <f t="array" ref="Y117">_xlfn._xlws.FILTER(Spelerslijst!$D:$D,Spelerslijst!$G:$G=W$115,"")</f>
        <v/>
      </c>
      <c r="Z117" s="3" t="str" cm="1">
        <f t="array" ref="Z117">_xlfn._xlws.FILTER(Spelerslijst!$L:$L,Spelerslijst!$Q:$Q=W$115,"")</f>
        <v/>
      </c>
      <c r="AA117" s="4" t="str" cm="1">
        <f t="array" ref="AA117">_xlfn._xlws.FILTER(Spelerslijst!$R:$R,Spelerslijst!$Q:$Q=W$115,"")</f>
        <v/>
      </c>
      <c r="AB117" s="5" t="str" cm="1">
        <f t="array" ref="AB117">_xlfn._xlws.FILTER(Spelerslijst!$N:$N,Spelerslijst!$Q:$Q=W$115,"")</f>
        <v/>
      </c>
      <c r="AD117" s="3" t="str" cm="1">
        <f t="array" ref="AD117">_xlfn._xlws.FILTER(Spelerslijst!$B:$B,Spelerslijst!$G:$G=AD$115,"")</f>
        <v/>
      </c>
      <c r="AE117" s="4" t="str" cm="1">
        <f t="array" ref="AE117">_xlfn._xlws.FILTER(Spelerslijst!$H:$H,Spelerslijst!$G:$G=AD$115,"")</f>
        <v/>
      </c>
      <c r="AF117" s="5" t="str" cm="1">
        <f t="array" ref="AF117">_xlfn._xlws.FILTER(Spelerslijst!$D:$D,Spelerslijst!$G:$G=AD$115,"")</f>
        <v/>
      </c>
      <c r="AG117" s="3" t="str" cm="1">
        <f t="array" ref="AG117">_xlfn._xlws.FILTER(Spelerslijst!$L:$L,Spelerslijst!$Q:$Q=AD$115,"")</f>
        <v/>
      </c>
      <c r="AH117" s="4" t="str" cm="1">
        <f t="array" ref="AH117">_xlfn._xlws.FILTER(Spelerslijst!$R:$R,Spelerslijst!$Q:$Q=AD$115,"")</f>
        <v/>
      </c>
      <c r="AI117" s="5" t="str" cm="1">
        <f t="array" ref="AI117">_xlfn._xlws.FILTER(Spelerslijst!$N:$N,Spelerslijst!$Q:$Q=AD$115,"")</f>
        <v/>
      </c>
    </row>
    <row r="118" spans="1:49">
      <c r="A118" s="109"/>
      <c r="B118" s="6" t="str">
        <v>Lara Mans</v>
      </c>
      <c r="C118" s="2" t="str">
        <v>F1</v>
      </c>
      <c r="D118" s="7">
        <v>6</v>
      </c>
      <c r="E118" s="6" t="str">
        <v>Luuk Ploeg</v>
      </c>
      <c r="F118" s="2" t="str">
        <v>Nieuw</v>
      </c>
      <c r="G118" s="7">
        <v>7</v>
      </c>
      <c r="I118" s="57" t="str">
        <v>Mayvin Nawar</v>
      </c>
      <c r="J118" s="2" t="str">
        <v>nieuw</v>
      </c>
      <c r="K118" s="7">
        <v>7</v>
      </c>
      <c r="L118" s="6" t="str">
        <v>Finn Ploeg</v>
      </c>
      <c r="M118" s="2" t="str">
        <v>Nieuw</v>
      </c>
      <c r="N118" s="7">
        <v>5</v>
      </c>
      <c r="P118" s="6"/>
      <c r="Q118" s="2"/>
      <c r="R118" s="7"/>
      <c r="S118" s="6"/>
      <c r="T118" s="2"/>
      <c r="U118" s="7"/>
      <c r="W118" s="6"/>
      <c r="X118" s="2"/>
      <c r="Y118" s="7"/>
      <c r="Z118" s="6"/>
      <c r="AA118" s="2"/>
      <c r="AB118" s="7"/>
      <c r="AD118" s="6"/>
      <c r="AE118" s="2"/>
      <c r="AF118" s="7"/>
      <c r="AG118" s="6"/>
      <c r="AH118" s="2"/>
      <c r="AI118" s="7"/>
    </row>
    <row r="119" spans="1:49">
      <c r="A119" s="109"/>
      <c r="B119" s="6"/>
      <c r="C119" s="2"/>
      <c r="D119" s="7"/>
      <c r="E119" s="6" t="str">
        <v>Sepp de Jong</v>
      </c>
      <c r="F119" s="2" t="str">
        <v>Nieuw</v>
      </c>
      <c r="G119" s="7">
        <v>7</v>
      </c>
      <c r="I119" s="6" t="str">
        <v>Sanna de Lange</v>
      </c>
      <c r="J119" s="2" t="str">
        <v>F2</v>
      </c>
      <c r="K119" s="7">
        <v>7</v>
      </c>
      <c r="L119" s="6" t="str">
        <v>Ruben Verberkt</v>
      </c>
      <c r="M119" s="2" t="str">
        <v>K</v>
      </c>
      <c r="N119" s="7">
        <v>6</v>
      </c>
      <c r="P119" s="6"/>
      <c r="Q119" s="2"/>
      <c r="R119" s="7"/>
      <c r="S119" s="6"/>
      <c r="T119" s="2"/>
      <c r="U119" s="7"/>
      <c r="W119" s="6"/>
      <c r="X119" s="2"/>
      <c r="Y119" s="7"/>
      <c r="Z119" s="6"/>
      <c r="AA119" s="2"/>
      <c r="AB119" s="7"/>
      <c r="AD119" s="6"/>
      <c r="AE119" s="2"/>
      <c r="AF119" s="7"/>
      <c r="AG119" s="6"/>
      <c r="AH119" s="2"/>
      <c r="AI119" s="7"/>
    </row>
    <row r="120" spans="1:49">
      <c r="A120" s="109"/>
      <c r="B120" s="6"/>
      <c r="C120" s="2"/>
      <c r="D120" s="7"/>
      <c r="E120" s="6"/>
      <c r="F120" s="2"/>
      <c r="G120" s="7"/>
      <c r="I120" s="6" t="str">
        <v>Tess Rombouts</v>
      </c>
      <c r="J120" s="2" t="str">
        <v>nieuw</v>
      </c>
      <c r="K120" s="7">
        <v>7</v>
      </c>
      <c r="L120" s="6" t="str">
        <v>Stepan Polumysni</v>
      </c>
      <c r="M120" s="2" t="str">
        <v>K</v>
      </c>
      <c r="N120" s="7">
        <v>6</v>
      </c>
      <c r="P120" s="6"/>
      <c r="Q120" s="2"/>
      <c r="R120" s="7"/>
      <c r="S120" s="6"/>
      <c r="T120" s="2"/>
      <c r="U120" s="7"/>
      <c r="W120" s="6"/>
      <c r="X120" s="2"/>
      <c r="Y120" s="7"/>
      <c r="Z120" s="6"/>
      <c r="AA120" s="2"/>
      <c r="AB120" s="7"/>
      <c r="AD120" s="6"/>
      <c r="AE120" s="2"/>
      <c r="AF120" s="7"/>
      <c r="AG120" s="6"/>
      <c r="AH120" s="2"/>
      <c r="AI120" s="7"/>
    </row>
    <row r="121" spans="1:49">
      <c r="A121" s="109"/>
      <c r="B121" s="6"/>
      <c r="C121" s="2"/>
      <c r="D121" s="7"/>
      <c r="E121" s="6"/>
      <c r="F121" s="2"/>
      <c r="G121" s="7"/>
      <c r="I121" s="6"/>
      <c r="J121" s="2"/>
      <c r="K121" s="7"/>
      <c r="L121" s="6"/>
      <c r="M121" s="2"/>
      <c r="N121" s="7"/>
      <c r="P121" s="6"/>
      <c r="Q121" s="2"/>
      <c r="R121" s="7"/>
      <c r="S121" s="6"/>
      <c r="T121" s="2"/>
      <c r="U121" s="7"/>
      <c r="W121" s="6"/>
      <c r="X121" s="2"/>
      <c r="Y121" s="7"/>
      <c r="Z121" s="6"/>
      <c r="AA121" s="2"/>
      <c r="AB121" s="7"/>
      <c r="AD121" s="6"/>
      <c r="AE121" s="2"/>
      <c r="AF121" s="7"/>
      <c r="AG121" s="6"/>
      <c r="AH121" s="2"/>
      <c r="AI121" s="7"/>
    </row>
    <row r="122" spans="1:49" ht="15.95" thickBot="1">
      <c r="A122" s="109"/>
      <c r="B122" s="6"/>
      <c r="C122" s="2"/>
      <c r="D122" s="7"/>
      <c r="E122" s="6"/>
      <c r="F122" s="2"/>
      <c r="G122" s="7"/>
      <c r="I122" s="6"/>
      <c r="J122" s="2"/>
      <c r="K122" s="7"/>
      <c r="L122" s="6"/>
      <c r="M122" s="2"/>
      <c r="N122" s="7"/>
      <c r="P122" s="6"/>
      <c r="Q122" s="2"/>
      <c r="R122" s="7"/>
      <c r="S122" s="6"/>
      <c r="T122" s="2"/>
      <c r="U122" s="7"/>
      <c r="W122" s="6"/>
      <c r="X122" s="2"/>
      <c r="Y122" s="7"/>
      <c r="Z122" s="6"/>
      <c r="AA122" s="2"/>
      <c r="AB122" s="7"/>
      <c r="AD122" s="6"/>
      <c r="AE122" s="2"/>
      <c r="AF122" s="7"/>
      <c r="AG122" s="6"/>
      <c r="AH122" s="2"/>
      <c r="AI122" s="7"/>
    </row>
    <row r="123" spans="1:49">
      <c r="A123" s="109"/>
      <c r="B123" s="12" t="str" cm="1">
        <f t="array" ref="B123:B125">_xlfn._xlws.FILTER(Staf!$C:$C,Staf!$B:$B=Teams!B115,"")</f>
        <v>Hoofd trainer/coach F</v>
      </c>
      <c r="C123" s="13" t="str" cm="1">
        <f t="array" ref="C123:C125">_xlfn._xlws.FILTER(Staf!$A:$A,Staf!$B:$B=Teams!B115,"")</f>
        <v>Lianne Stomp - vd Burgt</v>
      </c>
      <c r="D123" s="13"/>
      <c r="E123" s="13"/>
      <c r="F123" s="13"/>
      <c r="G123" s="14"/>
      <c r="I123" s="12" t="str" cm="1">
        <f t="array" ref="I123:I125">_xlfn._xlws.FILTER(Staf!$C:$C,Staf!$B:$B=Teams!I115,"")</f>
        <v>Hoofd trainer/coach F</v>
      </c>
      <c r="J123" s="13" t="str" cm="1">
        <f t="array" ref="J123:J125">_xlfn._xlws.FILTER(Staf!$A:$A,Staf!$B:$B=Teams!I115,"")</f>
        <v>Lianne Stomp - vd Burgt</v>
      </c>
      <c r="K123" s="13"/>
      <c r="L123" s="13"/>
      <c r="M123" s="13"/>
      <c r="N123" s="14"/>
      <c r="P123" s="12" t="str" cm="1">
        <f t="array" ref="P123">_xlfn._xlws.FILTER(Staf!$C:$C,Staf!$B:$B=Teams!P115,"")</f>
        <v/>
      </c>
      <c r="Q123" s="13" t="str" cm="1">
        <f t="array" ref="Q123">_xlfn._xlws.FILTER(Staf!$A:$A,Staf!$B:$B=Teams!P115,"")</f>
        <v/>
      </c>
      <c r="R123" s="13"/>
      <c r="S123" s="13"/>
      <c r="T123" s="13"/>
      <c r="U123" s="14"/>
      <c r="W123" s="12" t="str" cm="1">
        <f t="array" ref="W123">_xlfn._xlws.FILTER(Staf!$C:$C,Staf!$B:$B=Teams!W115,"")</f>
        <v/>
      </c>
      <c r="X123" s="13" t="str" cm="1">
        <f t="array" ref="X123">_xlfn._xlws.FILTER(Staf!$A:$A,Staf!$B:$B=Teams!W115,"")</f>
        <v/>
      </c>
      <c r="Y123" s="13"/>
      <c r="Z123" s="13"/>
      <c r="AA123" s="13"/>
      <c r="AB123" s="14"/>
      <c r="AD123" s="12" t="str" cm="1">
        <f t="array" ref="AD123">_xlfn._xlws.FILTER(Staf!$C:$C,Staf!$B:$B=Teams!AD115,"")</f>
        <v/>
      </c>
      <c r="AE123" s="13" t="str" cm="1">
        <f t="array" ref="AE123">_xlfn._xlws.FILTER(Staf!$A:$A,Staf!$B:$B=Teams!AD115,"")</f>
        <v/>
      </c>
      <c r="AF123" s="13"/>
      <c r="AG123" s="13"/>
      <c r="AH123" s="13"/>
      <c r="AI123" s="14"/>
    </row>
    <row r="124" spans="1:49">
      <c r="A124" s="109"/>
      <c r="B124" s="15" t="str">
        <v>Trainer/Coach</v>
      </c>
      <c r="C124" s="16" t="str">
        <v>Seth vd Burgt</v>
      </c>
      <c r="D124" s="16"/>
      <c r="E124" s="16"/>
      <c r="F124" s="16"/>
      <c r="G124" s="17"/>
      <c r="I124" s="15" t="str">
        <v>Trainer/Coach</v>
      </c>
      <c r="J124" s="16" t="str">
        <v>Noa Stomp</v>
      </c>
      <c r="K124" s="16"/>
      <c r="L124" s="16"/>
      <c r="M124" s="16"/>
      <c r="N124" s="17"/>
      <c r="P124" s="15"/>
      <c r="Q124" s="16"/>
      <c r="R124" s="16"/>
      <c r="S124" s="16"/>
      <c r="T124" s="16"/>
      <c r="U124" s="17"/>
      <c r="W124" s="15"/>
      <c r="X124" s="16"/>
      <c r="Y124" s="16"/>
      <c r="Z124" s="16"/>
      <c r="AA124" s="16"/>
      <c r="AB124" s="17"/>
      <c r="AD124" s="15"/>
      <c r="AE124" s="16"/>
      <c r="AF124" s="16"/>
      <c r="AG124" s="16"/>
      <c r="AH124" s="16"/>
      <c r="AI124" s="17"/>
    </row>
    <row r="125" spans="1:49">
      <c r="A125" s="109"/>
      <c r="B125" s="15" t="str">
        <v>Trainer/Coach</v>
      </c>
      <c r="C125" s="16" t="str">
        <v>Sophie Kilsdonk</v>
      </c>
      <c r="D125" s="16"/>
      <c r="E125" s="16"/>
      <c r="F125" s="16"/>
      <c r="G125" s="17"/>
      <c r="I125" s="15" t="str">
        <v>Teambegeleider</v>
      </c>
      <c r="J125" s="16" t="str">
        <v>Irene Ploeg</v>
      </c>
      <c r="K125" s="16"/>
      <c r="L125" s="16"/>
      <c r="M125" s="16"/>
      <c r="N125" s="17"/>
      <c r="P125" s="15"/>
      <c r="Q125" s="16"/>
      <c r="R125" s="16"/>
      <c r="S125" s="16"/>
      <c r="T125" s="16"/>
      <c r="U125" s="17"/>
      <c r="W125" s="15"/>
      <c r="X125" s="16"/>
      <c r="Y125" s="16"/>
      <c r="Z125" s="16"/>
      <c r="AA125" s="16"/>
      <c r="AB125" s="17"/>
      <c r="AD125" s="15"/>
      <c r="AE125" s="16"/>
      <c r="AF125" s="16"/>
      <c r="AG125" s="16"/>
      <c r="AH125" s="16"/>
      <c r="AI125" s="17"/>
    </row>
    <row r="126" spans="1:49" ht="15.95" thickBot="1">
      <c r="A126" s="109"/>
      <c r="B126" s="18"/>
      <c r="C126" s="19"/>
      <c r="D126" s="19"/>
      <c r="E126" s="19"/>
      <c r="F126" s="19"/>
      <c r="G126" s="20"/>
      <c r="I126" s="18"/>
      <c r="J126" s="19"/>
      <c r="K126" s="19"/>
      <c r="L126" s="19"/>
      <c r="M126" s="19"/>
      <c r="N126" s="20"/>
      <c r="P126" s="18"/>
      <c r="Q126" s="19"/>
      <c r="R126" s="19"/>
      <c r="S126" s="19"/>
      <c r="T126" s="19"/>
      <c r="U126" s="20"/>
      <c r="W126" s="18"/>
      <c r="X126" s="19"/>
      <c r="Y126" s="19"/>
      <c r="Z126" s="19"/>
      <c r="AA126" s="19"/>
      <c r="AB126" s="20"/>
      <c r="AD126" s="18"/>
      <c r="AE126" s="19"/>
      <c r="AF126" s="19"/>
      <c r="AG126" s="19"/>
      <c r="AH126" s="19"/>
      <c r="AI126" s="20"/>
    </row>
    <row r="127" spans="1:49" ht="15.95" thickBot="1"/>
    <row r="128" spans="1:49" ht="15.95" thickBot="1">
      <c r="A128" s="109" t="s">
        <v>52</v>
      </c>
      <c r="B128" s="21" t="s">
        <v>53</v>
      </c>
      <c r="C128" s="21"/>
      <c r="D128" s="21"/>
      <c r="E128" s="21"/>
      <c r="F128" s="21"/>
      <c r="G128" s="22">
        <f>AVERAGE(D130:D139,G130:G139)</f>
        <v>4.666666666666667</v>
      </c>
    </row>
    <row r="129" spans="1:7" ht="15.95" thickBot="1">
      <c r="A129" s="109"/>
      <c r="B129" s="8" t="str">
        <f>CONCATENATE("Dames (",COUNTA(C130:C137),")")</f>
        <v>Dames (1)</v>
      </c>
      <c r="C129" s="9"/>
      <c r="D129" s="10"/>
      <c r="E129" s="8" t="str">
        <f>CONCATENATE("Heren (",COUNTA(F130:F137),")")</f>
        <v>Heren (2)</v>
      </c>
      <c r="F129" s="9"/>
      <c r="G129" s="10"/>
    </row>
    <row r="130" spans="1:7">
      <c r="A130" s="109"/>
      <c r="B130" s="3" t="str" cm="1">
        <f t="array" ref="B130">_xlfn._xlws.FILTER(Spelerslijst!$B:$B,Spelerslijst!$G:$G=B$128,"")</f>
        <v>Floor van de Merwe</v>
      </c>
      <c r="C130" s="4" t="str" cm="1">
        <f t="array" ref="C130">_xlfn._xlws.FILTER(Spelerslijst!$H:$H,Spelerslijst!$G:$G=B$128,"")</f>
        <v>nieuw</v>
      </c>
      <c r="D130" s="5" cm="1">
        <f t="array" ref="D130">_xlfn._xlws.FILTER(Spelerslijst!$D:$D,Spelerslijst!$G:$G=B$128,"")</f>
        <v>5</v>
      </c>
      <c r="E130" s="3" t="str" cm="1">
        <f t="array" ref="E130:E131">_xlfn._xlws.FILTER(Spelerslijst!$L:$L,Spelerslijst!$Q:$Q=B$128,"")</f>
        <v>Branley van Wingerden</v>
      </c>
      <c r="F130" s="4" t="str" cm="1">
        <f t="array" ref="F130:F131">_xlfn._xlws.FILTER(Spelerslijst!$R:$R,Spelerslijst!$Q:$Q=B$128,"")</f>
        <v>Nieuw</v>
      </c>
      <c r="G130" s="5" cm="1">
        <f t="array" ref="G130:G131">_xlfn._xlws.FILTER(Spelerslijst!$N:$N,Spelerslijst!$Q:$Q=B$128,"")</f>
        <v>5</v>
      </c>
    </row>
    <row r="131" spans="1:7">
      <c r="A131" s="109"/>
      <c r="B131" s="6"/>
      <c r="C131" s="2"/>
      <c r="D131" s="7"/>
      <c r="E131" s="6" t="str">
        <v>Olle Bezemer</v>
      </c>
      <c r="F131" s="2" t="str">
        <v>K</v>
      </c>
      <c r="G131" s="7">
        <v>4</v>
      </c>
    </row>
    <row r="132" spans="1:7">
      <c r="A132" s="109"/>
      <c r="B132" s="6"/>
      <c r="C132" s="2"/>
      <c r="D132" s="7"/>
      <c r="E132" s="6"/>
      <c r="F132" s="2"/>
      <c r="G132" s="7"/>
    </row>
    <row r="133" spans="1:7">
      <c r="A133" s="109"/>
      <c r="B133" s="6"/>
      <c r="C133" s="2"/>
      <c r="D133" s="7"/>
      <c r="E133" s="6"/>
      <c r="F133" s="2"/>
      <c r="G133" s="7"/>
    </row>
    <row r="134" spans="1:7">
      <c r="A134" s="109"/>
      <c r="B134" s="6"/>
      <c r="C134" s="2"/>
      <c r="D134" s="7"/>
      <c r="E134" s="6"/>
      <c r="F134" s="2"/>
      <c r="G134" s="7"/>
    </row>
    <row r="135" spans="1:7">
      <c r="A135" s="109"/>
      <c r="B135" s="6"/>
      <c r="C135" s="2"/>
      <c r="D135" s="7"/>
      <c r="E135" s="6"/>
      <c r="F135" s="2"/>
      <c r="G135" s="7"/>
    </row>
    <row r="136" spans="1:7">
      <c r="A136" s="109"/>
      <c r="B136" s="6"/>
      <c r="C136" s="2"/>
      <c r="D136" s="7"/>
      <c r="E136" s="6"/>
      <c r="F136" s="2"/>
      <c r="G136" s="7"/>
    </row>
    <row r="137" spans="1:7" ht="15.95" thickBot="1">
      <c r="A137" s="109"/>
      <c r="B137" s="6"/>
      <c r="C137" s="2"/>
      <c r="D137" s="7"/>
      <c r="E137" s="6"/>
      <c r="F137" s="2"/>
      <c r="G137" s="7"/>
    </row>
    <row r="138" spans="1:7">
      <c r="A138" s="109"/>
      <c r="B138" s="12" t="str" cm="1">
        <f t="array" ref="B138">_xlfn._xlws.FILTER(Staf!$C:$C,Staf!$B:$B=Teams!B128,"")</f>
        <v/>
      </c>
      <c r="C138" s="13" t="str" cm="1">
        <f t="array" ref="C138">_xlfn._xlws.FILTER(Staf!$A:$A,Staf!$B:$B=Teams!B128,"")</f>
        <v/>
      </c>
      <c r="D138" s="13"/>
      <c r="E138" s="13"/>
      <c r="F138" s="13"/>
      <c r="G138" s="14"/>
    </row>
    <row r="139" spans="1:7">
      <c r="A139" s="109"/>
      <c r="B139" s="15"/>
      <c r="C139" s="16"/>
      <c r="D139" s="16"/>
      <c r="E139" s="16"/>
      <c r="F139" s="16"/>
      <c r="G139" s="17"/>
    </row>
    <row r="140" spans="1:7" ht="15.95" thickBot="1">
      <c r="A140" s="109"/>
      <c r="B140" s="18"/>
      <c r="C140" s="19"/>
      <c r="D140" s="19"/>
      <c r="E140" s="19"/>
      <c r="F140" s="19"/>
      <c r="G140" s="20"/>
    </row>
  </sheetData>
  <mergeCells count="9">
    <mergeCell ref="A2:A27"/>
    <mergeCell ref="A115:A126"/>
    <mergeCell ref="A128:A140"/>
    <mergeCell ref="A29:A41"/>
    <mergeCell ref="A43:A56"/>
    <mergeCell ref="A58:A71"/>
    <mergeCell ref="A73:A87"/>
    <mergeCell ref="A89:A101"/>
    <mergeCell ref="A103:A1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351E-45EC-4006-8418-92B03096BD68}">
  <sheetPr>
    <tabColor theme="3"/>
  </sheetPr>
  <dimension ref="A1:S167"/>
  <sheetViews>
    <sheetView topLeftCell="A136" zoomScale="115" zoomScaleNormal="115" workbookViewId="0">
      <selection activeCell="L164" sqref="L164"/>
    </sheetView>
  </sheetViews>
  <sheetFormatPr defaultColWidth="8.7109375" defaultRowHeight="15"/>
  <cols>
    <col min="1" max="1" width="11" style="31" bestFit="1" customWidth="1"/>
    <col min="2" max="2" width="24.42578125" style="31" bestFit="1" customWidth="1"/>
    <col min="3" max="3" width="11.28515625" style="31" customWidth="1"/>
    <col min="4" max="4" width="11.42578125" style="33" customWidth="1"/>
    <col min="5" max="5" width="11.7109375" style="47" customWidth="1"/>
    <col min="6" max="6" width="11.140625" style="33" customWidth="1"/>
    <col min="7" max="7" width="16.140625" style="31" customWidth="1"/>
    <col min="8" max="8" width="14.7109375" style="31" customWidth="1"/>
    <col min="9" max="9" width="4.7109375" style="31" customWidth="1"/>
    <col min="10" max="10" width="2" customWidth="1"/>
    <col min="11" max="11" width="10.28515625" style="31" customWidth="1"/>
    <col min="12" max="12" width="19.7109375" style="31" bestFit="1" customWidth="1"/>
    <col min="13" max="13" width="11.28515625" style="31" customWidth="1"/>
    <col min="14" max="14" width="12.42578125" style="33" customWidth="1"/>
    <col min="15" max="15" width="11.7109375" style="32" customWidth="1"/>
    <col min="16" max="16" width="10.28515625" style="33" customWidth="1"/>
    <col min="17" max="17" width="12.140625" style="33" customWidth="1"/>
    <col min="18" max="18" width="12.28515625" style="33" customWidth="1"/>
    <col min="19" max="19" width="5.28515625" style="33" customWidth="1"/>
  </cols>
  <sheetData>
    <row r="1" spans="1:19" ht="32.1">
      <c r="A1" s="35" t="s">
        <v>54</v>
      </c>
      <c r="B1" s="36" t="s">
        <v>55</v>
      </c>
      <c r="C1" s="36" t="s">
        <v>56</v>
      </c>
      <c r="D1" s="37" t="s">
        <v>57</v>
      </c>
      <c r="E1" s="45" t="s">
        <v>58</v>
      </c>
      <c r="F1" s="37" t="s">
        <v>59</v>
      </c>
      <c r="G1" s="37" t="s">
        <v>60</v>
      </c>
      <c r="H1" s="43" t="s">
        <v>61</v>
      </c>
      <c r="I1" s="39" t="s">
        <v>62</v>
      </c>
      <c r="K1" s="35" t="s">
        <v>54</v>
      </c>
      <c r="L1" s="36" t="s">
        <v>63</v>
      </c>
      <c r="M1" s="36" t="s">
        <v>56</v>
      </c>
      <c r="N1" s="37" t="s">
        <v>57</v>
      </c>
      <c r="O1" s="38" t="s">
        <v>58</v>
      </c>
      <c r="P1" s="37" t="s">
        <v>59</v>
      </c>
      <c r="Q1" s="37" t="s">
        <v>60</v>
      </c>
      <c r="R1" s="43" t="s">
        <v>61</v>
      </c>
      <c r="S1" s="43" t="s">
        <v>62</v>
      </c>
    </row>
    <row r="2" spans="1:19">
      <c r="A2" s="40"/>
      <c r="B2" s="28" t="s">
        <v>64</v>
      </c>
      <c r="C2" s="28"/>
      <c r="D2" s="30">
        <f>VLOOKUP(YEAR(Tabel1[[#This Row],[Geb datum]]),Tabel8[#All],2,FALSE)</f>
        <v>24</v>
      </c>
      <c r="E2" s="46">
        <v>36526</v>
      </c>
      <c r="F2" s="30" t="str">
        <f>VLOOKUP(YEAR(Tabel1[[#This Row],[Geb datum]]),Tabel8[#All],3,FALSE)</f>
        <v>S</v>
      </c>
      <c r="G2" s="30" t="s">
        <v>9</v>
      </c>
      <c r="H2" s="30"/>
      <c r="I2" s="41"/>
      <c r="K2" s="40" t="s">
        <v>65</v>
      </c>
      <c r="L2" s="28" t="s">
        <v>66</v>
      </c>
      <c r="M2" s="28" t="s">
        <v>67</v>
      </c>
      <c r="N2" s="30">
        <f>VLOOKUP(YEAR(Tabel3[[#This Row],[Geb datum]]),Tabel8[#All],2,FALSE)</f>
        <v>10</v>
      </c>
      <c r="O2" s="29">
        <v>41668</v>
      </c>
      <c r="P2" s="30" t="str">
        <f>VLOOKUP(YEAR(Tabel3[[#This Row],[Geb datum]]),Tabel8[#All],3,FALSE)</f>
        <v>D</v>
      </c>
      <c r="Q2" s="30" t="s">
        <v>33</v>
      </c>
      <c r="R2" s="30" t="s">
        <v>34</v>
      </c>
      <c r="S2" s="42"/>
    </row>
    <row r="3" spans="1:19">
      <c r="A3" s="40"/>
      <c r="B3" s="28" t="s">
        <v>64</v>
      </c>
      <c r="C3" s="28"/>
      <c r="D3" s="30">
        <f>VLOOKUP(YEAR(Tabel1[[#This Row],[Geb datum]]),Tabel8[#All],2,FALSE)</f>
        <v>24</v>
      </c>
      <c r="E3" s="46">
        <v>36526</v>
      </c>
      <c r="F3" s="30" t="str">
        <f>VLOOKUP(YEAR(Tabel1[[#This Row],[Geb datum]]),Tabel8[#All],3,FALSE)</f>
        <v>S</v>
      </c>
      <c r="G3" s="30" t="s">
        <v>9</v>
      </c>
      <c r="H3" s="30"/>
      <c r="I3" s="41"/>
      <c r="K3" s="40" t="s">
        <v>68</v>
      </c>
      <c r="L3" s="28" t="s">
        <v>69</v>
      </c>
      <c r="M3" s="28" t="s">
        <v>70</v>
      </c>
      <c r="N3" s="30">
        <f>VLOOKUP(YEAR(Tabel3[[#This Row],[Geb datum]]),Tabel8[#All],2,FALSE)</f>
        <v>7</v>
      </c>
      <c r="O3" s="29">
        <v>42901</v>
      </c>
      <c r="P3" s="30" t="str">
        <f>VLOOKUP(YEAR(Tabel3[[#This Row],[Geb datum]]),Tabel8[#All],3,FALSE)</f>
        <v>F</v>
      </c>
      <c r="Q3" s="30" t="s">
        <v>47</v>
      </c>
      <c r="R3" s="30" t="s">
        <v>47</v>
      </c>
      <c r="S3" s="42"/>
    </row>
    <row r="4" spans="1:19">
      <c r="A4" s="40" t="s">
        <v>71</v>
      </c>
      <c r="B4" s="28" t="s">
        <v>72</v>
      </c>
      <c r="C4" s="28" t="s">
        <v>73</v>
      </c>
      <c r="D4" s="30">
        <f>VLOOKUP(YEAR(Tabel1[[#This Row],[Geb datum]]),Tabel8[#All],2,FALSE)</f>
        <v>7</v>
      </c>
      <c r="E4" s="46">
        <v>42919</v>
      </c>
      <c r="F4" s="30" t="str">
        <f>VLOOKUP(YEAR(Tabel1[[#This Row],[Geb datum]]),Tabel8[#All],3,FALSE)</f>
        <v>F</v>
      </c>
      <c r="G4" s="30" t="s">
        <v>47</v>
      </c>
      <c r="H4" s="30" t="s">
        <v>47</v>
      </c>
      <c r="I4" s="41"/>
      <c r="K4" s="40" t="s">
        <v>74</v>
      </c>
      <c r="L4" s="28" t="s">
        <v>75</v>
      </c>
      <c r="M4" s="28" t="s">
        <v>76</v>
      </c>
      <c r="N4" s="30">
        <f>VLOOKUP(YEAR(Tabel3[[#This Row],[Geb datum]]),Tabel8[#All],2,FALSE)</f>
        <v>44</v>
      </c>
      <c r="O4" s="29">
        <v>29340</v>
      </c>
      <c r="P4" s="30" t="str">
        <f>VLOOKUP(YEAR(Tabel3[[#This Row],[Geb datum]]),Tabel8[#All],3,FALSE)</f>
        <v>S</v>
      </c>
      <c r="Q4" s="30" t="s">
        <v>62</v>
      </c>
      <c r="R4" s="30" t="s">
        <v>9</v>
      </c>
      <c r="S4" s="42"/>
    </row>
    <row r="5" spans="1:19">
      <c r="A5" s="40" t="s">
        <v>77</v>
      </c>
      <c r="B5" s="28" t="s">
        <v>78</v>
      </c>
      <c r="C5" s="28" t="s">
        <v>79</v>
      </c>
      <c r="D5" s="30">
        <f>VLOOKUP(YEAR(Tabel1[[#This Row],[Geb datum]]),Tabel8[#All],2,FALSE)</f>
        <v>19</v>
      </c>
      <c r="E5" s="46">
        <v>38480</v>
      </c>
      <c r="F5" s="30" t="str">
        <f>VLOOKUP(YEAR(Tabel1[[#This Row],[Geb datum]]),Tabel8[#All],3,FALSE)</f>
        <v>S</v>
      </c>
      <c r="G5" s="30" t="s">
        <v>11</v>
      </c>
      <c r="H5" s="30" t="s">
        <v>17</v>
      </c>
      <c r="I5" s="41"/>
      <c r="K5" s="40" t="s">
        <v>80</v>
      </c>
      <c r="L5" s="28" t="s">
        <v>81</v>
      </c>
      <c r="M5" s="28" t="s">
        <v>82</v>
      </c>
      <c r="N5" s="30">
        <f>VLOOKUP(YEAR(Tabel3[[#This Row],[Geb datum]]),Tabel8[#All],2,FALSE)</f>
        <v>44</v>
      </c>
      <c r="O5" s="29">
        <v>29523</v>
      </c>
      <c r="P5" s="30" t="str">
        <f>VLOOKUP(YEAR(Tabel3[[#This Row],[Geb datum]]),Tabel8[#All],3,FALSE)</f>
        <v>S</v>
      </c>
      <c r="Q5" s="30" t="s">
        <v>83</v>
      </c>
      <c r="R5" s="30" t="s">
        <v>9</v>
      </c>
      <c r="S5" s="42"/>
    </row>
    <row r="6" spans="1:19">
      <c r="A6" s="40" t="s">
        <v>84</v>
      </c>
      <c r="B6" s="28" t="s">
        <v>85</v>
      </c>
      <c r="C6" s="28" t="s">
        <v>79</v>
      </c>
      <c r="D6" s="30">
        <f>VLOOKUP(YEAR(Tabel1[[#This Row],[Geb datum]]),Tabel8[#All],2,FALSE)</f>
        <v>17</v>
      </c>
      <c r="E6" s="46">
        <v>39114</v>
      </c>
      <c r="F6" s="30" t="str">
        <f>VLOOKUP(YEAR(Tabel1[[#This Row],[Geb datum]]),Tabel8[#All],3,FALSE)</f>
        <v>A</v>
      </c>
      <c r="G6" s="30" t="s">
        <v>2</v>
      </c>
      <c r="H6" s="30" t="s">
        <v>15</v>
      </c>
      <c r="I6" s="41"/>
      <c r="K6" s="40" t="s">
        <v>86</v>
      </c>
      <c r="L6" s="28" t="s">
        <v>87</v>
      </c>
      <c r="M6" s="28" t="s">
        <v>88</v>
      </c>
      <c r="N6" s="30">
        <f>VLOOKUP(YEAR(Tabel3[[#This Row],[Geb datum]]),Tabel8[#All],2,FALSE)</f>
        <v>7</v>
      </c>
      <c r="O6" s="29">
        <v>42955</v>
      </c>
      <c r="P6" s="30" t="str">
        <f>VLOOKUP(YEAR(Tabel3[[#This Row],[Geb datum]]),Tabel8[#All],3,FALSE)</f>
        <v>F</v>
      </c>
      <c r="Q6" s="30" t="s">
        <v>83</v>
      </c>
      <c r="R6" s="30" t="s">
        <v>48</v>
      </c>
      <c r="S6" s="42"/>
    </row>
    <row r="7" spans="1:19">
      <c r="A7" s="40" t="s">
        <v>89</v>
      </c>
      <c r="B7" s="28" t="s">
        <v>90</v>
      </c>
      <c r="C7" s="28" t="s">
        <v>91</v>
      </c>
      <c r="D7" s="30">
        <f>VLOOKUP(YEAR(Tabel1[[#This Row],[Geb datum]]),Tabel8[#All],2,FALSE)</f>
        <v>22</v>
      </c>
      <c r="E7" s="46">
        <v>37541</v>
      </c>
      <c r="F7" s="30" t="str">
        <f>VLOOKUP(YEAR(Tabel1[[#This Row],[Geb datum]]),Tabel8[#All],3,FALSE)</f>
        <v>S</v>
      </c>
      <c r="G7" s="42" t="s">
        <v>11</v>
      </c>
      <c r="H7" s="42" t="s">
        <v>11</v>
      </c>
      <c r="I7" s="41"/>
      <c r="K7" s="40" t="s">
        <v>92</v>
      </c>
      <c r="L7" s="28" t="s">
        <v>93</v>
      </c>
      <c r="M7" s="28" t="s">
        <v>94</v>
      </c>
      <c r="N7" s="30">
        <f>VLOOKUP(YEAR(Tabel3[[#This Row],[Geb datum]]),Tabel8[#All],2,FALSE)</f>
        <v>10</v>
      </c>
      <c r="O7" s="29">
        <v>41706</v>
      </c>
      <c r="P7" s="30" t="str">
        <f>VLOOKUP(YEAR(Tabel3[[#This Row],[Geb datum]]),Tabel8[#All],3,FALSE)</f>
        <v>D</v>
      </c>
      <c r="Q7" s="30" t="s">
        <v>35</v>
      </c>
      <c r="R7" s="30" t="s">
        <v>39</v>
      </c>
      <c r="S7" s="42"/>
    </row>
    <row r="8" spans="1:19">
      <c r="A8" s="40" t="s">
        <v>95</v>
      </c>
      <c r="B8" s="28" t="s">
        <v>96</v>
      </c>
      <c r="C8" s="28" t="s">
        <v>97</v>
      </c>
      <c r="D8" s="30">
        <f>VLOOKUP(YEAR(Tabel1[[#This Row],[Geb datum]]),Tabel8[#All],2,FALSE)</f>
        <v>9</v>
      </c>
      <c r="E8" s="56">
        <v>42308</v>
      </c>
      <c r="F8" s="30" t="str">
        <f>VLOOKUP(YEAR(Tabel1[[#This Row],[Geb datum]]),Tabel8[#All],3,FALSE)</f>
        <v>E</v>
      </c>
      <c r="G8" s="42" t="s">
        <v>40</v>
      </c>
      <c r="H8" s="42" t="s">
        <v>43</v>
      </c>
      <c r="I8" s="41"/>
      <c r="K8" s="40" t="s">
        <v>98</v>
      </c>
      <c r="L8" s="28" t="s">
        <v>99</v>
      </c>
      <c r="M8" s="28" t="s">
        <v>100</v>
      </c>
      <c r="N8" s="30">
        <f>VLOOKUP(YEAR(Tabel3[[#This Row],[Geb datum]]),Tabel8[#All],2,FALSE)</f>
        <v>45</v>
      </c>
      <c r="O8" s="29">
        <v>29031</v>
      </c>
      <c r="P8" s="30" t="str">
        <f>VLOOKUP(YEAR(Tabel3[[#This Row],[Geb datum]]),Tabel8[#All],3,FALSE)</f>
        <v>S</v>
      </c>
      <c r="Q8" s="30" t="s">
        <v>83</v>
      </c>
      <c r="R8" s="30" t="s">
        <v>9</v>
      </c>
      <c r="S8" s="42"/>
    </row>
    <row r="9" spans="1:19">
      <c r="A9" s="40" t="s">
        <v>101</v>
      </c>
      <c r="B9" s="28" t="s">
        <v>102</v>
      </c>
      <c r="C9" s="28" t="s">
        <v>103</v>
      </c>
      <c r="D9" s="30">
        <f>VLOOKUP(YEAR(Tabel1[[#This Row],[Geb datum]]),Tabel8[#All],2,FALSE)</f>
        <v>24</v>
      </c>
      <c r="E9" s="46">
        <v>36727</v>
      </c>
      <c r="F9" s="30" t="str">
        <f>VLOOKUP(YEAR(Tabel1[[#This Row],[Geb datum]]),Tabel8[#All],3,FALSE)</f>
        <v>S</v>
      </c>
      <c r="G9" s="42" t="s">
        <v>62</v>
      </c>
      <c r="H9" s="42" t="s">
        <v>62</v>
      </c>
      <c r="I9" s="41"/>
      <c r="K9" s="40" t="s">
        <v>104</v>
      </c>
      <c r="L9" s="28" t="s">
        <v>105</v>
      </c>
      <c r="M9" s="28" t="s">
        <v>100</v>
      </c>
      <c r="N9" s="30">
        <f>VLOOKUP(YEAR(Tabel3[[#This Row],[Geb datum]]),Tabel8[#All],2,FALSE)</f>
        <v>26</v>
      </c>
      <c r="O9" s="29">
        <v>36077</v>
      </c>
      <c r="P9" s="30" t="str">
        <f>VLOOKUP(YEAR(Tabel3[[#This Row],[Geb datum]]),Tabel8[#All],3,FALSE)</f>
        <v>S</v>
      </c>
      <c r="Q9" s="30" t="s">
        <v>1</v>
      </c>
      <c r="R9" s="30" t="s">
        <v>6</v>
      </c>
      <c r="S9" s="42"/>
    </row>
    <row r="10" spans="1:19">
      <c r="A10" s="40" t="s">
        <v>106</v>
      </c>
      <c r="B10" s="28" t="s">
        <v>107</v>
      </c>
      <c r="C10" s="28" t="s">
        <v>108</v>
      </c>
      <c r="D10" s="30">
        <f>VLOOKUP(YEAR(Tabel1[[#This Row],[Geb datum]]),Tabel8[#All],2,FALSE)</f>
        <v>25</v>
      </c>
      <c r="E10" s="46">
        <v>36522</v>
      </c>
      <c r="F10" s="30" t="str">
        <f>VLOOKUP(YEAR(Tabel1[[#This Row],[Geb datum]]),Tabel8[#All],3,FALSE)</f>
        <v>S</v>
      </c>
      <c r="G10" s="30" t="s">
        <v>109</v>
      </c>
      <c r="H10" s="30"/>
      <c r="I10" s="41"/>
      <c r="K10" s="40" t="s">
        <v>110</v>
      </c>
      <c r="L10" s="28" t="s">
        <v>111</v>
      </c>
      <c r="M10" s="28" t="s">
        <v>100</v>
      </c>
      <c r="N10" s="30">
        <f>VLOOKUP(YEAR(Tabel3[[#This Row],[Geb datum]]),Tabel8[#All],2,FALSE)</f>
        <v>29</v>
      </c>
      <c r="O10" s="29">
        <v>34900</v>
      </c>
      <c r="P10" s="30" t="str">
        <f>VLOOKUP(YEAR(Tabel3[[#This Row],[Geb datum]]),Tabel8[#All],3,FALSE)</f>
        <v>S</v>
      </c>
      <c r="Q10" s="30" t="s">
        <v>62</v>
      </c>
      <c r="R10" s="30" t="s">
        <v>62</v>
      </c>
      <c r="S10" s="42"/>
    </row>
    <row r="11" spans="1:19">
      <c r="A11" s="55" t="s">
        <v>112</v>
      </c>
      <c r="B11" s="28" t="s">
        <v>113</v>
      </c>
      <c r="C11" s="28" t="s">
        <v>114</v>
      </c>
      <c r="D11" s="30">
        <f>VLOOKUP(YEAR(Tabel1[[#This Row],[Geb datum]]),Tabel8[#All],2,FALSE)</f>
        <v>12</v>
      </c>
      <c r="E11" s="46">
        <v>40912</v>
      </c>
      <c r="F11" s="30" t="str">
        <f>VLOOKUP(YEAR(Tabel1[[#This Row],[Geb datum]]),Tabel8[#All],3,FALSE)</f>
        <v>C</v>
      </c>
      <c r="G11" s="42" t="s">
        <v>29</v>
      </c>
      <c r="H11" s="42" t="s">
        <v>36</v>
      </c>
      <c r="I11" s="41"/>
      <c r="K11" s="40" t="s">
        <v>115</v>
      </c>
      <c r="L11" s="28" t="s">
        <v>116</v>
      </c>
      <c r="M11" s="28" t="s">
        <v>117</v>
      </c>
      <c r="N11" s="30">
        <f>VLOOKUP(YEAR(Tabel3[[#This Row],[Geb datum]]),Tabel8[#All],2,FALSE)</f>
        <v>34</v>
      </c>
      <c r="O11" s="29">
        <v>33019</v>
      </c>
      <c r="P11" s="30" t="str">
        <f>VLOOKUP(YEAR(Tabel3[[#This Row],[Geb datum]]),Tabel8[#All],3,FALSE)</f>
        <v>S</v>
      </c>
      <c r="Q11" s="30" t="s">
        <v>62</v>
      </c>
      <c r="R11" s="30" t="s">
        <v>9</v>
      </c>
      <c r="S11" s="42"/>
    </row>
    <row r="12" spans="1:19">
      <c r="A12" s="40" t="s">
        <v>118</v>
      </c>
      <c r="B12" s="28" t="s">
        <v>119</v>
      </c>
      <c r="C12" s="28" t="s">
        <v>120</v>
      </c>
      <c r="D12" s="30">
        <f>VLOOKUP(YEAR(Tabel1[[#This Row],[Geb datum]]),Tabel8[#All],2,FALSE)</f>
        <v>22</v>
      </c>
      <c r="E12" s="46">
        <v>37324</v>
      </c>
      <c r="F12" s="30" t="str">
        <f>VLOOKUP(YEAR(Tabel1[[#This Row],[Geb datum]]),Tabel8[#All],3,FALSE)</f>
        <v>S</v>
      </c>
      <c r="G12" s="30" t="s">
        <v>10</v>
      </c>
      <c r="H12" s="30" t="s">
        <v>12</v>
      </c>
      <c r="I12" s="41"/>
      <c r="K12" s="40" t="s">
        <v>121</v>
      </c>
      <c r="L12" s="28" t="s">
        <v>122</v>
      </c>
      <c r="M12" s="28" t="s">
        <v>123</v>
      </c>
      <c r="N12" s="30">
        <f>VLOOKUP(YEAR(Tabel3[[#This Row],[Geb datum]]),Tabel8[#All],2,FALSE)</f>
        <v>63</v>
      </c>
      <c r="O12" s="56">
        <v>22358</v>
      </c>
      <c r="P12" s="30" t="str">
        <f>VLOOKUP(YEAR(Tabel3[[#This Row],[Geb datum]]),Tabel8[#All],3,FALSE)</f>
        <v>S</v>
      </c>
      <c r="Q12" s="30" t="s">
        <v>62</v>
      </c>
      <c r="R12" s="30" t="s">
        <v>62</v>
      </c>
      <c r="S12" s="42"/>
    </row>
    <row r="13" spans="1:19">
      <c r="A13" s="40" t="s">
        <v>124</v>
      </c>
      <c r="B13" s="28" t="s">
        <v>125</v>
      </c>
      <c r="C13" s="28" t="s">
        <v>126</v>
      </c>
      <c r="D13" s="30">
        <f>VLOOKUP(YEAR(Tabel1[[#This Row],[Geb datum]]),Tabel8[#All],2,FALSE)</f>
        <v>12</v>
      </c>
      <c r="E13" s="46">
        <v>41214</v>
      </c>
      <c r="F13" s="30" t="str">
        <f>VLOOKUP(YEAR(Tabel1[[#This Row],[Geb datum]]),Tabel8[#All],3,FALSE)</f>
        <v>C</v>
      </c>
      <c r="G13" s="42" t="s">
        <v>28</v>
      </c>
      <c r="H13" s="42" t="s">
        <v>33</v>
      </c>
      <c r="I13" s="41"/>
      <c r="K13" s="40" t="s">
        <v>127</v>
      </c>
      <c r="L13" s="28" t="s">
        <v>128</v>
      </c>
      <c r="M13" s="28" t="s">
        <v>129</v>
      </c>
      <c r="N13" s="30">
        <f>VLOOKUP(YEAR(Tabel3[[#This Row],[Geb datum]]),Tabel8[#All],2,FALSE)</f>
        <v>28</v>
      </c>
      <c r="O13" s="29">
        <v>35372</v>
      </c>
      <c r="P13" s="30" t="str">
        <f>VLOOKUP(YEAR(Tabel3[[#This Row],[Geb datum]]),Tabel8[#All],3,FALSE)</f>
        <v>S</v>
      </c>
      <c r="Q13" s="30" t="s">
        <v>1</v>
      </c>
      <c r="R13" s="30" t="s">
        <v>7</v>
      </c>
      <c r="S13" s="42"/>
    </row>
    <row r="14" spans="1:19">
      <c r="A14" s="40" t="s">
        <v>130</v>
      </c>
      <c r="B14" s="28" t="s">
        <v>131</v>
      </c>
      <c r="C14" s="28" t="s">
        <v>126</v>
      </c>
      <c r="D14" s="30">
        <f>VLOOKUP(YEAR(Tabel1[[#This Row],[Geb datum]]),Tabel8[#All],2,FALSE)</f>
        <v>19</v>
      </c>
      <c r="E14" s="46">
        <v>38597</v>
      </c>
      <c r="F14" s="30" t="str">
        <f>VLOOKUP(YEAR(Tabel1[[#This Row],[Geb datum]]),Tabel8[#All],3,FALSE)</f>
        <v>S</v>
      </c>
      <c r="G14" s="42" t="s">
        <v>9</v>
      </c>
      <c r="H14" s="42" t="s">
        <v>16</v>
      </c>
      <c r="I14" s="41"/>
      <c r="K14" s="40" t="s">
        <v>132</v>
      </c>
      <c r="L14" s="28" t="s">
        <v>133</v>
      </c>
      <c r="M14" s="28" t="s">
        <v>134</v>
      </c>
      <c r="N14" s="30">
        <f>VLOOKUP(YEAR(Tabel3[[#This Row],[Geb datum]]),Tabel8[#All],2,FALSE)</f>
        <v>5</v>
      </c>
      <c r="O14" s="29">
        <v>43485</v>
      </c>
      <c r="P14" s="30" t="str">
        <f>VLOOKUP(YEAR(Tabel3[[#This Row],[Geb datum]]),Tabel8[#All],3,FALSE)</f>
        <v>K</v>
      </c>
      <c r="Q14" s="30" t="s">
        <v>53</v>
      </c>
      <c r="R14" s="30" t="s">
        <v>135</v>
      </c>
      <c r="S14" s="42"/>
    </row>
    <row r="15" spans="1:19">
      <c r="A15" s="40" t="s">
        <v>136</v>
      </c>
      <c r="B15" s="28" t="s">
        <v>137</v>
      </c>
      <c r="C15" s="28" t="s">
        <v>138</v>
      </c>
      <c r="D15" s="30">
        <f>VLOOKUP(YEAR(Tabel1[[#This Row],[Geb datum]]),Tabel8[#All],2,FALSE)</f>
        <v>43</v>
      </c>
      <c r="E15" s="46">
        <v>29885</v>
      </c>
      <c r="F15" s="30" t="str">
        <f>VLOOKUP(YEAR(Tabel1[[#This Row],[Geb datum]]),Tabel8[#All],3,FALSE)</f>
        <v>S</v>
      </c>
      <c r="G15" s="42" t="s">
        <v>62</v>
      </c>
      <c r="H15" s="42" t="s">
        <v>9</v>
      </c>
      <c r="I15" s="41"/>
      <c r="K15" s="40" t="s">
        <v>139</v>
      </c>
      <c r="L15" s="28" t="s">
        <v>140</v>
      </c>
      <c r="M15" s="28" t="s">
        <v>141</v>
      </c>
      <c r="N15" s="30">
        <f>VLOOKUP(YEAR(Tabel3[[#This Row],[Geb datum]]),Tabel8[#All],2,FALSE)</f>
        <v>20</v>
      </c>
      <c r="O15" s="29">
        <v>38220</v>
      </c>
      <c r="P15" s="30" t="str">
        <f>VLOOKUP(YEAR(Tabel3[[#This Row],[Geb datum]]),Tabel8[#All],3,FALSE)</f>
        <v>S</v>
      </c>
      <c r="Q15" s="30" t="s">
        <v>83</v>
      </c>
      <c r="R15" s="30" t="s">
        <v>11</v>
      </c>
      <c r="S15" s="42"/>
    </row>
    <row r="16" spans="1:19">
      <c r="A16" s="40" t="s">
        <v>142</v>
      </c>
      <c r="B16" s="28" t="s">
        <v>143</v>
      </c>
      <c r="C16" s="28" t="s">
        <v>144</v>
      </c>
      <c r="D16" s="30">
        <f>VLOOKUP(YEAR(Tabel1[[#This Row],[Geb datum]]),Tabel8[#All],2,FALSE)</f>
        <v>18</v>
      </c>
      <c r="E16" s="46">
        <v>38928</v>
      </c>
      <c r="F16" s="30" t="str">
        <f>VLOOKUP(YEAR(Tabel1[[#This Row],[Geb datum]]),Tabel8[#All],3,FALSE)</f>
        <v>A</v>
      </c>
      <c r="G16" s="30" t="s">
        <v>83</v>
      </c>
      <c r="H16" s="30" t="s">
        <v>17</v>
      </c>
      <c r="I16" s="41"/>
      <c r="K16" s="40" t="s">
        <v>145</v>
      </c>
      <c r="L16" s="28" t="s">
        <v>146</v>
      </c>
      <c r="M16" s="28" t="s">
        <v>141</v>
      </c>
      <c r="N16" s="30">
        <f>VLOOKUP(YEAR(Tabel3[[#This Row],[Geb datum]]),Tabel8[#All],2,FALSE)</f>
        <v>11</v>
      </c>
      <c r="O16" s="46">
        <v>41365</v>
      </c>
      <c r="P16" s="30" t="str">
        <f>VLOOKUP(YEAR(Tabel3[[#This Row],[Geb datum]]),Tabel8[#All],3,FALSE)</f>
        <v>D</v>
      </c>
      <c r="Q16" s="30" t="s">
        <v>34</v>
      </c>
      <c r="R16" s="30" t="s">
        <v>35</v>
      </c>
      <c r="S16" s="42"/>
    </row>
    <row r="17" spans="1:19">
      <c r="A17" s="40" t="s">
        <v>147</v>
      </c>
      <c r="B17" s="28" t="s">
        <v>148</v>
      </c>
      <c r="C17" s="28" t="s">
        <v>149</v>
      </c>
      <c r="D17" s="30">
        <f>VLOOKUP(YEAR(Tabel1[[#This Row],[Geb datum]]),Tabel8[#All],2,FALSE)</f>
        <v>16</v>
      </c>
      <c r="E17" s="46">
        <v>39629</v>
      </c>
      <c r="F17" s="30" t="str">
        <f>VLOOKUP(YEAR(Tabel1[[#This Row],[Geb datum]]),Tabel8[#All],3,FALSE)</f>
        <v>A</v>
      </c>
      <c r="G17" s="30" t="s">
        <v>2</v>
      </c>
      <c r="H17" s="30" t="s">
        <v>22</v>
      </c>
      <c r="I17" s="41"/>
      <c r="K17" s="40" t="s">
        <v>150</v>
      </c>
      <c r="L17" s="28" t="s">
        <v>151</v>
      </c>
      <c r="M17" s="28" t="s">
        <v>152</v>
      </c>
      <c r="N17" s="30">
        <f>VLOOKUP(YEAR(Tabel3[[#This Row],[Geb datum]]),Tabel8[#All],2,FALSE)</f>
        <v>16</v>
      </c>
      <c r="O17" s="29">
        <v>39676</v>
      </c>
      <c r="P17" s="30" t="str">
        <f>VLOOKUP(YEAR(Tabel3[[#This Row],[Geb datum]]),Tabel8[#All],3,FALSE)</f>
        <v>A</v>
      </c>
      <c r="Q17" s="30" t="s">
        <v>17</v>
      </c>
      <c r="R17" s="30" t="s">
        <v>23</v>
      </c>
      <c r="S17" s="42"/>
    </row>
    <row r="18" spans="1:19">
      <c r="A18" s="40" t="s">
        <v>153</v>
      </c>
      <c r="B18" s="28" t="s">
        <v>154</v>
      </c>
      <c r="C18" s="28" t="s">
        <v>149</v>
      </c>
      <c r="D18" s="30">
        <f>VLOOKUP(YEAR(Tabel1[[#This Row],[Geb datum]]),Tabel8[#All],2,FALSE)</f>
        <v>10</v>
      </c>
      <c r="E18" s="46">
        <v>41845</v>
      </c>
      <c r="F18" s="30" t="str">
        <f>VLOOKUP(YEAR(Tabel1[[#This Row],[Geb datum]]),Tabel8[#All],3,FALSE)</f>
        <v>D</v>
      </c>
      <c r="G18" s="30" t="s">
        <v>36</v>
      </c>
      <c r="H18" s="30" t="s">
        <v>155</v>
      </c>
      <c r="I18" s="41"/>
      <c r="K18" s="40" t="s">
        <v>156</v>
      </c>
      <c r="L18" s="28" t="s">
        <v>157</v>
      </c>
      <c r="M18" s="28" t="s">
        <v>158</v>
      </c>
      <c r="N18" s="30">
        <f>VLOOKUP(YEAR(Tabel3[[#This Row],[Geb datum]]),Tabel8[#All],2,FALSE)</f>
        <v>22</v>
      </c>
      <c r="O18" s="29">
        <v>37566</v>
      </c>
      <c r="P18" s="30" t="str">
        <f>VLOOKUP(YEAR(Tabel3[[#This Row],[Geb datum]]),Tabel8[#All],3,FALSE)</f>
        <v>S</v>
      </c>
      <c r="Q18" s="30" t="s">
        <v>11</v>
      </c>
      <c r="R18" s="30" t="s">
        <v>11</v>
      </c>
      <c r="S18" s="42"/>
    </row>
    <row r="19" spans="1:19">
      <c r="A19" s="40" t="s">
        <v>159</v>
      </c>
      <c r="B19" s="28" t="s">
        <v>160</v>
      </c>
      <c r="C19" s="28" t="s">
        <v>161</v>
      </c>
      <c r="D19" s="30">
        <f>VLOOKUP(YEAR(Tabel1[[#This Row],[Geb datum]]),Tabel8[#All],2,FALSE)</f>
        <v>21</v>
      </c>
      <c r="E19" s="46">
        <v>37771</v>
      </c>
      <c r="F19" s="30" t="str">
        <f>VLOOKUP(YEAR(Tabel1[[#This Row],[Geb datum]]),Tabel8[#All],3,FALSE)</f>
        <v>S</v>
      </c>
      <c r="G19" s="30" t="s">
        <v>83</v>
      </c>
      <c r="H19" s="30" t="s">
        <v>7</v>
      </c>
      <c r="I19" s="41"/>
      <c r="K19" s="40" t="s">
        <v>162</v>
      </c>
      <c r="L19" s="28" t="s">
        <v>163</v>
      </c>
      <c r="M19" s="28" t="s">
        <v>164</v>
      </c>
      <c r="N19" s="30">
        <f>VLOOKUP(YEAR(Tabel3[[#This Row],[Geb datum]]),Tabel8[#All],2,FALSE)</f>
        <v>8</v>
      </c>
      <c r="O19" s="29">
        <v>42507</v>
      </c>
      <c r="P19" s="30" t="str">
        <f>VLOOKUP(YEAR(Tabel3[[#This Row],[Geb datum]]),Tabel8[#All],3,FALSE)</f>
        <v>E</v>
      </c>
      <c r="Q19" s="30" t="s">
        <v>83</v>
      </c>
      <c r="R19" s="51" t="s">
        <v>48</v>
      </c>
      <c r="S19" s="42"/>
    </row>
    <row r="20" spans="1:19">
      <c r="A20" s="40" t="s">
        <v>165</v>
      </c>
      <c r="B20" s="28" t="s">
        <v>166</v>
      </c>
      <c r="C20" s="28" t="s">
        <v>167</v>
      </c>
      <c r="D20" s="30">
        <f>VLOOKUP(YEAR(Tabel1[[#This Row],[Geb datum]]),Tabel8[#All],2,FALSE)</f>
        <v>14</v>
      </c>
      <c r="E20" s="46">
        <v>40373</v>
      </c>
      <c r="F20" s="30" t="str">
        <f>VLOOKUP(YEAR(Tabel1[[#This Row],[Geb datum]]),Tabel8[#All],3,FALSE)</f>
        <v>B</v>
      </c>
      <c r="G20" s="30" t="s">
        <v>83</v>
      </c>
      <c r="H20" s="30" t="s">
        <v>30</v>
      </c>
      <c r="I20" s="41"/>
      <c r="K20" s="40" t="s">
        <v>168</v>
      </c>
      <c r="L20" s="28" t="s">
        <v>169</v>
      </c>
      <c r="M20" s="28" t="s">
        <v>170</v>
      </c>
      <c r="N20" s="30">
        <f>VLOOKUP(YEAR(Tabel3[[#This Row],[Geb datum]]),Tabel8[#All],2,FALSE)</f>
        <v>10</v>
      </c>
      <c r="O20" s="29">
        <v>41735</v>
      </c>
      <c r="P20" s="30" t="str">
        <f>VLOOKUP(YEAR(Tabel3[[#This Row],[Geb datum]]),Tabel8[#All],3,FALSE)</f>
        <v>D</v>
      </c>
      <c r="Q20" s="30" t="s">
        <v>36</v>
      </c>
      <c r="R20" s="30" t="s">
        <v>36</v>
      </c>
      <c r="S20" s="42"/>
    </row>
    <row r="21" spans="1:19">
      <c r="A21" s="40" t="s">
        <v>171</v>
      </c>
      <c r="B21" s="28" t="s">
        <v>172</v>
      </c>
      <c r="C21" s="28" t="s">
        <v>173</v>
      </c>
      <c r="D21" s="30">
        <f>VLOOKUP(YEAR(Tabel1[[#This Row],[Geb datum]]),Tabel8[#All],2,FALSE)</f>
        <v>20</v>
      </c>
      <c r="E21" s="46">
        <v>38267</v>
      </c>
      <c r="F21" s="30" t="str">
        <f>VLOOKUP(YEAR(Tabel1[[#This Row],[Geb datum]]),Tabel8[#All],3,FALSE)</f>
        <v>S</v>
      </c>
      <c r="G21" s="30" t="s">
        <v>9</v>
      </c>
      <c r="H21" s="30" t="s">
        <v>10</v>
      </c>
      <c r="I21" s="41"/>
      <c r="K21" s="40"/>
      <c r="L21" s="28" t="s">
        <v>174</v>
      </c>
      <c r="M21" s="28" t="s">
        <v>175</v>
      </c>
      <c r="N21" s="30">
        <f>VLOOKUP(YEAR(Tabel3[[#This Row],[Geb datum]]),Tabel8[#All],2,FALSE)</f>
        <v>13</v>
      </c>
      <c r="O21" s="29">
        <v>40846</v>
      </c>
      <c r="P21" s="30" t="str">
        <f>VLOOKUP(YEAR(Tabel3[[#This Row],[Geb datum]]),Tabel8[#All],3,FALSE)</f>
        <v>C</v>
      </c>
      <c r="Q21" s="30" t="s">
        <v>29</v>
      </c>
      <c r="R21" s="30" t="s">
        <v>135</v>
      </c>
      <c r="S21" s="42"/>
    </row>
    <row r="22" spans="1:19">
      <c r="A22" s="40" t="s">
        <v>176</v>
      </c>
      <c r="B22" s="28" t="s">
        <v>177</v>
      </c>
      <c r="C22" s="28" t="s">
        <v>178</v>
      </c>
      <c r="D22" s="30">
        <f>VLOOKUP(YEAR(Tabel1[[#This Row],[Geb datum]]),Tabel8[#All],2,FALSE)</f>
        <v>16</v>
      </c>
      <c r="E22" s="46">
        <v>39760</v>
      </c>
      <c r="F22" s="30" t="str">
        <f>VLOOKUP(YEAR(Tabel1[[#This Row],[Geb datum]]),Tabel8[#All],3,FALSE)</f>
        <v>A</v>
      </c>
      <c r="G22" s="30" t="s">
        <v>2</v>
      </c>
      <c r="H22" s="30" t="s">
        <v>21</v>
      </c>
      <c r="I22" s="41"/>
      <c r="K22" s="40" t="s">
        <v>179</v>
      </c>
      <c r="L22" s="28" t="s">
        <v>180</v>
      </c>
      <c r="M22" s="28" t="s">
        <v>181</v>
      </c>
      <c r="N22" s="30">
        <f>VLOOKUP(YEAR(Tabel3[[#This Row],[Geb datum]]),Tabel8[#All],2,FALSE)</f>
        <v>16</v>
      </c>
      <c r="O22" s="29">
        <v>39753</v>
      </c>
      <c r="P22" s="30" t="str">
        <f>VLOOKUP(YEAR(Tabel3[[#This Row],[Geb datum]]),Tabel8[#All],3,FALSE)</f>
        <v>A</v>
      </c>
      <c r="Q22" s="30" t="s">
        <v>2</v>
      </c>
      <c r="R22" s="30" t="s">
        <v>22</v>
      </c>
      <c r="S22" s="42"/>
    </row>
    <row r="23" spans="1:19">
      <c r="A23" s="40" t="s">
        <v>182</v>
      </c>
      <c r="B23" s="28" t="s">
        <v>183</v>
      </c>
      <c r="C23" s="28" t="s">
        <v>184</v>
      </c>
      <c r="D23" s="30">
        <f>VLOOKUP(YEAR(Tabel1[[#This Row],[Geb datum]]),Tabel8[#All],2,FALSE)</f>
        <v>45</v>
      </c>
      <c r="E23" s="46">
        <v>28948</v>
      </c>
      <c r="F23" s="30" t="str">
        <f>VLOOKUP(YEAR(Tabel1[[#This Row],[Geb datum]]),Tabel8[#All],3,FALSE)</f>
        <v>S</v>
      </c>
      <c r="G23" s="30" t="s">
        <v>62</v>
      </c>
      <c r="H23" s="30" t="s">
        <v>62</v>
      </c>
      <c r="I23" s="41"/>
      <c r="K23" s="40" t="s">
        <v>185</v>
      </c>
      <c r="L23" s="28" t="s">
        <v>186</v>
      </c>
      <c r="M23" s="28" t="s">
        <v>187</v>
      </c>
      <c r="N23" s="30">
        <f>VLOOKUP(YEAR(Tabel3[[#This Row],[Geb datum]]),Tabel8[#All],2,FALSE)</f>
        <v>21</v>
      </c>
      <c r="O23" s="29">
        <v>37832</v>
      </c>
      <c r="P23" s="30" t="str">
        <f>VLOOKUP(YEAR(Tabel3[[#This Row],[Geb datum]]),Tabel8[#All],3,FALSE)</f>
        <v>S</v>
      </c>
      <c r="Q23" s="30" t="s">
        <v>1</v>
      </c>
      <c r="R23" s="30" t="s">
        <v>7</v>
      </c>
      <c r="S23" s="42"/>
    </row>
    <row r="24" spans="1:19">
      <c r="A24" s="40" t="s">
        <v>188</v>
      </c>
      <c r="B24" s="28" t="s">
        <v>189</v>
      </c>
      <c r="C24" s="28" t="s">
        <v>190</v>
      </c>
      <c r="D24" s="30">
        <f>VLOOKUP(YEAR(Tabel1[[#This Row],[Geb datum]]),Tabel8[#All],2,FALSE)</f>
        <v>14</v>
      </c>
      <c r="E24" s="46">
        <v>40239</v>
      </c>
      <c r="F24" s="30" t="str">
        <f>VLOOKUP(YEAR(Tabel1[[#This Row],[Geb datum]]),Tabel8[#All],3,FALSE)</f>
        <v>B</v>
      </c>
      <c r="G24" s="30" t="s">
        <v>3</v>
      </c>
      <c r="H24" s="30" t="s">
        <v>27</v>
      </c>
      <c r="I24" s="41"/>
      <c r="K24" s="40" t="s">
        <v>191</v>
      </c>
      <c r="L24" s="28" t="s">
        <v>192</v>
      </c>
      <c r="M24" s="28" t="s">
        <v>193</v>
      </c>
      <c r="N24" s="30">
        <f>VLOOKUP(YEAR(Tabel3[[#This Row],[Geb datum]]),Tabel8[#All],2,FALSE)</f>
        <v>21</v>
      </c>
      <c r="O24" s="29">
        <v>37971</v>
      </c>
      <c r="P24" s="30" t="str">
        <f>VLOOKUP(YEAR(Tabel3[[#This Row],[Geb datum]]),Tabel8[#All],3,FALSE)</f>
        <v>S</v>
      </c>
      <c r="Q24" s="30" t="s">
        <v>11</v>
      </c>
      <c r="R24" s="30" t="s">
        <v>11</v>
      </c>
      <c r="S24" s="42"/>
    </row>
    <row r="25" spans="1:19">
      <c r="A25" s="40" t="s">
        <v>194</v>
      </c>
      <c r="B25" s="28" t="s">
        <v>195</v>
      </c>
      <c r="C25" s="28" t="s">
        <v>190</v>
      </c>
      <c r="D25" s="30">
        <f>VLOOKUP(YEAR(Tabel1[[#This Row],[Geb datum]]),Tabel8[#All],2,FALSE)</f>
        <v>14</v>
      </c>
      <c r="E25" s="46">
        <v>40538</v>
      </c>
      <c r="F25" s="30" t="str">
        <f>VLOOKUP(YEAR(Tabel1[[#This Row],[Geb datum]]),Tabel8[#All],3,FALSE)</f>
        <v>B</v>
      </c>
      <c r="G25" s="30" t="s">
        <v>23</v>
      </c>
      <c r="H25" s="30" t="s">
        <v>29</v>
      </c>
      <c r="I25" s="41"/>
      <c r="K25" s="40" t="s">
        <v>196</v>
      </c>
      <c r="L25" s="28" t="s">
        <v>197</v>
      </c>
      <c r="M25" s="28" t="s">
        <v>198</v>
      </c>
      <c r="N25" s="30">
        <f>VLOOKUP(YEAR(Tabel3[[#This Row],[Geb datum]]),Tabel8[#All],2,FALSE)</f>
        <v>15</v>
      </c>
      <c r="O25" s="29">
        <v>40112</v>
      </c>
      <c r="P25" s="30" t="str">
        <f>VLOOKUP(YEAR(Tabel3[[#This Row],[Geb datum]]),Tabel8[#All],3,FALSE)</f>
        <v>B</v>
      </c>
      <c r="Q25" s="30" t="s">
        <v>3</v>
      </c>
      <c r="R25" s="30" t="s">
        <v>28</v>
      </c>
      <c r="S25" s="42"/>
    </row>
    <row r="26" spans="1:19">
      <c r="A26" s="40" t="s">
        <v>199</v>
      </c>
      <c r="B26" s="28" t="s">
        <v>200</v>
      </c>
      <c r="C26" s="28" t="s">
        <v>201</v>
      </c>
      <c r="D26" s="30">
        <f>VLOOKUP(YEAR(Tabel1[[#This Row],[Geb datum]]),Tabel8[#All],2,FALSE)</f>
        <v>11</v>
      </c>
      <c r="E26" s="46">
        <v>41398</v>
      </c>
      <c r="F26" s="30" t="str">
        <f>VLOOKUP(YEAR(Tabel1[[#This Row],[Geb datum]]),Tabel8[#All],3,FALSE)</f>
        <v>D</v>
      </c>
      <c r="G26" s="30" t="s">
        <v>33</v>
      </c>
      <c r="H26" s="30" t="s">
        <v>33</v>
      </c>
      <c r="I26" s="41"/>
      <c r="K26" s="40" t="s">
        <v>202</v>
      </c>
      <c r="L26" s="28" t="s">
        <v>203</v>
      </c>
      <c r="M26" s="28" t="s">
        <v>204</v>
      </c>
      <c r="N26" s="30">
        <f>VLOOKUP(YEAR(Tabel3[[#This Row],[Geb datum]]),Tabel8[#All],2,FALSE)</f>
        <v>14</v>
      </c>
      <c r="O26" s="29">
        <v>40253</v>
      </c>
      <c r="P26" s="30" t="str">
        <f>VLOOKUP(YEAR(Tabel3[[#This Row],[Geb datum]]),Tabel8[#All],3,FALSE)</f>
        <v>B</v>
      </c>
      <c r="Q26" s="30" t="s">
        <v>24</v>
      </c>
      <c r="R26" s="30" t="s">
        <v>30</v>
      </c>
      <c r="S26" s="42"/>
    </row>
    <row r="27" spans="1:19">
      <c r="A27" s="40" t="s">
        <v>205</v>
      </c>
      <c r="B27" s="28" t="s">
        <v>206</v>
      </c>
      <c r="C27" s="28" t="s">
        <v>207</v>
      </c>
      <c r="D27" s="30">
        <v>47</v>
      </c>
      <c r="E27" s="46">
        <v>28329</v>
      </c>
      <c r="F27" s="30" t="s">
        <v>208</v>
      </c>
      <c r="G27" s="30" t="s">
        <v>62</v>
      </c>
      <c r="H27" s="30" t="s">
        <v>62</v>
      </c>
      <c r="I27" s="41"/>
      <c r="K27" s="40" t="s">
        <v>209</v>
      </c>
      <c r="L27" s="28" t="s">
        <v>210</v>
      </c>
      <c r="M27" s="28" t="s">
        <v>211</v>
      </c>
      <c r="N27" s="30">
        <f>VLOOKUP(YEAR(Tabel3[[#This Row],[Geb datum]]),Tabel8[#All],2,FALSE)</f>
        <v>43</v>
      </c>
      <c r="O27" s="29">
        <v>29725</v>
      </c>
      <c r="P27" s="30" t="str">
        <f>VLOOKUP(YEAR(Tabel3[[#This Row],[Geb datum]]),Tabel8[#All],3,FALSE)</f>
        <v>S</v>
      </c>
      <c r="Q27" s="30" t="s">
        <v>83</v>
      </c>
      <c r="R27" s="30" t="s">
        <v>13</v>
      </c>
      <c r="S27" s="42"/>
    </row>
    <row r="28" spans="1:19">
      <c r="A28" s="40" t="s">
        <v>212</v>
      </c>
      <c r="B28" s="28" t="s">
        <v>213</v>
      </c>
      <c r="C28" s="28" t="s">
        <v>214</v>
      </c>
      <c r="D28" s="30">
        <f>VLOOKUP(YEAR(Tabel1[[#This Row],[Geb datum]]),Tabel8[#All],2,FALSE)</f>
        <v>14</v>
      </c>
      <c r="E28" s="46">
        <v>40327</v>
      </c>
      <c r="F28" s="30" t="str">
        <f>VLOOKUP(YEAR(Tabel1[[#This Row],[Geb datum]]),Tabel8[#All],3,FALSE)</f>
        <v>B</v>
      </c>
      <c r="G28" s="30" t="s">
        <v>3</v>
      </c>
      <c r="H28" s="30" t="s">
        <v>27</v>
      </c>
      <c r="I28" s="41"/>
      <c r="K28" s="40" t="s">
        <v>215</v>
      </c>
      <c r="L28" s="28" t="s">
        <v>216</v>
      </c>
      <c r="M28" s="28" t="s">
        <v>217</v>
      </c>
      <c r="N28" s="30">
        <f>VLOOKUP(YEAR(Tabel3[[#This Row],[Geb datum]]),Tabel8[#All],2,FALSE)</f>
        <v>7</v>
      </c>
      <c r="O28" s="29">
        <v>42831</v>
      </c>
      <c r="P28" s="30" t="str">
        <f>VLOOKUP(YEAR(Tabel3[[#This Row],[Geb datum]]),Tabel8[#All],3,FALSE)</f>
        <v>F</v>
      </c>
      <c r="Q28" s="30" t="s">
        <v>48</v>
      </c>
      <c r="R28" s="30" t="s">
        <v>135</v>
      </c>
      <c r="S28" s="42"/>
    </row>
    <row r="29" spans="1:19">
      <c r="A29" s="40" t="s">
        <v>218</v>
      </c>
      <c r="B29" s="28" t="s">
        <v>219</v>
      </c>
      <c r="C29" s="28" t="s">
        <v>214</v>
      </c>
      <c r="D29" s="30">
        <f>VLOOKUP(YEAR(Tabel1[[#This Row],[Geb datum]]),Tabel8[#All],2,FALSE)</f>
        <v>14</v>
      </c>
      <c r="E29" s="46">
        <v>40189</v>
      </c>
      <c r="F29" s="30" t="str">
        <f>VLOOKUP(YEAR(Tabel1[[#This Row],[Geb datum]]),Tabel8[#All],3,FALSE)</f>
        <v>B</v>
      </c>
      <c r="G29" s="30" t="s">
        <v>3</v>
      </c>
      <c r="H29" s="51" t="s">
        <v>27</v>
      </c>
      <c r="I29" s="41"/>
      <c r="K29" s="40" t="s">
        <v>220</v>
      </c>
      <c r="L29" s="28" t="s">
        <v>221</v>
      </c>
      <c r="M29" s="28" t="s">
        <v>222</v>
      </c>
      <c r="N29" s="30">
        <f>VLOOKUP(YEAR(Tabel3[[#This Row],[Geb datum]]),Tabel8[#All],2,FALSE)</f>
        <v>30</v>
      </c>
      <c r="O29" s="56">
        <v>34464</v>
      </c>
      <c r="P29" s="30" t="str">
        <f>VLOOKUP(YEAR(Tabel3[[#This Row],[Geb datum]]),Tabel8[#All],3,FALSE)</f>
        <v>S</v>
      </c>
      <c r="Q29" s="30" t="s">
        <v>8</v>
      </c>
      <c r="R29" s="30" t="s">
        <v>8</v>
      </c>
      <c r="S29" s="42"/>
    </row>
    <row r="30" spans="1:19">
      <c r="A30" s="40" t="s">
        <v>223</v>
      </c>
      <c r="B30" s="28" t="s">
        <v>224</v>
      </c>
      <c r="C30" s="28" t="s">
        <v>214</v>
      </c>
      <c r="D30" s="30">
        <f>VLOOKUP(YEAR(Tabel1[[#This Row],[Geb datum]]),Tabel8[#All],2,FALSE)</f>
        <v>23</v>
      </c>
      <c r="E30" s="46">
        <v>36938</v>
      </c>
      <c r="F30" s="30" t="str">
        <f>VLOOKUP(YEAR(Tabel1[[#This Row],[Geb datum]]),Tabel8[#All],3,FALSE)</f>
        <v>S</v>
      </c>
      <c r="G30" s="30" t="s">
        <v>1</v>
      </c>
      <c r="H30" s="30" t="s">
        <v>7</v>
      </c>
      <c r="I30" s="41"/>
      <c r="K30" s="40" t="s">
        <v>225</v>
      </c>
      <c r="L30" s="28" t="s">
        <v>226</v>
      </c>
      <c r="M30" s="28" t="s">
        <v>227</v>
      </c>
      <c r="N30" s="30">
        <f>VLOOKUP(YEAR(Tabel3[[#This Row],[Geb datum]]),Tabel8[#All],2,FALSE)</f>
        <v>47</v>
      </c>
      <c r="O30" s="29">
        <v>28259</v>
      </c>
      <c r="P30" s="30" t="str">
        <f>VLOOKUP(YEAR(Tabel3[[#This Row],[Geb datum]]),Tabel8[#All],3,FALSE)</f>
        <v>S</v>
      </c>
      <c r="Q30" s="30" t="s">
        <v>228</v>
      </c>
      <c r="R30" s="30" t="s">
        <v>228</v>
      </c>
      <c r="S30" s="42"/>
    </row>
    <row r="31" spans="1:19">
      <c r="A31" s="40" t="s">
        <v>229</v>
      </c>
      <c r="B31" s="28" t="s">
        <v>230</v>
      </c>
      <c r="C31" s="28" t="s">
        <v>231</v>
      </c>
      <c r="D31" s="30">
        <f>VLOOKUP(YEAR(Tabel1[[#This Row],[Geb datum]]),Tabel8[#All],2,FALSE)</f>
        <v>32</v>
      </c>
      <c r="E31" s="46">
        <v>33777</v>
      </c>
      <c r="F31" s="30" t="str">
        <f>VLOOKUP(YEAR(Tabel1[[#This Row],[Geb datum]]),Tabel8[#All],3,FALSE)</f>
        <v>S</v>
      </c>
      <c r="G31" s="30" t="s">
        <v>83</v>
      </c>
      <c r="H31" s="30" t="s">
        <v>9</v>
      </c>
      <c r="I31" s="41"/>
      <c r="K31" s="40" t="s">
        <v>232</v>
      </c>
      <c r="L31" s="28" t="s">
        <v>233</v>
      </c>
      <c r="M31" s="28" t="s">
        <v>234</v>
      </c>
      <c r="N31" s="30">
        <f>VLOOKUP(YEAR(Tabel3[[#This Row],[Geb datum]]),Tabel8[#All],2,FALSE)</f>
        <v>11</v>
      </c>
      <c r="O31" s="29">
        <v>41299</v>
      </c>
      <c r="P31" s="30" t="str">
        <f>VLOOKUP(YEAR(Tabel3[[#This Row],[Geb datum]]),Tabel8[#All],3,FALSE)</f>
        <v>D</v>
      </c>
      <c r="Q31" s="30" t="s">
        <v>33</v>
      </c>
      <c r="R31" s="30" t="s">
        <v>34</v>
      </c>
      <c r="S31" s="42"/>
    </row>
    <row r="32" spans="1:19">
      <c r="A32" s="40" t="s">
        <v>235</v>
      </c>
      <c r="B32" s="28" t="s">
        <v>236</v>
      </c>
      <c r="C32" s="29" t="s">
        <v>237</v>
      </c>
      <c r="D32" s="30">
        <f>VLOOKUP(YEAR(Tabel1[[#This Row],[Geb datum]]),Tabel8[#All],2,FALSE)</f>
        <v>6</v>
      </c>
      <c r="E32" s="56">
        <v>43409</v>
      </c>
      <c r="F32" s="30" t="str">
        <f>VLOOKUP(YEAR(Tabel1[[#This Row],[Geb datum]]),Tabel8[#All],3,FALSE)</f>
        <v>F</v>
      </c>
      <c r="G32" s="30" t="s">
        <v>83</v>
      </c>
      <c r="H32" s="30" t="s">
        <v>53</v>
      </c>
      <c r="I32" s="41"/>
      <c r="K32" s="40"/>
      <c r="L32" s="28" t="s">
        <v>238</v>
      </c>
      <c r="M32" s="28" t="s">
        <v>239</v>
      </c>
      <c r="N32" s="30">
        <f>VLOOKUP(YEAR(Tabel3[[#This Row],[Geb datum]]),Tabel8[#All],2,FALSE)</f>
        <v>12</v>
      </c>
      <c r="O32" s="29">
        <v>41017</v>
      </c>
      <c r="P32" s="30" t="str">
        <f>VLOOKUP(YEAR(Tabel3[[#This Row],[Geb datum]]),Tabel8[#All],3,FALSE)</f>
        <v>C</v>
      </c>
      <c r="Q32" s="30" t="s">
        <v>29</v>
      </c>
      <c r="R32" s="30" t="s">
        <v>135</v>
      </c>
      <c r="S32" s="42"/>
    </row>
    <row r="33" spans="1:19" ht="15.95">
      <c r="A33" s="40" t="s">
        <v>240</v>
      </c>
      <c r="B33" s="28" t="s">
        <v>241</v>
      </c>
      <c r="C33" s="28" t="s">
        <v>242</v>
      </c>
      <c r="D33" s="30">
        <f>VLOOKUP(YEAR(Tabel1[[#This Row],[Geb datum]]),Tabel8[#All],2,FALSE)</f>
        <v>23</v>
      </c>
      <c r="E33" s="46">
        <v>37246</v>
      </c>
      <c r="F33" s="30" t="str">
        <f>VLOOKUP(YEAR(Tabel1[[#This Row],[Geb datum]]),Tabel8[#All],3,FALSE)</f>
        <v>S</v>
      </c>
      <c r="G33" s="30" t="s">
        <v>243</v>
      </c>
      <c r="H33" s="30" t="s">
        <v>243</v>
      </c>
      <c r="I33" s="41"/>
      <c r="K33" s="40"/>
      <c r="L33" s="34" t="s">
        <v>244</v>
      </c>
      <c r="M33" s="28" t="s">
        <v>239</v>
      </c>
      <c r="N33" s="30">
        <f>VLOOKUP(YEAR(Tabel3[[#This Row],[Geb datum]]),Tabel8[#All],2,FALSE)</f>
        <v>5</v>
      </c>
      <c r="O33" s="29">
        <v>43532</v>
      </c>
      <c r="P33" s="30" t="str">
        <f>VLOOKUP(YEAR(Tabel3[[#This Row],[Geb datum]]),Tabel8[#All],3,FALSE)</f>
        <v>K</v>
      </c>
      <c r="Q33" s="30" t="s">
        <v>48</v>
      </c>
      <c r="R33" s="30" t="s">
        <v>135</v>
      </c>
      <c r="S33" s="42"/>
    </row>
    <row r="34" spans="1:19">
      <c r="A34" s="40" t="s">
        <v>245</v>
      </c>
      <c r="B34" s="28" t="s">
        <v>246</v>
      </c>
      <c r="C34" s="28" t="s">
        <v>247</v>
      </c>
      <c r="D34" s="30">
        <f>VLOOKUP(YEAR(Tabel1[[#This Row],[Geb datum]]),Tabel8[#All],2,FALSE)</f>
        <v>16</v>
      </c>
      <c r="E34" s="46">
        <v>39751</v>
      </c>
      <c r="F34" s="30" t="str">
        <f>VLOOKUP(YEAR(Tabel1[[#This Row],[Geb datum]]),Tabel8[#All],3,FALSE)</f>
        <v>A</v>
      </c>
      <c r="G34" s="30" t="s">
        <v>2</v>
      </c>
      <c r="H34" s="30" t="s">
        <v>21</v>
      </c>
      <c r="I34" s="41"/>
      <c r="K34" s="40" t="s">
        <v>248</v>
      </c>
      <c r="L34" s="28" t="s">
        <v>249</v>
      </c>
      <c r="M34" s="28" t="s">
        <v>239</v>
      </c>
      <c r="N34" s="30">
        <f>VLOOKUP(YEAR(Tabel3[[#This Row],[Geb datum]]),Tabel8[#All],2,FALSE)</f>
        <v>12</v>
      </c>
      <c r="O34" s="29">
        <v>40974</v>
      </c>
      <c r="P34" s="30" t="str">
        <f>VLOOKUP(YEAR(Tabel3[[#This Row],[Geb datum]]),Tabel8[#All],3,FALSE)</f>
        <v>C</v>
      </c>
      <c r="Q34" s="30" t="s">
        <v>83</v>
      </c>
      <c r="R34" s="30" t="s">
        <v>33</v>
      </c>
      <c r="S34" s="42"/>
    </row>
    <row r="35" spans="1:19">
      <c r="A35" s="40" t="s">
        <v>250</v>
      </c>
      <c r="B35" s="28" t="s">
        <v>251</v>
      </c>
      <c r="C35" s="28" t="s">
        <v>252</v>
      </c>
      <c r="D35" s="30">
        <f>VLOOKUP(YEAR(Tabel1[[#This Row],[Geb datum]]),Tabel8[#All],2,FALSE)</f>
        <v>39</v>
      </c>
      <c r="E35" s="46">
        <v>31086</v>
      </c>
      <c r="F35" s="30" t="str">
        <f>VLOOKUP(YEAR(Tabel1[[#This Row],[Geb datum]]),Tabel8[#All],3,FALSE)</f>
        <v>S</v>
      </c>
      <c r="G35" s="30" t="s">
        <v>13</v>
      </c>
      <c r="H35" s="30" t="s">
        <v>13</v>
      </c>
      <c r="I35" s="41"/>
      <c r="K35" s="40" t="s">
        <v>253</v>
      </c>
      <c r="L35" s="28" t="s">
        <v>254</v>
      </c>
      <c r="M35" s="28" t="s">
        <v>255</v>
      </c>
      <c r="N35" s="30">
        <f>VLOOKUP(YEAR(Tabel3[[#This Row],[Geb datum]]),Tabel8[#All],2,FALSE)</f>
        <v>28</v>
      </c>
      <c r="O35" s="29">
        <v>35270</v>
      </c>
      <c r="P35" s="30" t="str">
        <f>VLOOKUP(YEAR(Tabel3[[#This Row],[Geb datum]]),Tabel8[#All],3,FALSE)</f>
        <v>S</v>
      </c>
      <c r="Q35" s="30" t="s">
        <v>62</v>
      </c>
      <c r="R35" s="30" t="s">
        <v>62</v>
      </c>
      <c r="S35" s="42"/>
    </row>
    <row r="36" spans="1:19">
      <c r="A36" s="40" t="s">
        <v>256</v>
      </c>
      <c r="B36" s="28" t="s">
        <v>257</v>
      </c>
      <c r="C36" s="28" t="s">
        <v>258</v>
      </c>
      <c r="D36" s="30">
        <f>VLOOKUP(YEAR(Tabel1[[#This Row],[Geb datum]]),Tabel8[#All],2,FALSE)</f>
        <v>19</v>
      </c>
      <c r="E36" s="46">
        <v>38509</v>
      </c>
      <c r="F36" s="30" t="str">
        <f>VLOOKUP(YEAR(Tabel1[[#This Row],[Geb datum]]),Tabel8[#All],3,FALSE)</f>
        <v>S</v>
      </c>
      <c r="G36" s="30" t="s">
        <v>9</v>
      </c>
      <c r="H36" s="30" t="s">
        <v>16</v>
      </c>
      <c r="I36" s="41"/>
      <c r="K36" s="40" t="s">
        <v>259</v>
      </c>
      <c r="L36" s="28" t="s">
        <v>260</v>
      </c>
      <c r="M36" s="28" t="s">
        <v>255</v>
      </c>
      <c r="N36" s="30">
        <f>VLOOKUP(YEAR(Tabel3[[#This Row],[Geb datum]]),Tabel8[#All],2,FALSE)</f>
        <v>12</v>
      </c>
      <c r="O36" s="29">
        <v>41044</v>
      </c>
      <c r="P36" s="30" t="str">
        <f>VLOOKUP(YEAR(Tabel3[[#This Row],[Geb datum]]),Tabel8[#All],3,FALSE)</f>
        <v>C</v>
      </c>
      <c r="Q36" s="30" t="s">
        <v>27</v>
      </c>
      <c r="R36" s="30" t="s">
        <v>28</v>
      </c>
      <c r="S36" s="42"/>
    </row>
    <row r="37" spans="1:19">
      <c r="A37" s="40" t="s">
        <v>261</v>
      </c>
      <c r="B37" s="28" t="s">
        <v>262</v>
      </c>
      <c r="C37" s="28" t="s">
        <v>263</v>
      </c>
      <c r="D37" s="30">
        <f>VLOOKUP(YEAR(Tabel1[[#This Row],[Geb datum]]),Tabel8[#All],2,FALSE)</f>
        <v>15</v>
      </c>
      <c r="E37" s="46">
        <v>40075</v>
      </c>
      <c r="F37" s="30" t="str">
        <f>VLOOKUP(YEAR(Tabel1[[#This Row],[Geb datum]]),Tabel8[#All],3,FALSE)</f>
        <v>B</v>
      </c>
      <c r="G37" s="30" t="s">
        <v>24</v>
      </c>
      <c r="H37" s="30" t="s">
        <v>30</v>
      </c>
      <c r="I37" s="41"/>
      <c r="K37" s="40" t="s">
        <v>264</v>
      </c>
      <c r="L37" s="28" t="s">
        <v>265</v>
      </c>
      <c r="M37" s="28" t="s">
        <v>255</v>
      </c>
      <c r="N37" s="30">
        <f>VLOOKUP(YEAR(Tabel3[[#This Row],[Geb datum]]),Tabel8[#All],2,FALSE)</f>
        <v>17</v>
      </c>
      <c r="O37" s="29">
        <v>39196</v>
      </c>
      <c r="P37" s="30" t="str">
        <f>VLOOKUP(YEAR(Tabel3[[#This Row],[Geb datum]]),Tabel8[#All],3,FALSE)</f>
        <v>A</v>
      </c>
      <c r="Q37" s="30" t="s">
        <v>2</v>
      </c>
      <c r="R37" s="30" t="s">
        <v>16</v>
      </c>
      <c r="S37" s="42"/>
    </row>
    <row r="38" spans="1:19">
      <c r="A38" s="40" t="s">
        <v>266</v>
      </c>
      <c r="B38" s="28" t="s">
        <v>267</v>
      </c>
      <c r="C38" s="28" t="s">
        <v>268</v>
      </c>
      <c r="D38" s="30">
        <f>VLOOKUP(YEAR(Tabel1[[#This Row],[Geb datum]]),Tabel8[#All],2,FALSE)</f>
        <v>12</v>
      </c>
      <c r="E38" s="46">
        <v>41223</v>
      </c>
      <c r="F38" s="30" t="str">
        <f>VLOOKUP(YEAR(Tabel1[[#This Row],[Geb datum]]),Tabel8[#All],3,FALSE)</f>
        <v>C</v>
      </c>
      <c r="G38" s="30" t="s">
        <v>83</v>
      </c>
      <c r="H38" s="30" t="s">
        <v>36</v>
      </c>
      <c r="I38" s="41"/>
      <c r="K38" s="40" t="s">
        <v>269</v>
      </c>
      <c r="L38" s="28" t="s">
        <v>270</v>
      </c>
      <c r="M38" s="28" t="s">
        <v>271</v>
      </c>
      <c r="N38" s="30">
        <f>VLOOKUP(YEAR(Tabel3[[#This Row],[Geb datum]]),Tabel8[#All],2,FALSE)</f>
        <v>11</v>
      </c>
      <c r="O38" s="29">
        <v>41375</v>
      </c>
      <c r="P38" s="30" t="str">
        <f>VLOOKUP(YEAR(Tabel3[[#This Row],[Geb datum]]),Tabel8[#All],3,FALSE)</f>
        <v>D</v>
      </c>
      <c r="Q38" s="30" t="s">
        <v>34</v>
      </c>
      <c r="R38" s="30" t="s">
        <v>35</v>
      </c>
      <c r="S38" s="42"/>
    </row>
    <row r="39" spans="1:19">
      <c r="A39" s="40" t="s">
        <v>272</v>
      </c>
      <c r="B39" s="28" t="s">
        <v>273</v>
      </c>
      <c r="C39" s="28" t="s">
        <v>268</v>
      </c>
      <c r="D39" s="30">
        <f>VLOOKUP(YEAR(Tabel1[[#This Row],[Geb datum]]),Tabel8[#All],2,FALSE)</f>
        <v>16</v>
      </c>
      <c r="E39" s="46">
        <v>39804</v>
      </c>
      <c r="F39" s="30" t="str">
        <f>VLOOKUP(YEAR(Tabel1[[#This Row],[Geb datum]]),Tabel8[#All],3,FALSE)</f>
        <v>A</v>
      </c>
      <c r="G39" s="30" t="s">
        <v>2</v>
      </c>
      <c r="H39" s="30" t="s">
        <v>22</v>
      </c>
      <c r="I39" s="41"/>
      <c r="K39" s="40" t="s">
        <v>274</v>
      </c>
      <c r="L39" s="28" t="s">
        <v>275</v>
      </c>
      <c r="M39" s="28" t="s">
        <v>276</v>
      </c>
      <c r="N39" s="30">
        <f>VLOOKUP(YEAR(Tabel3[[#This Row],[Geb datum]]),Tabel8[#All],2,FALSE)</f>
        <v>9</v>
      </c>
      <c r="O39" s="29">
        <v>42011</v>
      </c>
      <c r="P39" s="30" t="str">
        <f>VLOOKUP(YEAR(Tabel3[[#This Row],[Geb datum]]),Tabel8[#All],3,FALSE)</f>
        <v>E</v>
      </c>
      <c r="Q39" s="30" t="s">
        <v>40</v>
      </c>
      <c r="R39" s="30" t="s">
        <v>43</v>
      </c>
      <c r="S39" s="42"/>
    </row>
    <row r="40" spans="1:19">
      <c r="A40" s="40" t="s">
        <v>277</v>
      </c>
      <c r="B40" s="28" t="s">
        <v>278</v>
      </c>
      <c r="C40" s="28" t="s">
        <v>279</v>
      </c>
      <c r="D40" s="30">
        <f>VLOOKUP(YEAR(Tabel1[[#This Row],[Geb datum]]),Tabel8[#All],2,FALSE)</f>
        <v>11</v>
      </c>
      <c r="E40" s="46">
        <v>41344</v>
      </c>
      <c r="F40" s="30" t="str">
        <f>VLOOKUP(YEAR(Tabel1[[#This Row],[Geb datum]]),Tabel8[#All],3,FALSE)</f>
        <v>D</v>
      </c>
      <c r="G40" s="30" t="s">
        <v>36</v>
      </c>
      <c r="H40" s="30" t="s">
        <v>155</v>
      </c>
      <c r="I40" s="41"/>
      <c r="K40" s="40" t="s">
        <v>280</v>
      </c>
      <c r="L40" s="28" t="s">
        <v>281</v>
      </c>
      <c r="M40" s="28" t="s">
        <v>282</v>
      </c>
      <c r="N40" s="30">
        <f>VLOOKUP(YEAR(Tabel3[[#This Row],[Geb datum]]),Tabel8[#All],2,FALSE)</f>
        <v>36</v>
      </c>
      <c r="O40" s="29">
        <v>32170</v>
      </c>
      <c r="P40" s="30" t="str">
        <f>VLOOKUP(YEAR(Tabel3[[#This Row],[Geb datum]]),Tabel8[#All],3,FALSE)</f>
        <v>S</v>
      </c>
      <c r="Q40" s="30" t="s">
        <v>13</v>
      </c>
      <c r="R40" s="30" t="s">
        <v>13</v>
      </c>
      <c r="S40" s="42"/>
    </row>
    <row r="41" spans="1:19">
      <c r="A41" s="40" t="s">
        <v>283</v>
      </c>
      <c r="B41" s="28" t="s">
        <v>284</v>
      </c>
      <c r="C41" s="28" t="s">
        <v>285</v>
      </c>
      <c r="D41" s="30">
        <f>VLOOKUP(YEAR(Tabel1[[#This Row],[Geb datum]]),Tabel8[#All],2,FALSE)</f>
        <v>11</v>
      </c>
      <c r="E41" s="46">
        <v>41586</v>
      </c>
      <c r="F41" s="30" t="str">
        <f>VLOOKUP(YEAR(Tabel1[[#This Row],[Geb datum]]),Tabel8[#All],3,FALSE)</f>
        <v>D</v>
      </c>
      <c r="G41" s="30" t="s">
        <v>36</v>
      </c>
      <c r="H41" s="30" t="s">
        <v>41</v>
      </c>
      <c r="I41" s="41"/>
      <c r="K41" s="40"/>
      <c r="L41" s="28" t="s">
        <v>286</v>
      </c>
      <c r="M41" s="28"/>
      <c r="N41" s="30">
        <f>VLOOKUP(YEAR(Tabel3[[#This Row],[Geb datum]]),Tabel8[#All],2,FALSE)</f>
        <v>24</v>
      </c>
      <c r="O41" s="29">
        <v>36526</v>
      </c>
      <c r="P41" s="30" t="str">
        <f>VLOOKUP(YEAR(Tabel3[[#This Row],[Geb datum]]),Tabel8[#All],3,FALSE)</f>
        <v>S</v>
      </c>
      <c r="Q41" s="30" t="s">
        <v>9</v>
      </c>
      <c r="R41" s="30"/>
      <c r="S41" s="42"/>
    </row>
    <row r="42" spans="1:19">
      <c r="A42" s="40" t="s">
        <v>287</v>
      </c>
      <c r="B42" s="28" t="s">
        <v>288</v>
      </c>
      <c r="C42" s="28" t="s">
        <v>289</v>
      </c>
      <c r="D42" s="30">
        <f>VLOOKUP(YEAR(Tabel1[[#This Row],[Geb datum]]),Tabel8[#All],2,FALSE)</f>
        <v>14</v>
      </c>
      <c r="E42" s="46">
        <v>40512</v>
      </c>
      <c r="F42" s="30" t="str">
        <f>VLOOKUP(YEAR(Tabel1[[#This Row],[Geb datum]]),Tabel8[#All],3,FALSE)</f>
        <v>B</v>
      </c>
      <c r="G42" s="30" t="s">
        <v>23</v>
      </c>
      <c r="H42" s="30" t="s">
        <v>29</v>
      </c>
      <c r="I42" s="41"/>
      <c r="K42" s="40"/>
      <c r="L42" s="28" t="s">
        <v>286</v>
      </c>
      <c r="M42" s="28"/>
      <c r="N42" s="30">
        <f>VLOOKUP(YEAR(Tabel3[[#This Row],[Geb datum]]),Tabel8[#All],2,FALSE)</f>
        <v>24</v>
      </c>
      <c r="O42" s="29">
        <v>36526</v>
      </c>
      <c r="P42" s="30" t="str">
        <f>VLOOKUP(YEAR(Tabel3[[#This Row],[Geb datum]]),Tabel8[#All],3,FALSE)</f>
        <v>S</v>
      </c>
      <c r="Q42" s="30" t="s">
        <v>9</v>
      </c>
      <c r="R42" s="30"/>
      <c r="S42" s="42"/>
    </row>
    <row r="43" spans="1:19">
      <c r="A43" s="40" t="s">
        <v>290</v>
      </c>
      <c r="B43" s="28" t="s">
        <v>291</v>
      </c>
      <c r="C43" s="28" t="s">
        <v>292</v>
      </c>
      <c r="D43" s="30">
        <f>VLOOKUP(YEAR(Tabel1[[#This Row],[Geb datum]]),Tabel8[#All],2,FALSE)</f>
        <v>14</v>
      </c>
      <c r="E43" s="46">
        <v>40328</v>
      </c>
      <c r="F43" s="30" t="str">
        <f>VLOOKUP(YEAR(Tabel1[[#This Row],[Geb datum]]),Tabel8[#All],3,FALSE)</f>
        <v>B</v>
      </c>
      <c r="G43" s="30" t="s">
        <v>27</v>
      </c>
      <c r="H43" s="30" t="s">
        <v>28</v>
      </c>
      <c r="I43" s="41"/>
      <c r="K43" s="40" t="s">
        <v>293</v>
      </c>
      <c r="L43" s="28" t="s">
        <v>294</v>
      </c>
      <c r="M43" s="28" t="s">
        <v>295</v>
      </c>
      <c r="N43" s="30">
        <f>VLOOKUP(YEAR(Tabel3[[#This Row],[Geb datum]]),Tabel8[#All],2,FALSE)</f>
        <v>17</v>
      </c>
      <c r="O43" s="29">
        <v>39356</v>
      </c>
      <c r="P43" s="30" t="str">
        <f>VLOOKUP(YEAR(Tabel3[[#This Row],[Geb datum]]),Tabel8[#All],3,FALSE)</f>
        <v>A</v>
      </c>
      <c r="Q43" s="30" t="s">
        <v>2</v>
      </c>
      <c r="R43" s="30" t="s">
        <v>15</v>
      </c>
      <c r="S43" s="42"/>
    </row>
    <row r="44" spans="1:19">
      <c r="A44" s="40" t="s">
        <v>296</v>
      </c>
      <c r="B44" s="28" t="s">
        <v>297</v>
      </c>
      <c r="C44" s="28" t="s">
        <v>298</v>
      </c>
      <c r="D44" s="30">
        <f>VLOOKUP(YEAR(Tabel1[[#This Row],[Geb datum]]),Tabel8[#All],2,FALSE)</f>
        <v>28</v>
      </c>
      <c r="E44" s="46">
        <v>35337</v>
      </c>
      <c r="F44" s="30" t="str">
        <f>VLOOKUP(YEAR(Tabel1[[#This Row],[Geb datum]]),Tabel8[#All],3,FALSE)</f>
        <v>S</v>
      </c>
      <c r="G44" s="30" t="s">
        <v>8</v>
      </c>
      <c r="H44" s="30" t="s">
        <v>8</v>
      </c>
      <c r="I44" s="41"/>
      <c r="K44" s="40" t="s">
        <v>299</v>
      </c>
      <c r="L44" s="28" t="s">
        <v>300</v>
      </c>
      <c r="M44" s="28" t="s">
        <v>301</v>
      </c>
      <c r="N44" s="30">
        <f>VLOOKUP(YEAR(Tabel3[[#This Row],[Geb datum]]),Tabel8[#All],2,FALSE)</f>
        <v>27</v>
      </c>
      <c r="O44" s="29">
        <v>35451</v>
      </c>
      <c r="P44" s="30" t="str">
        <f>VLOOKUP(YEAR(Tabel3[[#This Row],[Geb datum]]),Tabel8[#All],3,FALSE)</f>
        <v>S</v>
      </c>
      <c r="Q44" s="30" t="s">
        <v>83</v>
      </c>
      <c r="R44" s="30" t="s">
        <v>7</v>
      </c>
      <c r="S44" s="42"/>
    </row>
    <row r="45" spans="1:19">
      <c r="A45" s="40" t="s">
        <v>302</v>
      </c>
      <c r="B45" s="28" t="s">
        <v>303</v>
      </c>
      <c r="C45" s="28" t="s">
        <v>298</v>
      </c>
      <c r="D45" s="30">
        <f>VLOOKUP(YEAR(Tabel1[[#This Row],[Geb datum]]),Tabel8[#All],2,FALSE)</f>
        <v>11</v>
      </c>
      <c r="E45" s="46">
        <v>41323</v>
      </c>
      <c r="F45" s="30" t="str">
        <f>VLOOKUP(YEAR(Tabel1[[#This Row],[Geb datum]]),Tabel8[#All],3,FALSE)</f>
        <v>D</v>
      </c>
      <c r="G45" s="30" t="s">
        <v>34</v>
      </c>
      <c r="H45" s="30" t="s">
        <v>35</v>
      </c>
      <c r="I45" s="41"/>
      <c r="K45" s="40" t="s">
        <v>304</v>
      </c>
      <c r="L45" s="28" t="s">
        <v>305</v>
      </c>
      <c r="M45" s="28" t="s">
        <v>306</v>
      </c>
      <c r="N45" s="30">
        <f>VLOOKUP(YEAR(Tabel3[[#This Row],[Geb datum]]),Tabel8[#All],2,FALSE)</f>
        <v>34</v>
      </c>
      <c r="O45" s="29">
        <v>33100</v>
      </c>
      <c r="P45" s="30" t="str">
        <f>VLOOKUP(YEAR(Tabel3[[#This Row],[Geb datum]]),Tabel8[#All],3,FALSE)</f>
        <v>S</v>
      </c>
      <c r="Q45" s="30" t="s">
        <v>8</v>
      </c>
      <c r="R45" s="30" t="s">
        <v>8</v>
      </c>
      <c r="S45" s="42"/>
    </row>
    <row r="46" spans="1:19">
      <c r="A46" s="40" t="s">
        <v>307</v>
      </c>
      <c r="B46" s="28" t="s">
        <v>308</v>
      </c>
      <c r="C46" s="28" t="s">
        <v>298</v>
      </c>
      <c r="D46" s="30">
        <f>VLOOKUP(YEAR(Tabel1[[#This Row],[Geb datum]]),Tabel8[#All],2,FALSE)</f>
        <v>32</v>
      </c>
      <c r="E46" s="46">
        <v>33690</v>
      </c>
      <c r="F46" s="30" t="str">
        <f>VLOOKUP(YEAR(Tabel1[[#This Row],[Geb datum]]),Tabel8[#All],3,FALSE)</f>
        <v>S</v>
      </c>
      <c r="G46" s="30" t="s">
        <v>62</v>
      </c>
      <c r="H46" s="30" t="s">
        <v>9</v>
      </c>
      <c r="I46" s="41"/>
      <c r="K46" s="40" t="s">
        <v>309</v>
      </c>
      <c r="L46" s="28" t="s">
        <v>310</v>
      </c>
      <c r="M46" s="28" t="s">
        <v>311</v>
      </c>
      <c r="N46" s="30">
        <f>VLOOKUP(YEAR(Tabel3[[#This Row],[Geb datum]]),Tabel8[#All],2,FALSE)</f>
        <v>55</v>
      </c>
      <c r="O46" s="56">
        <v>25273</v>
      </c>
      <c r="P46" s="30" t="str">
        <f>VLOOKUP(YEAR(Tabel3[[#This Row],[Geb datum]]),Tabel8[#All],3,FALSE)</f>
        <v>S</v>
      </c>
      <c r="Q46" s="30" t="s">
        <v>83</v>
      </c>
      <c r="R46" s="30" t="s">
        <v>13</v>
      </c>
      <c r="S46" s="42"/>
    </row>
    <row r="47" spans="1:19">
      <c r="A47" s="40" t="s">
        <v>312</v>
      </c>
      <c r="B47" s="28" t="s">
        <v>313</v>
      </c>
      <c r="C47" s="28" t="s">
        <v>314</v>
      </c>
      <c r="D47" s="30">
        <f>VLOOKUP(YEAR(Tabel1[[#This Row],[Geb datum]]),Tabel8[#All],2,FALSE)</f>
        <v>12</v>
      </c>
      <c r="E47" s="46">
        <v>41014</v>
      </c>
      <c r="F47" s="30" t="str">
        <f>VLOOKUP(YEAR(Tabel1[[#This Row],[Geb datum]]),Tabel8[#All],3,FALSE)</f>
        <v>C</v>
      </c>
      <c r="G47" s="30" t="s">
        <v>28</v>
      </c>
      <c r="H47" s="30" t="s">
        <v>33</v>
      </c>
      <c r="I47" s="41"/>
      <c r="K47" s="40" t="s">
        <v>315</v>
      </c>
      <c r="L47" s="28" t="s">
        <v>316</v>
      </c>
      <c r="M47" s="28" t="s">
        <v>317</v>
      </c>
      <c r="N47" s="30">
        <f>VLOOKUP(YEAR(Tabel3[[#This Row],[Geb datum]]),Tabel8[#All],2,FALSE)</f>
        <v>15</v>
      </c>
      <c r="O47" s="29">
        <v>40169</v>
      </c>
      <c r="P47" s="30" t="str">
        <f>VLOOKUP(YEAR(Tabel3[[#This Row],[Geb datum]]),Tabel8[#All],3,FALSE)</f>
        <v>B</v>
      </c>
      <c r="Q47" s="30" t="s">
        <v>3</v>
      </c>
      <c r="R47" s="30" t="s">
        <v>22</v>
      </c>
      <c r="S47" s="42"/>
    </row>
    <row r="48" spans="1:19">
      <c r="A48" s="40" t="s">
        <v>318</v>
      </c>
      <c r="B48" s="28" t="s">
        <v>319</v>
      </c>
      <c r="C48" s="28" t="s">
        <v>314</v>
      </c>
      <c r="D48" s="30">
        <f>VLOOKUP(YEAR(Tabel1[[#This Row],[Geb datum]]),Tabel8[#All],2,FALSE)</f>
        <v>22</v>
      </c>
      <c r="E48" s="46">
        <v>37551</v>
      </c>
      <c r="F48" s="30" t="str">
        <f>VLOOKUP(YEAR(Tabel1[[#This Row],[Geb datum]]),Tabel8[#All],3,FALSE)</f>
        <v>S</v>
      </c>
      <c r="G48" s="30" t="s">
        <v>1</v>
      </c>
      <c r="H48" s="30" t="s">
        <v>7</v>
      </c>
      <c r="I48" s="41"/>
      <c r="K48" s="40" t="s">
        <v>320</v>
      </c>
      <c r="L48" s="28" t="s">
        <v>321</v>
      </c>
      <c r="M48" s="28" t="s">
        <v>317</v>
      </c>
      <c r="N48" s="30">
        <f>VLOOKUP(YEAR(Tabel3[[#This Row],[Geb datum]]),Tabel8[#All],2,FALSE)</f>
        <v>17</v>
      </c>
      <c r="O48" s="29">
        <v>39367</v>
      </c>
      <c r="P48" s="30" t="str">
        <f>VLOOKUP(YEAR(Tabel3[[#This Row],[Geb datum]]),Tabel8[#All],3,FALSE)</f>
        <v>A</v>
      </c>
      <c r="Q48" s="30" t="s">
        <v>2</v>
      </c>
      <c r="R48" s="30" t="s">
        <v>15</v>
      </c>
      <c r="S48" s="42"/>
    </row>
    <row r="49" spans="1:19">
      <c r="A49" s="40" t="s">
        <v>322</v>
      </c>
      <c r="B49" s="28" t="s">
        <v>323</v>
      </c>
      <c r="C49" s="28" t="s">
        <v>314</v>
      </c>
      <c r="D49" s="30">
        <f>VLOOKUP(YEAR(Tabel1[[#This Row],[Geb datum]]),Tabel8[#All],2,FALSE)</f>
        <v>12</v>
      </c>
      <c r="E49" s="46">
        <v>41167</v>
      </c>
      <c r="F49" s="30" t="str">
        <f>VLOOKUP(YEAR(Tabel1[[#This Row],[Geb datum]]),Tabel8[#All],3,FALSE)</f>
        <v>C</v>
      </c>
      <c r="G49" s="30" t="s">
        <v>27</v>
      </c>
      <c r="H49" s="30" t="s">
        <v>28</v>
      </c>
      <c r="I49" s="41"/>
      <c r="K49" s="40" t="s">
        <v>324</v>
      </c>
      <c r="L49" s="28" t="s">
        <v>325</v>
      </c>
      <c r="M49" s="28" t="s">
        <v>326</v>
      </c>
      <c r="N49" s="30">
        <f>VLOOKUP(YEAR(Tabel3[[#This Row],[Geb datum]]),Tabel8[#All],2,FALSE)</f>
        <v>39</v>
      </c>
      <c r="O49" s="56">
        <v>31083</v>
      </c>
      <c r="P49" s="30" t="str">
        <f>VLOOKUP(YEAR(Tabel3[[#This Row],[Geb datum]]),Tabel8[#All],3,FALSE)</f>
        <v>S</v>
      </c>
      <c r="Q49" s="30" t="s">
        <v>62</v>
      </c>
      <c r="R49" s="30" t="s">
        <v>62</v>
      </c>
      <c r="S49" s="42"/>
    </row>
    <row r="50" spans="1:19">
      <c r="A50" s="40" t="s">
        <v>327</v>
      </c>
      <c r="B50" s="28" t="s">
        <v>328</v>
      </c>
      <c r="C50" s="28" t="s">
        <v>329</v>
      </c>
      <c r="D50" s="30">
        <f>VLOOKUP(YEAR(Tabel1[[#This Row],[Geb datum]]),Tabel8[#All],2,FALSE)</f>
        <v>11</v>
      </c>
      <c r="E50" s="46">
        <v>41407</v>
      </c>
      <c r="F50" s="30" t="str">
        <f>VLOOKUP(YEAR(Tabel1[[#This Row],[Geb datum]]),Tabel8[#All],3,FALSE)</f>
        <v>D</v>
      </c>
      <c r="G50" s="30" t="s">
        <v>33</v>
      </c>
      <c r="H50" s="30" t="s">
        <v>34</v>
      </c>
      <c r="I50" s="41"/>
      <c r="K50" s="40" t="s">
        <v>330</v>
      </c>
      <c r="L50" s="28" t="s">
        <v>331</v>
      </c>
      <c r="M50" s="28" t="s">
        <v>326</v>
      </c>
      <c r="N50" s="30">
        <f>VLOOKUP(YEAR(Tabel3[[#This Row],[Geb datum]]),Tabel8[#All],2,FALSE)</f>
        <v>15</v>
      </c>
      <c r="O50" s="29">
        <v>40100</v>
      </c>
      <c r="P50" s="30" t="str">
        <f>VLOOKUP(YEAR(Tabel3[[#This Row],[Geb datum]]),Tabel8[#All],3,FALSE)</f>
        <v>B</v>
      </c>
      <c r="Q50" s="30" t="s">
        <v>3</v>
      </c>
      <c r="R50" s="51" t="s">
        <v>22</v>
      </c>
      <c r="S50" s="42"/>
    </row>
    <row r="51" spans="1:19">
      <c r="A51" s="40" t="s">
        <v>332</v>
      </c>
      <c r="B51" s="28" t="s">
        <v>333</v>
      </c>
      <c r="C51" s="28" t="s">
        <v>334</v>
      </c>
      <c r="D51" s="30">
        <f>VLOOKUP(YEAR(Tabel1[[#This Row],[Geb datum]]),Tabel8[#All],2,FALSE)</f>
        <v>14</v>
      </c>
      <c r="E51" s="46">
        <v>40329</v>
      </c>
      <c r="F51" s="30" t="str">
        <f>VLOOKUP(YEAR(Tabel1[[#This Row],[Geb datum]]),Tabel8[#All],3,FALSE)</f>
        <v>B</v>
      </c>
      <c r="G51" s="30" t="s">
        <v>24</v>
      </c>
      <c r="H51" s="30" t="s">
        <v>30</v>
      </c>
      <c r="I51" s="41"/>
      <c r="K51" s="40" t="s">
        <v>335</v>
      </c>
      <c r="L51" s="28" t="s">
        <v>336</v>
      </c>
      <c r="M51" s="28" t="s">
        <v>337</v>
      </c>
      <c r="N51" s="30">
        <f>VLOOKUP(YEAR(Tabel3[[#This Row],[Geb datum]]),Tabel8[#All],2,FALSE)</f>
        <v>21</v>
      </c>
      <c r="O51" s="29">
        <v>37974</v>
      </c>
      <c r="P51" s="30" t="str">
        <f>VLOOKUP(YEAR(Tabel3[[#This Row],[Geb datum]]),Tabel8[#All],3,FALSE)</f>
        <v>S</v>
      </c>
      <c r="Q51" s="30" t="s">
        <v>11</v>
      </c>
      <c r="R51" s="30" t="s">
        <v>11</v>
      </c>
      <c r="S51" s="42"/>
    </row>
    <row r="52" spans="1:19">
      <c r="A52" s="40" t="s">
        <v>338</v>
      </c>
      <c r="B52" s="28" t="s">
        <v>339</v>
      </c>
      <c r="C52" s="28" t="s">
        <v>340</v>
      </c>
      <c r="D52" s="30">
        <f>VLOOKUP(YEAR(Tabel1[[#This Row],[Geb datum]]),Tabel8[#All],2,FALSE)</f>
        <v>13</v>
      </c>
      <c r="E52" s="46">
        <v>40722</v>
      </c>
      <c r="F52" s="30" t="str">
        <f>VLOOKUP(YEAR(Tabel1[[#This Row],[Geb datum]]),Tabel8[#All],3,FALSE)</f>
        <v>C</v>
      </c>
      <c r="G52" s="30" t="s">
        <v>28</v>
      </c>
      <c r="H52" s="30" t="s">
        <v>29</v>
      </c>
      <c r="I52" s="41"/>
      <c r="K52" s="40" t="s">
        <v>341</v>
      </c>
      <c r="L52" s="28" t="s">
        <v>342</v>
      </c>
      <c r="M52" s="28" t="s">
        <v>337</v>
      </c>
      <c r="N52" s="30">
        <f>VLOOKUP(YEAR(Tabel3[[#This Row],[Geb datum]]),Tabel8[#All],2,FALSE)</f>
        <v>19</v>
      </c>
      <c r="O52" s="29">
        <v>38578</v>
      </c>
      <c r="P52" s="30" t="str">
        <f>VLOOKUP(YEAR(Tabel3[[#This Row],[Geb datum]]),Tabel8[#All],3,FALSE)</f>
        <v>S</v>
      </c>
      <c r="Q52" s="30" t="s">
        <v>1</v>
      </c>
      <c r="R52" s="30" t="s">
        <v>15</v>
      </c>
      <c r="S52" s="42"/>
    </row>
    <row r="53" spans="1:19">
      <c r="A53" s="40" t="s">
        <v>343</v>
      </c>
      <c r="B53" s="28" t="s">
        <v>344</v>
      </c>
      <c r="C53" s="28" t="s">
        <v>345</v>
      </c>
      <c r="D53" s="30">
        <f>VLOOKUP(YEAR(Tabel1[[#This Row],[Geb datum]]),Tabel8[#All],2,FALSE)</f>
        <v>11</v>
      </c>
      <c r="E53" s="46">
        <v>41477</v>
      </c>
      <c r="F53" s="30" t="str">
        <f>VLOOKUP(YEAR(Tabel1[[#This Row],[Geb datum]]),Tabel8[#All],3,FALSE)</f>
        <v>D</v>
      </c>
      <c r="G53" s="30" t="s">
        <v>33</v>
      </c>
      <c r="H53" s="30" t="s">
        <v>34</v>
      </c>
      <c r="I53" s="41"/>
      <c r="K53" s="40" t="s">
        <v>346</v>
      </c>
      <c r="L53" s="28" t="s">
        <v>347</v>
      </c>
      <c r="M53" s="28" t="s">
        <v>348</v>
      </c>
      <c r="N53" s="30">
        <f>VLOOKUP(YEAR(Tabel3[[#This Row],[Geb datum]]),Tabel8[#All],2,FALSE)</f>
        <v>28</v>
      </c>
      <c r="O53" s="29">
        <v>35145</v>
      </c>
      <c r="P53" s="30" t="str">
        <f>VLOOKUP(YEAR(Tabel3[[#This Row],[Geb datum]]),Tabel8[#All],3,FALSE)</f>
        <v>S</v>
      </c>
      <c r="Q53" s="30" t="s">
        <v>62</v>
      </c>
      <c r="R53" s="30" t="s">
        <v>62</v>
      </c>
      <c r="S53" s="42"/>
    </row>
    <row r="54" spans="1:19">
      <c r="A54" s="40" t="s">
        <v>349</v>
      </c>
      <c r="B54" s="28" t="s">
        <v>350</v>
      </c>
      <c r="C54" s="28" t="s">
        <v>351</v>
      </c>
      <c r="D54" s="30">
        <f>VLOOKUP(YEAR(Tabel1[[#This Row],[Geb datum]]),Tabel8[#All],2,FALSE)</f>
        <v>12</v>
      </c>
      <c r="E54" s="46">
        <v>41159</v>
      </c>
      <c r="F54" s="30" t="str">
        <f>VLOOKUP(YEAR(Tabel1[[#This Row],[Geb datum]]),Tabel8[#All],3,FALSE)</f>
        <v>C</v>
      </c>
      <c r="G54" s="30" t="s">
        <v>29</v>
      </c>
      <c r="H54" s="30" t="s">
        <v>35</v>
      </c>
      <c r="I54" s="41"/>
      <c r="K54" s="40" t="s">
        <v>352</v>
      </c>
      <c r="L54" s="28" t="s">
        <v>353</v>
      </c>
      <c r="M54" s="28" t="s">
        <v>354</v>
      </c>
      <c r="N54" s="30">
        <f>VLOOKUP(YEAR(Tabel3[[#This Row],[Geb datum]]),Tabel8[#All],2,FALSE)</f>
        <v>14</v>
      </c>
      <c r="O54" s="29">
        <v>40309</v>
      </c>
      <c r="P54" s="30" t="str">
        <f>VLOOKUP(YEAR(Tabel3[[#This Row],[Geb datum]]),Tabel8[#All],3,FALSE)</f>
        <v>B</v>
      </c>
      <c r="Q54" s="30" t="s">
        <v>23</v>
      </c>
      <c r="R54" s="30" t="s">
        <v>29</v>
      </c>
      <c r="S54" s="42"/>
    </row>
    <row r="55" spans="1:19">
      <c r="A55" s="40" t="s">
        <v>355</v>
      </c>
      <c r="B55" s="28" t="s">
        <v>356</v>
      </c>
      <c r="C55" s="28" t="s">
        <v>351</v>
      </c>
      <c r="D55" s="30">
        <f>VLOOKUP(YEAR(Tabel1[[#This Row],[Geb datum]]),Tabel8[#All],2,FALSE)</f>
        <v>14</v>
      </c>
      <c r="E55" s="46">
        <v>40429</v>
      </c>
      <c r="F55" s="30" t="str">
        <f>VLOOKUP(YEAR(Tabel1[[#This Row],[Geb datum]]),Tabel8[#All],3,FALSE)</f>
        <v>B</v>
      </c>
      <c r="G55" s="30" t="s">
        <v>3</v>
      </c>
      <c r="H55" s="30" t="s">
        <v>28</v>
      </c>
      <c r="I55" s="41"/>
      <c r="K55" s="40" t="s">
        <v>357</v>
      </c>
      <c r="L55" s="28" t="s">
        <v>358</v>
      </c>
      <c r="M55" s="28" t="s">
        <v>359</v>
      </c>
      <c r="N55" s="30">
        <f>VLOOKUP(YEAR(Tabel3[[#This Row],[Geb datum]]),Tabel8[#All],2,FALSE)</f>
        <v>19</v>
      </c>
      <c r="O55" s="29">
        <v>38502</v>
      </c>
      <c r="P55" s="30" t="str">
        <f>VLOOKUP(YEAR(Tabel3[[#This Row],[Geb datum]]),Tabel8[#All],3,FALSE)</f>
        <v>S</v>
      </c>
      <c r="Q55" s="30" t="s">
        <v>1</v>
      </c>
      <c r="R55" s="30" t="s">
        <v>16</v>
      </c>
      <c r="S55" s="42"/>
    </row>
    <row r="56" spans="1:19">
      <c r="A56" s="40" t="s">
        <v>360</v>
      </c>
      <c r="B56" s="28" t="s">
        <v>361</v>
      </c>
      <c r="C56" s="28" t="s">
        <v>362</v>
      </c>
      <c r="D56" s="30">
        <f>VLOOKUP(YEAR(Tabel1[[#This Row],[Geb datum]]),Tabel8[#All],2,FALSE)</f>
        <v>9</v>
      </c>
      <c r="E56" s="46">
        <v>42333</v>
      </c>
      <c r="F56" s="30" t="str">
        <f>VLOOKUP(YEAR(Tabel1[[#This Row],[Geb datum]]),Tabel8[#All],3,FALSE)</f>
        <v>E</v>
      </c>
      <c r="G56" s="30" t="s">
        <v>83</v>
      </c>
      <c r="H56" s="30" t="s">
        <v>43</v>
      </c>
      <c r="I56" s="41"/>
      <c r="K56" s="40" t="s">
        <v>363</v>
      </c>
      <c r="L56" s="28" t="s">
        <v>364</v>
      </c>
      <c r="M56" s="28" t="s">
        <v>365</v>
      </c>
      <c r="N56" s="30">
        <f>VLOOKUP(YEAR(Tabel3[[#This Row],[Geb datum]]),Tabel8[#All],2,FALSE)</f>
        <v>10</v>
      </c>
      <c r="O56" s="29">
        <v>41760</v>
      </c>
      <c r="P56" s="30" t="str">
        <f>VLOOKUP(YEAR(Tabel3[[#This Row],[Geb datum]]),Tabel8[#All],3,FALSE)</f>
        <v>D</v>
      </c>
      <c r="Q56" s="30" t="s">
        <v>36</v>
      </c>
      <c r="R56" s="30" t="s">
        <v>42</v>
      </c>
      <c r="S56" s="42"/>
    </row>
    <row r="57" spans="1:19">
      <c r="A57" s="40" t="s">
        <v>366</v>
      </c>
      <c r="B57" s="28" t="s">
        <v>367</v>
      </c>
      <c r="C57" s="28" t="s">
        <v>368</v>
      </c>
      <c r="D57" s="30">
        <f>VLOOKUP(YEAR(Tabel1[[#This Row],[Geb datum]]),Tabel8[#All],2,FALSE)</f>
        <v>14</v>
      </c>
      <c r="E57" s="46">
        <v>40344</v>
      </c>
      <c r="F57" s="30" t="str">
        <f>VLOOKUP(YEAR(Tabel1[[#This Row],[Geb datum]]),Tabel8[#All],3,FALSE)</f>
        <v>B</v>
      </c>
      <c r="G57" s="30" t="s">
        <v>23</v>
      </c>
      <c r="H57" s="30" t="s">
        <v>29</v>
      </c>
      <c r="I57" s="41"/>
      <c r="K57" s="40" t="s">
        <v>369</v>
      </c>
      <c r="L57" s="28" t="s">
        <v>370</v>
      </c>
      <c r="M57" s="28" t="s">
        <v>365</v>
      </c>
      <c r="N57" s="30">
        <f>VLOOKUP(YEAR(Tabel3[[#This Row],[Geb datum]]),Tabel8[#All],2,FALSE)</f>
        <v>12</v>
      </c>
      <c r="O57" s="29">
        <v>40929</v>
      </c>
      <c r="P57" s="30" t="str">
        <f>VLOOKUP(YEAR(Tabel3[[#This Row],[Geb datum]]),Tabel8[#All],3,FALSE)</f>
        <v>C</v>
      </c>
      <c r="Q57" s="30" t="s">
        <v>28</v>
      </c>
      <c r="R57" s="30" t="s">
        <v>33</v>
      </c>
      <c r="S57" s="42"/>
    </row>
    <row r="58" spans="1:19">
      <c r="A58" s="40" t="s">
        <v>371</v>
      </c>
      <c r="B58" s="28" t="s">
        <v>372</v>
      </c>
      <c r="C58" s="28" t="s">
        <v>373</v>
      </c>
      <c r="D58" s="30">
        <f>VLOOKUP(YEAR(Tabel1[[#This Row],[Geb datum]]),Tabel8[#All],2,FALSE)</f>
        <v>12</v>
      </c>
      <c r="E58" s="46">
        <v>41068</v>
      </c>
      <c r="F58" s="30" t="str">
        <f>VLOOKUP(YEAR(Tabel1[[#This Row],[Geb datum]]),Tabel8[#All],3,FALSE)</f>
        <v>C</v>
      </c>
      <c r="G58" s="30" t="s">
        <v>28</v>
      </c>
      <c r="H58" s="30" t="s">
        <v>34</v>
      </c>
      <c r="I58" s="41"/>
      <c r="K58" s="40" t="s">
        <v>374</v>
      </c>
      <c r="L58" s="28" t="s">
        <v>375</v>
      </c>
      <c r="M58" s="28" t="s">
        <v>376</v>
      </c>
      <c r="N58" s="30">
        <f>VLOOKUP(YEAR(Tabel3[[#This Row],[Geb datum]]),Tabel8[#All],2,FALSE)</f>
        <v>26</v>
      </c>
      <c r="O58" s="29">
        <v>35873</v>
      </c>
      <c r="P58" s="30" t="str">
        <f>VLOOKUP(YEAR(Tabel3[[#This Row],[Geb datum]]),Tabel8[#All],3,FALSE)</f>
        <v>S</v>
      </c>
      <c r="Q58" s="30" t="s">
        <v>1</v>
      </c>
      <c r="R58" s="30" t="s">
        <v>6</v>
      </c>
      <c r="S58" s="42"/>
    </row>
    <row r="59" spans="1:19">
      <c r="A59" s="40" t="s">
        <v>377</v>
      </c>
      <c r="B59" s="28" t="s">
        <v>378</v>
      </c>
      <c r="C59" s="28" t="s">
        <v>379</v>
      </c>
      <c r="D59" s="30">
        <f>VLOOKUP(YEAR(Tabel1[[#This Row],[Geb datum]]),Tabel8[#All],2,FALSE)</f>
        <v>15</v>
      </c>
      <c r="E59" s="46">
        <v>39878</v>
      </c>
      <c r="F59" s="30" t="str">
        <f>VLOOKUP(YEAR(Tabel1[[#This Row],[Geb datum]]),Tabel8[#All],3,FALSE)</f>
        <v>B</v>
      </c>
      <c r="G59" s="30" t="s">
        <v>3</v>
      </c>
      <c r="H59" s="30" t="s">
        <v>22</v>
      </c>
      <c r="I59" s="41"/>
      <c r="K59" s="40" t="s">
        <v>380</v>
      </c>
      <c r="L59" s="28" t="s">
        <v>381</v>
      </c>
      <c r="M59" s="28" t="s">
        <v>382</v>
      </c>
      <c r="N59" s="30">
        <f>VLOOKUP(YEAR(Tabel3[[#This Row],[Geb datum]]),Tabel8[#All],2,FALSE)</f>
        <v>59</v>
      </c>
      <c r="O59" s="29">
        <v>24003</v>
      </c>
      <c r="P59" s="30" t="str">
        <f>VLOOKUP(YEAR(Tabel3[[#This Row],[Geb datum]]),Tabel8[#All],3,FALSE)</f>
        <v>S</v>
      </c>
      <c r="Q59" s="30" t="s">
        <v>62</v>
      </c>
      <c r="R59" s="30" t="s">
        <v>62</v>
      </c>
      <c r="S59" s="42"/>
    </row>
    <row r="60" spans="1:19">
      <c r="A60" s="40" t="s">
        <v>383</v>
      </c>
      <c r="B60" s="28" t="s">
        <v>384</v>
      </c>
      <c r="C60" s="28" t="s">
        <v>379</v>
      </c>
      <c r="D60" s="30">
        <f>VLOOKUP(YEAR(Tabel1[[#This Row],[Geb datum]]),Tabel8[#All],2,FALSE)</f>
        <v>5</v>
      </c>
      <c r="E60" s="46">
        <v>43728</v>
      </c>
      <c r="F60" s="30" t="str">
        <f>VLOOKUP(YEAR(Tabel1[[#This Row],[Geb datum]]),Tabel8[#All],3,FALSE)</f>
        <v>K</v>
      </c>
      <c r="G60" s="30" t="s">
        <v>53</v>
      </c>
      <c r="H60" s="30" t="s">
        <v>155</v>
      </c>
      <c r="I60" s="41"/>
      <c r="K60" s="40" t="s">
        <v>385</v>
      </c>
      <c r="L60" s="28" t="s">
        <v>386</v>
      </c>
      <c r="M60" s="28" t="s">
        <v>387</v>
      </c>
      <c r="N60" s="30">
        <f>VLOOKUP(YEAR(Tabel3[[#This Row],[Geb datum]]),Tabel8[#All],2,FALSE)</f>
        <v>14</v>
      </c>
      <c r="O60" s="29">
        <v>40413</v>
      </c>
      <c r="P60" s="30" t="str">
        <f>VLOOKUP(YEAR(Tabel3[[#This Row],[Geb datum]]),Tabel8[#All],3,FALSE)</f>
        <v>B</v>
      </c>
      <c r="Q60" s="30" t="s">
        <v>3</v>
      </c>
      <c r="R60" s="30" t="s">
        <v>28</v>
      </c>
      <c r="S60" s="42"/>
    </row>
    <row r="61" spans="1:19">
      <c r="A61" s="40" t="s">
        <v>388</v>
      </c>
      <c r="B61" s="28" t="s">
        <v>389</v>
      </c>
      <c r="C61" s="28" t="s">
        <v>390</v>
      </c>
      <c r="D61" s="30">
        <f>VLOOKUP(YEAR(Tabel1[[#This Row],[Geb datum]]),Tabel8[#All],2,FALSE)</f>
        <v>14</v>
      </c>
      <c r="E61" s="46">
        <v>40243</v>
      </c>
      <c r="F61" s="30" t="str">
        <f>VLOOKUP(YEAR(Tabel1[[#This Row],[Geb datum]]),Tabel8[#All],3,FALSE)</f>
        <v>B</v>
      </c>
      <c r="G61" s="30" t="s">
        <v>3</v>
      </c>
      <c r="H61" s="30" t="s">
        <v>23</v>
      </c>
      <c r="I61" s="41"/>
      <c r="K61" s="40" t="s">
        <v>391</v>
      </c>
      <c r="L61" s="28" t="s">
        <v>392</v>
      </c>
      <c r="M61" s="28" t="s">
        <v>393</v>
      </c>
      <c r="N61" s="30">
        <f>VLOOKUP(YEAR(Tabel3[[#This Row],[Geb datum]]),Tabel8[#All],2,FALSE)</f>
        <v>25</v>
      </c>
      <c r="O61" s="29">
        <v>36465</v>
      </c>
      <c r="P61" s="30" t="str">
        <f>VLOOKUP(YEAR(Tabel3[[#This Row],[Geb datum]]),Tabel8[#All],3,FALSE)</f>
        <v>S</v>
      </c>
      <c r="Q61" s="30" t="s">
        <v>10</v>
      </c>
      <c r="R61" s="30" t="s">
        <v>10</v>
      </c>
      <c r="S61" s="42"/>
    </row>
    <row r="62" spans="1:19">
      <c r="A62" s="40" t="s">
        <v>394</v>
      </c>
      <c r="B62" s="28" t="s">
        <v>395</v>
      </c>
      <c r="C62" s="28" t="s">
        <v>396</v>
      </c>
      <c r="D62" s="30">
        <f>VLOOKUP(YEAR(Tabel1[[#This Row],[Geb datum]]),Tabel8[#All],2,FALSE)</f>
        <v>20</v>
      </c>
      <c r="E62" s="46">
        <v>38263</v>
      </c>
      <c r="F62" s="30" t="str">
        <f>VLOOKUP(YEAR(Tabel1[[#This Row],[Geb datum]]),Tabel8[#All],3,FALSE)</f>
        <v>S</v>
      </c>
      <c r="G62" s="30" t="s">
        <v>109</v>
      </c>
      <c r="H62" s="30" t="s">
        <v>17</v>
      </c>
      <c r="I62" s="41"/>
      <c r="K62" s="40" t="s">
        <v>397</v>
      </c>
      <c r="L62" s="28" t="s">
        <v>398</v>
      </c>
      <c r="M62" s="28" t="s">
        <v>399</v>
      </c>
      <c r="N62" s="30">
        <f>VLOOKUP(YEAR(Tabel3[[#This Row],[Geb datum]]),Tabel8[#All],2,FALSE)</f>
        <v>20</v>
      </c>
      <c r="O62" s="29">
        <v>38010</v>
      </c>
      <c r="P62" s="30" t="str">
        <f>VLOOKUP(YEAR(Tabel3[[#This Row],[Geb datum]]),Tabel8[#All],3,FALSE)</f>
        <v>S</v>
      </c>
      <c r="Q62" s="30" t="s">
        <v>1</v>
      </c>
      <c r="R62" s="30" t="s">
        <v>7</v>
      </c>
      <c r="S62" s="42"/>
    </row>
    <row r="63" spans="1:19">
      <c r="A63" s="40" t="s">
        <v>400</v>
      </c>
      <c r="B63" s="28" t="s">
        <v>401</v>
      </c>
      <c r="C63" s="28" t="s">
        <v>402</v>
      </c>
      <c r="D63" s="30">
        <f>VLOOKUP(YEAR(Tabel1[[#This Row],[Geb datum]]),Tabel8[#All],2,FALSE)</f>
        <v>15</v>
      </c>
      <c r="E63" s="46">
        <v>40169</v>
      </c>
      <c r="F63" s="30" t="str">
        <f>VLOOKUP(YEAR(Tabel1[[#This Row],[Geb datum]]),Tabel8[#All],3,FALSE)</f>
        <v>B</v>
      </c>
      <c r="G63" s="30" t="s">
        <v>3</v>
      </c>
      <c r="H63" s="30" t="s">
        <v>22</v>
      </c>
      <c r="I63" s="41"/>
      <c r="K63" s="40" t="s">
        <v>403</v>
      </c>
      <c r="L63" s="28" t="s">
        <v>404</v>
      </c>
      <c r="M63" s="28" t="s">
        <v>405</v>
      </c>
      <c r="N63" s="30">
        <f>VLOOKUP(YEAR(Tabel3[[#This Row],[Geb datum]]),Tabel8[#All],2,FALSE)</f>
        <v>18</v>
      </c>
      <c r="O63" s="29">
        <v>39069</v>
      </c>
      <c r="P63" s="30" t="str">
        <f>VLOOKUP(YEAR(Tabel3[[#This Row],[Geb datum]]),Tabel8[#All],3,FALSE)</f>
        <v>A</v>
      </c>
      <c r="Q63" s="30" t="s">
        <v>2</v>
      </c>
      <c r="R63" s="30" t="s">
        <v>15</v>
      </c>
      <c r="S63" s="42"/>
    </row>
    <row r="64" spans="1:19">
      <c r="A64" s="40" t="s">
        <v>406</v>
      </c>
      <c r="B64" s="28" t="s">
        <v>407</v>
      </c>
      <c r="C64" s="28" t="s">
        <v>408</v>
      </c>
      <c r="D64" s="30">
        <f>VLOOKUP(YEAR(Tabel1[[#This Row],[Geb datum]]),Tabel8[#All],2,FALSE)</f>
        <v>37</v>
      </c>
      <c r="E64" s="46">
        <v>32050</v>
      </c>
      <c r="F64" s="30" t="str">
        <f>VLOOKUP(YEAR(Tabel1[[#This Row],[Geb datum]]),Tabel8[#All],3,FALSE)</f>
        <v>S</v>
      </c>
      <c r="G64" s="30" t="s">
        <v>109</v>
      </c>
      <c r="H64" s="30" t="s">
        <v>8</v>
      </c>
      <c r="I64" s="41"/>
      <c r="K64" s="40" t="s">
        <v>409</v>
      </c>
      <c r="L64" s="28" t="s">
        <v>410</v>
      </c>
      <c r="M64" s="28" t="s">
        <v>411</v>
      </c>
      <c r="N64" s="30">
        <f>VLOOKUP(YEAR(Tabel3[[#This Row],[Geb datum]]),Tabel8[#All],2,FALSE)</f>
        <v>10</v>
      </c>
      <c r="O64" s="29">
        <v>41867</v>
      </c>
      <c r="P64" s="30" t="str">
        <f>VLOOKUP(YEAR(Tabel3[[#This Row],[Geb datum]]),Tabel8[#All],3,FALSE)</f>
        <v>D</v>
      </c>
      <c r="Q64" s="30" t="s">
        <v>35</v>
      </c>
      <c r="R64" s="30" t="s">
        <v>40</v>
      </c>
      <c r="S64" s="42"/>
    </row>
    <row r="65" spans="1:19">
      <c r="A65" s="40" t="s">
        <v>412</v>
      </c>
      <c r="B65" s="28" t="s">
        <v>413</v>
      </c>
      <c r="C65" s="28" t="s">
        <v>414</v>
      </c>
      <c r="D65" s="30">
        <f>VLOOKUP(YEAR(Tabel1[[#This Row],[Geb datum]]),Tabel8[#All],2,FALSE)</f>
        <v>34</v>
      </c>
      <c r="E65" s="46">
        <v>33146</v>
      </c>
      <c r="F65" s="30" t="str">
        <f>VLOOKUP(YEAR(Tabel1[[#This Row],[Geb datum]]),Tabel8[#All],3,FALSE)</f>
        <v>S</v>
      </c>
      <c r="G65" s="30" t="s">
        <v>8</v>
      </c>
      <c r="H65" s="30" t="s">
        <v>62</v>
      </c>
      <c r="I65" s="41"/>
      <c r="K65" s="40" t="s">
        <v>415</v>
      </c>
      <c r="L65" s="28" t="s">
        <v>416</v>
      </c>
      <c r="M65" s="28" t="s">
        <v>417</v>
      </c>
      <c r="N65" s="30">
        <f>VLOOKUP(YEAR(Tabel3[[#This Row],[Geb datum]]),Tabel8[#All],2,FALSE)</f>
        <v>12</v>
      </c>
      <c r="O65" s="29">
        <v>41121</v>
      </c>
      <c r="P65" s="30" t="str">
        <f>VLOOKUP(YEAR(Tabel3[[#This Row],[Geb datum]]),Tabel8[#All],3,FALSE)</f>
        <v>C</v>
      </c>
      <c r="Q65" s="30" t="s">
        <v>28</v>
      </c>
      <c r="R65" s="30" t="s">
        <v>33</v>
      </c>
      <c r="S65" s="42"/>
    </row>
    <row r="66" spans="1:19">
      <c r="A66" s="40" t="s">
        <v>418</v>
      </c>
      <c r="B66" s="28" t="s">
        <v>419</v>
      </c>
      <c r="C66" s="28" t="s">
        <v>420</v>
      </c>
      <c r="D66" s="30">
        <f>VLOOKUP(YEAR(Tabel1[[#This Row],[Geb datum]]),Tabel8[#All],2,FALSE)</f>
        <v>11</v>
      </c>
      <c r="E66" s="46">
        <v>41303</v>
      </c>
      <c r="F66" s="30" t="str">
        <f>VLOOKUP(YEAR(Tabel1[[#This Row],[Geb datum]]),Tabel8[#All],3,FALSE)</f>
        <v>D</v>
      </c>
      <c r="G66" s="30" t="s">
        <v>33</v>
      </c>
      <c r="H66" s="30" t="s">
        <v>33</v>
      </c>
      <c r="I66" s="41"/>
      <c r="K66" s="40" t="s">
        <v>421</v>
      </c>
      <c r="L66" s="28" t="s">
        <v>422</v>
      </c>
      <c r="M66" s="28" t="s">
        <v>423</v>
      </c>
      <c r="N66" s="30">
        <f>VLOOKUP(YEAR(Tabel3[[#This Row],[Geb datum]]),Tabel8[#All],2,FALSE)</f>
        <v>14</v>
      </c>
      <c r="O66" s="29">
        <v>40307</v>
      </c>
      <c r="P66" s="30" t="str">
        <f>VLOOKUP(YEAR(Tabel3[[#This Row],[Geb datum]]),Tabel8[#All],3,FALSE)</f>
        <v>B</v>
      </c>
      <c r="Q66" s="30" t="s">
        <v>24</v>
      </c>
      <c r="R66" s="30" t="s">
        <v>30</v>
      </c>
      <c r="S66" s="42"/>
    </row>
    <row r="67" spans="1:19">
      <c r="A67" s="40" t="s">
        <v>424</v>
      </c>
      <c r="B67" s="28" t="s">
        <v>425</v>
      </c>
      <c r="C67" s="29" t="s">
        <v>426</v>
      </c>
      <c r="D67" s="30">
        <f>VLOOKUP(YEAR(Tabel1[[#This Row],[Geb datum]]),Tabel8[#All],2,FALSE)</f>
        <v>8</v>
      </c>
      <c r="E67" s="56">
        <v>42481</v>
      </c>
      <c r="F67" s="30" t="str">
        <f>VLOOKUP(YEAR(Tabel1[[#This Row],[Geb datum]]),Tabel8[#All],3,FALSE)</f>
        <v>E</v>
      </c>
      <c r="G67" s="30" t="s">
        <v>41</v>
      </c>
      <c r="H67" s="30" t="s">
        <v>47</v>
      </c>
      <c r="I67" s="41"/>
      <c r="K67" s="40" t="s">
        <v>427</v>
      </c>
      <c r="L67" s="28" t="s">
        <v>428</v>
      </c>
      <c r="M67" s="28" t="s">
        <v>429</v>
      </c>
      <c r="N67" s="30">
        <f>VLOOKUP(YEAR(Tabel3[[#This Row],[Geb datum]]),Tabel8[#All],2,FALSE)</f>
        <v>15</v>
      </c>
      <c r="O67" s="29">
        <v>39829</v>
      </c>
      <c r="P67" s="30" t="str">
        <f>VLOOKUP(YEAR(Tabel3[[#This Row],[Geb datum]]),Tabel8[#All],3,FALSE)</f>
        <v>B</v>
      </c>
      <c r="Q67" s="30" t="s">
        <v>23</v>
      </c>
      <c r="R67" s="30" t="s">
        <v>23</v>
      </c>
      <c r="S67" s="42"/>
    </row>
    <row r="68" spans="1:19">
      <c r="A68" s="40" t="s">
        <v>430</v>
      </c>
      <c r="B68" s="28" t="s">
        <v>431</v>
      </c>
      <c r="C68" s="28" t="s">
        <v>432</v>
      </c>
      <c r="D68" s="30">
        <f>VLOOKUP(YEAR(Tabel1[[#This Row],[Geb datum]]),Tabel8[#All],2,FALSE)</f>
        <v>17</v>
      </c>
      <c r="E68" s="46">
        <v>39328</v>
      </c>
      <c r="F68" s="30" t="str">
        <f>VLOOKUP(YEAR(Tabel1[[#This Row],[Geb datum]]),Tabel8[#All],3,FALSE)</f>
        <v>A</v>
      </c>
      <c r="G68" s="30" t="s">
        <v>1</v>
      </c>
      <c r="H68" s="30" t="s">
        <v>15</v>
      </c>
      <c r="I68" s="41"/>
      <c r="K68" s="40" t="s">
        <v>433</v>
      </c>
      <c r="L68" s="28" t="s">
        <v>434</v>
      </c>
      <c r="M68" s="28" t="s">
        <v>435</v>
      </c>
      <c r="N68" s="30">
        <f>VLOOKUP(YEAR(Tabel3[[#This Row],[Geb datum]]),Tabel8[#All],2,FALSE)</f>
        <v>15</v>
      </c>
      <c r="O68" s="29">
        <v>40058</v>
      </c>
      <c r="P68" s="30" t="str">
        <f>VLOOKUP(YEAR(Tabel3[[#This Row],[Geb datum]]),Tabel8[#All],3,FALSE)</f>
        <v>B</v>
      </c>
      <c r="Q68" s="30" t="s">
        <v>3</v>
      </c>
      <c r="R68" s="30" t="s">
        <v>22</v>
      </c>
      <c r="S68" s="42"/>
    </row>
    <row r="69" spans="1:19">
      <c r="A69" s="40" t="s">
        <v>436</v>
      </c>
      <c r="B69" s="28" t="s">
        <v>437</v>
      </c>
      <c r="C69" s="28" t="s">
        <v>438</v>
      </c>
      <c r="D69" s="30">
        <f>VLOOKUP(YEAR(Tabel1[[#This Row],[Geb datum]]),Tabel8[#All],2,FALSE)</f>
        <v>10</v>
      </c>
      <c r="E69" s="46">
        <v>41662</v>
      </c>
      <c r="F69" s="30" t="str">
        <f>VLOOKUP(YEAR(Tabel1[[#This Row],[Geb datum]]),Tabel8[#All],3,FALSE)</f>
        <v>D</v>
      </c>
      <c r="G69" s="30" t="s">
        <v>35</v>
      </c>
      <c r="H69" s="30" t="s">
        <v>40</v>
      </c>
      <c r="I69" s="41"/>
      <c r="K69" s="40" t="s">
        <v>439</v>
      </c>
      <c r="L69" s="28" t="s">
        <v>440</v>
      </c>
      <c r="M69" s="28" t="s">
        <v>441</v>
      </c>
      <c r="N69" s="30">
        <f>VLOOKUP(YEAR(Tabel3[[#This Row],[Geb datum]]),Tabel8[#All],2,FALSE)</f>
        <v>9</v>
      </c>
      <c r="O69" s="29">
        <v>42040</v>
      </c>
      <c r="P69" s="30" t="str">
        <f>VLOOKUP(YEAR(Tabel3[[#This Row],[Geb datum]]),Tabel8[#All],3,FALSE)</f>
        <v>E</v>
      </c>
      <c r="Q69" s="30" t="s">
        <v>39</v>
      </c>
      <c r="R69" s="30" t="s">
        <v>42</v>
      </c>
      <c r="S69" s="42"/>
    </row>
    <row r="70" spans="1:19">
      <c r="A70" s="40" t="s">
        <v>442</v>
      </c>
      <c r="B70" s="28" t="s">
        <v>443</v>
      </c>
      <c r="C70" s="28" t="s">
        <v>444</v>
      </c>
      <c r="D70" s="30">
        <f>VLOOKUP(YEAR(Tabel1[[#This Row],[Geb datum]]),Tabel8[#All],2,FALSE)</f>
        <v>26</v>
      </c>
      <c r="E70" s="46">
        <v>36013</v>
      </c>
      <c r="F70" s="30" t="str">
        <f>VLOOKUP(YEAR(Tabel1[[#This Row],[Geb datum]]),Tabel8[#All],3,FALSE)</f>
        <v>S</v>
      </c>
      <c r="G70" s="30" t="s">
        <v>10</v>
      </c>
      <c r="H70" s="30" t="s">
        <v>10</v>
      </c>
      <c r="I70" s="41"/>
      <c r="K70" s="40" t="s">
        <v>445</v>
      </c>
      <c r="L70" s="28" t="s">
        <v>446</v>
      </c>
      <c r="M70" s="28" t="s">
        <v>447</v>
      </c>
      <c r="N70" s="30">
        <f>VLOOKUP(YEAR(Tabel3[[#This Row],[Geb datum]]),Tabel8[#All],2,FALSE)</f>
        <v>28</v>
      </c>
      <c r="O70" s="46">
        <v>35330</v>
      </c>
      <c r="P70" s="30" t="str">
        <f>VLOOKUP(YEAR(Tabel3[[#This Row],[Geb datum]]),Tabel8[#All],3,FALSE)</f>
        <v>S</v>
      </c>
      <c r="Q70" s="30" t="s">
        <v>62</v>
      </c>
      <c r="R70" s="30" t="s">
        <v>62</v>
      </c>
      <c r="S70" s="42"/>
    </row>
    <row r="71" spans="1:19">
      <c r="A71" s="40"/>
      <c r="B71" s="28" t="s">
        <v>448</v>
      </c>
      <c r="C71" s="28" t="s">
        <v>449</v>
      </c>
      <c r="D71" s="30">
        <f>VLOOKUP(YEAR(Tabel1[[#This Row],[Geb datum]]),Tabel8[#All],2,FALSE)</f>
        <v>8</v>
      </c>
      <c r="E71" s="46">
        <v>42702</v>
      </c>
      <c r="F71" s="30" t="str">
        <f>VLOOKUP(YEAR(Tabel1[[#This Row],[Geb datum]]),Tabel8[#All],3,FALSE)</f>
        <v>E</v>
      </c>
      <c r="G71" s="30" t="s">
        <v>42</v>
      </c>
      <c r="H71" s="30" t="s">
        <v>48</v>
      </c>
      <c r="I71" s="41"/>
      <c r="K71" s="55" t="s">
        <v>450</v>
      </c>
      <c r="L71" s="28" t="s">
        <v>451</v>
      </c>
      <c r="M71" s="28" t="s">
        <v>447</v>
      </c>
      <c r="N71" s="30">
        <f>VLOOKUP(YEAR(Tabel3[[#This Row],[Geb datum]]),Tabel8[#All],2,FALSE)</f>
        <v>16</v>
      </c>
      <c r="O71" s="56">
        <v>39539</v>
      </c>
      <c r="P71" s="30" t="str">
        <f>VLOOKUP(YEAR(Tabel3[[#This Row],[Geb datum]]),Tabel8[#All],3,FALSE)</f>
        <v>A</v>
      </c>
      <c r="Q71" s="30" t="s">
        <v>2</v>
      </c>
      <c r="R71" s="30" t="s">
        <v>21</v>
      </c>
      <c r="S71" s="42"/>
    </row>
    <row r="72" spans="1:19">
      <c r="A72" s="40" t="s">
        <v>452</v>
      </c>
      <c r="B72" s="28" t="s">
        <v>453</v>
      </c>
      <c r="C72" s="28" t="s">
        <v>454</v>
      </c>
      <c r="D72" s="30">
        <f>VLOOKUP(YEAR(Tabel1[[#This Row],[Geb datum]]),Tabel8[#All],2,FALSE)</f>
        <v>12</v>
      </c>
      <c r="E72" s="46">
        <v>41108</v>
      </c>
      <c r="F72" s="30" t="str">
        <f>VLOOKUP(YEAR(Tabel1[[#This Row],[Geb datum]]),Tabel8[#All],3,FALSE)</f>
        <v>C</v>
      </c>
      <c r="G72" s="30" t="s">
        <v>29</v>
      </c>
      <c r="H72" s="30" t="s">
        <v>34</v>
      </c>
      <c r="I72" s="41"/>
      <c r="K72" s="40" t="s">
        <v>455</v>
      </c>
      <c r="L72" s="28" t="s">
        <v>456</v>
      </c>
      <c r="M72" s="28" t="s">
        <v>447</v>
      </c>
      <c r="N72" s="30">
        <f>VLOOKUP(YEAR(Tabel3[[#This Row],[Geb datum]]),Tabel8[#All],2,FALSE)</f>
        <v>10</v>
      </c>
      <c r="O72" s="29">
        <v>41686</v>
      </c>
      <c r="P72" s="30" t="str">
        <f>VLOOKUP(YEAR(Tabel3[[#This Row],[Geb datum]]),Tabel8[#All],3,FALSE)</f>
        <v>D</v>
      </c>
      <c r="Q72" s="30" t="s">
        <v>34</v>
      </c>
      <c r="R72" s="30" t="s">
        <v>40</v>
      </c>
      <c r="S72" s="42"/>
    </row>
    <row r="73" spans="1:19">
      <c r="A73" s="40" t="s">
        <v>457</v>
      </c>
      <c r="B73" s="28" t="s">
        <v>458</v>
      </c>
      <c r="C73" s="28" t="s">
        <v>459</v>
      </c>
      <c r="D73" s="30">
        <f>VLOOKUP(YEAR(Tabel1[[#This Row],[Geb datum]]),Tabel8[#All],2,FALSE)</f>
        <v>21</v>
      </c>
      <c r="E73" s="46">
        <v>37807</v>
      </c>
      <c r="F73" s="30" t="str">
        <f>VLOOKUP(YEAR(Tabel1[[#This Row],[Geb datum]]),Tabel8[#All],3,FALSE)</f>
        <v>S</v>
      </c>
      <c r="G73" s="30" t="s">
        <v>11</v>
      </c>
      <c r="H73" s="30" t="s">
        <v>11</v>
      </c>
      <c r="I73" s="41"/>
      <c r="K73" s="40" t="s">
        <v>460</v>
      </c>
      <c r="L73" s="28" t="s">
        <v>461</v>
      </c>
      <c r="M73" s="28" t="s">
        <v>462</v>
      </c>
      <c r="N73" s="30">
        <f>VLOOKUP(YEAR(Tabel3[[#This Row],[Geb datum]]),Tabel8[#All],2,FALSE)</f>
        <v>20</v>
      </c>
      <c r="O73" s="29">
        <v>38090</v>
      </c>
      <c r="P73" s="30" t="str">
        <f>VLOOKUP(YEAR(Tabel3[[#This Row],[Geb datum]]),Tabel8[#All],3,FALSE)</f>
        <v>S</v>
      </c>
      <c r="Q73" s="30" t="s">
        <v>10</v>
      </c>
      <c r="R73" s="30" t="s">
        <v>17</v>
      </c>
      <c r="S73" s="42"/>
    </row>
    <row r="74" spans="1:19">
      <c r="A74" s="40" t="s">
        <v>463</v>
      </c>
      <c r="B74" s="28" t="s">
        <v>464</v>
      </c>
      <c r="C74" s="28" t="s">
        <v>465</v>
      </c>
      <c r="D74" s="30">
        <f>VLOOKUP(YEAR(Tabel1[[#This Row],[Geb datum]]),Tabel8[#All],2,FALSE)</f>
        <v>10</v>
      </c>
      <c r="E74" s="46">
        <v>41692</v>
      </c>
      <c r="F74" s="30" t="str">
        <f>VLOOKUP(YEAR(Tabel1[[#This Row],[Geb datum]]),Tabel8[#All],3,FALSE)</f>
        <v>D</v>
      </c>
      <c r="G74" s="30" t="s">
        <v>35</v>
      </c>
      <c r="H74" s="30" t="s">
        <v>39</v>
      </c>
      <c r="I74" s="41"/>
      <c r="K74" s="40" t="s">
        <v>466</v>
      </c>
      <c r="L74" s="28" t="s">
        <v>467</v>
      </c>
      <c r="M74" s="28" t="s">
        <v>468</v>
      </c>
      <c r="N74" s="30">
        <f>VLOOKUP(YEAR(Tabel3[[#This Row],[Geb datum]]),Tabel8[#All],2,FALSE)</f>
        <v>13</v>
      </c>
      <c r="O74" s="29">
        <v>40557</v>
      </c>
      <c r="P74" s="30" t="str">
        <f>VLOOKUP(YEAR(Tabel3[[#This Row],[Geb datum]]),Tabel8[#All],3,FALSE)</f>
        <v>C</v>
      </c>
      <c r="Q74" s="30" t="s">
        <v>27</v>
      </c>
      <c r="R74" s="30" t="s">
        <v>27</v>
      </c>
      <c r="S74" s="42"/>
    </row>
    <row r="75" spans="1:19">
      <c r="A75" s="40" t="s">
        <v>469</v>
      </c>
      <c r="B75" s="28" t="s">
        <v>470</v>
      </c>
      <c r="C75" s="28" t="s">
        <v>471</v>
      </c>
      <c r="D75" s="30">
        <f>VLOOKUP(YEAR(Tabel1[[#This Row],[Geb datum]]),Tabel8[#All],2,FALSE)</f>
        <v>11</v>
      </c>
      <c r="E75" s="46">
        <v>41569</v>
      </c>
      <c r="F75" s="30" t="str">
        <f>VLOOKUP(YEAR(Tabel1[[#This Row],[Geb datum]]),Tabel8[#All],3,FALSE)</f>
        <v>D</v>
      </c>
      <c r="G75" s="30" t="s">
        <v>34</v>
      </c>
      <c r="H75" s="30" t="s">
        <v>35</v>
      </c>
      <c r="I75" s="41"/>
      <c r="K75" s="40" t="s">
        <v>472</v>
      </c>
      <c r="L75" s="28" t="s">
        <v>473</v>
      </c>
      <c r="M75" s="28" t="s">
        <v>474</v>
      </c>
      <c r="N75" s="30">
        <f>VLOOKUP(YEAR(Tabel3[[#This Row],[Geb datum]]),Tabel8[#All],2,FALSE)</f>
        <v>10</v>
      </c>
      <c r="O75" s="29">
        <v>41832</v>
      </c>
      <c r="P75" s="30" t="str">
        <f>VLOOKUP(YEAR(Tabel3[[#This Row],[Geb datum]]),Tabel8[#All],3,FALSE)</f>
        <v>D</v>
      </c>
      <c r="Q75" s="30" t="s">
        <v>35</v>
      </c>
      <c r="R75" s="30" t="s">
        <v>39</v>
      </c>
      <c r="S75" s="42"/>
    </row>
    <row r="76" spans="1:19">
      <c r="A76" s="40" t="s">
        <v>475</v>
      </c>
      <c r="B76" s="28" t="s">
        <v>476</v>
      </c>
      <c r="C76" s="28" t="s">
        <v>477</v>
      </c>
      <c r="D76" s="30">
        <f>VLOOKUP(YEAR(Tabel1[[#This Row],[Geb datum]]),Tabel8[#All],2,FALSE)</f>
        <v>8</v>
      </c>
      <c r="E76" s="46">
        <v>42696</v>
      </c>
      <c r="F76" s="30" t="str">
        <f>VLOOKUP(YEAR(Tabel1[[#This Row],[Geb datum]]),Tabel8[#All],3,FALSE)</f>
        <v>E</v>
      </c>
      <c r="G76" s="30" t="s">
        <v>42</v>
      </c>
      <c r="H76" s="30" t="s">
        <v>48</v>
      </c>
      <c r="I76" s="41"/>
      <c r="K76" s="40" t="s">
        <v>478</v>
      </c>
      <c r="L76" s="28" t="s">
        <v>479</v>
      </c>
      <c r="M76" s="28" t="s">
        <v>474</v>
      </c>
      <c r="N76" s="30">
        <f>VLOOKUP(YEAR(Tabel3[[#This Row],[Geb datum]]),Tabel8[#All],2,FALSE)</f>
        <v>13</v>
      </c>
      <c r="O76" s="29">
        <v>40741</v>
      </c>
      <c r="P76" s="30" t="str">
        <f>VLOOKUP(YEAR(Tabel3[[#This Row],[Geb datum]]),Tabel8[#All],3,FALSE)</f>
        <v>C</v>
      </c>
      <c r="Q76" s="30" t="s">
        <v>29</v>
      </c>
      <c r="R76" s="30" t="s">
        <v>30</v>
      </c>
      <c r="S76" s="42"/>
    </row>
    <row r="77" spans="1:19">
      <c r="A77" s="40" t="s">
        <v>480</v>
      </c>
      <c r="B77" s="28" t="s">
        <v>481</v>
      </c>
      <c r="C77" s="28" t="s">
        <v>477</v>
      </c>
      <c r="D77" s="30">
        <f>VLOOKUP(YEAR(Tabel1[[#This Row],[Geb datum]]),Tabel8[#All],2,FALSE)</f>
        <v>17</v>
      </c>
      <c r="E77" s="46">
        <v>39274</v>
      </c>
      <c r="F77" s="30" t="str">
        <f>VLOOKUP(YEAR(Tabel1[[#This Row],[Geb datum]]),Tabel8[#All],3,FALSE)</f>
        <v>A</v>
      </c>
      <c r="G77" s="30" t="s">
        <v>17</v>
      </c>
      <c r="H77" s="30" t="s">
        <v>17</v>
      </c>
      <c r="I77" s="41"/>
      <c r="K77" s="40" t="s">
        <v>482</v>
      </c>
      <c r="L77" s="28" t="s">
        <v>483</v>
      </c>
      <c r="M77" s="28" t="s">
        <v>484</v>
      </c>
      <c r="N77" s="30">
        <f>VLOOKUP(YEAR(Tabel3[[#This Row],[Geb datum]]),Tabel8[#All],2,FALSE)</f>
        <v>57</v>
      </c>
      <c r="O77" s="56">
        <v>24583</v>
      </c>
      <c r="P77" s="30" t="str">
        <f>VLOOKUP(YEAR(Tabel3[[#This Row],[Geb datum]]),Tabel8[#All],3,FALSE)</f>
        <v>S</v>
      </c>
      <c r="Q77" s="30" t="s">
        <v>62</v>
      </c>
      <c r="R77" s="30" t="s">
        <v>62</v>
      </c>
      <c r="S77" s="42"/>
    </row>
    <row r="78" spans="1:19">
      <c r="A78" s="40" t="s">
        <v>485</v>
      </c>
      <c r="B78" s="28" t="s">
        <v>486</v>
      </c>
      <c r="C78" s="28" t="s">
        <v>477</v>
      </c>
      <c r="D78" s="30">
        <f>VLOOKUP(YEAR(Tabel1[[#This Row],[Geb datum]]),Tabel8[#All],2,FALSE)</f>
        <v>14</v>
      </c>
      <c r="E78" s="46">
        <v>40446</v>
      </c>
      <c r="F78" s="30" t="str">
        <f>VLOOKUP(YEAR(Tabel1[[#This Row],[Geb datum]]),Tabel8[#All],3,FALSE)</f>
        <v>B</v>
      </c>
      <c r="G78" s="30" t="s">
        <v>3</v>
      </c>
      <c r="H78" s="30" t="s">
        <v>27</v>
      </c>
      <c r="I78" s="41"/>
      <c r="K78" s="40" t="s">
        <v>487</v>
      </c>
      <c r="L78" s="28" t="s">
        <v>488</v>
      </c>
      <c r="M78" s="28" t="s">
        <v>484</v>
      </c>
      <c r="N78" s="30">
        <f>VLOOKUP(YEAR(Tabel3[[#This Row],[Geb datum]]),Tabel8[#All],2,FALSE)</f>
        <v>29</v>
      </c>
      <c r="O78" s="29">
        <v>34711</v>
      </c>
      <c r="P78" s="30" t="str">
        <f>VLOOKUP(YEAR(Tabel3[[#This Row],[Geb datum]]),Tabel8[#All],3,FALSE)</f>
        <v>S</v>
      </c>
      <c r="Q78" s="30" t="s">
        <v>8</v>
      </c>
      <c r="R78" s="30" t="s">
        <v>8</v>
      </c>
      <c r="S78" s="42"/>
    </row>
    <row r="79" spans="1:19">
      <c r="A79" s="40" t="s">
        <v>489</v>
      </c>
      <c r="B79" s="28" t="s">
        <v>490</v>
      </c>
      <c r="C79" s="29" t="s">
        <v>477</v>
      </c>
      <c r="D79" s="30">
        <f>VLOOKUP(YEAR(Tabel1[[#This Row],[Geb datum]]),Tabel8[#All],2,FALSE)</f>
        <v>9</v>
      </c>
      <c r="E79" s="56">
        <v>42234</v>
      </c>
      <c r="F79" s="30" t="str">
        <f>VLOOKUP(YEAR(Tabel1[[#This Row],[Geb datum]]),Tabel8[#All],3,FALSE)</f>
        <v>E</v>
      </c>
      <c r="G79" s="30" t="s">
        <v>40</v>
      </c>
      <c r="H79" s="30" t="s">
        <v>43</v>
      </c>
      <c r="I79" s="41"/>
      <c r="K79" s="40" t="s">
        <v>491</v>
      </c>
      <c r="L79" s="28" t="s">
        <v>492</v>
      </c>
      <c r="M79" s="28" t="s">
        <v>493</v>
      </c>
      <c r="N79" s="30">
        <f>VLOOKUP(YEAR(Tabel3[[#This Row],[Geb datum]]),Tabel8[#All],2,FALSE)</f>
        <v>10</v>
      </c>
      <c r="O79" s="29">
        <v>41662</v>
      </c>
      <c r="P79" s="30" t="str">
        <f>VLOOKUP(YEAR(Tabel3[[#This Row],[Geb datum]]),Tabel8[#All],3,FALSE)</f>
        <v>D</v>
      </c>
      <c r="Q79" s="30" t="s">
        <v>35</v>
      </c>
      <c r="R79" s="30" t="s">
        <v>41</v>
      </c>
      <c r="S79" s="42"/>
    </row>
    <row r="80" spans="1:19">
      <c r="A80" s="40" t="s">
        <v>494</v>
      </c>
      <c r="B80" s="28" t="s">
        <v>495</v>
      </c>
      <c r="C80" s="28" t="s">
        <v>496</v>
      </c>
      <c r="D80" s="30">
        <f>VLOOKUP(YEAR(Tabel1[[#This Row],[Geb datum]]),Tabel8[#All],2,FALSE)</f>
        <v>8</v>
      </c>
      <c r="E80" s="46">
        <v>42549</v>
      </c>
      <c r="F80" s="30" t="str">
        <f>VLOOKUP(YEAR(Tabel1[[#This Row],[Geb datum]]),Tabel8[#All],3,FALSE)</f>
        <v>E</v>
      </c>
      <c r="G80" s="30" t="s">
        <v>41</v>
      </c>
      <c r="H80" s="30" t="s">
        <v>47</v>
      </c>
      <c r="I80" s="41"/>
      <c r="K80" s="40"/>
      <c r="L80" s="28" t="s">
        <v>497</v>
      </c>
      <c r="M80" s="28" t="s">
        <v>498</v>
      </c>
      <c r="N80" s="30">
        <f>VLOOKUP(YEAR(Tabel3[[#This Row],[Geb datum]]),Tabel8[#All],2,FALSE)</f>
        <v>8</v>
      </c>
      <c r="O80" s="29">
        <v>42664</v>
      </c>
      <c r="P80" s="30" t="str">
        <f>VLOOKUP(YEAR(Tabel3[[#This Row],[Geb datum]]),Tabel8[#All],3,FALSE)</f>
        <v>E</v>
      </c>
      <c r="Q80" s="30" t="s">
        <v>42</v>
      </c>
      <c r="R80" s="30" t="s">
        <v>135</v>
      </c>
      <c r="S80" s="42"/>
    </row>
    <row r="81" spans="1:19">
      <c r="A81" s="40" t="s">
        <v>499</v>
      </c>
      <c r="B81" s="28" t="s">
        <v>500</v>
      </c>
      <c r="C81" s="28" t="s">
        <v>501</v>
      </c>
      <c r="D81" s="30">
        <f>VLOOKUP(YEAR(Tabel1[[#This Row],[Geb datum]]),Tabel8[#All],2,FALSE)</f>
        <v>12</v>
      </c>
      <c r="E81" s="46">
        <v>40989</v>
      </c>
      <c r="F81" s="30" t="str">
        <f>VLOOKUP(YEAR(Tabel1[[#This Row],[Geb datum]]),Tabel8[#All],3,FALSE)</f>
        <v>C</v>
      </c>
      <c r="G81" s="30" t="s">
        <v>29</v>
      </c>
      <c r="H81" s="30" t="s">
        <v>155</v>
      </c>
      <c r="I81" s="41"/>
      <c r="K81" s="40" t="s">
        <v>502</v>
      </c>
      <c r="L81" s="28" t="s">
        <v>503</v>
      </c>
      <c r="M81" s="28" t="s">
        <v>504</v>
      </c>
      <c r="N81" s="30">
        <f>VLOOKUP(YEAR(Tabel3[[#This Row],[Geb datum]]),Tabel8[#All],2,FALSE)</f>
        <v>10</v>
      </c>
      <c r="O81" s="29">
        <v>41695</v>
      </c>
      <c r="P81" s="30" t="str">
        <f>VLOOKUP(YEAR(Tabel3[[#This Row],[Geb datum]]),Tabel8[#All],3,FALSE)</f>
        <v>D</v>
      </c>
      <c r="Q81" s="30" t="s">
        <v>36</v>
      </c>
      <c r="R81" s="30" t="s">
        <v>36</v>
      </c>
      <c r="S81" s="42"/>
    </row>
    <row r="82" spans="1:19">
      <c r="A82" s="40" t="s">
        <v>505</v>
      </c>
      <c r="B82" s="28" t="s">
        <v>506</v>
      </c>
      <c r="C82" s="28" t="s">
        <v>507</v>
      </c>
      <c r="D82" s="30">
        <f>VLOOKUP(YEAR(Tabel1[[#This Row],[Geb datum]]),Tabel8[#All],2,FALSE)</f>
        <v>23</v>
      </c>
      <c r="E82" s="46">
        <v>36993</v>
      </c>
      <c r="F82" s="30" t="str">
        <f>VLOOKUP(YEAR(Tabel1[[#This Row],[Geb datum]]),Tabel8[#All],3,FALSE)</f>
        <v>S</v>
      </c>
      <c r="G82" s="30" t="s">
        <v>9</v>
      </c>
      <c r="H82" s="30" t="s">
        <v>7</v>
      </c>
      <c r="I82" s="41"/>
      <c r="K82" s="40" t="s">
        <v>508</v>
      </c>
      <c r="L82" s="28" t="s">
        <v>509</v>
      </c>
      <c r="M82" s="28" t="s">
        <v>510</v>
      </c>
      <c r="N82" s="30">
        <f>VLOOKUP(YEAR(Tabel3[[#This Row],[Geb datum]]),Tabel8[#All],2,FALSE)</f>
        <v>23</v>
      </c>
      <c r="O82" s="29">
        <v>36929</v>
      </c>
      <c r="P82" s="30" t="str">
        <f>VLOOKUP(YEAR(Tabel3[[#This Row],[Geb datum]]),Tabel8[#All],3,FALSE)</f>
        <v>S</v>
      </c>
      <c r="Q82" s="30" t="s">
        <v>9</v>
      </c>
      <c r="R82" s="30" t="s">
        <v>10</v>
      </c>
      <c r="S82" s="42"/>
    </row>
    <row r="83" spans="1:19">
      <c r="A83" s="55" t="s">
        <v>511</v>
      </c>
      <c r="B83" s="62" t="s">
        <v>512</v>
      </c>
      <c r="C83" s="62" t="s">
        <v>507</v>
      </c>
      <c r="D83" s="30">
        <f>VLOOKUP(YEAR(Tabel1[[#This Row],[Geb datum]]),Tabel8[#All],2,FALSE)</f>
        <v>37</v>
      </c>
      <c r="E83" s="56">
        <v>31792</v>
      </c>
      <c r="F83" s="30" t="str">
        <f>VLOOKUP(YEAR(Tabel1[[#This Row],[Geb datum]]),Tabel8[#All],3,FALSE)</f>
        <v>S</v>
      </c>
      <c r="G83" s="30" t="s">
        <v>13</v>
      </c>
      <c r="H83" s="30" t="s">
        <v>13</v>
      </c>
      <c r="I83" s="41"/>
      <c r="K83" s="40"/>
      <c r="L83" s="28" t="s">
        <v>513</v>
      </c>
      <c r="M83" s="28" t="s">
        <v>510</v>
      </c>
      <c r="N83" s="30">
        <f>VLOOKUP(YEAR(Tabel3[[#This Row],[Geb datum]]),Tabel8[#All],2,FALSE)</f>
        <v>7</v>
      </c>
      <c r="O83" s="29">
        <v>42941</v>
      </c>
      <c r="P83" s="30" t="str">
        <f>VLOOKUP(YEAR(Tabel3[[#This Row],[Geb datum]]),Tabel8[#All],3,FALSE)</f>
        <v>F</v>
      </c>
      <c r="Q83" s="30" t="s">
        <v>47</v>
      </c>
      <c r="R83" s="30" t="s">
        <v>135</v>
      </c>
      <c r="S83" s="42"/>
    </row>
    <row r="84" spans="1:19">
      <c r="A84" s="40" t="s">
        <v>514</v>
      </c>
      <c r="B84" s="28" t="s">
        <v>515</v>
      </c>
      <c r="C84" s="28" t="s">
        <v>507</v>
      </c>
      <c r="D84" s="30">
        <f>VLOOKUP(YEAR(Tabel1[[#This Row],[Geb datum]]),Tabel8[#All],2,FALSE)</f>
        <v>35</v>
      </c>
      <c r="E84" s="46">
        <v>32843</v>
      </c>
      <c r="F84" s="30" t="str">
        <f>VLOOKUP(YEAR(Tabel1[[#This Row],[Geb datum]]),Tabel8[#All],3,FALSE)</f>
        <v>S</v>
      </c>
      <c r="G84" s="30" t="s">
        <v>13</v>
      </c>
      <c r="H84" s="30" t="s">
        <v>13</v>
      </c>
      <c r="I84" s="41"/>
      <c r="K84" s="40" t="s">
        <v>516</v>
      </c>
      <c r="L84" s="28" t="s">
        <v>517</v>
      </c>
      <c r="M84" s="28" t="s">
        <v>518</v>
      </c>
      <c r="N84" s="30">
        <f>VLOOKUP(YEAR(Tabel3[[#This Row],[Geb datum]]),Tabel8[#All],2,FALSE)</f>
        <v>14</v>
      </c>
      <c r="O84" s="29">
        <v>40227</v>
      </c>
      <c r="P84" s="30" t="str">
        <f>VLOOKUP(YEAR(Tabel3[[#This Row],[Geb datum]]),Tabel8[#All],3,FALSE)</f>
        <v>B</v>
      </c>
      <c r="Q84" s="103" t="s">
        <v>83</v>
      </c>
      <c r="R84" s="103" t="s">
        <v>29</v>
      </c>
      <c r="S84" s="42"/>
    </row>
    <row r="85" spans="1:19">
      <c r="A85" s="40" t="s">
        <v>519</v>
      </c>
      <c r="B85" s="28" t="s">
        <v>520</v>
      </c>
      <c r="C85" s="28" t="s">
        <v>521</v>
      </c>
      <c r="D85" s="30">
        <f>VLOOKUP(YEAR(Tabel1[[#This Row],[Geb datum]]),Tabel8[#All],2,FALSE)</f>
        <v>20</v>
      </c>
      <c r="E85" s="46">
        <v>38163</v>
      </c>
      <c r="F85" s="30" t="str">
        <f>VLOOKUP(YEAR(Tabel1[[#This Row],[Geb datum]]),Tabel8[#All],3,FALSE)</f>
        <v>S</v>
      </c>
      <c r="G85" s="30" t="s">
        <v>11</v>
      </c>
      <c r="H85" s="30" t="s">
        <v>11</v>
      </c>
      <c r="I85" s="41"/>
      <c r="K85" s="40" t="s">
        <v>522</v>
      </c>
      <c r="L85" s="28" t="s">
        <v>523</v>
      </c>
      <c r="M85" s="28" t="s">
        <v>518</v>
      </c>
      <c r="N85" s="30">
        <f>VLOOKUP(YEAR(Tabel3[[#This Row],[Geb datum]]),Tabel8[#All],2,FALSE)</f>
        <v>16</v>
      </c>
      <c r="O85" s="29">
        <v>39686</v>
      </c>
      <c r="P85" s="30" t="str">
        <f>VLOOKUP(YEAR(Tabel3[[#This Row],[Geb datum]]),Tabel8[#All],3,FALSE)</f>
        <v>A</v>
      </c>
      <c r="Q85" s="30" t="s">
        <v>2</v>
      </c>
      <c r="R85" s="30" t="s">
        <v>21</v>
      </c>
      <c r="S85" s="42"/>
    </row>
    <row r="86" spans="1:19">
      <c r="A86" s="40" t="s">
        <v>524</v>
      </c>
      <c r="B86" s="28" t="s">
        <v>525</v>
      </c>
      <c r="C86" s="28" t="s">
        <v>526</v>
      </c>
      <c r="D86" s="30">
        <f>VLOOKUP(YEAR(Tabel1[[#This Row],[Geb datum]]),Tabel8[#All],2,FALSE)</f>
        <v>6</v>
      </c>
      <c r="E86" s="46">
        <v>43215</v>
      </c>
      <c r="F86" s="30" t="str">
        <f>VLOOKUP(YEAR(Tabel1[[#This Row],[Geb datum]]),Tabel8[#All],3,FALSE)</f>
        <v>F</v>
      </c>
      <c r="G86" s="30" t="s">
        <v>47</v>
      </c>
      <c r="H86" s="30" t="s">
        <v>47</v>
      </c>
      <c r="I86" s="41"/>
      <c r="K86" s="40" t="s">
        <v>527</v>
      </c>
      <c r="L86" s="28" t="s">
        <v>528</v>
      </c>
      <c r="M86" s="28" t="s">
        <v>529</v>
      </c>
      <c r="N86" s="30">
        <f>VLOOKUP(YEAR(Tabel3[[#This Row],[Geb datum]]),Tabel8[#All],2,FALSE)</f>
        <v>55</v>
      </c>
      <c r="O86" s="29">
        <v>25227</v>
      </c>
      <c r="P86" s="30" t="str">
        <f>VLOOKUP(YEAR(Tabel3[[#This Row],[Geb datum]]),Tabel8[#All],3,FALSE)</f>
        <v>S</v>
      </c>
      <c r="Q86" s="30" t="s">
        <v>62</v>
      </c>
      <c r="R86" s="30" t="s">
        <v>62</v>
      </c>
      <c r="S86" s="42"/>
    </row>
    <row r="87" spans="1:19">
      <c r="A87" s="40" t="s">
        <v>530</v>
      </c>
      <c r="B87" s="28" t="s">
        <v>531</v>
      </c>
      <c r="C87" s="28" t="s">
        <v>526</v>
      </c>
      <c r="D87" s="30">
        <f>VLOOKUP(YEAR(Tabel1[[#This Row],[Geb datum]]),Tabel8[#All],2,FALSE)</f>
        <v>24</v>
      </c>
      <c r="E87" s="46">
        <v>36887</v>
      </c>
      <c r="F87" s="30" t="str">
        <f>VLOOKUP(YEAR(Tabel1[[#This Row],[Geb datum]]),Tabel8[#All],3,FALSE)</f>
        <v>S</v>
      </c>
      <c r="G87" s="30" t="s">
        <v>10</v>
      </c>
      <c r="H87" s="30" t="s">
        <v>10</v>
      </c>
      <c r="I87" s="41"/>
      <c r="K87" s="40" t="s">
        <v>532</v>
      </c>
      <c r="L87" s="28" t="s">
        <v>533</v>
      </c>
      <c r="M87" s="28" t="s">
        <v>534</v>
      </c>
      <c r="N87" s="30">
        <f>VLOOKUP(YEAR(Tabel3[[#This Row],[Geb datum]]),Tabel8[#All],2,FALSE)</f>
        <v>27</v>
      </c>
      <c r="O87" s="29">
        <v>35550</v>
      </c>
      <c r="P87" s="30" t="str">
        <f>VLOOKUP(YEAR(Tabel3[[#This Row],[Geb datum]]),Tabel8[#All],3,FALSE)</f>
        <v>S</v>
      </c>
      <c r="Q87" s="30" t="s">
        <v>1</v>
      </c>
      <c r="R87" s="30" t="s">
        <v>7</v>
      </c>
      <c r="S87" s="42"/>
    </row>
    <row r="88" spans="1:19">
      <c r="A88" s="40" t="s">
        <v>535</v>
      </c>
      <c r="B88" s="28" t="s">
        <v>536</v>
      </c>
      <c r="C88" s="28" t="s">
        <v>537</v>
      </c>
      <c r="D88" s="30">
        <f>VLOOKUP(YEAR(Tabel1[[#This Row],[Geb datum]]),Tabel8[#All],2,FALSE)</f>
        <v>12</v>
      </c>
      <c r="E88" s="46">
        <v>41047</v>
      </c>
      <c r="F88" s="30" t="str">
        <f>VLOOKUP(YEAR(Tabel1[[#This Row],[Geb datum]]),Tabel8[#All],3,FALSE)</f>
        <v>C</v>
      </c>
      <c r="G88" s="30" t="s">
        <v>28</v>
      </c>
      <c r="H88" s="30" t="s">
        <v>33</v>
      </c>
      <c r="I88" s="41"/>
      <c r="K88" s="40" t="s">
        <v>538</v>
      </c>
      <c r="L88" s="28" t="s">
        <v>539</v>
      </c>
      <c r="M88" s="28" t="s">
        <v>540</v>
      </c>
      <c r="N88" s="30">
        <f>VLOOKUP(YEAR(Tabel3[[#This Row],[Geb datum]]),Tabel8[#All],2,FALSE)</f>
        <v>25</v>
      </c>
      <c r="O88" s="29">
        <v>36308</v>
      </c>
      <c r="P88" s="30" t="str">
        <f>VLOOKUP(YEAR(Tabel3[[#This Row],[Geb datum]]),Tabel8[#All],3,FALSE)</f>
        <v>S</v>
      </c>
      <c r="Q88" s="30" t="s">
        <v>10</v>
      </c>
      <c r="R88" s="30" t="s">
        <v>10</v>
      </c>
      <c r="S88" s="42"/>
    </row>
    <row r="89" spans="1:19">
      <c r="A89" s="40" t="s">
        <v>541</v>
      </c>
      <c r="B89" s="28" t="s">
        <v>542</v>
      </c>
      <c r="C89" s="28" t="s">
        <v>537</v>
      </c>
      <c r="D89" s="30">
        <f>VLOOKUP(YEAR(Tabel1[[#This Row],[Geb datum]]),Tabel8[#All],2,FALSE)</f>
        <v>22</v>
      </c>
      <c r="E89" s="46">
        <v>37269</v>
      </c>
      <c r="F89" s="30" t="str">
        <f>VLOOKUP(YEAR(Tabel1[[#This Row],[Geb datum]]),Tabel8[#All],3,FALSE)</f>
        <v>S</v>
      </c>
      <c r="G89" s="30" t="s">
        <v>10</v>
      </c>
      <c r="H89" s="30" t="s">
        <v>12</v>
      </c>
      <c r="I89" s="41"/>
      <c r="K89" s="40" t="s">
        <v>543</v>
      </c>
      <c r="L89" s="28" t="s">
        <v>544</v>
      </c>
      <c r="M89" s="28" t="s">
        <v>545</v>
      </c>
      <c r="N89" s="30">
        <f>VLOOKUP(YEAR(Tabel3[[#This Row],[Geb datum]]),Tabel8[#All],2,FALSE)</f>
        <v>11</v>
      </c>
      <c r="O89" s="29">
        <v>41611</v>
      </c>
      <c r="P89" s="30" t="str">
        <f>VLOOKUP(YEAR(Tabel3[[#This Row],[Geb datum]]),Tabel8[#All],3,FALSE)</f>
        <v>D</v>
      </c>
      <c r="Q89" s="30" t="s">
        <v>34</v>
      </c>
      <c r="R89" s="30" t="s">
        <v>35</v>
      </c>
      <c r="S89" s="42"/>
    </row>
    <row r="90" spans="1:19">
      <c r="A90" s="40"/>
      <c r="B90" s="28" t="s">
        <v>546</v>
      </c>
      <c r="C90" s="28" t="s">
        <v>537</v>
      </c>
      <c r="D90" s="30" t="e">
        <f>VLOOKUP(YEAR(Tabel1[[#This Row],[Geb datum]]),Tabel8[#All],2,FALSE)</f>
        <v>#N/A</v>
      </c>
      <c r="E90" s="46"/>
      <c r="F90" s="30" t="e">
        <f>VLOOKUP(YEAR(Tabel1[[#This Row],[Geb datum]]),Tabel8[#All],3,FALSE)</f>
        <v>#N/A</v>
      </c>
      <c r="G90" s="30" t="s">
        <v>9</v>
      </c>
      <c r="H90" s="30"/>
      <c r="I90" s="41"/>
      <c r="K90" s="40" t="s">
        <v>547</v>
      </c>
      <c r="L90" s="28" t="s">
        <v>548</v>
      </c>
      <c r="M90" s="28" t="s">
        <v>549</v>
      </c>
      <c r="N90" s="30">
        <f>VLOOKUP(YEAR(Tabel3[[#This Row],[Geb datum]]),Tabel8[#All],2,FALSE)</f>
        <v>17</v>
      </c>
      <c r="O90" s="29">
        <v>39363</v>
      </c>
      <c r="P90" s="30" t="str">
        <f>VLOOKUP(YEAR(Tabel3[[#This Row],[Geb datum]]),Tabel8[#All],3,FALSE)</f>
        <v>A</v>
      </c>
      <c r="Q90" s="30" t="s">
        <v>17</v>
      </c>
      <c r="R90" s="30" t="s">
        <v>17</v>
      </c>
      <c r="S90" s="42"/>
    </row>
    <row r="91" spans="1:19">
      <c r="A91" s="40" t="s">
        <v>550</v>
      </c>
      <c r="B91" s="28" t="s">
        <v>551</v>
      </c>
      <c r="C91" s="28" t="s">
        <v>552</v>
      </c>
      <c r="D91" s="30">
        <f>VLOOKUP(YEAR(Tabel1[[#This Row],[Geb datum]]),Tabel8[#All],2,FALSE)</f>
        <v>11</v>
      </c>
      <c r="E91" s="46">
        <v>41474</v>
      </c>
      <c r="F91" s="30" t="str">
        <f>VLOOKUP(YEAR(Tabel1[[#This Row],[Geb datum]]),Tabel8[#All],3,FALSE)</f>
        <v>D</v>
      </c>
      <c r="G91" s="30" t="s">
        <v>33</v>
      </c>
      <c r="H91" s="30" t="s">
        <v>34</v>
      </c>
      <c r="I91" s="41"/>
      <c r="K91" s="40" t="s">
        <v>553</v>
      </c>
      <c r="L91" s="28" t="s">
        <v>554</v>
      </c>
      <c r="M91" s="28" t="s">
        <v>549</v>
      </c>
      <c r="N91" s="30">
        <f>VLOOKUP(YEAR(Tabel3[[#This Row],[Geb datum]]),Tabel8[#All],2,FALSE)</f>
        <v>13</v>
      </c>
      <c r="O91" s="29">
        <v>40848</v>
      </c>
      <c r="P91" s="30" t="str">
        <f>VLOOKUP(YEAR(Tabel3[[#This Row],[Geb datum]]),Tabel8[#All],3,FALSE)</f>
        <v>C</v>
      </c>
      <c r="Q91" s="30" t="s">
        <v>28</v>
      </c>
      <c r="R91" s="30" t="s">
        <v>33</v>
      </c>
      <c r="S91" s="42"/>
    </row>
    <row r="92" spans="1:19">
      <c r="A92" s="40" t="s">
        <v>555</v>
      </c>
      <c r="B92" s="28" t="s">
        <v>556</v>
      </c>
      <c r="C92" s="28" t="s">
        <v>557</v>
      </c>
      <c r="D92" s="30">
        <f>VLOOKUP(YEAR(Tabel1[[#This Row],[Geb datum]]),Tabel8[#All],2,FALSE)</f>
        <v>11</v>
      </c>
      <c r="E92" s="46">
        <v>41557</v>
      </c>
      <c r="F92" s="30" t="str">
        <f>VLOOKUP(YEAR(Tabel1[[#This Row],[Geb datum]]),Tabel8[#All],3,FALSE)</f>
        <v>D</v>
      </c>
      <c r="G92" s="30" t="s">
        <v>34</v>
      </c>
      <c r="H92" s="30" t="s">
        <v>35</v>
      </c>
      <c r="I92" s="41"/>
      <c r="K92" s="40"/>
      <c r="L92" s="28" t="s">
        <v>558</v>
      </c>
      <c r="M92" s="28" t="s">
        <v>559</v>
      </c>
      <c r="N92" s="30">
        <f>VLOOKUP(YEAR(Tabel3[[#This Row],[Geb datum]]),Tabel8[#All],2,FALSE)</f>
        <v>10</v>
      </c>
      <c r="O92" s="29">
        <v>41963</v>
      </c>
      <c r="P92" s="30" t="str">
        <f>VLOOKUP(YEAR(Tabel3[[#This Row],[Geb datum]]),Tabel8[#All],3,FALSE)</f>
        <v>D</v>
      </c>
      <c r="Q92" s="30" t="s">
        <v>36</v>
      </c>
      <c r="R92" s="30" t="s">
        <v>228</v>
      </c>
      <c r="S92" s="42"/>
    </row>
    <row r="93" spans="1:19">
      <c r="A93" s="31" t="s">
        <v>560</v>
      </c>
      <c r="B93" s="28" t="s">
        <v>561</v>
      </c>
      <c r="C93" s="28" t="s">
        <v>562</v>
      </c>
      <c r="D93" s="30">
        <f>VLOOKUP(YEAR(Tabel1[[#This Row],[Geb datum]]),Tabel8[#All],2,FALSE)</f>
        <v>17</v>
      </c>
      <c r="E93" s="46">
        <v>39199</v>
      </c>
      <c r="F93" s="30" t="str">
        <f>VLOOKUP(YEAR(Tabel1[[#This Row],[Geb datum]]),Tabel8[#All],3,FALSE)</f>
        <v>A</v>
      </c>
      <c r="G93" s="30" t="s">
        <v>17</v>
      </c>
      <c r="H93" s="30" t="s">
        <v>17</v>
      </c>
      <c r="I93" s="41"/>
      <c r="K93" s="40" t="s">
        <v>563</v>
      </c>
      <c r="L93" s="28" t="s">
        <v>564</v>
      </c>
      <c r="M93" s="28" t="s">
        <v>565</v>
      </c>
      <c r="N93" s="30">
        <f>VLOOKUP(YEAR(Tabel3[[#This Row],[Geb datum]]),Tabel8[#All],2,FALSE)</f>
        <v>17</v>
      </c>
      <c r="O93" s="29">
        <v>39187</v>
      </c>
      <c r="P93" s="30" t="str">
        <f>VLOOKUP(YEAR(Tabel3[[#This Row],[Geb datum]]),Tabel8[#All],3,FALSE)</f>
        <v>A</v>
      </c>
      <c r="Q93" s="30" t="s">
        <v>17</v>
      </c>
      <c r="R93" s="30" t="s">
        <v>17</v>
      </c>
      <c r="S93" s="42"/>
    </row>
    <row r="94" spans="1:19">
      <c r="A94" s="40" t="s">
        <v>566</v>
      </c>
      <c r="B94" s="28" t="s">
        <v>567</v>
      </c>
      <c r="C94" s="28" t="s">
        <v>568</v>
      </c>
      <c r="D94" s="30">
        <f>VLOOKUP(YEAR(Tabel1[[#This Row],[Geb datum]]),Tabel8[#All],2,FALSE)</f>
        <v>38</v>
      </c>
      <c r="E94" s="46">
        <v>31732</v>
      </c>
      <c r="F94" s="30" t="str">
        <f>VLOOKUP(YEAR(Tabel1[[#This Row],[Geb datum]]),Tabel8[#All],3,FALSE)</f>
        <v>S</v>
      </c>
      <c r="G94" s="30" t="s">
        <v>8</v>
      </c>
      <c r="H94" s="30" t="s">
        <v>9</v>
      </c>
      <c r="I94" s="41"/>
      <c r="K94" s="40" t="s">
        <v>569</v>
      </c>
      <c r="L94" s="28" t="s">
        <v>570</v>
      </c>
      <c r="M94" s="28" t="s">
        <v>571</v>
      </c>
      <c r="N94" s="30">
        <f>VLOOKUP(YEAR(Tabel3[[#This Row],[Geb datum]]),Tabel8[#All],2,FALSE)</f>
        <v>10</v>
      </c>
      <c r="O94" s="29">
        <v>41801</v>
      </c>
      <c r="P94" s="30" t="str">
        <f>VLOOKUP(YEAR(Tabel3[[#This Row],[Geb datum]]),Tabel8[#All],3,FALSE)</f>
        <v>D</v>
      </c>
      <c r="Q94" s="30" t="s">
        <v>83</v>
      </c>
      <c r="R94" s="30" t="s">
        <v>39</v>
      </c>
      <c r="S94" s="42"/>
    </row>
    <row r="95" spans="1:19">
      <c r="A95" s="55" t="s">
        <v>572</v>
      </c>
      <c r="B95" s="83" t="s">
        <v>573</v>
      </c>
      <c r="C95" s="28" t="s">
        <v>574</v>
      </c>
      <c r="D95" s="30">
        <f>VLOOKUP(YEAR(Tabel1[[#This Row],[Geb datum]]),Tabel8[#All],2,FALSE)</f>
        <v>34</v>
      </c>
      <c r="E95" s="46">
        <v>33086</v>
      </c>
      <c r="F95" s="30" t="str">
        <f>VLOOKUP(YEAR(Tabel1[[#This Row],[Geb datum]]),Tabel8[#All],3,FALSE)</f>
        <v>S</v>
      </c>
      <c r="G95" s="30" t="s">
        <v>13</v>
      </c>
      <c r="H95" s="30" t="s">
        <v>13</v>
      </c>
      <c r="I95" s="41"/>
      <c r="K95" s="40" t="s">
        <v>575</v>
      </c>
      <c r="L95" s="28" t="s">
        <v>576</v>
      </c>
      <c r="M95" s="28" t="s">
        <v>577</v>
      </c>
      <c r="N95" s="30">
        <f>VLOOKUP(YEAR(Tabel3[[#This Row],[Geb datum]]),Tabel8[#All],2,FALSE)</f>
        <v>43</v>
      </c>
      <c r="O95" s="29">
        <v>29718</v>
      </c>
      <c r="P95" s="30" t="str">
        <f>VLOOKUP(YEAR(Tabel3[[#This Row],[Geb datum]]),Tabel8[#All],3,FALSE)</f>
        <v>S</v>
      </c>
      <c r="Q95" s="30" t="s">
        <v>13</v>
      </c>
      <c r="R95" s="30" t="s">
        <v>13</v>
      </c>
      <c r="S95" s="42"/>
    </row>
    <row r="96" spans="1:19">
      <c r="A96" s="40" t="s">
        <v>578</v>
      </c>
      <c r="B96" s="28" t="s">
        <v>579</v>
      </c>
      <c r="C96" s="28" t="s">
        <v>580</v>
      </c>
      <c r="D96" s="30">
        <f>VLOOKUP(YEAR(Tabel1[[#This Row],[Geb datum]]),Tabel8[#All],2,FALSE)</f>
        <v>32</v>
      </c>
      <c r="E96" s="46">
        <v>33696</v>
      </c>
      <c r="F96" s="30" t="str">
        <f>VLOOKUP(YEAR(Tabel1[[#This Row],[Geb datum]]),Tabel8[#All],3,FALSE)</f>
        <v>S</v>
      </c>
      <c r="G96" s="30" t="s">
        <v>8</v>
      </c>
      <c r="H96" s="30" t="s">
        <v>8</v>
      </c>
      <c r="I96" s="41"/>
      <c r="K96" s="40" t="s">
        <v>581</v>
      </c>
      <c r="L96" s="28" t="s">
        <v>582</v>
      </c>
      <c r="M96" s="28" t="s">
        <v>583</v>
      </c>
      <c r="N96" s="30">
        <f>VLOOKUP(YEAR(Tabel3[[#This Row],[Geb datum]]),Tabel8[#All],2,FALSE)</f>
        <v>13</v>
      </c>
      <c r="O96" s="29">
        <v>40547</v>
      </c>
      <c r="P96" s="30" t="str">
        <f>VLOOKUP(YEAR(Tabel3[[#This Row],[Geb datum]]),Tabel8[#All],3,FALSE)</f>
        <v>C</v>
      </c>
      <c r="Q96" s="30" t="s">
        <v>29</v>
      </c>
      <c r="R96" s="30" t="s">
        <v>30</v>
      </c>
      <c r="S96" s="42"/>
    </row>
    <row r="97" spans="1:19">
      <c r="A97" s="40" t="s">
        <v>584</v>
      </c>
      <c r="B97" s="28" t="s">
        <v>585</v>
      </c>
      <c r="C97" s="28" t="s">
        <v>586</v>
      </c>
      <c r="D97" s="30">
        <f>VLOOKUP(YEAR(Tabel1[[#This Row],[Geb datum]]),Tabel8[#All],2,FALSE)</f>
        <v>19</v>
      </c>
      <c r="E97" s="46">
        <v>38656</v>
      </c>
      <c r="F97" s="30" t="str">
        <f>VLOOKUP(YEAR(Tabel1[[#This Row],[Geb datum]]),Tabel8[#All],3,FALSE)</f>
        <v>S</v>
      </c>
      <c r="G97" s="30" t="s">
        <v>1</v>
      </c>
      <c r="H97" s="30" t="s">
        <v>16</v>
      </c>
      <c r="I97" s="41"/>
      <c r="K97" s="40" t="s">
        <v>587</v>
      </c>
      <c r="L97" s="28" t="s">
        <v>588</v>
      </c>
      <c r="M97" s="28" t="s">
        <v>589</v>
      </c>
      <c r="N97" s="30">
        <f>VLOOKUP(YEAR(Tabel3[[#This Row],[Geb datum]]),Tabel8[#All],2,FALSE)</f>
        <v>10</v>
      </c>
      <c r="O97" s="29">
        <v>41780</v>
      </c>
      <c r="P97" s="30" t="str">
        <f>VLOOKUP(YEAR(Tabel3[[#This Row],[Geb datum]]),Tabel8[#All],3,FALSE)</f>
        <v>D</v>
      </c>
      <c r="Q97" s="30" t="s">
        <v>35</v>
      </c>
      <c r="R97" s="30" t="s">
        <v>40</v>
      </c>
      <c r="S97" s="42"/>
    </row>
    <row r="98" spans="1:19">
      <c r="A98" s="40" t="s">
        <v>590</v>
      </c>
      <c r="B98" s="28" t="s">
        <v>591</v>
      </c>
      <c r="C98" s="28" t="s">
        <v>592</v>
      </c>
      <c r="D98" s="30">
        <f>VLOOKUP(YEAR(Tabel1[[#This Row],[Geb datum]]),Tabel8[#All],2,FALSE)</f>
        <v>10</v>
      </c>
      <c r="E98" s="46">
        <v>41807</v>
      </c>
      <c r="F98" s="30" t="str">
        <f>VLOOKUP(YEAR(Tabel1[[#This Row],[Geb datum]]),Tabel8[#All],3,FALSE)</f>
        <v>D</v>
      </c>
      <c r="G98" s="30" t="s">
        <v>34</v>
      </c>
      <c r="H98" s="30" t="s">
        <v>40</v>
      </c>
      <c r="I98" s="41"/>
      <c r="K98" s="40" t="s">
        <v>593</v>
      </c>
      <c r="L98" s="28" t="s">
        <v>594</v>
      </c>
      <c r="M98" s="28" t="s">
        <v>595</v>
      </c>
      <c r="N98" s="30">
        <f>VLOOKUP(YEAR(Tabel3[[#This Row],[Geb datum]]),Tabel8[#All],2,FALSE)</f>
        <v>11</v>
      </c>
      <c r="O98" s="29">
        <v>41282</v>
      </c>
      <c r="P98" s="30" t="str">
        <f>VLOOKUP(YEAR(Tabel3[[#This Row],[Geb datum]]),Tabel8[#All],3,FALSE)</f>
        <v>D</v>
      </c>
      <c r="Q98" s="30" t="s">
        <v>33</v>
      </c>
      <c r="R98" s="30" t="s">
        <v>34</v>
      </c>
      <c r="S98" s="42"/>
    </row>
    <row r="99" spans="1:19">
      <c r="A99" s="40" t="s">
        <v>596</v>
      </c>
      <c r="B99" s="28" t="s">
        <v>597</v>
      </c>
      <c r="C99" s="28" t="s">
        <v>592</v>
      </c>
      <c r="D99" s="30">
        <f>VLOOKUP(YEAR(Tabel1[[#This Row],[Geb datum]]),Tabel8[#All],2,FALSE)</f>
        <v>15</v>
      </c>
      <c r="E99" s="46">
        <v>39993</v>
      </c>
      <c r="F99" s="30" t="str">
        <f>VLOOKUP(YEAR(Tabel1[[#This Row],[Geb datum]]),Tabel8[#All],3,FALSE)</f>
        <v>B</v>
      </c>
      <c r="G99" s="30" t="s">
        <v>2</v>
      </c>
      <c r="H99" s="30" t="s">
        <v>21</v>
      </c>
      <c r="I99" s="41"/>
      <c r="K99" s="40" t="s">
        <v>598</v>
      </c>
      <c r="L99" s="28" t="s">
        <v>599</v>
      </c>
      <c r="M99" s="28" t="s">
        <v>600</v>
      </c>
      <c r="N99" s="30">
        <f>VLOOKUP(YEAR(Tabel3[[#This Row],[Geb datum]]),Tabel8[#All],2,FALSE)</f>
        <v>16</v>
      </c>
      <c r="O99" s="29">
        <v>39655</v>
      </c>
      <c r="P99" s="30" t="str">
        <f>VLOOKUP(YEAR(Tabel3[[#This Row],[Geb datum]]),Tabel8[#All],3,FALSE)</f>
        <v>A</v>
      </c>
      <c r="Q99" s="30" t="s">
        <v>2</v>
      </c>
      <c r="R99" s="30" t="s">
        <v>21</v>
      </c>
      <c r="S99" s="42"/>
    </row>
    <row r="100" spans="1:19">
      <c r="A100" s="40" t="s">
        <v>601</v>
      </c>
      <c r="B100" s="28" t="s">
        <v>602</v>
      </c>
      <c r="C100" s="28" t="s">
        <v>603</v>
      </c>
      <c r="D100" s="30">
        <f>VLOOKUP(YEAR(Tabel1[[#This Row],[Geb datum]]),Tabel8[#All],2,FALSE)</f>
        <v>12</v>
      </c>
      <c r="E100" s="46">
        <v>41149</v>
      </c>
      <c r="F100" s="30" t="str">
        <f>VLOOKUP(YEAR(Tabel1[[#This Row],[Geb datum]]),Tabel8[#All],3,FALSE)</f>
        <v>C</v>
      </c>
      <c r="G100" s="30" t="s">
        <v>29</v>
      </c>
      <c r="H100" s="30" t="s">
        <v>35</v>
      </c>
      <c r="I100" s="41"/>
      <c r="K100" s="40" t="s">
        <v>604</v>
      </c>
      <c r="L100" s="28" t="s">
        <v>605</v>
      </c>
      <c r="M100" s="28" t="s">
        <v>600</v>
      </c>
      <c r="N100" s="30">
        <f>VLOOKUP(YEAR(Tabel3[[#This Row],[Geb datum]]),Tabel8[#All],2,FALSE)</f>
        <v>14</v>
      </c>
      <c r="O100" s="29">
        <v>40381</v>
      </c>
      <c r="P100" s="30" t="str">
        <f>VLOOKUP(YEAR(Tabel3[[#This Row],[Geb datum]]),Tabel8[#All],3,FALSE)</f>
        <v>B</v>
      </c>
      <c r="Q100" s="30" t="s">
        <v>3</v>
      </c>
      <c r="R100" s="30" t="s">
        <v>27</v>
      </c>
      <c r="S100" s="42"/>
    </row>
    <row r="101" spans="1:19">
      <c r="A101" s="40" t="s">
        <v>606</v>
      </c>
      <c r="B101" s="28" t="s">
        <v>607</v>
      </c>
      <c r="C101" s="28" t="s">
        <v>608</v>
      </c>
      <c r="D101" s="30">
        <f>VLOOKUP(YEAR(Tabel1[[#This Row],[Geb datum]]),Tabel8[#All],2,FALSE)</f>
        <v>41</v>
      </c>
      <c r="E101" s="46">
        <v>30573</v>
      </c>
      <c r="F101" s="30" t="str">
        <f>VLOOKUP(YEAR(Tabel1[[#This Row],[Geb datum]]),Tabel8[#All],3,FALSE)</f>
        <v>S</v>
      </c>
      <c r="G101" s="30" t="s">
        <v>62</v>
      </c>
      <c r="H101" s="30" t="s">
        <v>62</v>
      </c>
      <c r="I101" s="41"/>
      <c r="K101" s="40" t="s">
        <v>609</v>
      </c>
      <c r="L101" s="28" t="s">
        <v>610</v>
      </c>
      <c r="M101" s="28" t="s">
        <v>611</v>
      </c>
      <c r="N101" s="30">
        <f>VLOOKUP(YEAR(Tabel3[[#This Row],[Geb datum]]),Tabel8[#All],2,FALSE)</f>
        <v>26</v>
      </c>
      <c r="O101" s="56">
        <v>36143</v>
      </c>
      <c r="P101" s="30" t="str">
        <f>VLOOKUP(YEAR(Tabel3[[#This Row],[Geb datum]]),Tabel8[#All],3,FALSE)</f>
        <v>S</v>
      </c>
      <c r="Q101" s="30" t="s">
        <v>1</v>
      </c>
      <c r="R101" s="30" t="s">
        <v>62</v>
      </c>
      <c r="S101" s="42"/>
    </row>
    <row r="102" spans="1:19">
      <c r="A102" s="40" t="s">
        <v>612</v>
      </c>
      <c r="B102" s="28" t="s">
        <v>613</v>
      </c>
      <c r="C102" s="28" t="s">
        <v>614</v>
      </c>
      <c r="D102" s="30">
        <f>VLOOKUP(YEAR(Tabel1[[#This Row],[Geb datum]]),Tabel8[#All],2,FALSE)</f>
        <v>7</v>
      </c>
      <c r="E102" s="46">
        <v>42979</v>
      </c>
      <c r="F102" s="30" t="str">
        <f>VLOOKUP(YEAR(Tabel1[[#This Row],[Geb datum]]),Tabel8[#All],3,FALSE)</f>
        <v>F</v>
      </c>
      <c r="G102" s="30" t="s">
        <v>48</v>
      </c>
      <c r="H102" s="30" t="s">
        <v>48</v>
      </c>
      <c r="I102" s="41"/>
      <c r="K102" s="31" t="s">
        <v>615</v>
      </c>
      <c r="L102" s="28" t="s">
        <v>616</v>
      </c>
      <c r="M102" s="28" t="s">
        <v>617</v>
      </c>
      <c r="N102" s="30">
        <f>VLOOKUP(YEAR(Tabel3[[#This Row],[Geb datum]]),Tabel8[#All],2,FALSE)</f>
        <v>4</v>
      </c>
      <c r="O102" s="29">
        <v>44190</v>
      </c>
      <c r="P102" s="30" t="str">
        <f>VLOOKUP(YEAR(Tabel3[[#This Row],[Geb datum]]),Tabel8[#All],3,FALSE)</f>
        <v>K</v>
      </c>
      <c r="Q102" s="30" t="s">
        <v>53</v>
      </c>
      <c r="R102" s="30" t="s">
        <v>53</v>
      </c>
      <c r="S102" s="42"/>
    </row>
    <row r="103" spans="1:19">
      <c r="A103" s="40" t="s">
        <v>618</v>
      </c>
      <c r="B103" s="28" t="s">
        <v>619</v>
      </c>
      <c r="C103" s="28" t="s">
        <v>620</v>
      </c>
      <c r="D103" s="30">
        <f>VLOOKUP(YEAR(Tabel1[[#This Row],[Geb datum]]),Tabel8[#All],2,FALSE)</f>
        <v>21</v>
      </c>
      <c r="E103" s="46">
        <v>37684</v>
      </c>
      <c r="F103" s="30" t="str">
        <f>VLOOKUP(YEAR(Tabel1[[#This Row],[Geb datum]]),Tabel8[#All],3,FALSE)</f>
        <v>S</v>
      </c>
      <c r="G103" s="30" t="s">
        <v>1</v>
      </c>
      <c r="H103" s="30" t="s">
        <v>6</v>
      </c>
      <c r="I103" s="41"/>
      <c r="K103" s="40" t="s">
        <v>621</v>
      </c>
      <c r="L103" s="28" t="s">
        <v>622</v>
      </c>
      <c r="M103" s="28" t="s">
        <v>623</v>
      </c>
      <c r="N103" s="30">
        <f>VLOOKUP(YEAR(Tabel3[[#This Row],[Geb datum]]),Tabel8[#All],2,FALSE)</f>
        <v>16</v>
      </c>
      <c r="O103" s="29">
        <v>39623</v>
      </c>
      <c r="P103" s="30" t="str">
        <f>VLOOKUP(YEAR(Tabel3[[#This Row],[Geb datum]]),Tabel8[#All],3,FALSE)</f>
        <v>A</v>
      </c>
      <c r="Q103" s="30" t="s">
        <v>3</v>
      </c>
      <c r="R103" s="30" t="s">
        <v>21</v>
      </c>
      <c r="S103" s="42"/>
    </row>
    <row r="104" spans="1:19">
      <c r="A104" s="40" t="s">
        <v>624</v>
      </c>
      <c r="B104" s="28" t="s">
        <v>625</v>
      </c>
      <c r="C104" s="28" t="s">
        <v>626</v>
      </c>
      <c r="D104" s="30">
        <f>VLOOKUP(YEAR(Tabel1[[#This Row],[Geb datum]]),Tabel8[#All],2,FALSE)</f>
        <v>9</v>
      </c>
      <c r="E104" s="46">
        <v>42058</v>
      </c>
      <c r="F104" s="30" t="str">
        <f>VLOOKUP(YEAR(Tabel1[[#This Row],[Geb datum]]),Tabel8[#All],3,FALSE)</f>
        <v>E</v>
      </c>
      <c r="G104" s="30" t="s">
        <v>39</v>
      </c>
      <c r="H104" s="30" t="s">
        <v>42</v>
      </c>
      <c r="I104" s="41"/>
      <c r="K104" s="40" t="s">
        <v>627</v>
      </c>
      <c r="L104" s="28" t="s">
        <v>628</v>
      </c>
      <c r="M104" s="28" t="s">
        <v>629</v>
      </c>
      <c r="N104" s="30">
        <f>VLOOKUP(YEAR(Tabel3[[#This Row],[Geb datum]]),Tabel8[#All],2,FALSE)</f>
        <v>15</v>
      </c>
      <c r="O104" s="29">
        <v>40093</v>
      </c>
      <c r="P104" s="30" t="str">
        <f>VLOOKUP(YEAR(Tabel3[[#This Row],[Geb datum]]),Tabel8[#All],3,FALSE)</f>
        <v>B</v>
      </c>
      <c r="Q104" s="30" t="s">
        <v>24</v>
      </c>
      <c r="R104" s="30" t="s">
        <v>30</v>
      </c>
      <c r="S104" s="42"/>
    </row>
    <row r="105" spans="1:19">
      <c r="A105" s="40" t="s">
        <v>630</v>
      </c>
      <c r="B105" s="28" t="s">
        <v>631</v>
      </c>
      <c r="C105" s="28" t="s">
        <v>632</v>
      </c>
      <c r="D105" s="30">
        <f>VLOOKUP(YEAR(Tabel1[[#This Row],[Geb datum]]),Tabel8[#All],2,FALSE)</f>
        <v>15</v>
      </c>
      <c r="E105" s="46">
        <v>40143</v>
      </c>
      <c r="F105" s="30" t="str">
        <f>VLOOKUP(YEAR(Tabel1[[#This Row],[Geb datum]]),Tabel8[#All],3,FALSE)</f>
        <v>B</v>
      </c>
      <c r="G105" s="30" t="s">
        <v>23</v>
      </c>
      <c r="H105" s="30" t="s">
        <v>23</v>
      </c>
      <c r="I105" s="41"/>
      <c r="K105" s="40" t="s">
        <v>633</v>
      </c>
      <c r="L105" s="28" t="s">
        <v>634</v>
      </c>
      <c r="M105" s="28" t="s">
        <v>635</v>
      </c>
      <c r="N105" s="30">
        <f>VLOOKUP(YEAR(Tabel3[[#This Row],[Geb datum]]),Tabel8[#All],2,FALSE)</f>
        <v>42</v>
      </c>
      <c r="O105" s="29">
        <v>30083</v>
      </c>
      <c r="P105" s="30" t="str">
        <f>VLOOKUP(YEAR(Tabel3[[#This Row],[Geb datum]]),Tabel8[#All],3,FALSE)</f>
        <v>S</v>
      </c>
      <c r="Q105" s="30" t="s">
        <v>83</v>
      </c>
      <c r="R105" s="30" t="s">
        <v>13</v>
      </c>
      <c r="S105" s="42"/>
    </row>
    <row r="106" spans="1:19">
      <c r="A106" s="40" t="s">
        <v>636</v>
      </c>
      <c r="B106" s="28" t="s">
        <v>637</v>
      </c>
      <c r="C106" s="28" t="s">
        <v>638</v>
      </c>
      <c r="D106" s="30">
        <f>VLOOKUP(YEAR(Tabel1[[#This Row],[Geb datum]]),Tabel8[#All],2,FALSE)</f>
        <v>13</v>
      </c>
      <c r="E106" s="46">
        <v>40637</v>
      </c>
      <c r="F106" s="30" t="str">
        <f>VLOOKUP(YEAR(Tabel1[[#This Row],[Geb datum]]),Tabel8[#All],3,FALSE)</f>
        <v>C</v>
      </c>
      <c r="G106" s="30" t="s">
        <v>24</v>
      </c>
      <c r="H106" s="30" t="s">
        <v>30</v>
      </c>
      <c r="I106" s="41"/>
      <c r="K106" s="55" t="s">
        <v>639</v>
      </c>
      <c r="L106" s="62" t="s">
        <v>640</v>
      </c>
      <c r="M106" s="62" t="s">
        <v>635</v>
      </c>
      <c r="N106" s="30">
        <f>VLOOKUP(YEAR(Tabel3[[#This Row],[Geb datum]]),Tabel8[#All],2,FALSE)</f>
        <v>27</v>
      </c>
      <c r="O106" s="56">
        <v>35488</v>
      </c>
      <c r="P106" s="30" t="str">
        <f>VLOOKUP(YEAR(Tabel3[[#This Row],[Geb datum]]),Tabel8[#All],3,FALSE)</f>
        <v>S</v>
      </c>
      <c r="Q106" s="30" t="s">
        <v>83</v>
      </c>
      <c r="R106" s="30" t="s">
        <v>62</v>
      </c>
      <c r="S106" s="42"/>
    </row>
    <row r="107" spans="1:19">
      <c r="A107" s="40" t="s">
        <v>641</v>
      </c>
      <c r="B107" s="28" t="s">
        <v>642</v>
      </c>
      <c r="C107" s="28" t="s">
        <v>643</v>
      </c>
      <c r="D107" s="30">
        <f>VLOOKUP(YEAR(Tabel1[[#This Row],[Geb datum]]),Tabel8[#All],2,FALSE)</f>
        <v>14</v>
      </c>
      <c r="E107" s="46">
        <v>40541</v>
      </c>
      <c r="F107" s="30" t="str">
        <f>VLOOKUP(YEAR(Tabel1[[#This Row],[Geb datum]]),Tabel8[#All],3,FALSE)</f>
        <v>B</v>
      </c>
      <c r="G107" s="30" t="s">
        <v>23</v>
      </c>
      <c r="H107" s="30" t="s">
        <v>23</v>
      </c>
      <c r="I107" s="41"/>
      <c r="K107" s="40" t="s">
        <v>644</v>
      </c>
      <c r="L107" s="28" t="s">
        <v>645</v>
      </c>
      <c r="M107" s="28" t="s">
        <v>646</v>
      </c>
      <c r="N107" s="30">
        <f>VLOOKUP(YEAR(Tabel3[[#This Row],[Geb datum]]),Tabel8[#All],2,FALSE)</f>
        <v>24</v>
      </c>
      <c r="O107" s="29">
        <v>36666</v>
      </c>
      <c r="P107" s="30" t="str">
        <f>VLOOKUP(YEAR(Tabel3[[#This Row],[Geb datum]]),Tabel8[#All],3,FALSE)</f>
        <v>S</v>
      </c>
      <c r="Q107" s="30" t="s">
        <v>10</v>
      </c>
      <c r="R107" s="30" t="s">
        <v>10</v>
      </c>
      <c r="S107" s="42"/>
    </row>
    <row r="108" spans="1:19">
      <c r="A108" s="40" t="s">
        <v>647</v>
      </c>
      <c r="B108" s="28" t="s">
        <v>648</v>
      </c>
      <c r="C108" s="28" t="s">
        <v>649</v>
      </c>
      <c r="D108" s="30">
        <f>VLOOKUP(YEAR(Tabel1[[#This Row],[Geb datum]]),Tabel8[#All],2,FALSE)</f>
        <v>21</v>
      </c>
      <c r="E108" s="46">
        <v>37702</v>
      </c>
      <c r="F108" s="30" t="str">
        <f>VLOOKUP(YEAR(Tabel1[[#This Row],[Geb datum]]),Tabel8[#All],3,FALSE)</f>
        <v>S</v>
      </c>
      <c r="G108" s="30" t="s">
        <v>10</v>
      </c>
      <c r="H108" s="30" t="s">
        <v>10</v>
      </c>
      <c r="I108" s="41"/>
      <c r="K108" s="40" t="s">
        <v>650</v>
      </c>
      <c r="L108" s="28" t="s">
        <v>651</v>
      </c>
      <c r="M108" s="28" t="s">
        <v>652</v>
      </c>
      <c r="N108" s="30">
        <f>VLOOKUP(YEAR(Tabel3[[#This Row],[Geb datum]]),Tabel8[#All],2,FALSE)</f>
        <v>10</v>
      </c>
      <c r="O108" s="29">
        <v>41722</v>
      </c>
      <c r="P108" s="30" t="str">
        <f>VLOOKUP(YEAR(Tabel3[[#This Row],[Geb datum]]),Tabel8[#All],3,FALSE)</f>
        <v>D</v>
      </c>
      <c r="Q108" s="30" t="s">
        <v>36</v>
      </c>
      <c r="R108" s="30" t="s">
        <v>41</v>
      </c>
      <c r="S108" s="42"/>
    </row>
    <row r="109" spans="1:19">
      <c r="A109" s="40" t="s">
        <v>653</v>
      </c>
      <c r="B109" s="28" t="s">
        <v>654</v>
      </c>
      <c r="C109" s="28" t="s">
        <v>655</v>
      </c>
      <c r="D109" s="30">
        <f>VLOOKUP(YEAR(Tabel1[[#This Row],[Geb datum]]),Tabel8[#All],2,FALSE)</f>
        <v>19</v>
      </c>
      <c r="E109" s="46">
        <v>38451</v>
      </c>
      <c r="F109" s="30" t="str">
        <f>VLOOKUP(YEAR(Tabel1[[#This Row],[Geb datum]]),Tabel8[#All],3,FALSE)</f>
        <v>S</v>
      </c>
      <c r="G109" s="30" t="s">
        <v>1</v>
      </c>
      <c r="H109" s="30" t="s">
        <v>16</v>
      </c>
      <c r="I109" s="41"/>
      <c r="K109" s="40" t="s">
        <v>656</v>
      </c>
      <c r="L109" s="28" t="s">
        <v>657</v>
      </c>
      <c r="M109" s="28" t="s">
        <v>658</v>
      </c>
      <c r="N109" s="30">
        <f>VLOOKUP(YEAR(Tabel3[[#This Row],[Geb datum]]),Tabel8[#All],2,FALSE)</f>
        <v>16</v>
      </c>
      <c r="O109" s="29">
        <v>39629</v>
      </c>
      <c r="P109" s="30" t="str">
        <f>VLOOKUP(YEAR(Tabel3[[#This Row],[Geb datum]]),Tabel8[#All],3,FALSE)</f>
        <v>A</v>
      </c>
      <c r="Q109" s="30" t="s">
        <v>17</v>
      </c>
      <c r="R109" s="30" t="s">
        <v>23</v>
      </c>
      <c r="S109" s="42"/>
    </row>
    <row r="110" spans="1:19">
      <c r="A110" s="40" t="s">
        <v>659</v>
      </c>
      <c r="B110" s="28" t="s">
        <v>660</v>
      </c>
      <c r="C110" s="28" t="s">
        <v>661</v>
      </c>
      <c r="D110" s="30">
        <f>VLOOKUP(YEAR(Tabel1[[#This Row],[Geb datum]]),Tabel8[#All],2,FALSE)</f>
        <v>7</v>
      </c>
      <c r="E110" s="46">
        <v>43032</v>
      </c>
      <c r="F110" s="30" t="str">
        <f>VLOOKUP(YEAR(Tabel1[[#This Row],[Geb datum]]),Tabel8[#All],3,FALSE)</f>
        <v>F</v>
      </c>
      <c r="G110" s="30" t="s">
        <v>48</v>
      </c>
      <c r="H110" s="30" t="s">
        <v>155</v>
      </c>
      <c r="I110" s="41"/>
      <c r="K110" s="55" t="s">
        <v>662</v>
      </c>
      <c r="L110" s="28" t="s">
        <v>663</v>
      </c>
      <c r="M110" s="28" t="s">
        <v>664</v>
      </c>
      <c r="N110" s="30">
        <f>VLOOKUP(YEAR(Tabel3[[#This Row],[Geb datum]]),Tabel8[#All],2,FALSE)</f>
        <v>9</v>
      </c>
      <c r="O110" s="29">
        <v>42156</v>
      </c>
      <c r="P110" s="30" t="str">
        <f>VLOOKUP(YEAR(Tabel3[[#This Row],[Geb datum]]),Tabel8[#All],3,FALSE)</f>
        <v>E</v>
      </c>
      <c r="Q110" s="30" t="s">
        <v>39</v>
      </c>
      <c r="R110" s="30" t="s">
        <v>42</v>
      </c>
      <c r="S110" s="42"/>
    </row>
    <row r="111" spans="1:19">
      <c r="A111" s="40" t="s">
        <v>665</v>
      </c>
      <c r="B111" s="28" t="s">
        <v>666</v>
      </c>
      <c r="C111" s="28" t="s">
        <v>667</v>
      </c>
      <c r="D111" s="30">
        <f>VLOOKUP(YEAR(Tabel1[[#This Row],[Geb datum]]),Tabel8[#All],2,FALSE)</f>
        <v>20</v>
      </c>
      <c r="E111" s="46">
        <v>38011</v>
      </c>
      <c r="F111" s="30" t="str">
        <f>VLOOKUP(YEAR(Tabel1[[#This Row],[Geb datum]]),Tabel8[#All],3,FALSE)</f>
        <v>S</v>
      </c>
      <c r="G111" s="30" t="s">
        <v>1</v>
      </c>
      <c r="H111" s="30" t="s">
        <v>6</v>
      </c>
      <c r="I111" s="41"/>
      <c r="K111" s="55" t="s">
        <v>668</v>
      </c>
      <c r="L111" s="62" t="s">
        <v>669</v>
      </c>
      <c r="M111" s="62" t="s">
        <v>664</v>
      </c>
      <c r="N111" s="30">
        <f>VLOOKUP(YEAR(Tabel3[[#This Row],[Geb datum]]),Tabel8[#All],2,FALSE)</f>
        <v>34</v>
      </c>
      <c r="O111" s="56">
        <v>33211</v>
      </c>
      <c r="P111" s="30" t="str">
        <f>VLOOKUP(YEAR(Tabel3[[#This Row],[Geb datum]]),Tabel8[#All],3,FALSE)</f>
        <v>S</v>
      </c>
      <c r="Q111" s="30" t="s">
        <v>62</v>
      </c>
      <c r="R111" s="30" t="s">
        <v>62</v>
      </c>
      <c r="S111" s="42"/>
    </row>
    <row r="112" spans="1:19">
      <c r="A112" s="40" t="s">
        <v>670</v>
      </c>
      <c r="B112" s="28" t="s">
        <v>671</v>
      </c>
      <c r="C112" s="28" t="s">
        <v>672</v>
      </c>
      <c r="D112" s="30">
        <f>VLOOKUP(YEAR(Tabel1[[#This Row],[Geb datum]]),Tabel8[#All],2,FALSE)</f>
        <v>17</v>
      </c>
      <c r="E112" s="46">
        <v>39324</v>
      </c>
      <c r="F112" s="30" t="str">
        <f>VLOOKUP(YEAR(Tabel1[[#This Row],[Geb datum]]),Tabel8[#All],3,FALSE)</f>
        <v>A</v>
      </c>
      <c r="G112" s="30" t="s">
        <v>2</v>
      </c>
      <c r="H112" s="30" t="s">
        <v>15</v>
      </c>
      <c r="I112" s="41"/>
      <c r="K112" s="40" t="s">
        <v>673</v>
      </c>
      <c r="L112" s="28" t="s">
        <v>674</v>
      </c>
      <c r="M112" s="28" t="s">
        <v>675</v>
      </c>
      <c r="N112" s="30">
        <f>VLOOKUP(YEAR(Tabel3[[#This Row],[Geb datum]]),Tabel8[#All],2,FALSE)</f>
        <v>21</v>
      </c>
      <c r="O112" s="29">
        <v>37909</v>
      </c>
      <c r="P112" s="30" t="str">
        <f>VLOOKUP(YEAR(Tabel3[[#This Row],[Geb datum]]),Tabel8[#All],3,FALSE)</f>
        <v>S</v>
      </c>
      <c r="Q112" s="30" t="s">
        <v>10</v>
      </c>
      <c r="R112" s="30" t="s">
        <v>10</v>
      </c>
      <c r="S112" s="42"/>
    </row>
    <row r="113" spans="1:19">
      <c r="A113" s="40" t="s">
        <v>676</v>
      </c>
      <c r="B113" s="28" t="s">
        <v>677</v>
      </c>
      <c r="C113" s="28" t="s">
        <v>672</v>
      </c>
      <c r="D113" s="30">
        <f>VLOOKUP(YEAR(Tabel1[[#This Row],[Geb datum]]),Tabel8[#All],2,FALSE)</f>
        <v>25</v>
      </c>
      <c r="E113" s="46">
        <v>36432</v>
      </c>
      <c r="F113" s="30" t="str">
        <f>VLOOKUP(YEAR(Tabel1[[#This Row],[Geb datum]]),Tabel8[#All],3,FALSE)</f>
        <v>S</v>
      </c>
      <c r="G113" s="30" t="s">
        <v>62</v>
      </c>
      <c r="H113" s="30" t="s">
        <v>62</v>
      </c>
      <c r="I113" s="41"/>
      <c r="K113" s="55" t="s">
        <v>678</v>
      </c>
      <c r="L113" s="62" t="s">
        <v>679</v>
      </c>
      <c r="M113" s="62" t="s">
        <v>680</v>
      </c>
      <c r="N113" s="30">
        <f>VLOOKUP(YEAR(Tabel3[[#This Row],[Geb datum]]),Tabel8[#All],2,FALSE)</f>
        <v>34</v>
      </c>
      <c r="O113" s="56">
        <v>32911</v>
      </c>
      <c r="P113" s="30" t="str">
        <f>VLOOKUP(YEAR(Tabel3[[#This Row],[Geb datum]]),Tabel8[#All],3,FALSE)</f>
        <v>S</v>
      </c>
      <c r="Q113" s="30" t="s">
        <v>62</v>
      </c>
      <c r="R113" s="30" t="s">
        <v>62</v>
      </c>
      <c r="S113" s="42"/>
    </row>
    <row r="114" spans="1:19">
      <c r="A114" s="40" t="s">
        <v>681</v>
      </c>
      <c r="B114" s="28" t="s">
        <v>682</v>
      </c>
      <c r="C114" s="28" t="s">
        <v>672</v>
      </c>
      <c r="D114" s="30">
        <f>VLOOKUP(YEAR(Tabel1[[#This Row],[Geb datum]]),Tabel8[#All],2,FALSE)</f>
        <v>32</v>
      </c>
      <c r="E114" s="46">
        <v>33828</v>
      </c>
      <c r="F114" s="30" t="str">
        <f>VLOOKUP(YEAR(Tabel1[[#This Row],[Geb datum]]),Tabel8[#All],3,FALSE)</f>
        <v>S</v>
      </c>
      <c r="G114" s="30" t="s">
        <v>8</v>
      </c>
      <c r="H114" s="30" t="s">
        <v>8</v>
      </c>
      <c r="I114" s="41"/>
      <c r="K114" s="40" t="s">
        <v>683</v>
      </c>
      <c r="L114" s="28" t="s">
        <v>684</v>
      </c>
      <c r="M114" s="28" t="s">
        <v>685</v>
      </c>
      <c r="N114" s="30">
        <f>VLOOKUP(YEAR(Tabel3[[#This Row],[Geb datum]]),Tabel8[#All],2,FALSE)</f>
        <v>28</v>
      </c>
      <c r="O114" s="29">
        <v>35246</v>
      </c>
      <c r="P114" s="30" t="str">
        <f>VLOOKUP(YEAR(Tabel3[[#This Row],[Geb datum]]),Tabel8[#All],3,FALSE)</f>
        <v>S</v>
      </c>
      <c r="Q114" s="30" t="s">
        <v>1</v>
      </c>
      <c r="R114" s="30" t="s">
        <v>6</v>
      </c>
      <c r="S114" s="42"/>
    </row>
    <row r="115" spans="1:19">
      <c r="A115" s="40" t="s">
        <v>686</v>
      </c>
      <c r="B115" s="28" t="s">
        <v>687</v>
      </c>
      <c r="C115" s="28" t="s">
        <v>688</v>
      </c>
      <c r="D115" s="30">
        <f>VLOOKUP(YEAR(Tabel1[[#This Row],[Geb datum]]),Tabel8[#All],2,FALSE)</f>
        <v>17</v>
      </c>
      <c r="E115" s="46">
        <v>39433</v>
      </c>
      <c r="F115" s="30" t="str">
        <f>VLOOKUP(YEAR(Tabel1[[#This Row],[Geb datum]]),Tabel8[#All],3,FALSE)</f>
        <v>A</v>
      </c>
      <c r="G115" s="30" t="s">
        <v>83</v>
      </c>
      <c r="H115" s="30" t="s">
        <v>16</v>
      </c>
      <c r="I115" s="41"/>
      <c r="K115" s="40" t="s">
        <v>689</v>
      </c>
      <c r="L115" s="28" t="s">
        <v>690</v>
      </c>
      <c r="M115" s="28" t="s">
        <v>691</v>
      </c>
      <c r="N115" s="30">
        <f>VLOOKUP(YEAR(Tabel3[[#This Row],[Geb datum]]),Tabel8[#All],2,FALSE)</f>
        <v>41</v>
      </c>
      <c r="O115" s="29">
        <v>30397</v>
      </c>
      <c r="P115" s="30" t="str">
        <f>VLOOKUP(YEAR(Tabel3[[#This Row],[Geb datum]]),Tabel8[#All],3,FALSE)</f>
        <v>S</v>
      </c>
      <c r="Q115" s="30" t="s">
        <v>13</v>
      </c>
      <c r="R115" s="30" t="s">
        <v>13</v>
      </c>
      <c r="S115" s="42"/>
    </row>
    <row r="116" spans="1:19">
      <c r="A116" s="40" t="s">
        <v>692</v>
      </c>
      <c r="B116" s="28" t="s">
        <v>693</v>
      </c>
      <c r="C116" s="28" t="s">
        <v>694</v>
      </c>
      <c r="D116" s="30">
        <f>VLOOKUP(YEAR(Tabel1[[#This Row],[Geb datum]]),Tabel8[#All],2,FALSE)</f>
        <v>12</v>
      </c>
      <c r="E116" s="46">
        <v>41178</v>
      </c>
      <c r="F116" s="30" t="str">
        <f>VLOOKUP(YEAR(Tabel1[[#This Row],[Geb datum]]),Tabel8[#All],3,FALSE)</f>
        <v>C</v>
      </c>
      <c r="G116" s="30" t="s">
        <v>29</v>
      </c>
      <c r="H116" s="30" t="s">
        <v>36</v>
      </c>
      <c r="I116" s="41"/>
      <c r="K116" s="40" t="s">
        <v>695</v>
      </c>
      <c r="L116" s="28" t="s">
        <v>696</v>
      </c>
      <c r="M116" s="28" t="s">
        <v>697</v>
      </c>
      <c r="N116" s="30">
        <f>VLOOKUP(YEAR(Tabel3[[#This Row],[Geb datum]]),Tabel8[#All],2,FALSE)</f>
        <v>40</v>
      </c>
      <c r="O116" s="29">
        <v>30994</v>
      </c>
      <c r="P116" s="30" t="str">
        <f>VLOOKUP(YEAR(Tabel3[[#This Row],[Geb datum]]),Tabel8[#All],3,FALSE)</f>
        <v>S</v>
      </c>
      <c r="Q116" s="30" t="s">
        <v>8</v>
      </c>
      <c r="R116" s="30" t="s">
        <v>8</v>
      </c>
      <c r="S116" s="42"/>
    </row>
    <row r="117" spans="1:19">
      <c r="A117" s="40" t="s">
        <v>698</v>
      </c>
      <c r="B117" s="28" t="s">
        <v>699</v>
      </c>
      <c r="C117" s="28" t="s">
        <v>694</v>
      </c>
      <c r="D117" s="30">
        <f>VLOOKUP(YEAR(Tabel1[[#This Row],[Geb datum]]),Tabel8[#All],2,FALSE)</f>
        <v>22</v>
      </c>
      <c r="E117" s="46">
        <v>37307</v>
      </c>
      <c r="F117" s="30" t="str">
        <f>VLOOKUP(YEAR(Tabel1[[#This Row],[Geb datum]]),Tabel8[#All],3,FALSE)</f>
        <v>S</v>
      </c>
      <c r="G117" s="30" t="s">
        <v>1</v>
      </c>
      <c r="H117" s="30" t="s">
        <v>6</v>
      </c>
      <c r="I117" s="41"/>
      <c r="K117" s="40" t="s">
        <v>700</v>
      </c>
      <c r="L117" s="28" t="s">
        <v>701</v>
      </c>
      <c r="M117" s="28" t="s">
        <v>702</v>
      </c>
      <c r="N117" s="30">
        <f>VLOOKUP(YEAR(Tabel3[[#This Row],[Geb datum]]),Tabel8[#All],2,FALSE)</f>
        <v>24</v>
      </c>
      <c r="O117" s="29">
        <v>36865</v>
      </c>
      <c r="P117" s="30" t="str">
        <f>VLOOKUP(YEAR(Tabel3[[#This Row],[Geb datum]]),Tabel8[#All],3,FALSE)</f>
        <v>S</v>
      </c>
      <c r="Q117" s="30" t="s">
        <v>11</v>
      </c>
      <c r="R117" s="30" t="s">
        <v>11</v>
      </c>
      <c r="S117" s="42"/>
    </row>
    <row r="118" spans="1:19">
      <c r="A118" s="40" t="s">
        <v>703</v>
      </c>
      <c r="B118" s="28" t="s">
        <v>704</v>
      </c>
      <c r="C118" s="28" t="s">
        <v>705</v>
      </c>
      <c r="D118" s="30">
        <f>VLOOKUP(YEAR(Tabel1[[#This Row],[Geb datum]]),Tabel8[#All],2,FALSE)</f>
        <v>44</v>
      </c>
      <c r="E118" s="56">
        <v>29257</v>
      </c>
      <c r="F118" s="30" t="str">
        <f>VLOOKUP(YEAR(Tabel1[[#This Row],[Geb datum]]),Tabel8[#All],3,FALSE)</f>
        <v>S</v>
      </c>
      <c r="G118" s="30" t="s">
        <v>83</v>
      </c>
      <c r="H118" s="30" t="s">
        <v>13</v>
      </c>
      <c r="I118" s="41"/>
      <c r="K118" s="40" t="s">
        <v>706</v>
      </c>
      <c r="L118" s="28" t="s">
        <v>707</v>
      </c>
      <c r="M118" s="28" t="s">
        <v>702</v>
      </c>
      <c r="N118" s="30">
        <f>VLOOKUP(YEAR(Tabel3[[#This Row],[Geb datum]]),Tabel8[#All],2,FALSE)</f>
        <v>6</v>
      </c>
      <c r="O118" s="29">
        <v>43333</v>
      </c>
      <c r="P118" s="30" t="str">
        <f>VLOOKUP(YEAR(Tabel3[[#This Row],[Geb datum]]),Tabel8[#All],3,FALSE)</f>
        <v>F</v>
      </c>
      <c r="Q118" s="30" t="s">
        <v>48</v>
      </c>
      <c r="R118" s="30" t="s">
        <v>53</v>
      </c>
      <c r="S118" s="42"/>
    </row>
    <row r="119" spans="1:19">
      <c r="A119" s="40" t="s">
        <v>708</v>
      </c>
      <c r="B119" s="28" t="s">
        <v>709</v>
      </c>
      <c r="C119" s="28" t="s">
        <v>705</v>
      </c>
      <c r="D119" s="30">
        <f>VLOOKUP(YEAR(Tabel1[[#This Row],[Geb datum]]),Tabel8[#All],2,FALSE)</f>
        <v>37</v>
      </c>
      <c r="E119" s="46">
        <v>32119</v>
      </c>
      <c r="F119" s="30" t="str">
        <f>VLOOKUP(YEAR(Tabel1[[#This Row],[Geb datum]]),Tabel8[#All],3,FALSE)</f>
        <v>S</v>
      </c>
      <c r="G119" s="30" t="s">
        <v>62</v>
      </c>
      <c r="H119" s="30" t="s">
        <v>62</v>
      </c>
      <c r="I119" s="41"/>
      <c r="K119" s="40" t="s">
        <v>710</v>
      </c>
      <c r="L119" s="28" t="s">
        <v>711</v>
      </c>
      <c r="M119" s="28" t="s">
        <v>712</v>
      </c>
      <c r="N119" s="30">
        <f>VLOOKUP(YEAR(Tabel3[[#This Row],[Geb datum]]),Tabel8[#All],2,FALSE)</f>
        <v>13</v>
      </c>
      <c r="O119" s="29">
        <v>40806</v>
      </c>
      <c r="P119" s="30" t="str">
        <f>VLOOKUP(YEAR(Tabel3[[#This Row],[Geb datum]]),Tabel8[#All],3,FALSE)</f>
        <v>C</v>
      </c>
      <c r="Q119" s="30" t="s">
        <v>27</v>
      </c>
      <c r="R119" s="30" t="s">
        <v>28</v>
      </c>
      <c r="S119" s="42"/>
    </row>
    <row r="120" spans="1:19">
      <c r="A120" s="40" t="s">
        <v>713</v>
      </c>
      <c r="B120" s="28" t="s">
        <v>714</v>
      </c>
      <c r="C120" s="28" t="s">
        <v>715</v>
      </c>
      <c r="D120" s="30">
        <f>VLOOKUP(YEAR(Tabel1[[#This Row],[Geb datum]]),Tabel8[#All],2,FALSE)</f>
        <v>34</v>
      </c>
      <c r="E120" s="46">
        <v>32945</v>
      </c>
      <c r="F120" s="30" t="str">
        <f>VLOOKUP(YEAR(Tabel1[[#This Row],[Geb datum]]),Tabel8[#All],3,FALSE)</f>
        <v>S</v>
      </c>
      <c r="G120" s="30" t="s">
        <v>109</v>
      </c>
      <c r="H120" s="30" t="s">
        <v>8</v>
      </c>
      <c r="I120" s="41"/>
      <c r="K120" s="40" t="s">
        <v>716</v>
      </c>
      <c r="L120" s="28" t="s">
        <v>717</v>
      </c>
      <c r="M120" s="28" t="s">
        <v>718</v>
      </c>
      <c r="N120" s="30">
        <f>VLOOKUP(YEAR(Tabel3[[#This Row],[Geb datum]]),Tabel8[#All],2,FALSE)</f>
        <v>44</v>
      </c>
      <c r="O120" s="29">
        <v>29221</v>
      </c>
      <c r="P120" s="30" t="str">
        <f>VLOOKUP(YEAR(Tabel3[[#This Row],[Geb datum]]),Tabel8[#All],3,FALSE)</f>
        <v>S</v>
      </c>
      <c r="Q120" s="30" t="s">
        <v>83</v>
      </c>
      <c r="R120" s="30" t="s">
        <v>83</v>
      </c>
      <c r="S120" s="42"/>
    </row>
    <row r="121" spans="1:19">
      <c r="A121" s="40" t="s">
        <v>719</v>
      </c>
      <c r="B121" s="28" t="s">
        <v>720</v>
      </c>
      <c r="C121" s="28" t="s">
        <v>721</v>
      </c>
      <c r="D121" s="30">
        <f>VLOOKUP(YEAR(Tabel1[[#This Row],[Geb datum]]),Tabel8[#All],2,FALSE)</f>
        <v>23</v>
      </c>
      <c r="E121" s="46">
        <v>37104</v>
      </c>
      <c r="F121" s="30" t="str">
        <f>VLOOKUP(YEAR(Tabel1[[#This Row],[Geb datum]]),Tabel8[#All],3,FALSE)</f>
        <v>S</v>
      </c>
      <c r="G121" s="42" t="s">
        <v>10</v>
      </c>
      <c r="H121" s="42" t="s">
        <v>12</v>
      </c>
      <c r="I121" s="41"/>
      <c r="K121" s="40" t="s">
        <v>722</v>
      </c>
      <c r="L121" s="28" t="s">
        <v>723</v>
      </c>
      <c r="M121" s="28" t="s">
        <v>724</v>
      </c>
      <c r="N121" s="30">
        <f>VLOOKUP(YEAR(Tabel3[[#This Row],[Geb datum]]),Tabel8[#All],2,FALSE)</f>
        <v>19</v>
      </c>
      <c r="O121" s="29">
        <v>38657</v>
      </c>
      <c r="P121" s="30" t="str">
        <f>VLOOKUP(YEAR(Tabel3[[#This Row],[Geb datum]]),Tabel8[#All],3,FALSE)</f>
        <v>S</v>
      </c>
      <c r="Q121" s="30" t="s">
        <v>1</v>
      </c>
      <c r="R121" s="30" t="s">
        <v>15</v>
      </c>
      <c r="S121" s="42"/>
    </row>
    <row r="122" spans="1:19">
      <c r="A122" s="40" t="s">
        <v>725</v>
      </c>
      <c r="B122" s="28" t="s">
        <v>726</v>
      </c>
      <c r="C122" s="28" t="s">
        <v>727</v>
      </c>
      <c r="D122" s="30">
        <f>VLOOKUP(YEAR(Tabel1[[#This Row],[Geb datum]]),Tabel8[#All],2,FALSE)</f>
        <v>9</v>
      </c>
      <c r="E122" s="46">
        <v>42259</v>
      </c>
      <c r="F122" s="30" t="str">
        <f>VLOOKUP(YEAR(Tabel1[[#This Row],[Geb datum]]),Tabel8[#All],3,FALSE)</f>
        <v>E</v>
      </c>
      <c r="G122" s="42" t="s">
        <v>40</v>
      </c>
      <c r="H122" s="42" t="s">
        <v>43</v>
      </c>
      <c r="I122" s="41"/>
      <c r="L122" s="28" t="s">
        <v>728</v>
      </c>
      <c r="M122" s="28" t="s">
        <v>729</v>
      </c>
      <c r="N122" s="30">
        <f>VLOOKUP(YEAR(Tabel3[[#This Row],[Geb datum]]),Tabel8[#All],2,FALSE)</f>
        <v>7</v>
      </c>
      <c r="O122" s="32">
        <v>42986</v>
      </c>
      <c r="P122" s="30" t="str">
        <f>VLOOKUP(YEAR(Tabel3[[#This Row],[Geb datum]]),Tabel8[#All],3,FALSE)</f>
        <v>F</v>
      </c>
      <c r="Q122" s="30" t="s">
        <v>47</v>
      </c>
      <c r="R122" s="30" t="s">
        <v>135</v>
      </c>
      <c r="S122" s="42"/>
    </row>
    <row r="123" spans="1:19">
      <c r="A123" s="40" t="s">
        <v>730</v>
      </c>
      <c r="B123" s="28" t="s">
        <v>731</v>
      </c>
      <c r="C123" s="28" t="s">
        <v>732</v>
      </c>
      <c r="D123" s="30">
        <f>VLOOKUP(YEAR(Tabel1[[#This Row],[Geb datum]]),Tabel8[#All],2,FALSE)</f>
        <v>9</v>
      </c>
      <c r="E123" s="46">
        <v>42194</v>
      </c>
      <c r="F123" s="30" t="str">
        <f>VLOOKUP(YEAR(Tabel1[[#This Row],[Geb datum]]),Tabel8[#All],3,FALSE)</f>
        <v>E</v>
      </c>
      <c r="G123" s="42" t="s">
        <v>42</v>
      </c>
      <c r="H123" s="42" t="s">
        <v>48</v>
      </c>
      <c r="I123" s="41"/>
      <c r="K123" s="40" t="s">
        <v>733</v>
      </c>
      <c r="L123" s="28" t="s">
        <v>734</v>
      </c>
      <c r="M123" s="28" t="s">
        <v>729</v>
      </c>
      <c r="N123" s="30">
        <f>VLOOKUP(YEAR(Tabel3[[#This Row],[Geb datum]]),Tabel8[#All],2,FALSE)</f>
        <v>10</v>
      </c>
      <c r="O123" s="32">
        <v>41760</v>
      </c>
      <c r="P123" s="30" t="str">
        <f>VLOOKUP(YEAR(Tabel3[[#This Row],[Geb datum]]),Tabel8[#All],3,FALSE)</f>
        <v>D</v>
      </c>
      <c r="Q123" s="30" t="s">
        <v>36</v>
      </c>
      <c r="R123" s="30" t="s">
        <v>41</v>
      </c>
      <c r="S123" s="42"/>
    </row>
    <row r="124" spans="1:19">
      <c r="A124" s="40" t="s">
        <v>735</v>
      </c>
      <c r="B124" s="28" t="s">
        <v>736</v>
      </c>
      <c r="C124" s="28" t="s">
        <v>737</v>
      </c>
      <c r="D124" s="30">
        <f>VLOOKUP(YEAR(Tabel1[[#This Row],[Geb datum]]),Tabel8[#All],2,FALSE)</f>
        <v>14</v>
      </c>
      <c r="E124" s="46">
        <v>40498</v>
      </c>
      <c r="F124" s="30" t="str">
        <f>VLOOKUP(YEAR(Tabel1[[#This Row],[Geb datum]]),Tabel8[#All],3,FALSE)</f>
        <v>B</v>
      </c>
      <c r="G124" s="42" t="s">
        <v>23</v>
      </c>
      <c r="H124" s="42" t="s">
        <v>29</v>
      </c>
      <c r="I124" s="41"/>
      <c r="K124" s="40" t="s">
        <v>738</v>
      </c>
      <c r="L124" s="28" t="s">
        <v>739</v>
      </c>
      <c r="M124" s="28" t="s">
        <v>740</v>
      </c>
      <c r="N124" s="30">
        <f>VLOOKUP(YEAR(Tabel3[[#This Row],[Geb datum]]),Tabel8[#All],2,FALSE)</f>
        <v>18</v>
      </c>
      <c r="O124" s="29">
        <v>39018</v>
      </c>
      <c r="P124" s="30" t="str">
        <f>VLOOKUP(YEAR(Tabel3[[#This Row],[Geb datum]]),Tabel8[#All],3,FALSE)</f>
        <v>A</v>
      </c>
      <c r="Q124" s="30" t="s">
        <v>2</v>
      </c>
      <c r="R124" s="30" t="s">
        <v>16</v>
      </c>
      <c r="S124" s="42"/>
    </row>
    <row r="125" spans="1:19">
      <c r="A125" s="40" t="s">
        <v>741</v>
      </c>
      <c r="B125" s="28" t="s">
        <v>742</v>
      </c>
      <c r="C125" s="28" t="s">
        <v>743</v>
      </c>
      <c r="D125" s="30">
        <f>VLOOKUP(YEAR(Tabel1[[#This Row],[Geb datum]]),Tabel8[#All],2,FALSE)</f>
        <v>14</v>
      </c>
      <c r="E125" s="46">
        <v>40439</v>
      </c>
      <c r="F125" s="30" t="str">
        <f>VLOOKUP(YEAR(Tabel1[[#This Row],[Geb datum]]),Tabel8[#All],3,FALSE)</f>
        <v>B</v>
      </c>
      <c r="G125" s="30" t="s">
        <v>3</v>
      </c>
      <c r="H125" s="30" t="s">
        <v>27</v>
      </c>
      <c r="I125" s="41"/>
      <c r="K125" s="40" t="s">
        <v>744</v>
      </c>
      <c r="L125" s="28" t="s">
        <v>745</v>
      </c>
      <c r="M125" s="28" t="s">
        <v>746</v>
      </c>
      <c r="N125" s="30">
        <f>VLOOKUP(YEAR(Tabel3[[#This Row],[Geb datum]]),Tabel8[#All],2,FALSE)</f>
        <v>33</v>
      </c>
      <c r="O125" s="29">
        <v>33241</v>
      </c>
      <c r="P125" s="30" t="str">
        <f>VLOOKUP(YEAR(Tabel3[[#This Row],[Geb datum]]),Tabel8[#All],3,FALSE)</f>
        <v>S</v>
      </c>
      <c r="Q125" s="30" t="s">
        <v>83</v>
      </c>
      <c r="R125" s="30" t="s">
        <v>7</v>
      </c>
      <c r="S125" s="42"/>
    </row>
    <row r="126" spans="1:19">
      <c r="A126" s="40" t="s">
        <v>747</v>
      </c>
      <c r="B126" s="28" t="s">
        <v>748</v>
      </c>
      <c r="C126" s="28" t="s">
        <v>749</v>
      </c>
      <c r="D126" s="30">
        <f>VLOOKUP(YEAR(Tabel1[[#This Row],[Geb datum]]),Tabel8[#All],2,FALSE)</f>
        <v>11</v>
      </c>
      <c r="E126" s="46">
        <v>41574</v>
      </c>
      <c r="F126" s="30" t="str">
        <f>VLOOKUP(YEAR(Tabel1[[#This Row],[Geb datum]]),Tabel8[#All],3,FALSE)</f>
        <v>D</v>
      </c>
      <c r="G126" s="30" t="s">
        <v>34</v>
      </c>
      <c r="H126" s="30" t="s">
        <v>35</v>
      </c>
      <c r="I126" s="41"/>
      <c r="K126" s="40" t="s">
        <v>750</v>
      </c>
      <c r="L126" s="28" t="s">
        <v>751</v>
      </c>
      <c r="M126" s="28" t="s">
        <v>752</v>
      </c>
      <c r="N126" s="30">
        <f>VLOOKUP(YEAR(Tabel3[[#This Row],[Geb datum]]),Tabel8[#All],2,FALSE)</f>
        <v>6</v>
      </c>
      <c r="O126" s="29">
        <v>43224</v>
      </c>
      <c r="P126" s="30" t="str">
        <f>VLOOKUP(YEAR(Tabel3[[#This Row],[Geb datum]]),Tabel8[#All],3,FALSE)</f>
        <v>F</v>
      </c>
      <c r="Q126" s="30" t="s">
        <v>48</v>
      </c>
      <c r="R126" s="30" t="s">
        <v>53</v>
      </c>
      <c r="S126" s="42"/>
    </row>
    <row r="127" spans="1:19">
      <c r="A127" s="40" t="s">
        <v>753</v>
      </c>
      <c r="B127" s="28" t="s">
        <v>754</v>
      </c>
      <c r="C127" s="28" t="s">
        <v>755</v>
      </c>
      <c r="D127" s="30">
        <f>VLOOKUP(YEAR(Tabel1[[#This Row],[Geb datum]]),Tabel8[#All],2,FALSE)</f>
        <v>14</v>
      </c>
      <c r="E127" s="46">
        <v>40226</v>
      </c>
      <c r="F127" s="30" t="str">
        <f>VLOOKUP(YEAR(Tabel1[[#This Row],[Geb datum]]),Tabel8[#All],3,FALSE)</f>
        <v>B</v>
      </c>
      <c r="G127" s="30" t="s">
        <v>24</v>
      </c>
      <c r="H127" s="30" t="s">
        <v>30</v>
      </c>
      <c r="I127" s="41"/>
      <c r="K127" s="40" t="s">
        <v>756</v>
      </c>
      <c r="L127" s="28" t="s">
        <v>757</v>
      </c>
      <c r="M127" s="28" t="s">
        <v>758</v>
      </c>
      <c r="N127" s="30">
        <f>VLOOKUP(YEAR(Tabel3[[#This Row],[Geb datum]]),Tabel8[#All],2,FALSE)</f>
        <v>15</v>
      </c>
      <c r="O127" s="29">
        <v>39878</v>
      </c>
      <c r="P127" s="30" t="str">
        <f>VLOOKUP(YEAR(Tabel3[[#This Row],[Geb datum]]),Tabel8[#All],3,FALSE)</f>
        <v>B</v>
      </c>
      <c r="Q127" s="30" t="s">
        <v>23</v>
      </c>
      <c r="R127" s="30" t="s">
        <v>23</v>
      </c>
      <c r="S127" s="42"/>
    </row>
    <row r="128" spans="1:19">
      <c r="A128" s="40" t="s">
        <v>759</v>
      </c>
      <c r="B128" s="28" t="s">
        <v>760</v>
      </c>
      <c r="C128" s="28" t="s">
        <v>761</v>
      </c>
      <c r="D128" s="30">
        <f>VLOOKUP(YEAR(Tabel1[[#This Row],[Geb datum]]),Tabel8[#All],2,FALSE)</f>
        <v>11</v>
      </c>
      <c r="E128" s="46">
        <v>41430</v>
      </c>
      <c r="F128" s="30" t="str">
        <f>VLOOKUP(YEAR(Tabel1[[#This Row],[Geb datum]]),Tabel8[#All],3,FALSE)</f>
        <v>D</v>
      </c>
      <c r="G128" s="30" t="s">
        <v>36</v>
      </c>
      <c r="H128" s="30" t="s">
        <v>36</v>
      </c>
      <c r="I128" s="41"/>
      <c r="K128" s="40" t="s">
        <v>762</v>
      </c>
      <c r="L128" s="28" t="s">
        <v>763</v>
      </c>
      <c r="M128" s="28" t="s">
        <v>764</v>
      </c>
      <c r="N128" s="30">
        <f>VLOOKUP(YEAR(Tabel3[[#This Row],[Geb datum]]),Tabel8[#All],2,FALSE)</f>
        <v>34</v>
      </c>
      <c r="O128" s="29">
        <v>33058</v>
      </c>
      <c r="P128" s="30" t="str">
        <f>VLOOKUP(YEAR(Tabel3[[#This Row],[Geb datum]]),Tabel8[#All],3,FALSE)</f>
        <v>S</v>
      </c>
      <c r="Q128" s="30" t="s">
        <v>62</v>
      </c>
      <c r="R128" s="30" t="s">
        <v>9</v>
      </c>
      <c r="S128" s="42"/>
    </row>
    <row r="129" spans="1:19">
      <c r="A129" s="40" t="s">
        <v>765</v>
      </c>
      <c r="B129" s="28" t="s">
        <v>766</v>
      </c>
      <c r="C129" s="28" t="s">
        <v>767</v>
      </c>
      <c r="D129" s="30">
        <f>VLOOKUP(YEAR(Tabel1[[#This Row],[Geb datum]]),Tabel8[#All],2,FALSE)</f>
        <v>12</v>
      </c>
      <c r="E129" s="46">
        <v>40937</v>
      </c>
      <c r="F129" s="30" t="str">
        <f>VLOOKUP(YEAR(Tabel1[[#This Row],[Geb datum]]),Tabel8[#All],3,FALSE)</f>
        <v>C</v>
      </c>
      <c r="G129" s="30" t="s">
        <v>27</v>
      </c>
      <c r="H129" s="30" t="s">
        <v>33</v>
      </c>
      <c r="I129" s="41"/>
      <c r="K129" s="40" t="s">
        <v>768</v>
      </c>
      <c r="L129" s="28" t="s">
        <v>769</v>
      </c>
      <c r="M129" s="28" t="s">
        <v>770</v>
      </c>
      <c r="N129" s="30">
        <f>VLOOKUP(YEAR(Tabel3[[#This Row],[Geb datum]]),Tabel8[#All],2,FALSE)</f>
        <v>1</v>
      </c>
      <c r="O129" s="29">
        <v>45182</v>
      </c>
      <c r="P129" s="30" t="str">
        <f>VLOOKUP(YEAR(Tabel3[[#This Row],[Geb datum]]),Tabel8[#All],3,FALSE)</f>
        <v>K</v>
      </c>
      <c r="Q129" s="30" t="s">
        <v>62</v>
      </c>
      <c r="R129" s="30" t="s">
        <v>62</v>
      </c>
      <c r="S129" s="42"/>
    </row>
    <row r="130" spans="1:19">
      <c r="A130" s="40" t="s">
        <v>771</v>
      </c>
      <c r="B130" s="28" t="s">
        <v>772</v>
      </c>
      <c r="C130" s="28" t="s">
        <v>773</v>
      </c>
      <c r="D130" s="30">
        <f>VLOOKUP(YEAR(Tabel1[[#This Row],[Geb datum]]),Tabel8[#All],2,FALSE)</f>
        <v>50</v>
      </c>
      <c r="E130" s="46">
        <v>27135</v>
      </c>
      <c r="F130" s="30" t="str">
        <f>VLOOKUP(YEAR(Tabel1[[#This Row],[Geb datum]]),Tabel8[#All],3,FALSE)</f>
        <v>S</v>
      </c>
      <c r="G130" s="30" t="s">
        <v>62</v>
      </c>
      <c r="H130" s="30" t="s">
        <v>9</v>
      </c>
      <c r="I130" s="41"/>
      <c r="K130" s="40" t="s">
        <v>774</v>
      </c>
      <c r="L130" s="28" t="s">
        <v>775</v>
      </c>
      <c r="M130" s="28" t="s">
        <v>776</v>
      </c>
      <c r="N130" s="30">
        <f>VLOOKUP(YEAR(Tabel3[[#This Row],[Geb datum]]),Tabel8[#All],2,FALSE)</f>
        <v>21</v>
      </c>
      <c r="O130" s="29">
        <v>37960</v>
      </c>
      <c r="P130" s="30" t="str">
        <f>VLOOKUP(YEAR(Tabel3[[#This Row],[Geb datum]]),Tabel8[#All],3,FALSE)</f>
        <v>S</v>
      </c>
      <c r="Q130" s="30" t="s">
        <v>11</v>
      </c>
      <c r="R130" s="30" t="s">
        <v>11</v>
      </c>
      <c r="S130" s="42"/>
    </row>
    <row r="131" spans="1:19">
      <c r="A131" s="40" t="s">
        <v>777</v>
      </c>
      <c r="B131" s="28" t="s">
        <v>778</v>
      </c>
      <c r="C131" s="28" t="s">
        <v>779</v>
      </c>
      <c r="D131" s="30">
        <f>VLOOKUP(YEAR(Tabel1[[#This Row],[Geb datum]]),Tabel8[#All],2,FALSE)</f>
        <v>10</v>
      </c>
      <c r="E131" s="46">
        <v>41901</v>
      </c>
      <c r="F131" s="30" t="str">
        <f>VLOOKUP(YEAR(Tabel1[[#This Row],[Geb datum]]),Tabel8[#All],3,FALSE)</f>
        <v>D</v>
      </c>
      <c r="G131" s="30" t="s">
        <v>35</v>
      </c>
      <c r="H131" s="30" t="s">
        <v>39</v>
      </c>
      <c r="I131" s="41"/>
      <c r="K131" s="40" t="s">
        <v>780</v>
      </c>
      <c r="L131" s="28" t="s">
        <v>781</v>
      </c>
      <c r="M131" s="28" t="s">
        <v>776</v>
      </c>
      <c r="N131" s="30">
        <f>VLOOKUP(YEAR(Tabel3[[#This Row],[Geb datum]]),Tabel8[#All],2,FALSE)</f>
        <v>13</v>
      </c>
      <c r="O131" s="29">
        <v>40790</v>
      </c>
      <c r="P131" s="30" t="str">
        <f>VLOOKUP(YEAR(Tabel3[[#This Row],[Geb datum]]),Tabel8[#All],3,FALSE)</f>
        <v>C</v>
      </c>
      <c r="Q131" s="30" t="s">
        <v>28</v>
      </c>
      <c r="R131" s="30" t="s">
        <v>29</v>
      </c>
      <c r="S131" s="42"/>
    </row>
    <row r="132" spans="1:19">
      <c r="A132" s="31" t="s">
        <v>782</v>
      </c>
      <c r="B132" s="28" t="s">
        <v>783</v>
      </c>
      <c r="C132" s="28" t="s">
        <v>784</v>
      </c>
      <c r="D132" s="30">
        <f>VLOOKUP(YEAR(Tabel1[[#This Row],[Geb datum]]),Tabel8[#All],2,FALSE)</f>
        <v>13</v>
      </c>
      <c r="E132" s="46">
        <v>40796</v>
      </c>
      <c r="F132" s="30" t="str">
        <f>VLOOKUP(YEAR(Tabel1[[#This Row],[Geb datum]]),Tabel8[#All],3,FALSE)</f>
        <v>C</v>
      </c>
      <c r="G132" s="30" t="s">
        <v>24</v>
      </c>
      <c r="H132" s="30" t="s">
        <v>30</v>
      </c>
      <c r="I132" s="41"/>
      <c r="K132" s="40" t="s">
        <v>785</v>
      </c>
      <c r="L132" s="28" t="s">
        <v>786</v>
      </c>
      <c r="M132" s="28" t="s">
        <v>787</v>
      </c>
      <c r="N132" s="30">
        <f>VLOOKUP(YEAR(Tabel3[[#This Row],[Geb datum]]),Tabel8[#All],2,FALSE)</f>
        <v>36</v>
      </c>
      <c r="O132" s="29">
        <v>32357</v>
      </c>
      <c r="P132" s="30" t="str">
        <f>VLOOKUP(YEAR(Tabel3[[#This Row],[Geb datum]]),Tabel8[#All],3,FALSE)</f>
        <v>S</v>
      </c>
      <c r="Q132" s="30" t="s">
        <v>8</v>
      </c>
      <c r="R132" s="30" t="s">
        <v>8</v>
      </c>
      <c r="S132" s="42"/>
    </row>
    <row r="133" spans="1:19">
      <c r="A133" s="40" t="s">
        <v>788</v>
      </c>
      <c r="B133" s="28" t="s">
        <v>789</v>
      </c>
      <c r="C133" s="28" t="s">
        <v>790</v>
      </c>
      <c r="D133" s="30">
        <f>VLOOKUP(YEAR(Tabel1[[#This Row],[Geb datum]]),Tabel8[#All],2,FALSE)</f>
        <v>26</v>
      </c>
      <c r="E133" s="46">
        <v>36011</v>
      </c>
      <c r="F133" s="30" t="str">
        <f>VLOOKUP(YEAR(Tabel1[[#This Row],[Geb datum]]),Tabel8[#All],3,FALSE)</f>
        <v>S</v>
      </c>
      <c r="G133" s="30" t="s">
        <v>243</v>
      </c>
      <c r="H133" s="30" t="s">
        <v>243</v>
      </c>
      <c r="I133" s="41"/>
      <c r="K133" s="40" t="s">
        <v>791</v>
      </c>
      <c r="L133" s="28" t="s">
        <v>792</v>
      </c>
      <c r="M133" s="28" t="s">
        <v>787</v>
      </c>
      <c r="N133" s="30">
        <f>VLOOKUP(YEAR(Tabel3[[#This Row],[Geb datum]]),Tabel8[#All],2,FALSE)</f>
        <v>14</v>
      </c>
      <c r="O133" s="29">
        <v>40446</v>
      </c>
      <c r="P133" s="30" t="str">
        <f>VLOOKUP(YEAR(Tabel3[[#This Row],[Geb datum]]),Tabel8[#All],3,FALSE)</f>
        <v>B</v>
      </c>
      <c r="Q133" s="30" t="s">
        <v>3</v>
      </c>
      <c r="R133" s="30" t="s">
        <v>27</v>
      </c>
      <c r="S133" s="42"/>
    </row>
    <row r="134" spans="1:19">
      <c r="A134" s="40" t="s">
        <v>793</v>
      </c>
      <c r="B134" s="28" t="s">
        <v>794</v>
      </c>
      <c r="C134" s="28" t="s">
        <v>685</v>
      </c>
      <c r="D134" s="30">
        <f>VLOOKUP(YEAR(Tabel1[[#This Row],[Geb datum]]),Tabel8[#All],2,FALSE)</f>
        <v>26</v>
      </c>
      <c r="E134" s="46">
        <v>36111</v>
      </c>
      <c r="F134" s="30" t="str">
        <f>VLOOKUP(YEAR(Tabel1[[#This Row],[Geb datum]]),Tabel8[#All],3,FALSE)</f>
        <v>S</v>
      </c>
      <c r="G134" s="30" t="s">
        <v>1</v>
      </c>
      <c r="H134" s="30" t="s">
        <v>7</v>
      </c>
      <c r="I134" s="41"/>
      <c r="K134" s="40" t="s">
        <v>795</v>
      </c>
      <c r="L134" s="28" t="s">
        <v>796</v>
      </c>
      <c r="M134" s="28" t="s">
        <v>797</v>
      </c>
      <c r="N134" s="30">
        <f>VLOOKUP(YEAR(Tabel3[[#This Row],[Geb datum]]),Tabel8[#All],2,FALSE)</f>
        <v>13</v>
      </c>
      <c r="O134" s="32">
        <v>40626</v>
      </c>
      <c r="P134" s="30" t="str">
        <f>VLOOKUP(YEAR(Tabel3[[#This Row],[Geb datum]]),Tabel8[#All],3,FALSE)</f>
        <v>C</v>
      </c>
      <c r="Q134" s="30" t="s">
        <v>27</v>
      </c>
      <c r="R134" s="30" t="s">
        <v>27</v>
      </c>
      <c r="S134" s="42"/>
    </row>
    <row r="135" spans="1:19">
      <c r="A135" s="40" t="s">
        <v>798</v>
      </c>
      <c r="B135" s="28" t="s">
        <v>799</v>
      </c>
      <c r="C135" s="28" t="s">
        <v>685</v>
      </c>
      <c r="D135" s="30">
        <f>VLOOKUP(YEAR(Tabel1[[#This Row],[Geb datum]]),Tabel8[#All],2,FALSE)</f>
        <v>28</v>
      </c>
      <c r="E135" s="46">
        <v>35195</v>
      </c>
      <c r="F135" s="30" t="str">
        <f>VLOOKUP(YEAR(Tabel1[[#This Row],[Geb datum]]),Tabel8[#All],3,FALSE)</f>
        <v>S</v>
      </c>
      <c r="G135" s="30" t="s">
        <v>8</v>
      </c>
      <c r="H135" s="30" t="s">
        <v>8</v>
      </c>
      <c r="I135" s="41"/>
      <c r="K135" s="40" t="s">
        <v>800</v>
      </c>
      <c r="L135" s="28" t="s">
        <v>801</v>
      </c>
      <c r="M135" s="28" t="s">
        <v>802</v>
      </c>
      <c r="N135" s="30">
        <f>VLOOKUP(YEAR(Tabel3[[#This Row],[Geb datum]]),Tabel8[#All],2,FALSE)</f>
        <v>21</v>
      </c>
      <c r="O135" s="29">
        <v>37810</v>
      </c>
      <c r="P135" s="30" t="str">
        <f>VLOOKUP(YEAR(Tabel3[[#This Row],[Geb datum]]),Tabel8[#All],3,FALSE)</f>
        <v>S</v>
      </c>
      <c r="Q135" s="30" t="s">
        <v>9</v>
      </c>
      <c r="R135" s="30" t="s">
        <v>10</v>
      </c>
      <c r="S135" s="42"/>
    </row>
    <row r="136" spans="1:19">
      <c r="A136" s="40" t="s">
        <v>803</v>
      </c>
      <c r="B136" s="28" t="s">
        <v>804</v>
      </c>
      <c r="C136" s="28" t="s">
        <v>685</v>
      </c>
      <c r="D136" s="30">
        <f>VLOOKUP(YEAR(Tabel1[[#This Row],[Geb datum]]),Tabel8[#All],2,FALSE)</f>
        <v>9</v>
      </c>
      <c r="E136" s="46">
        <v>42249</v>
      </c>
      <c r="F136" s="30" t="str">
        <f>VLOOKUP(YEAR(Tabel1[[#This Row],[Geb datum]]),Tabel8[#All],3,FALSE)</f>
        <v>E</v>
      </c>
      <c r="G136" s="30" t="s">
        <v>39</v>
      </c>
      <c r="H136" s="30" t="s">
        <v>42</v>
      </c>
      <c r="I136" s="41"/>
      <c r="K136" s="40" t="s">
        <v>805</v>
      </c>
      <c r="L136" s="28" t="s">
        <v>806</v>
      </c>
      <c r="M136" s="28" t="s">
        <v>807</v>
      </c>
      <c r="N136" s="30">
        <f>VLOOKUP(YEAR(Tabel3[[#This Row],[Geb datum]]),Tabel8[#All],2,FALSE)</f>
        <v>17</v>
      </c>
      <c r="O136" s="29">
        <v>39239</v>
      </c>
      <c r="P136" s="30" t="str">
        <f>VLOOKUP(YEAR(Tabel3[[#This Row],[Geb datum]]),Tabel8[#All],3,FALSE)</f>
        <v>A</v>
      </c>
      <c r="Q136" s="30" t="s">
        <v>2</v>
      </c>
      <c r="R136" s="30" t="s">
        <v>16</v>
      </c>
      <c r="S136" s="42"/>
    </row>
    <row r="137" spans="1:19">
      <c r="A137" s="40" t="s">
        <v>808</v>
      </c>
      <c r="B137" s="28" t="s">
        <v>809</v>
      </c>
      <c r="C137" s="28" t="s">
        <v>685</v>
      </c>
      <c r="D137" s="30">
        <f>VLOOKUP(YEAR(Tabel1[[#This Row],[Geb datum]]),Tabel8[#All],2,FALSE)</f>
        <v>15</v>
      </c>
      <c r="E137" s="46">
        <v>40097</v>
      </c>
      <c r="F137" s="30" t="str">
        <f>VLOOKUP(YEAR(Tabel1[[#This Row],[Geb datum]]),Tabel8[#All],3,FALSE)</f>
        <v>B</v>
      </c>
      <c r="G137" s="30" t="s">
        <v>17</v>
      </c>
      <c r="H137" s="30" t="s">
        <v>23</v>
      </c>
      <c r="I137" s="41"/>
      <c r="K137" s="28" t="s">
        <v>810</v>
      </c>
      <c r="L137" s="28" t="s">
        <v>811</v>
      </c>
      <c r="M137" s="28" t="s">
        <v>807</v>
      </c>
      <c r="N137" s="30">
        <f>VLOOKUP(YEAR(Tabel3[[#This Row],[Geb datum]]),Tabel8[#All],2,FALSE)</f>
        <v>16</v>
      </c>
      <c r="O137" s="29">
        <v>39744</v>
      </c>
      <c r="P137" s="30" t="str">
        <f>VLOOKUP(YEAR(Tabel3[[#This Row],[Geb datum]]),Tabel8[#All],3,FALSE)</f>
        <v>A</v>
      </c>
      <c r="Q137" s="30" t="s">
        <v>2</v>
      </c>
      <c r="R137" s="30" t="s">
        <v>22</v>
      </c>
      <c r="S137" s="30"/>
    </row>
    <row r="138" spans="1:19">
      <c r="A138" s="40" t="s">
        <v>812</v>
      </c>
      <c r="B138" s="28" t="s">
        <v>813</v>
      </c>
      <c r="C138" s="28" t="s">
        <v>814</v>
      </c>
      <c r="D138" s="30">
        <f>VLOOKUP(YEAR(Tabel1[[#This Row],[Geb datum]]),Tabel8[#All],2,FALSE)</f>
        <v>19</v>
      </c>
      <c r="E138" s="46">
        <v>38432</v>
      </c>
      <c r="F138" s="30" t="str">
        <f>VLOOKUP(YEAR(Tabel1[[#This Row],[Geb datum]]),Tabel8[#All],3,FALSE)</f>
        <v>S</v>
      </c>
      <c r="G138" s="30" t="s">
        <v>1</v>
      </c>
      <c r="H138" s="30" t="s">
        <v>15</v>
      </c>
      <c r="I138" s="41"/>
      <c r="K138" s="28" t="s">
        <v>815</v>
      </c>
      <c r="L138" s="28" t="s">
        <v>816</v>
      </c>
      <c r="M138" s="28" t="s">
        <v>817</v>
      </c>
      <c r="N138" s="30">
        <f>VLOOKUP(YEAR(Tabel3[[#This Row],[Geb datum]]),Tabel8[#All],2,FALSE)</f>
        <v>23</v>
      </c>
      <c r="O138" s="29">
        <v>37246</v>
      </c>
      <c r="P138" s="30" t="str">
        <f>VLOOKUP(YEAR(Tabel3[[#This Row],[Geb datum]]),Tabel8[#All],3,FALSE)</f>
        <v>S</v>
      </c>
      <c r="Q138" s="44" t="s">
        <v>62</v>
      </c>
      <c r="R138" s="44" t="s">
        <v>62</v>
      </c>
      <c r="S138" s="30"/>
    </row>
    <row r="139" spans="1:19">
      <c r="A139" s="40" t="s">
        <v>818</v>
      </c>
      <c r="B139" s="28" t="s">
        <v>819</v>
      </c>
      <c r="C139" s="28" t="s">
        <v>820</v>
      </c>
      <c r="D139" s="30">
        <f>VLOOKUP(YEAR(Tabel1[[#This Row],[Geb datum]]),Tabel8[#All],2,FALSE)</f>
        <v>13</v>
      </c>
      <c r="E139" s="46">
        <v>40786</v>
      </c>
      <c r="F139" s="30" t="str">
        <f>VLOOKUP(YEAR(Tabel1[[#This Row],[Geb datum]]),Tabel8[#All],3,FALSE)</f>
        <v>C</v>
      </c>
      <c r="G139" s="30" t="s">
        <v>27</v>
      </c>
      <c r="H139" s="30" t="s">
        <v>28</v>
      </c>
      <c r="I139" s="41"/>
      <c r="K139" s="28" t="s">
        <v>821</v>
      </c>
      <c r="L139" s="28" t="s">
        <v>822</v>
      </c>
      <c r="M139" s="28" t="s">
        <v>817</v>
      </c>
      <c r="N139" s="30">
        <f>VLOOKUP(YEAR(Tabel3[[#This Row],[Geb datum]]),Tabel8[#All],2,FALSE)</f>
        <v>21</v>
      </c>
      <c r="O139" s="29">
        <v>37932</v>
      </c>
      <c r="P139" s="30" t="str">
        <f>VLOOKUP(YEAR(Tabel3[[#This Row],[Geb datum]]),Tabel8[#All],3,FALSE)</f>
        <v>S</v>
      </c>
      <c r="Q139" s="30" t="s">
        <v>9</v>
      </c>
      <c r="R139" s="30" t="s">
        <v>83</v>
      </c>
      <c r="S139" s="30"/>
    </row>
    <row r="140" spans="1:19">
      <c r="A140" s="31" t="s">
        <v>823</v>
      </c>
      <c r="B140" s="28" t="s">
        <v>824</v>
      </c>
      <c r="C140" s="28" t="s">
        <v>825</v>
      </c>
      <c r="D140" s="30">
        <f>VLOOKUP(YEAR(Tabel1[[#This Row],[Geb datum]]),Tabel8[#All],2,FALSE)</f>
        <v>10</v>
      </c>
      <c r="E140" s="46">
        <v>41958</v>
      </c>
      <c r="F140" s="30" t="str">
        <f>VLOOKUP(YEAR(Tabel1[[#This Row],[Geb datum]]),Tabel8[#All],3,FALSE)</f>
        <v>D</v>
      </c>
      <c r="G140" s="30" t="s">
        <v>35</v>
      </c>
      <c r="H140" s="30" t="s">
        <v>43</v>
      </c>
      <c r="I140" s="41"/>
      <c r="K140" s="28" t="s">
        <v>826</v>
      </c>
      <c r="L140" s="28" t="s">
        <v>827</v>
      </c>
      <c r="M140" s="28" t="s">
        <v>817</v>
      </c>
      <c r="N140" s="30">
        <f>VLOOKUP(YEAR(Tabel3[[#This Row],[Geb datum]]),Tabel8[#All],2,FALSE)</f>
        <v>24</v>
      </c>
      <c r="O140" s="29">
        <v>36567</v>
      </c>
      <c r="P140" s="30" t="str">
        <f>VLOOKUP(YEAR(Tabel3[[#This Row],[Geb datum]]),Tabel8[#All],3,FALSE)</f>
        <v>S</v>
      </c>
      <c r="Q140" s="30" t="s">
        <v>1</v>
      </c>
      <c r="R140" s="30" t="s">
        <v>6</v>
      </c>
      <c r="S140" s="30"/>
    </row>
    <row r="141" spans="1:19">
      <c r="A141" s="40" t="s">
        <v>828</v>
      </c>
      <c r="B141" s="28" t="s">
        <v>829</v>
      </c>
      <c r="C141" s="28" t="s">
        <v>830</v>
      </c>
      <c r="D141" s="30">
        <f>VLOOKUP(YEAR(Tabel1[[#This Row],[Geb datum]]),Tabel8[#All],2,FALSE)</f>
        <v>7</v>
      </c>
      <c r="E141" s="47">
        <v>43006</v>
      </c>
      <c r="F141" s="30" t="str">
        <f>VLOOKUP(YEAR(Tabel1[[#This Row],[Geb datum]]),Tabel8[#All],3,FALSE)</f>
        <v>F</v>
      </c>
      <c r="G141" s="30" t="s">
        <v>48</v>
      </c>
      <c r="H141" s="30" t="s">
        <v>48</v>
      </c>
      <c r="I141" s="42"/>
      <c r="K141" s="28" t="s">
        <v>831</v>
      </c>
      <c r="L141" s="28" t="s">
        <v>832</v>
      </c>
      <c r="M141" s="28" t="s">
        <v>833</v>
      </c>
      <c r="N141" s="30">
        <f>VLOOKUP(YEAR(Tabel3[[#This Row],[Geb datum]]),Tabel8[#All],2,FALSE)</f>
        <v>15</v>
      </c>
      <c r="O141" s="29">
        <v>39996</v>
      </c>
      <c r="P141" s="30" t="str">
        <f>VLOOKUP(YEAR(Tabel3[[#This Row],[Geb datum]]),Tabel8[#All],3,FALSE)</f>
        <v>B</v>
      </c>
      <c r="Q141" s="30" t="s">
        <v>3</v>
      </c>
      <c r="R141" s="30" t="s">
        <v>23</v>
      </c>
      <c r="S141" s="30"/>
    </row>
    <row r="142" spans="1:19">
      <c r="A142" s="40" t="s">
        <v>834</v>
      </c>
      <c r="B142" s="28" t="s">
        <v>835</v>
      </c>
      <c r="C142" s="28" t="s">
        <v>836</v>
      </c>
      <c r="D142" s="30">
        <f>VLOOKUP(YEAR(Tabel1[[#This Row],[Geb datum]]),Tabel8[#All],2,FALSE)</f>
        <v>22</v>
      </c>
      <c r="E142" s="46">
        <v>37295</v>
      </c>
      <c r="F142" s="30" t="str">
        <f>VLOOKUP(YEAR(Tabel1[[#This Row],[Geb datum]]),Tabel8[#All],3,FALSE)</f>
        <v>S</v>
      </c>
      <c r="G142" s="30" t="s">
        <v>11</v>
      </c>
      <c r="H142" s="30" t="s">
        <v>11</v>
      </c>
      <c r="I142" s="41"/>
      <c r="K142" s="28" t="s">
        <v>837</v>
      </c>
      <c r="L142" s="28" t="s">
        <v>838</v>
      </c>
      <c r="M142" s="28" t="s">
        <v>833</v>
      </c>
      <c r="N142" s="30">
        <f>VLOOKUP(YEAR(Tabel3[[#This Row],[Geb datum]]),Tabel8[#All],2,FALSE)</f>
        <v>9</v>
      </c>
      <c r="O142" s="29">
        <v>42324</v>
      </c>
      <c r="P142" s="30" t="str">
        <f>VLOOKUP(YEAR(Tabel3[[#This Row],[Geb datum]]),Tabel8[#All],3,FALSE)</f>
        <v>E</v>
      </c>
      <c r="Q142" s="30" t="s">
        <v>40</v>
      </c>
      <c r="R142" s="30" t="s">
        <v>43</v>
      </c>
      <c r="S142" s="30"/>
    </row>
    <row r="143" spans="1:19">
      <c r="A143" s="40" t="s">
        <v>839</v>
      </c>
      <c r="B143" s="28" t="s">
        <v>840</v>
      </c>
      <c r="C143" s="28" t="s">
        <v>836</v>
      </c>
      <c r="D143" s="30">
        <f>VLOOKUP(YEAR(Tabel1[[#This Row],[Geb datum]]),Tabel8[#All],2,FALSE)</f>
        <v>14</v>
      </c>
      <c r="E143" s="56">
        <v>40273</v>
      </c>
      <c r="F143" s="30" t="str">
        <f>VLOOKUP(YEAR(Tabel1[[#This Row],[Geb datum]]),Tabel8[#All],3,FALSE)</f>
        <v>B</v>
      </c>
      <c r="G143" s="30" t="s">
        <v>24</v>
      </c>
      <c r="H143" s="30" t="s">
        <v>30</v>
      </c>
      <c r="I143" s="41"/>
      <c r="K143" s="28" t="s">
        <v>841</v>
      </c>
      <c r="L143" s="28" t="s">
        <v>842</v>
      </c>
      <c r="M143" s="28" t="s">
        <v>843</v>
      </c>
      <c r="N143" s="30">
        <f>VLOOKUP(YEAR(Tabel3[[#This Row],[Geb datum]]),Tabel8[#All],2,FALSE)</f>
        <v>10</v>
      </c>
      <c r="O143" s="29">
        <v>41737</v>
      </c>
      <c r="P143" s="30" t="str">
        <f>VLOOKUP(YEAR(Tabel3[[#This Row],[Geb datum]]),Tabel8[#All],3,FALSE)</f>
        <v>D</v>
      </c>
      <c r="Q143" s="30" t="s">
        <v>34</v>
      </c>
      <c r="R143" s="30" t="s">
        <v>40</v>
      </c>
      <c r="S143" s="30"/>
    </row>
    <row r="144" spans="1:19">
      <c r="A144" s="55" t="s">
        <v>844</v>
      </c>
      <c r="B144" s="28" t="s">
        <v>845</v>
      </c>
      <c r="C144" s="28" t="s">
        <v>836</v>
      </c>
      <c r="D144" s="30">
        <f>VLOOKUP(YEAR(Tabel1[[#This Row],[Geb datum]]),Tabel8[#All],2,FALSE)</f>
        <v>36</v>
      </c>
      <c r="E144" s="46">
        <v>32143</v>
      </c>
      <c r="F144" s="30" t="str">
        <f>VLOOKUP(YEAR(Tabel1[[#This Row],[Geb datum]]),Tabel8[#All],3,FALSE)</f>
        <v>S</v>
      </c>
      <c r="G144" s="30" t="s">
        <v>83</v>
      </c>
      <c r="H144" s="30" t="s">
        <v>13</v>
      </c>
      <c r="I144" s="41"/>
      <c r="K144" s="49" t="s">
        <v>846</v>
      </c>
      <c r="L144" s="50" t="s">
        <v>847</v>
      </c>
      <c r="M144" s="50" t="s">
        <v>848</v>
      </c>
      <c r="N144" s="30">
        <f>VLOOKUP(YEAR(Tabel3[[#This Row],[Geb datum]]),Tabel8[#All],2,FALSE)</f>
        <v>28</v>
      </c>
      <c r="O144" s="1">
        <v>35092</v>
      </c>
      <c r="P144" s="30" t="str">
        <f>VLOOKUP(YEAR(Tabel3[[#This Row],[Geb datum]]),Tabel8[#All],3,FALSE)</f>
        <v>S</v>
      </c>
      <c r="Q144" s="51" t="s">
        <v>62</v>
      </c>
      <c r="R144" s="51" t="s">
        <v>62</v>
      </c>
      <c r="S144" s="48"/>
    </row>
    <row r="145" spans="1:19">
      <c r="A145" s="40" t="s">
        <v>849</v>
      </c>
      <c r="B145" s="28" t="s">
        <v>850</v>
      </c>
      <c r="C145" s="28" t="s">
        <v>836</v>
      </c>
      <c r="D145" s="30">
        <f>VLOOKUP(YEAR(Tabel1[[#This Row],[Geb datum]]),Tabel8[#All],2,FALSE)</f>
        <v>13</v>
      </c>
      <c r="E145" s="56">
        <v>40700</v>
      </c>
      <c r="F145" s="30" t="str">
        <f>VLOOKUP(YEAR(Tabel1[[#This Row],[Geb datum]]),Tabel8[#All],3,FALSE)</f>
        <v>C</v>
      </c>
      <c r="G145" s="30" t="s">
        <v>28</v>
      </c>
      <c r="H145" s="30" t="s">
        <v>29</v>
      </c>
      <c r="I145" s="42"/>
      <c r="K145" s="49" t="s">
        <v>851</v>
      </c>
      <c r="L145" s="50" t="s">
        <v>852</v>
      </c>
      <c r="M145" s="50" t="s">
        <v>848</v>
      </c>
      <c r="N145" s="30">
        <f>VLOOKUP(YEAR(Tabel3[[#This Row],[Geb datum]]),Tabel8[#All],2,FALSE)</f>
        <v>9</v>
      </c>
      <c r="O145" s="32">
        <v>42174</v>
      </c>
      <c r="P145" s="30" t="str">
        <f>VLOOKUP(YEAR(Tabel3[[#This Row],[Geb datum]]),Tabel8[#All],3,FALSE)</f>
        <v>E</v>
      </c>
      <c r="Q145" s="51" t="s">
        <v>41</v>
      </c>
      <c r="R145" s="51" t="s">
        <v>135</v>
      </c>
      <c r="S145" s="48"/>
    </row>
    <row r="146" spans="1:19">
      <c r="A146" s="40" t="s">
        <v>853</v>
      </c>
      <c r="B146" s="28" t="s">
        <v>854</v>
      </c>
      <c r="C146" s="28" t="s">
        <v>855</v>
      </c>
      <c r="D146" s="30">
        <f>VLOOKUP(YEAR(Tabel1[[#This Row],[Geb datum]]),Tabel8[#All],2,FALSE)</f>
        <v>19</v>
      </c>
      <c r="E146" s="46">
        <v>38635</v>
      </c>
      <c r="F146" s="30" t="str">
        <f>VLOOKUP(YEAR(Tabel1[[#This Row],[Geb datum]]),Tabel8[#All],3,FALSE)</f>
        <v>S</v>
      </c>
      <c r="G146" s="30" t="s">
        <v>1</v>
      </c>
      <c r="H146" s="30" t="s">
        <v>15</v>
      </c>
      <c r="I146" s="41"/>
      <c r="K146" s="49" t="s">
        <v>856</v>
      </c>
      <c r="L146" s="50" t="s">
        <v>857</v>
      </c>
      <c r="M146" s="50" t="s">
        <v>858</v>
      </c>
      <c r="N146" s="30">
        <f>VLOOKUP(YEAR(Tabel3[[#This Row],[Geb datum]]),Tabel8[#All],2,FALSE)</f>
        <v>17</v>
      </c>
      <c r="O146" s="52">
        <v>39123</v>
      </c>
      <c r="P146" s="30" t="str">
        <f>VLOOKUP(YEAR(Tabel3[[#This Row],[Geb datum]]),Tabel8[#All],3,FALSE)</f>
        <v>A</v>
      </c>
      <c r="Q146" s="51" t="s">
        <v>17</v>
      </c>
      <c r="R146" s="51" t="s">
        <v>17</v>
      </c>
      <c r="S146" s="48"/>
    </row>
    <row r="147" spans="1:19">
      <c r="A147" s="40" t="s">
        <v>859</v>
      </c>
      <c r="B147" s="28" t="s">
        <v>860</v>
      </c>
      <c r="C147" s="28" t="s">
        <v>861</v>
      </c>
      <c r="D147" s="30">
        <f>VLOOKUP(YEAR(Tabel1[[#This Row],[Geb datum]]),Tabel8[#All],2,FALSE)</f>
        <v>30</v>
      </c>
      <c r="E147" s="46">
        <v>34635</v>
      </c>
      <c r="F147" s="30" t="str">
        <f>VLOOKUP(YEAR(Tabel1[[#This Row],[Geb datum]]),Tabel8[#All],3,FALSE)</f>
        <v>S</v>
      </c>
      <c r="G147" s="30" t="s">
        <v>109</v>
      </c>
      <c r="H147" s="30" t="s">
        <v>8</v>
      </c>
      <c r="I147" s="41"/>
      <c r="K147" s="49" t="s">
        <v>862</v>
      </c>
      <c r="L147" s="50" t="s">
        <v>863</v>
      </c>
      <c r="M147" s="50" t="s">
        <v>864</v>
      </c>
      <c r="N147" s="51">
        <f>VLOOKUP(YEAR(Tabel3[[#This Row],[Geb datum]]),Tabel8[#All],2,FALSE)</f>
        <v>17</v>
      </c>
      <c r="O147" s="52">
        <v>39346</v>
      </c>
      <c r="P147" s="51" t="str">
        <f>VLOOKUP(YEAR(Tabel3[[#This Row],[Geb datum]]),Tabel8[#All],3,FALSE)</f>
        <v>A</v>
      </c>
      <c r="Q147" s="51" t="s">
        <v>2</v>
      </c>
      <c r="R147" s="51" t="s">
        <v>22</v>
      </c>
      <c r="S147" s="48"/>
    </row>
    <row r="148" spans="1:19">
      <c r="A148" s="40" t="s">
        <v>865</v>
      </c>
      <c r="B148" s="28" t="s">
        <v>866</v>
      </c>
      <c r="C148" s="28" t="s">
        <v>867</v>
      </c>
      <c r="D148" s="30">
        <f>VLOOKUP(YEAR(Tabel1[[#This Row],[Geb datum]]),Tabel8[#All],2,FALSE)</f>
        <v>9</v>
      </c>
      <c r="E148" s="46">
        <v>42096</v>
      </c>
      <c r="F148" s="30" t="str">
        <f>VLOOKUP(YEAR(Tabel1[[#This Row],[Geb datum]]),Tabel8[#All],3,FALSE)</f>
        <v>E</v>
      </c>
      <c r="G148" s="30" t="s">
        <v>39</v>
      </c>
      <c r="H148" s="30" t="s">
        <v>42</v>
      </c>
      <c r="I148" s="41"/>
      <c r="K148" s="49" t="s">
        <v>868</v>
      </c>
      <c r="L148" s="50" t="s">
        <v>869</v>
      </c>
      <c r="M148" s="50" t="s">
        <v>870</v>
      </c>
      <c r="N148" s="51">
        <f>VLOOKUP(YEAR(Tabel3[[#This Row],[Geb datum]]),Tabel8[#All],2,FALSE)</f>
        <v>11</v>
      </c>
      <c r="O148" s="52">
        <v>41299</v>
      </c>
      <c r="P148" s="51" t="str">
        <f>VLOOKUP(YEAR(Tabel3[[#This Row],[Geb datum]]),Tabel8[#All],3,FALSE)</f>
        <v>D</v>
      </c>
      <c r="Q148" s="51" t="s">
        <v>33</v>
      </c>
      <c r="R148" s="51" t="s">
        <v>34</v>
      </c>
      <c r="S148" s="48"/>
    </row>
    <row r="149" spans="1:19">
      <c r="A149" s="40" t="s">
        <v>871</v>
      </c>
      <c r="B149" s="28" t="s">
        <v>872</v>
      </c>
      <c r="C149" s="28" t="s">
        <v>873</v>
      </c>
      <c r="D149" s="30">
        <f>VLOOKUP(YEAR(Tabel1[[#This Row],[Geb datum]]),Tabel8[#All],2,FALSE)</f>
        <v>16</v>
      </c>
      <c r="E149" s="46">
        <v>39538</v>
      </c>
      <c r="F149" s="30" t="str">
        <f>VLOOKUP(YEAR(Tabel1[[#This Row],[Geb datum]]),Tabel8[#All],3,FALSE)</f>
        <v>A</v>
      </c>
      <c r="G149" s="30" t="s">
        <v>2</v>
      </c>
      <c r="H149" s="30" t="s">
        <v>21</v>
      </c>
      <c r="I149" s="41"/>
      <c r="K149" s="49" t="s">
        <v>874</v>
      </c>
      <c r="L149" s="50" t="s">
        <v>875</v>
      </c>
      <c r="M149" s="50" t="s">
        <v>876</v>
      </c>
      <c r="N149" s="51">
        <f>VLOOKUP(YEAR(Tabel3[[#This Row],[Geb datum]]),Tabel8[#All],2,FALSE)</f>
        <v>12</v>
      </c>
      <c r="O149" s="52">
        <v>41263</v>
      </c>
      <c r="P149" s="51" t="str">
        <f>VLOOKUP(YEAR(Tabel3[[#This Row],[Geb datum]]),Tabel8[#All],3,FALSE)</f>
        <v>C</v>
      </c>
      <c r="Q149" s="51" t="s">
        <v>83</v>
      </c>
      <c r="R149" s="51" t="s">
        <v>35</v>
      </c>
      <c r="S149" s="48"/>
    </row>
    <row r="150" spans="1:19">
      <c r="A150" s="40" t="s">
        <v>877</v>
      </c>
      <c r="B150" s="28" t="s">
        <v>878</v>
      </c>
      <c r="C150" s="28" t="s">
        <v>879</v>
      </c>
      <c r="D150" s="30">
        <f>VLOOKUP(YEAR(Tabel1[[#This Row],[Geb datum]]),Tabel8[#All],2,FALSE)</f>
        <v>16</v>
      </c>
      <c r="E150" s="46">
        <v>39562</v>
      </c>
      <c r="F150" s="30" t="str">
        <f>VLOOKUP(YEAR(Tabel1[[#This Row],[Geb datum]]),Tabel8[#All],3,FALSE)</f>
        <v>A</v>
      </c>
      <c r="G150" s="30" t="s">
        <v>2</v>
      </c>
      <c r="H150" s="30" t="s">
        <v>22</v>
      </c>
      <c r="I150" s="41"/>
      <c r="K150" s="49" t="s">
        <v>880</v>
      </c>
      <c r="L150" s="50" t="s">
        <v>881</v>
      </c>
      <c r="M150" s="50" t="s">
        <v>882</v>
      </c>
      <c r="N150" s="51">
        <f>VLOOKUP(YEAR(Tabel3[[#This Row],[Geb datum]]),Tabel8[#All],2,FALSE)</f>
        <v>49</v>
      </c>
      <c r="O150" s="52">
        <v>27643</v>
      </c>
      <c r="P150" s="51" t="str">
        <f>VLOOKUP(YEAR(Tabel3[[#This Row],[Geb datum]]),Tabel8[#All],3,FALSE)</f>
        <v>S</v>
      </c>
      <c r="Q150" s="51" t="s">
        <v>13</v>
      </c>
      <c r="R150" s="51" t="s">
        <v>13</v>
      </c>
      <c r="S150" s="48"/>
    </row>
    <row r="151" spans="1:19">
      <c r="A151" s="40" t="s">
        <v>883</v>
      </c>
      <c r="B151" s="28" t="s">
        <v>884</v>
      </c>
      <c r="C151" s="28" t="s">
        <v>885</v>
      </c>
      <c r="D151" s="30">
        <f>VLOOKUP(YEAR(Tabel1[[#This Row],[Geb datum]]),Tabel8[#All],2,FALSE)</f>
        <v>9</v>
      </c>
      <c r="E151" s="56">
        <v>42188</v>
      </c>
      <c r="F151" s="30" t="str">
        <f>VLOOKUP(YEAR(Tabel1[[#This Row],[Geb datum]]),Tabel8[#All],3,FALSE)</f>
        <v>E</v>
      </c>
      <c r="G151" s="30" t="s">
        <v>41</v>
      </c>
      <c r="H151" s="30" t="s">
        <v>41</v>
      </c>
      <c r="I151" s="41"/>
      <c r="K151" s="49" t="s">
        <v>886</v>
      </c>
      <c r="L151" s="50" t="s">
        <v>887</v>
      </c>
      <c r="M151" s="50" t="s">
        <v>888</v>
      </c>
      <c r="N151" s="51">
        <f>VLOOKUP(YEAR(Tabel3[[#This Row],[Geb datum]]),Tabel8[#All],2,FALSE)</f>
        <v>19</v>
      </c>
      <c r="O151" s="52">
        <v>38517</v>
      </c>
      <c r="P151" s="51" t="str">
        <f>VLOOKUP(YEAR(Tabel3[[#This Row],[Geb datum]]),Tabel8[#All],3,FALSE)</f>
        <v>S</v>
      </c>
      <c r="Q151" s="51" t="s">
        <v>11</v>
      </c>
      <c r="R151" s="51" t="s">
        <v>16</v>
      </c>
      <c r="S151" s="48"/>
    </row>
    <row r="152" spans="1:19">
      <c r="A152" s="40" t="s">
        <v>889</v>
      </c>
      <c r="B152" s="28" t="s">
        <v>890</v>
      </c>
      <c r="C152" s="28" t="s">
        <v>891</v>
      </c>
      <c r="D152" s="30">
        <f>VLOOKUP(YEAR(Tabel1[[#This Row],[Geb datum]]),Tabel8[#All],2,FALSE)</f>
        <v>23</v>
      </c>
      <c r="E152" s="46">
        <v>37104</v>
      </c>
      <c r="F152" s="30" t="str">
        <f>VLOOKUP(YEAR(Tabel1[[#This Row],[Geb datum]]),Tabel8[#All],3,FALSE)</f>
        <v>S</v>
      </c>
      <c r="G152" s="30" t="s">
        <v>10</v>
      </c>
      <c r="H152" s="30" t="s">
        <v>12</v>
      </c>
      <c r="I152" s="41"/>
      <c r="K152" s="49" t="s">
        <v>892</v>
      </c>
      <c r="L152" s="50" t="s">
        <v>893</v>
      </c>
      <c r="M152" s="50" t="s">
        <v>894</v>
      </c>
      <c r="N152" s="51">
        <f>VLOOKUP(YEAR(Tabel3[[#This Row],[Geb datum]]),Tabel8[#All],2,FALSE)</f>
        <v>13</v>
      </c>
      <c r="O152" s="52">
        <v>40750</v>
      </c>
      <c r="P152" s="51" t="str">
        <f>VLOOKUP(YEAR(Tabel3[[#This Row],[Geb datum]]),Tabel8[#All],3,FALSE)</f>
        <v>C</v>
      </c>
      <c r="Q152" s="51" t="s">
        <v>28</v>
      </c>
      <c r="R152" s="51" t="s">
        <v>29</v>
      </c>
      <c r="S152" s="48"/>
    </row>
    <row r="153" spans="1:19">
      <c r="A153" s="40" t="s">
        <v>895</v>
      </c>
      <c r="B153" s="28" t="s">
        <v>896</v>
      </c>
      <c r="C153" s="28" t="s">
        <v>897</v>
      </c>
      <c r="D153" s="30">
        <f>VLOOKUP(YEAR(Tabel1[[#This Row],[Geb datum]]),Tabel8[#All],2,FALSE)</f>
        <v>36</v>
      </c>
      <c r="E153" s="46">
        <v>32197</v>
      </c>
      <c r="F153" s="30" t="str">
        <f>VLOOKUP(YEAR(Tabel1[[#This Row],[Geb datum]]),Tabel8[#All],3,FALSE)</f>
        <v>S</v>
      </c>
      <c r="G153" s="30" t="s">
        <v>13</v>
      </c>
      <c r="H153" s="30" t="s">
        <v>13</v>
      </c>
      <c r="I153" s="41"/>
      <c r="K153" s="28"/>
      <c r="L153" s="28"/>
      <c r="M153" s="28"/>
      <c r="N153" s="30"/>
      <c r="O153" s="29"/>
      <c r="P153" s="30"/>
      <c r="Q153" s="30"/>
      <c r="R153" s="30"/>
      <c r="S153" s="30"/>
    </row>
    <row r="154" spans="1:19">
      <c r="A154" s="40" t="s">
        <v>898</v>
      </c>
      <c r="B154" s="28" t="s">
        <v>899</v>
      </c>
      <c r="C154" s="29" t="s">
        <v>900</v>
      </c>
      <c r="D154" s="30">
        <f>VLOOKUP(YEAR(Tabel1[[#This Row],[Geb datum]]),Tabel8[#All],2,FALSE)</f>
        <v>9</v>
      </c>
      <c r="E154" s="56">
        <v>42111</v>
      </c>
      <c r="F154" s="30" t="str">
        <f>VLOOKUP(YEAR(Tabel1[[#This Row],[Geb datum]]),Tabel8[#All],3,FALSE)</f>
        <v>E</v>
      </c>
      <c r="G154" s="30" t="s">
        <v>41</v>
      </c>
      <c r="H154" s="30" t="s">
        <v>41</v>
      </c>
      <c r="I154" s="41"/>
      <c r="K154" s="28"/>
      <c r="L154" s="28"/>
      <c r="M154" s="28"/>
      <c r="N154" s="30"/>
      <c r="O154" s="29"/>
      <c r="P154" s="30"/>
      <c r="Q154" s="30"/>
      <c r="R154" s="30"/>
      <c r="S154" s="30"/>
    </row>
    <row r="155" spans="1:19">
      <c r="A155" s="40" t="s">
        <v>901</v>
      </c>
      <c r="B155" s="28" t="s">
        <v>902</v>
      </c>
      <c r="C155" s="28" t="s">
        <v>900</v>
      </c>
      <c r="D155" s="30">
        <f>VLOOKUP(YEAR(Tabel1[[#This Row],[Geb datum]]),Tabel8[#All],2,FALSE)</f>
        <v>7</v>
      </c>
      <c r="E155" s="46">
        <v>42987</v>
      </c>
      <c r="F155" s="30" t="str">
        <f>VLOOKUP(YEAR(Tabel1[[#This Row],[Geb datum]]),Tabel8[#All],3,FALSE)</f>
        <v>F</v>
      </c>
      <c r="G155" s="30" t="s">
        <v>48</v>
      </c>
      <c r="H155" s="30" t="s">
        <v>155</v>
      </c>
      <c r="I155" s="41"/>
      <c r="K155" s="28"/>
      <c r="L155" s="28"/>
      <c r="M155" s="28"/>
      <c r="N155" s="30"/>
      <c r="O155" s="29"/>
      <c r="P155" s="30"/>
      <c r="Q155" s="30"/>
      <c r="R155" s="30"/>
      <c r="S155" s="30"/>
    </row>
    <row r="156" spans="1:19">
      <c r="A156" s="40" t="s">
        <v>903</v>
      </c>
      <c r="B156" s="28" t="s">
        <v>904</v>
      </c>
      <c r="C156" s="28" t="s">
        <v>900</v>
      </c>
      <c r="D156" s="30">
        <f>VLOOKUP(YEAR(Tabel1[[#This Row],[Geb datum]]),Tabel8[#All],2,FALSE)</f>
        <v>11</v>
      </c>
      <c r="E156" s="46">
        <v>41582</v>
      </c>
      <c r="F156" s="30" t="str">
        <f>VLOOKUP(YEAR(Tabel1[[#This Row],[Geb datum]]),Tabel8[#All],3,FALSE)</f>
        <v>D</v>
      </c>
      <c r="G156" s="30" t="s">
        <v>34</v>
      </c>
      <c r="H156" s="30" t="s">
        <v>35</v>
      </c>
      <c r="I156" s="41"/>
    </row>
    <row r="157" spans="1:19">
      <c r="A157" s="40" t="s">
        <v>905</v>
      </c>
      <c r="B157" s="28" t="s">
        <v>906</v>
      </c>
      <c r="C157" s="28" t="s">
        <v>900</v>
      </c>
      <c r="D157" s="30">
        <f>VLOOKUP(YEAR(Tabel1[[#This Row],[Geb datum]]),Tabel8[#All],2,FALSE)</f>
        <v>14</v>
      </c>
      <c r="E157" s="46">
        <v>40227</v>
      </c>
      <c r="F157" s="30" t="str">
        <f>VLOOKUP(YEAR(Tabel1[[#This Row],[Geb datum]]),Tabel8[#All],3,FALSE)</f>
        <v>B</v>
      </c>
      <c r="G157" s="30" t="s">
        <v>27</v>
      </c>
      <c r="H157" s="30" t="s">
        <v>28</v>
      </c>
      <c r="I157" s="41"/>
    </row>
    <row r="158" spans="1:19">
      <c r="A158" s="49" t="s">
        <v>907</v>
      </c>
      <c r="B158" s="50" t="s">
        <v>908</v>
      </c>
      <c r="C158" s="50" t="s">
        <v>909</v>
      </c>
      <c r="D158" s="51">
        <f>VLOOKUP(YEAR(Tabel1[[#This Row],[Geb datum]]),Tabel8[#All],2,FALSE)</f>
        <v>24</v>
      </c>
      <c r="E158" s="90">
        <v>36865</v>
      </c>
      <c r="F158" s="30" t="str">
        <f>VLOOKUP(YEAR(Tabel1[[#This Row],[Geb datum]]),Tabel8[#All],3,FALSE)</f>
        <v>S</v>
      </c>
      <c r="G158" s="51" t="s">
        <v>11</v>
      </c>
      <c r="H158" s="51" t="s">
        <v>243</v>
      </c>
      <c r="I158" s="91"/>
    </row>
    <row r="159" spans="1:19">
      <c r="A159" s="49" t="s">
        <v>910</v>
      </c>
      <c r="B159" s="50" t="s">
        <v>911</v>
      </c>
      <c r="C159" s="50" t="s">
        <v>909</v>
      </c>
      <c r="D159" s="51">
        <f>VLOOKUP(YEAR(Tabel1[[#This Row],[Geb datum]]),Tabel8[#All],2,FALSE)</f>
        <v>18</v>
      </c>
      <c r="E159" s="90">
        <v>38900</v>
      </c>
      <c r="F159" s="30" t="str">
        <f>VLOOKUP(YEAR(Tabel1[[#This Row],[Geb datum]]),Tabel8[#All],3,FALSE)</f>
        <v>A</v>
      </c>
      <c r="G159" s="51" t="s">
        <v>17</v>
      </c>
      <c r="H159" s="51" t="s">
        <v>17</v>
      </c>
      <c r="I159" s="91"/>
    </row>
    <row r="160" spans="1:19">
      <c r="A160" s="49" t="s">
        <v>912</v>
      </c>
      <c r="B160" s="50" t="s">
        <v>913</v>
      </c>
      <c r="C160" s="50" t="s">
        <v>914</v>
      </c>
      <c r="D160" s="51">
        <f>VLOOKUP(YEAR(Tabel1[[#This Row],[Geb datum]]),Tabel8[#All],2,FALSE)</f>
        <v>26</v>
      </c>
      <c r="E160" s="102">
        <v>35817</v>
      </c>
      <c r="F160" s="30" t="str">
        <f>VLOOKUP(YEAR(Tabel1[[#This Row],[Geb datum]]),Tabel8[#All],3,FALSE)</f>
        <v>S</v>
      </c>
      <c r="G160" s="51" t="s">
        <v>62</v>
      </c>
      <c r="H160" s="51" t="s">
        <v>62</v>
      </c>
      <c r="I160" s="91"/>
    </row>
    <row r="161" spans="1:9">
      <c r="A161" s="49" t="s">
        <v>915</v>
      </c>
      <c r="B161" s="50" t="s">
        <v>916</v>
      </c>
      <c r="C161" s="50" t="s">
        <v>917</v>
      </c>
      <c r="D161" s="51">
        <f>VLOOKUP(YEAR(Tabel1[[#This Row],[Geb datum]]),Tabel8[#All],2,FALSE)</f>
        <v>22</v>
      </c>
      <c r="E161" s="90">
        <v>37410</v>
      </c>
      <c r="F161" s="30" t="str">
        <f>VLOOKUP(YEAR(Tabel1[[#This Row],[Geb datum]]),Tabel8[#All],3,FALSE)</f>
        <v>S</v>
      </c>
      <c r="G161" s="51" t="s">
        <v>83</v>
      </c>
      <c r="H161" s="51" t="s">
        <v>7</v>
      </c>
      <c r="I161" s="91"/>
    </row>
    <row r="162" spans="1:9">
      <c r="A162" s="49" t="s">
        <v>918</v>
      </c>
      <c r="B162" s="50" t="s">
        <v>919</v>
      </c>
      <c r="C162" s="50" t="s">
        <v>920</v>
      </c>
      <c r="D162" s="51">
        <f>VLOOKUP(YEAR(Tabel1[[#This Row],[Geb datum]]),Tabel8[#All],2,FALSE)</f>
        <v>7</v>
      </c>
      <c r="E162" s="90">
        <v>42788</v>
      </c>
      <c r="F162" s="30" t="str">
        <f>VLOOKUP(YEAR(Tabel1[[#This Row],[Geb datum]]),Tabel8[#All],3,FALSE)</f>
        <v>F</v>
      </c>
      <c r="G162" s="51" t="s">
        <v>42</v>
      </c>
      <c r="H162" s="51" t="s">
        <v>48</v>
      </c>
      <c r="I162" s="91"/>
    </row>
    <row r="163" spans="1:9">
      <c r="A163" s="49" t="s">
        <v>921</v>
      </c>
      <c r="B163" s="50" t="s">
        <v>922</v>
      </c>
      <c r="C163" s="50" t="s">
        <v>923</v>
      </c>
      <c r="D163" s="51">
        <f>VLOOKUP(YEAR(Tabel1[[#This Row],[Geb datum]]),Tabel8[#All],2,FALSE)</f>
        <v>19</v>
      </c>
      <c r="E163" s="90">
        <v>38550</v>
      </c>
      <c r="F163" s="30" t="str">
        <f>VLOOKUP(YEAR(Tabel1[[#This Row],[Geb datum]]),Tabel8[#All],3,FALSE)</f>
        <v>S</v>
      </c>
      <c r="G163" s="51" t="s">
        <v>17</v>
      </c>
      <c r="H163" s="51" t="s">
        <v>17</v>
      </c>
      <c r="I163" s="91"/>
    </row>
    <row r="164" spans="1:9">
      <c r="A164" s="49" t="s">
        <v>924</v>
      </c>
      <c r="B164" s="50" t="s">
        <v>925</v>
      </c>
      <c r="C164" s="50" t="s">
        <v>926</v>
      </c>
      <c r="D164" s="51">
        <f>VLOOKUP(YEAR(Tabel1[[#This Row],[Geb datum]]),Tabel8[#All],2,FALSE)</f>
        <v>8</v>
      </c>
      <c r="E164" s="52">
        <v>42713</v>
      </c>
      <c r="F164" s="30" t="str">
        <f>VLOOKUP(YEAR(Tabel1[[#This Row],[Geb datum]]),Tabel8[#All],3,FALSE)</f>
        <v>E</v>
      </c>
      <c r="G164" s="51" t="s">
        <v>42</v>
      </c>
      <c r="H164" s="51" t="s">
        <v>48</v>
      </c>
      <c r="I164" s="91"/>
    </row>
    <row r="165" spans="1:9">
      <c r="A165" s="49" t="s">
        <v>927</v>
      </c>
      <c r="B165" s="50" t="s">
        <v>928</v>
      </c>
      <c r="C165" s="50" t="s">
        <v>929</v>
      </c>
      <c r="D165" s="51">
        <f>VLOOKUP(YEAR(Tabel1[[#This Row],[Geb datum]]),Tabel8[#All],2,FALSE)</f>
        <v>29</v>
      </c>
      <c r="E165" s="90">
        <v>34885</v>
      </c>
      <c r="F165" s="30" t="str">
        <f>VLOOKUP(YEAR(Tabel1[[#This Row],[Geb datum]]),Tabel8[#All],3,FALSE)</f>
        <v>S</v>
      </c>
      <c r="G165" s="51" t="s">
        <v>1</v>
      </c>
      <c r="H165" s="51" t="s">
        <v>6</v>
      </c>
      <c r="I165" s="91"/>
    </row>
    <row r="166" spans="1:9">
      <c r="A166" s="49" t="s">
        <v>930</v>
      </c>
      <c r="B166" s="50" t="s">
        <v>931</v>
      </c>
      <c r="C166" s="50" t="s">
        <v>932</v>
      </c>
      <c r="D166" s="51">
        <f>VLOOKUP(YEAR(Tabel1[[#This Row],[Geb datum]]),Tabel8[#All],2,FALSE)</f>
        <v>11</v>
      </c>
      <c r="E166" s="90">
        <v>41537</v>
      </c>
      <c r="F166" s="30" t="str">
        <f>VLOOKUP(YEAR(Tabel1[[#This Row],[Geb datum]]),Tabel8[#All],3,FALSE)</f>
        <v>D</v>
      </c>
      <c r="G166" s="51" t="s">
        <v>33</v>
      </c>
      <c r="H166" s="51" t="s">
        <v>34</v>
      </c>
      <c r="I166" s="91"/>
    </row>
    <row r="167" spans="1:9">
      <c r="A167" s="49" t="s">
        <v>933</v>
      </c>
      <c r="B167" s="50" t="s">
        <v>934</v>
      </c>
      <c r="C167" s="50" t="s">
        <v>935</v>
      </c>
      <c r="D167" s="51">
        <f>VLOOKUP(YEAR(Tabel1[[#This Row],[Geb datum]]),Tabel8[#All],2,FALSE)</f>
        <v>15</v>
      </c>
      <c r="E167" s="90">
        <v>40015</v>
      </c>
      <c r="F167" s="30" t="str">
        <f>VLOOKUP(YEAR(Tabel1[[#This Row],[Geb datum]]),Tabel8[#All],3,FALSE)</f>
        <v>B</v>
      </c>
      <c r="G167" s="51" t="s">
        <v>17</v>
      </c>
      <c r="H167" s="51" t="s">
        <v>23</v>
      </c>
      <c r="I167" s="91"/>
    </row>
  </sheetData>
  <sortState xmlns:xlrd2="http://schemas.microsoft.com/office/spreadsheetml/2017/richdata2" ref="K2:S136">
    <sortCondition ref="Q2:Q136"/>
  </sortState>
  <phoneticPr fontId="5" type="noConversion"/>
  <pageMargins left="0.7" right="0.7" top="0.75" bottom="0.75" header="0.3" footer="0.3"/>
  <pageSetup paperSize="9" orientation="portrait" horizontalDpi="4294967293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F588-D9E6-4952-AE10-A5104F67D952}">
  <sheetPr>
    <tabColor theme="3"/>
  </sheetPr>
  <dimension ref="A1:F82"/>
  <sheetViews>
    <sheetView topLeftCell="A71" workbookViewId="0">
      <selection activeCell="C29" sqref="C29"/>
    </sheetView>
  </sheetViews>
  <sheetFormatPr defaultColWidth="8.7109375" defaultRowHeight="15"/>
  <cols>
    <col min="1" max="1" width="36.7109375" bestFit="1" customWidth="1"/>
    <col min="2" max="2" width="12.7109375" customWidth="1"/>
    <col min="3" max="3" width="19.140625" customWidth="1"/>
    <col min="4" max="4" width="15.7109375" customWidth="1"/>
    <col min="5" max="5" width="16" bestFit="1" customWidth="1"/>
    <col min="6" max="6" width="15.7109375" customWidth="1"/>
  </cols>
  <sheetData>
    <row r="1" spans="1:6">
      <c r="A1" t="s">
        <v>936</v>
      </c>
      <c r="B1" t="s">
        <v>937</v>
      </c>
      <c r="C1" t="s">
        <v>938</v>
      </c>
      <c r="D1" t="s">
        <v>939</v>
      </c>
      <c r="E1" t="s">
        <v>940</v>
      </c>
      <c r="F1" t="s">
        <v>941</v>
      </c>
    </row>
    <row r="2" spans="1:6">
      <c r="A2" t="s">
        <v>342</v>
      </c>
      <c r="B2" t="s">
        <v>243</v>
      </c>
      <c r="C2" t="s">
        <v>942</v>
      </c>
      <c r="D2" t="s">
        <v>943</v>
      </c>
      <c r="E2" t="s">
        <v>41</v>
      </c>
    </row>
    <row r="3" spans="1:6">
      <c r="A3" t="s">
        <v>358</v>
      </c>
      <c r="B3" t="s">
        <v>243</v>
      </c>
      <c r="C3" t="s">
        <v>942</v>
      </c>
      <c r="D3" t="s">
        <v>943</v>
      </c>
      <c r="E3" t="s">
        <v>41</v>
      </c>
    </row>
    <row r="4" spans="1:6">
      <c r="A4" t="s">
        <v>321</v>
      </c>
      <c r="B4" s="89" t="s">
        <v>243</v>
      </c>
      <c r="C4" t="s">
        <v>942</v>
      </c>
      <c r="D4" t="s">
        <v>943</v>
      </c>
      <c r="E4" t="s">
        <v>35</v>
      </c>
      <c r="F4" t="s">
        <v>944</v>
      </c>
    </row>
    <row r="5" spans="1:6">
      <c r="A5" t="s">
        <v>392</v>
      </c>
      <c r="B5" s="89" t="s">
        <v>243</v>
      </c>
      <c r="C5" t="s">
        <v>942</v>
      </c>
      <c r="D5" t="s">
        <v>12</v>
      </c>
      <c r="E5" t="s">
        <v>33</v>
      </c>
      <c r="F5" t="s">
        <v>945</v>
      </c>
    </row>
    <row r="6" spans="1:6">
      <c r="A6" t="s">
        <v>946</v>
      </c>
      <c r="B6" s="89" t="s">
        <v>243</v>
      </c>
      <c r="C6" t="s">
        <v>942</v>
      </c>
      <c r="D6" t="s">
        <v>947</v>
      </c>
      <c r="E6" t="s">
        <v>29</v>
      </c>
      <c r="F6" t="s">
        <v>948</v>
      </c>
    </row>
    <row r="7" spans="1:6">
      <c r="A7" t="s">
        <v>539</v>
      </c>
      <c r="B7" s="89" t="s">
        <v>243</v>
      </c>
      <c r="C7" t="s">
        <v>942</v>
      </c>
      <c r="D7" t="s">
        <v>12</v>
      </c>
      <c r="E7" t="s">
        <v>35</v>
      </c>
      <c r="F7" t="s">
        <v>949</v>
      </c>
    </row>
    <row r="8" spans="1:6">
      <c r="A8" t="s">
        <v>674</v>
      </c>
      <c r="B8" s="89" t="s">
        <v>243</v>
      </c>
      <c r="C8" t="s">
        <v>942</v>
      </c>
      <c r="D8" t="s">
        <v>12</v>
      </c>
      <c r="E8" t="s">
        <v>35</v>
      </c>
      <c r="F8" t="s">
        <v>944</v>
      </c>
    </row>
    <row r="9" spans="1:6">
      <c r="A9" t="s">
        <v>908</v>
      </c>
      <c r="B9" s="89" t="s">
        <v>243</v>
      </c>
      <c r="C9" t="s">
        <v>942</v>
      </c>
      <c r="D9" t="s">
        <v>11</v>
      </c>
      <c r="E9" t="s">
        <v>28</v>
      </c>
    </row>
    <row r="10" spans="1:6">
      <c r="A10" t="s">
        <v>950</v>
      </c>
      <c r="B10" t="s">
        <v>243</v>
      </c>
      <c r="C10" t="s">
        <v>942</v>
      </c>
      <c r="E10" t="s">
        <v>43</v>
      </c>
    </row>
    <row r="11" spans="1:6">
      <c r="A11" t="s">
        <v>950</v>
      </c>
      <c r="B11" t="s">
        <v>243</v>
      </c>
      <c r="C11" t="s">
        <v>942</v>
      </c>
      <c r="E11" t="s">
        <v>43</v>
      </c>
    </row>
    <row r="12" spans="1:6">
      <c r="A12" t="s">
        <v>951</v>
      </c>
      <c r="B12" t="s">
        <v>243</v>
      </c>
      <c r="C12" t="s">
        <v>942</v>
      </c>
    </row>
    <row r="13" spans="1:6">
      <c r="A13" t="s">
        <v>486</v>
      </c>
      <c r="B13" t="s">
        <v>243</v>
      </c>
      <c r="C13" t="s">
        <v>942</v>
      </c>
    </row>
    <row r="14" spans="1:6">
      <c r="A14" t="s">
        <v>210</v>
      </c>
      <c r="B14" s="89" t="s">
        <v>243</v>
      </c>
      <c r="C14" t="s">
        <v>952</v>
      </c>
      <c r="D14" t="s">
        <v>947</v>
      </c>
      <c r="E14" t="s">
        <v>33</v>
      </c>
      <c r="F14" t="s">
        <v>953</v>
      </c>
    </row>
    <row r="15" spans="1:6">
      <c r="A15" t="s">
        <v>954</v>
      </c>
      <c r="B15" t="s">
        <v>243</v>
      </c>
      <c r="C15" t="s">
        <v>955</v>
      </c>
      <c r="D15" t="s">
        <v>947</v>
      </c>
      <c r="E15" t="s">
        <v>21</v>
      </c>
    </row>
    <row r="16" spans="1:6">
      <c r="A16" t="s">
        <v>956</v>
      </c>
      <c r="B16" t="s">
        <v>243</v>
      </c>
      <c r="C16" t="s">
        <v>957</v>
      </c>
      <c r="E16" t="s">
        <v>43</v>
      </c>
      <c r="F16" t="s">
        <v>944</v>
      </c>
    </row>
    <row r="17" spans="1:6">
      <c r="A17" t="s">
        <v>958</v>
      </c>
      <c r="B17" t="s">
        <v>2</v>
      </c>
      <c r="C17" t="s">
        <v>959</v>
      </c>
      <c r="D17" t="s">
        <v>947</v>
      </c>
      <c r="E17" t="s">
        <v>15</v>
      </c>
    </row>
    <row r="18" spans="1:6">
      <c r="A18" t="s">
        <v>960</v>
      </c>
      <c r="B18" t="s">
        <v>2</v>
      </c>
      <c r="C18" t="s">
        <v>959</v>
      </c>
      <c r="D18" t="s">
        <v>947</v>
      </c>
      <c r="E18" t="s">
        <v>15</v>
      </c>
      <c r="F18" t="s">
        <v>953</v>
      </c>
    </row>
    <row r="19" spans="1:6">
      <c r="A19" t="s">
        <v>610</v>
      </c>
      <c r="B19" t="s">
        <v>2</v>
      </c>
      <c r="C19" t="s">
        <v>961</v>
      </c>
      <c r="D19" t="s">
        <v>1</v>
      </c>
      <c r="E19" t="s">
        <v>16</v>
      </c>
      <c r="F19" t="s">
        <v>962</v>
      </c>
    </row>
    <row r="20" spans="1:6">
      <c r="A20" t="s">
        <v>827</v>
      </c>
      <c r="B20" t="s">
        <v>2</v>
      </c>
      <c r="C20" t="s">
        <v>961</v>
      </c>
      <c r="D20" t="s">
        <v>1</v>
      </c>
      <c r="E20" t="s">
        <v>16</v>
      </c>
      <c r="F20" t="s">
        <v>949</v>
      </c>
    </row>
    <row r="21" spans="1:6">
      <c r="A21" t="s">
        <v>963</v>
      </c>
      <c r="B21" t="s">
        <v>2</v>
      </c>
      <c r="C21" t="s">
        <v>955</v>
      </c>
    </row>
    <row r="22" spans="1:6">
      <c r="A22" t="s">
        <v>192</v>
      </c>
      <c r="B22" t="s">
        <v>17</v>
      </c>
      <c r="C22" t="s">
        <v>942</v>
      </c>
      <c r="E22" t="s">
        <v>17</v>
      </c>
    </row>
    <row r="23" spans="1:6">
      <c r="A23" t="s">
        <v>701</v>
      </c>
      <c r="B23" t="s">
        <v>17</v>
      </c>
      <c r="C23" t="s">
        <v>942</v>
      </c>
      <c r="E23" t="s">
        <v>17</v>
      </c>
    </row>
    <row r="24" spans="1:6">
      <c r="A24" t="s">
        <v>325</v>
      </c>
      <c r="B24" t="s">
        <v>3</v>
      </c>
      <c r="C24" t="s">
        <v>964</v>
      </c>
      <c r="D24" t="s">
        <v>947</v>
      </c>
      <c r="E24" t="s">
        <v>27</v>
      </c>
      <c r="F24" t="s">
        <v>953</v>
      </c>
    </row>
    <row r="25" spans="1:6">
      <c r="A25" t="s">
        <v>965</v>
      </c>
      <c r="B25" t="s">
        <v>3</v>
      </c>
      <c r="C25" t="s">
        <v>964</v>
      </c>
      <c r="D25" t="s">
        <v>966</v>
      </c>
      <c r="E25" t="s">
        <v>27</v>
      </c>
      <c r="F25" t="s">
        <v>967</v>
      </c>
    </row>
    <row r="26" spans="1:6">
      <c r="A26" t="s">
        <v>968</v>
      </c>
      <c r="B26" s="89" t="s">
        <v>3</v>
      </c>
      <c r="C26" t="s">
        <v>969</v>
      </c>
      <c r="E26" t="s">
        <v>22</v>
      </c>
    </row>
    <row r="27" spans="1:6">
      <c r="A27" s="6" t="s">
        <v>319</v>
      </c>
      <c r="B27" s="89" t="s">
        <v>3</v>
      </c>
      <c r="C27" t="s">
        <v>969</v>
      </c>
      <c r="E27" t="s">
        <v>22</v>
      </c>
    </row>
    <row r="28" spans="1:6">
      <c r="A28" t="s">
        <v>950</v>
      </c>
      <c r="B28" s="89" t="s">
        <v>3</v>
      </c>
      <c r="C28" t="s">
        <v>969</v>
      </c>
    </row>
    <row r="29" spans="1:6">
      <c r="A29" t="s">
        <v>954</v>
      </c>
      <c r="B29" t="s">
        <v>3</v>
      </c>
      <c r="C29" t="s">
        <v>955</v>
      </c>
    </row>
    <row r="30" spans="1:6">
      <c r="A30" t="s">
        <v>970</v>
      </c>
      <c r="B30" s="89" t="s">
        <v>23</v>
      </c>
      <c r="C30" t="s">
        <v>942</v>
      </c>
      <c r="D30" t="s">
        <v>947</v>
      </c>
      <c r="E30" t="s">
        <v>29</v>
      </c>
      <c r="F30" t="s">
        <v>948</v>
      </c>
    </row>
    <row r="31" spans="1:6">
      <c r="A31" t="s">
        <v>950</v>
      </c>
      <c r="B31" s="89" t="s">
        <v>23</v>
      </c>
      <c r="C31" t="s">
        <v>942</v>
      </c>
    </row>
    <row r="32" spans="1:6">
      <c r="A32" t="s">
        <v>971</v>
      </c>
      <c r="B32" s="89" t="s">
        <v>24</v>
      </c>
      <c r="C32" t="s">
        <v>942</v>
      </c>
      <c r="E32" t="s">
        <v>23</v>
      </c>
    </row>
    <row r="33" spans="1:6">
      <c r="A33" t="s">
        <v>654</v>
      </c>
      <c r="B33" s="89" t="s">
        <v>24</v>
      </c>
      <c r="C33" t="s">
        <v>942</v>
      </c>
      <c r="D33" t="s">
        <v>943</v>
      </c>
      <c r="E33" t="s">
        <v>23</v>
      </c>
      <c r="F33" t="s">
        <v>967</v>
      </c>
    </row>
    <row r="34" spans="1:6">
      <c r="A34" t="s">
        <v>972</v>
      </c>
      <c r="B34" s="89" t="s">
        <v>24</v>
      </c>
      <c r="C34" t="s">
        <v>955</v>
      </c>
    </row>
    <row r="35" spans="1:6">
      <c r="A35" t="s">
        <v>75</v>
      </c>
      <c r="B35" t="s">
        <v>27</v>
      </c>
      <c r="C35" t="s">
        <v>942</v>
      </c>
      <c r="D35" t="s">
        <v>947</v>
      </c>
      <c r="E35" t="s">
        <v>28</v>
      </c>
      <c r="F35" t="s">
        <v>953</v>
      </c>
    </row>
    <row r="36" spans="1:6">
      <c r="A36" t="s">
        <v>699</v>
      </c>
      <c r="B36" t="s">
        <v>27</v>
      </c>
      <c r="C36" t="s">
        <v>942</v>
      </c>
      <c r="D36" t="s">
        <v>973</v>
      </c>
      <c r="E36" t="s">
        <v>21</v>
      </c>
      <c r="F36" t="s">
        <v>967</v>
      </c>
    </row>
    <row r="37" spans="1:6">
      <c r="A37" t="s">
        <v>520</v>
      </c>
      <c r="B37" t="s">
        <v>28</v>
      </c>
      <c r="C37" t="s">
        <v>942</v>
      </c>
    </row>
    <row r="38" spans="1:6">
      <c r="A38" t="s">
        <v>974</v>
      </c>
      <c r="B38" s="89" t="s">
        <v>28</v>
      </c>
      <c r="C38" t="s">
        <v>942</v>
      </c>
      <c r="D38" t="s">
        <v>947</v>
      </c>
      <c r="E38" t="s">
        <v>23</v>
      </c>
      <c r="F38" t="s">
        <v>953</v>
      </c>
    </row>
    <row r="39" spans="1:6">
      <c r="A39" t="s">
        <v>723</v>
      </c>
      <c r="B39" t="s">
        <v>28</v>
      </c>
      <c r="C39" t="s">
        <v>942</v>
      </c>
    </row>
    <row r="40" spans="1:6">
      <c r="A40" t="s">
        <v>720</v>
      </c>
      <c r="B40" s="89" t="s">
        <v>29</v>
      </c>
      <c r="C40" t="s">
        <v>942</v>
      </c>
      <c r="D40" t="s">
        <v>12</v>
      </c>
      <c r="E40" t="s">
        <v>30</v>
      </c>
      <c r="F40" t="s">
        <v>949</v>
      </c>
    </row>
    <row r="41" spans="1:6">
      <c r="A41" t="s">
        <v>890</v>
      </c>
      <c r="B41" s="89" t="s">
        <v>29</v>
      </c>
      <c r="C41" t="s">
        <v>942</v>
      </c>
      <c r="D41" t="s">
        <v>12</v>
      </c>
      <c r="E41" t="s">
        <v>30</v>
      </c>
      <c r="F41" t="s">
        <v>949</v>
      </c>
    </row>
    <row r="42" spans="1:6">
      <c r="A42" t="s">
        <v>950</v>
      </c>
      <c r="B42" s="89" t="s">
        <v>29</v>
      </c>
      <c r="C42" t="s">
        <v>952</v>
      </c>
    </row>
    <row r="43" spans="1:6">
      <c r="A43" t="s">
        <v>975</v>
      </c>
      <c r="B43" s="89" t="s">
        <v>33</v>
      </c>
      <c r="C43" t="s">
        <v>942</v>
      </c>
      <c r="D43" t="s">
        <v>947</v>
      </c>
      <c r="E43" t="s">
        <v>34</v>
      </c>
      <c r="F43" t="s">
        <v>945</v>
      </c>
    </row>
    <row r="44" spans="1:6">
      <c r="A44" t="s">
        <v>976</v>
      </c>
      <c r="B44" s="89" t="s">
        <v>33</v>
      </c>
      <c r="C44" t="s">
        <v>942</v>
      </c>
      <c r="D44" t="s">
        <v>947</v>
      </c>
      <c r="E44" t="s">
        <v>34</v>
      </c>
      <c r="F44" t="s">
        <v>945</v>
      </c>
    </row>
    <row r="45" spans="1:6">
      <c r="A45" t="s">
        <v>977</v>
      </c>
      <c r="B45" s="89" t="s">
        <v>33</v>
      </c>
      <c r="C45" t="s">
        <v>952</v>
      </c>
      <c r="D45" t="s">
        <v>947</v>
      </c>
      <c r="E45" t="s">
        <v>34</v>
      </c>
      <c r="F45" t="s">
        <v>953</v>
      </c>
    </row>
    <row r="46" spans="1:6">
      <c r="A46" t="s">
        <v>648</v>
      </c>
      <c r="B46" s="89" t="s">
        <v>34</v>
      </c>
      <c r="C46" t="s">
        <v>942</v>
      </c>
      <c r="D46" t="s">
        <v>12</v>
      </c>
      <c r="E46" t="s">
        <v>33</v>
      </c>
      <c r="F46" t="s">
        <v>945</v>
      </c>
    </row>
    <row r="47" spans="1:6">
      <c r="A47" t="s">
        <v>854</v>
      </c>
      <c r="B47" t="s">
        <v>34</v>
      </c>
      <c r="C47" t="s">
        <v>942</v>
      </c>
    </row>
    <row r="48" spans="1:6">
      <c r="A48" t="s">
        <v>131</v>
      </c>
      <c r="B48" s="89" t="s">
        <v>35</v>
      </c>
      <c r="C48" t="s">
        <v>942</v>
      </c>
      <c r="D48" t="s">
        <v>17</v>
      </c>
      <c r="E48" t="s">
        <v>40</v>
      </c>
      <c r="F48" t="s">
        <v>945</v>
      </c>
    </row>
    <row r="49" spans="1:6">
      <c r="A49" t="s">
        <v>978</v>
      </c>
      <c r="B49" s="89" t="s">
        <v>35</v>
      </c>
      <c r="C49" t="s">
        <v>942</v>
      </c>
      <c r="D49" t="s">
        <v>947</v>
      </c>
      <c r="E49" t="s">
        <v>40</v>
      </c>
      <c r="F49" t="s">
        <v>945</v>
      </c>
    </row>
    <row r="50" spans="1:6">
      <c r="A50" t="s">
        <v>950</v>
      </c>
      <c r="B50" t="s">
        <v>36</v>
      </c>
      <c r="C50" t="s">
        <v>942</v>
      </c>
    </row>
    <row r="51" spans="1:6">
      <c r="A51" t="s">
        <v>950</v>
      </c>
      <c r="B51" t="s">
        <v>36</v>
      </c>
      <c r="C51" t="s">
        <v>942</v>
      </c>
    </row>
    <row r="52" spans="1:6">
      <c r="A52" t="s">
        <v>979</v>
      </c>
      <c r="B52" t="s">
        <v>39</v>
      </c>
      <c r="C52" t="s">
        <v>942</v>
      </c>
      <c r="D52" t="s">
        <v>947</v>
      </c>
      <c r="E52" t="s">
        <v>42</v>
      </c>
      <c r="F52" t="s">
        <v>945</v>
      </c>
    </row>
    <row r="53" spans="1:6">
      <c r="A53" t="s">
        <v>980</v>
      </c>
      <c r="B53" t="s">
        <v>39</v>
      </c>
      <c r="C53" t="s">
        <v>942</v>
      </c>
      <c r="D53" t="s">
        <v>947</v>
      </c>
      <c r="E53" t="s">
        <v>42</v>
      </c>
      <c r="F53" t="s">
        <v>948</v>
      </c>
    </row>
    <row r="54" spans="1:6">
      <c r="A54" t="s">
        <v>981</v>
      </c>
      <c r="B54" t="s">
        <v>39</v>
      </c>
      <c r="C54" t="s">
        <v>982</v>
      </c>
      <c r="E54" t="s">
        <v>42</v>
      </c>
      <c r="F54" t="s">
        <v>948</v>
      </c>
    </row>
    <row r="55" spans="1:6">
      <c r="A55" t="s">
        <v>983</v>
      </c>
      <c r="B55" s="89" t="s">
        <v>40</v>
      </c>
      <c r="C55" t="s">
        <v>942</v>
      </c>
      <c r="D55" t="s">
        <v>243</v>
      </c>
      <c r="E55" t="s">
        <v>43</v>
      </c>
      <c r="F55" t="s">
        <v>953</v>
      </c>
    </row>
    <row r="56" spans="1:6">
      <c r="A56" t="s">
        <v>984</v>
      </c>
      <c r="B56" t="s">
        <v>42</v>
      </c>
      <c r="C56" t="s">
        <v>942</v>
      </c>
      <c r="D56" t="s">
        <v>947</v>
      </c>
      <c r="E56" t="s">
        <v>48</v>
      </c>
    </row>
    <row r="57" spans="1:6">
      <c r="A57" t="s">
        <v>946</v>
      </c>
      <c r="B57" t="s">
        <v>42</v>
      </c>
      <c r="C57" t="s">
        <v>942</v>
      </c>
      <c r="D57" t="s">
        <v>947</v>
      </c>
      <c r="E57" t="s">
        <v>48</v>
      </c>
    </row>
    <row r="58" spans="1:6">
      <c r="A58" t="s">
        <v>985</v>
      </c>
      <c r="B58" t="s">
        <v>47</v>
      </c>
      <c r="C58" t="s">
        <v>986</v>
      </c>
      <c r="D58" t="s">
        <v>243</v>
      </c>
      <c r="E58" t="s">
        <v>47</v>
      </c>
      <c r="F58" t="s">
        <v>953</v>
      </c>
    </row>
    <row r="59" spans="1:6">
      <c r="A59" t="s">
        <v>987</v>
      </c>
      <c r="B59" t="s">
        <v>47</v>
      </c>
      <c r="C59" t="s">
        <v>942</v>
      </c>
      <c r="E59" t="s">
        <v>48</v>
      </c>
      <c r="F59" t="s">
        <v>944</v>
      </c>
    </row>
    <row r="60" spans="1:6">
      <c r="A60" t="s">
        <v>872</v>
      </c>
      <c r="B60" t="s">
        <v>47</v>
      </c>
      <c r="C60" t="s">
        <v>942</v>
      </c>
      <c r="E60" t="s">
        <v>48</v>
      </c>
      <c r="F60" t="s">
        <v>944</v>
      </c>
    </row>
    <row r="61" spans="1:6">
      <c r="A61" t="s">
        <v>985</v>
      </c>
      <c r="B61" t="s">
        <v>48</v>
      </c>
      <c r="C61" t="s">
        <v>986</v>
      </c>
      <c r="D61" t="s">
        <v>243</v>
      </c>
      <c r="E61" t="s">
        <v>47</v>
      </c>
      <c r="F61" t="s">
        <v>953</v>
      </c>
    </row>
    <row r="62" spans="1:6">
      <c r="A62" t="s">
        <v>742</v>
      </c>
      <c r="B62" t="s">
        <v>48</v>
      </c>
      <c r="C62" t="s">
        <v>942</v>
      </c>
      <c r="E62" t="s">
        <v>47</v>
      </c>
      <c r="F62" t="s">
        <v>944</v>
      </c>
    </row>
    <row r="63" spans="1:6">
      <c r="A63" t="s">
        <v>988</v>
      </c>
      <c r="B63" t="s">
        <v>48</v>
      </c>
      <c r="C63" t="s">
        <v>955</v>
      </c>
    </row>
    <row r="64" spans="1:6">
      <c r="A64" t="s">
        <v>989</v>
      </c>
      <c r="B64" t="s">
        <v>1</v>
      </c>
      <c r="C64" t="s">
        <v>990</v>
      </c>
      <c r="D64" t="s">
        <v>1</v>
      </c>
      <c r="E64" t="s">
        <v>1</v>
      </c>
      <c r="F64" t="s">
        <v>991</v>
      </c>
    </row>
    <row r="65" spans="1:6">
      <c r="A65" t="s">
        <v>992</v>
      </c>
      <c r="B65" t="s">
        <v>1</v>
      </c>
      <c r="C65" t="s">
        <v>993</v>
      </c>
      <c r="E65" t="s">
        <v>1</v>
      </c>
      <c r="F65" t="s">
        <v>953</v>
      </c>
    </row>
    <row r="66" spans="1:6">
      <c r="A66" t="s">
        <v>994</v>
      </c>
      <c r="B66" t="s">
        <v>1</v>
      </c>
      <c r="C66" t="s">
        <v>995</v>
      </c>
      <c r="E66" t="s">
        <v>1</v>
      </c>
      <c r="F66" t="s">
        <v>996</v>
      </c>
    </row>
    <row r="67" spans="1:6">
      <c r="A67" t="s">
        <v>997</v>
      </c>
      <c r="B67" t="s">
        <v>1</v>
      </c>
      <c r="C67" t="s">
        <v>998</v>
      </c>
    </row>
    <row r="68" spans="1:6">
      <c r="A68" t="s">
        <v>999</v>
      </c>
      <c r="B68" t="s">
        <v>1</v>
      </c>
      <c r="C68" t="s">
        <v>1000</v>
      </c>
      <c r="D68" t="s">
        <v>1</v>
      </c>
      <c r="E68" t="s">
        <v>1</v>
      </c>
      <c r="F68" t="s">
        <v>996</v>
      </c>
    </row>
    <row r="69" spans="1:6">
      <c r="A69" t="s">
        <v>1001</v>
      </c>
      <c r="B69" t="s">
        <v>1</v>
      </c>
      <c r="C69" t="s">
        <v>1002</v>
      </c>
      <c r="D69" t="s">
        <v>1</v>
      </c>
      <c r="E69" t="s">
        <v>1</v>
      </c>
      <c r="F69" t="s">
        <v>996</v>
      </c>
    </row>
    <row r="70" spans="1:6">
      <c r="A70" t="s">
        <v>1003</v>
      </c>
      <c r="B70" t="s">
        <v>1</v>
      </c>
      <c r="C70" t="s">
        <v>1004</v>
      </c>
      <c r="D70" t="s">
        <v>1</v>
      </c>
      <c r="E70" t="s">
        <v>1</v>
      </c>
      <c r="F70" t="s">
        <v>996</v>
      </c>
    </row>
    <row r="71" spans="1:6">
      <c r="A71" t="s">
        <v>1005</v>
      </c>
      <c r="B71" t="s">
        <v>8</v>
      </c>
      <c r="C71" t="s">
        <v>1006</v>
      </c>
      <c r="D71" t="s">
        <v>947</v>
      </c>
      <c r="E71" t="s">
        <v>8</v>
      </c>
    </row>
    <row r="72" spans="1:6">
      <c r="A72" t="s">
        <v>950</v>
      </c>
      <c r="B72" t="s">
        <v>9</v>
      </c>
      <c r="C72" t="s">
        <v>942</v>
      </c>
      <c r="D72" t="s">
        <v>947</v>
      </c>
      <c r="E72" t="s">
        <v>9</v>
      </c>
    </row>
    <row r="73" spans="1:6">
      <c r="A73" t="s">
        <v>950</v>
      </c>
      <c r="B73" t="s">
        <v>9</v>
      </c>
      <c r="C73" t="s">
        <v>942</v>
      </c>
      <c r="E73" t="s">
        <v>4</v>
      </c>
      <c r="F73" t="s">
        <v>962</v>
      </c>
    </row>
    <row r="74" spans="1:6">
      <c r="A74" t="s">
        <v>950</v>
      </c>
      <c r="B74" t="s">
        <v>10</v>
      </c>
      <c r="C74" t="s">
        <v>942</v>
      </c>
      <c r="D74" t="s">
        <v>947</v>
      </c>
    </row>
    <row r="75" spans="1:6">
      <c r="A75" t="s">
        <v>1007</v>
      </c>
      <c r="B75" t="s">
        <v>11</v>
      </c>
      <c r="C75" t="s">
        <v>942</v>
      </c>
      <c r="E75" t="s">
        <v>11</v>
      </c>
      <c r="F75" t="s">
        <v>948</v>
      </c>
    </row>
    <row r="76" spans="1:6">
      <c r="A76" t="s">
        <v>1008</v>
      </c>
      <c r="B76" t="s">
        <v>83</v>
      </c>
      <c r="C76" t="s">
        <v>942</v>
      </c>
      <c r="D76" t="s">
        <v>947</v>
      </c>
      <c r="E76" t="s">
        <v>21</v>
      </c>
      <c r="F76" t="s">
        <v>962</v>
      </c>
    </row>
    <row r="77" spans="1:6">
      <c r="A77" t="s">
        <v>1009</v>
      </c>
      <c r="B77" t="s">
        <v>83</v>
      </c>
      <c r="C77" t="s">
        <v>998</v>
      </c>
      <c r="E77" t="s">
        <v>1</v>
      </c>
      <c r="F77" t="s">
        <v>996</v>
      </c>
    </row>
    <row r="78" spans="1:6">
      <c r="A78" t="s">
        <v>1010</v>
      </c>
      <c r="B78" t="s">
        <v>83</v>
      </c>
      <c r="C78" t="s">
        <v>1011</v>
      </c>
      <c r="E78" t="s">
        <v>1</v>
      </c>
      <c r="F78" t="s">
        <v>953</v>
      </c>
    </row>
    <row r="79" spans="1:6">
      <c r="A79" t="s">
        <v>548</v>
      </c>
      <c r="B79" t="s">
        <v>41</v>
      </c>
      <c r="C79" t="s">
        <v>942</v>
      </c>
      <c r="D79" t="s">
        <v>947</v>
      </c>
    </row>
    <row r="80" spans="1:6">
      <c r="A80" t="s">
        <v>1012</v>
      </c>
      <c r="B80" t="s">
        <v>41</v>
      </c>
      <c r="C80" t="s">
        <v>942</v>
      </c>
      <c r="D80" t="s">
        <v>947</v>
      </c>
    </row>
    <row r="81" spans="1:4">
      <c r="A81" t="s">
        <v>911</v>
      </c>
      <c r="B81" t="s">
        <v>41</v>
      </c>
      <c r="C81" t="s">
        <v>942</v>
      </c>
      <c r="D81" t="s">
        <v>947</v>
      </c>
    </row>
    <row r="82" spans="1:4">
      <c r="A82" t="s">
        <v>1013</v>
      </c>
      <c r="B82" t="s">
        <v>41</v>
      </c>
      <c r="C82" t="s">
        <v>957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DDCB-CCEE-4B97-885E-DC7F8385FB10}">
  <dimension ref="B2:Q50"/>
  <sheetViews>
    <sheetView topLeftCell="B1" workbookViewId="0">
      <selection activeCell="K17" sqref="K17"/>
    </sheetView>
  </sheetViews>
  <sheetFormatPr defaultColWidth="8.7109375" defaultRowHeight="15"/>
  <cols>
    <col min="2" max="2" width="17.42578125" customWidth="1"/>
    <col min="3" max="3" width="68.7109375" bestFit="1" customWidth="1"/>
    <col min="4" max="4" width="35" customWidth="1"/>
    <col min="5" max="5" width="39.7109375" customWidth="1"/>
    <col min="6" max="6" width="45.7109375" bestFit="1" customWidth="1"/>
    <col min="7" max="7" width="20.42578125" bestFit="1" customWidth="1"/>
    <col min="8" max="8" width="19.42578125" customWidth="1"/>
    <col min="12" max="12" width="15.7109375" bestFit="1" customWidth="1"/>
    <col min="13" max="13" width="45.42578125" bestFit="1" customWidth="1"/>
    <col min="14" max="14" width="25" customWidth="1"/>
    <col min="15" max="15" width="16.42578125" hidden="1" customWidth="1"/>
    <col min="16" max="16" width="14.7109375" hidden="1" customWidth="1"/>
    <col min="17" max="17" width="21.140625" customWidth="1"/>
  </cols>
  <sheetData>
    <row r="2" spans="2:17" ht="15.95" thickBot="1">
      <c r="B2" s="53" t="s">
        <v>1014</v>
      </c>
    </row>
    <row r="3" spans="2:17" ht="15.95" thickBot="1">
      <c r="C3" s="53" t="s">
        <v>1015</v>
      </c>
      <c r="D3" s="53" t="s">
        <v>1016</v>
      </c>
      <c r="E3" s="53" t="s">
        <v>1017</v>
      </c>
      <c r="F3" s="53" t="s">
        <v>1018</v>
      </c>
      <c r="G3" s="53" t="s">
        <v>1019</v>
      </c>
      <c r="H3" s="53" t="s">
        <v>1020</v>
      </c>
      <c r="L3" s="69" t="s">
        <v>1021</v>
      </c>
      <c r="M3" s="70" t="s">
        <v>1022</v>
      </c>
      <c r="N3" s="70" t="s">
        <v>1023</v>
      </c>
      <c r="O3" s="70" t="s">
        <v>1024</v>
      </c>
      <c r="P3" s="70" t="s">
        <v>1025</v>
      </c>
      <c r="Q3" s="71" t="s">
        <v>1019</v>
      </c>
    </row>
    <row r="4" spans="2:17">
      <c r="B4" s="113"/>
      <c r="C4" s="63"/>
      <c r="D4" s="63"/>
      <c r="E4" s="63"/>
      <c r="F4" s="63"/>
      <c r="G4" s="64"/>
      <c r="H4" s="65"/>
      <c r="L4" s="92"/>
      <c r="M4" s="93"/>
      <c r="N4" s="93"/>
      <c r="O4" s="93"/>
      <c r="P4" s="93"/>
      <c r="Q4" s="94"/>
    </row>
    <row r="5" spans="2:17">
      <c r="B5" s="114"/>
      <c r="C5" s="61"/>
      <c r="D5" s="75"/>
      <c r="E5" s="75"/>
      <c r="F5" s="75"/>
      <c r="G5" s="61"/>
      <c r="H5" s="66"/>
      <c r="L5" s="92"/>
      <c r="M5" s="93"/>
      <c r="N5" s="93"/>
      <c r="O5" s="93"/>
      <c r="P5" s="93"/>
      <c r="Q5" s="94"/>
    </row>
    <row r="6" spans="2:17">
      <c r="B6" s="114"/>
      <c r="C6" s="61"/>
      <c r="D6" s="75"/>
      <c r="E6" s="75"/>
      <c r="F6" s="75"/>
      <c r="G6" s="61"/>
      <c r="H6" s="66"/>
      <c r="L6" s="92"/>
      <c r="M6" s="93"/>
      <c r="N6" s="93"/>
      <c r="O6" s="93"/>
      <c r="P6" s="93"/>
      <c r="Q6" s="94"/>
    </row>
    <row r="7" spans="2:17" ht="15.95" thickBot="1">
      <c r="B7" s="115"/>
      <c r="C7" s="67"/>
      <c r="D7" s="76"/>
      <c r="E7" s="76"/>
      <c r="F7" s="76"/>
      <c r="G7" s="67"/>
      <c r="H7" s="68"/>
      <c r="L7" s="92"/>
      <c r="M7" s="93"/>
      <c r="N7" s="93"/>
      <c r="O7" s="93"/>
      <c r="P7" s="93"/>
      <c r="Q7" s="94"/>
    </row>
    <row r="8" spans="2:17">
      <c r="B8" s="110"/>
      <c r="C8" s="63"/>
      <c r="D8" s="63"/>
      <c r="E8" s="63"/>
      <c r="F8" s="63"/>
      <c r="G8" s="64"/>
      <c r="H8" s="65"/>
      <c r="L8" s="92"/>
      <c r="M8" s="93"/>
      <c r="N8" s="93"/>
      <c r="O8" s="93"/>
      <c r="P8" s="93"/>
      <c r="Q8" s="94"/>
    </row>
    <row r="9" spans="2:17">
      <c r="B9" s="111"/>
      <c r="C9" s="61"/>
      <c r="D9" s="75"/>
      <c r="E9" s="75"/>
      <c r="F9" s="75"/>
      <c r="G9" s="61"/>
      <c r="H9" s="66"/>
      <c r="L9" s="92"/>
      <c r="M9" s="93"/>
      <c r="N9" s="93"/>
      <c r="O9" s="93"/>
      <c r="P9" s="93"/>
      <c r="Q9" s="94"/>
    </row>
    <row r="10" spans="2:17" ht="15.95" thickBot="1">
      <c r="B10" s="112"/>
      <c r="C10" s="74"/>
      <c r="D10" s="77"/>
      <c r="E10" s="77"/>
      <c r="F10" s="76"/>
      <c r="G10" s="67"/>
      <c r="H10" s="68"/>
      <c r="L10" s="92"/>
      <c r="M10" s="93"/>
      <c r="N10" s="93"/>
      <c r="O10" s="93"/>
      <c r="P10" s="93"/>
      <c r="Q10" s="94"/>
    </row>
    <row r="11" spans="2:17">
      <c r="B11" s="110"/>
      <c r="C11" s="63"/>
      <c r="D11" s="63"/>
      <c r="E11" s="63"/>
      <c r="F11" s="63"/>
      <c r="G11" s="64"/>
      <c r="H11" s="65"/>
      <c r="L11" s="92"/>
      <c r="M11" s="93"/>
      <c r="N11" s="93"/>
      <c r="O11" s="93"/>
      <c r="P11" s="93"/>
      <c r="Q11" s="94"/>
    </row>
    <row r="12" spans="2:17">
      <c r="B12" s="111"/>
      <c r="C12" s="61"/>
      <c r="D12" s="75"/>
      <c r="E12" s="75"/>
      <c r="F12" s="78"/>
      <c r="G12" s="61"/>
      <c r="H12" s="66"/>
      <c r="L12" s="92"/>
      <c r="M12" s="93"/>
      <c r="N12" s="93"/>
      <c r="O12" s="93"/>
      <c r="P12" s="93"/>
      <c r="Q12" s="94"/>
    </row>
    <row r="13" spans="2:17" ht="15.95" thickBot="1">
      <c r="B13" s="112"/>
      <c r="C13" s="67"/>
      <c r="D13" s="76"/>
      <c r="E13" s="76"/>
      <c r="F13" s="77"/>
      <c r="G13" s="67"/>
      <c r="H13" s="68"/>
      <c r="L13" s="92"/>
      <c r="M13" s="93"/>
      <c r="N13" s="93"/>
      <c r="O13" s="93"/>
      <c r="P13" s="93"/>
      <c r="Q13" s="94"/>
    </row>
    <row r="14" spans="2:17">
      <c r="B14" s="110"/>
      <c r="C14" s="63"/>
      <c r="D14" s="63"/>
      <c r="E14" s="63"/>
      <c r="F14" s="63"/>
      <c r="G14" s="64"/>
      <c r="H14" s="65"/>
      <c r="L14" s="92"/>
      <c r="M14" s="93"/>
      <c r="N14" s="93"/>
      <c r="O14" s="93"/>
      <c r="P14" s="93"/>
      <c r="Q14" s="94"/>
    </row>
    <row r="15" spans="2:17">
      <c r="B15" s="111"/>
      <c r="C15" s="61"/>
      <c r="D15" s="75"/>
      <c r="E15" s="75"/>
      <c r="F15" s="75"/>
      <c r="G15" s="61"/>
      <c r="H15" s="66"/>
      <c r="L15" s="92"/>
      <c r="M15" s="93"/>
      <c r="N15" s="93"/>
      <c r="O15" s="93"/>
      <c r="P15" s="93"/>
      <c r="Q15" s="94"/>
    </row>
    <row r="16" spans="2:17" ht="15.95" thickBot="1">
      <c r="B16" s="112"/>
      <c r="C16" s="67"/>
      <c r="D16" s="76"/>
      <c r="E16" s="76"/>
      <c r="F16" s="76"/>
      <c r="G16" s="67"/>
      <c r="H16" s="68"/>
      <c r="L16" s="92"/>
      <c r="M16" s="93"/>
      <c r="N16" s="93"/>
      <c r="O16" s="95"/>
      <c r="P16" s="95"/>
      <c r="Q16" s="94"/>
    </row>
    <row r="17" spans="2:17">
      <c r="B17" s="60"/>
      <c r="C17" s="60"/>
      <c r="D17" s="60"/>
      <c r="E17" s="60"/>
      <c r="F17" s="60"/>
      <c r="G17" s="60"/>
      <c r="L17" s="92"/>
      <c r="M17" s="95"/>
      <c r="N17" s="93"/>
      <c r="O17" s="95"/>
      <c r="P17" s="95"/>
      <c r="Q17" s="94"/>
    </row>
    <row r="18" spans="2:17">
      <c r="B18" s="60"/>
      <c r="C18" s="60"/>
      <c r="D18" s="60"/>
      <c r="E18" s="60"/>
      <c r="F18" s="60"/>
      <c r="G18" s="60"/>
      <c r="L18" s="92"/>
      <c r="M18" s="95"/>
      <c r="N18" s="95"/>
      <c r="O18" s="95"/>
      <c r="P18" s="95"/>
      <c r="Q18" s="94"/>
    </row>
    <row r="19" spans="2:17">
      <c r="B19" s="60"/>
      <c r="C19" s="60"/>
      <c r="D19" s="60"/>
      <c r="E19" s="60"/>
      <c r="F19" s="60"/>
      <c r="G19" s="60"/>
      <c r="L19" s="92"/>
      <c r="M19" s="95"/>
      <c r="N19" s="93"/>
      <c r="O19" s="95"/>
      <c r="P19" s="95"/>
      <c r="Q19" s="94"/>
    </row>
    <row r="20" spans="2:17" ht="15.95" thickBot="1">
      <c r="B20" s="60"/>
      <c r="C20" s="60"/>
      <c r="D20" s="60"/>
      <c r="E20" s="60"/>
      <c r="F20" s="60"/>
      <c r="G20" s="60"/>
      <c r="L20" s="92"/>
      <c r="M20" s="95"/>
      <c r="N20" s="95"/>
      <c r="O20" s="95"/>
      <c r="P20" s="95"/>
      <c r="Q20" s="94"/>
    </row>
    <row r="21" spans="2:17">
      <c r="B21" s="69"/>
      <c r="C21" s="70"/>
      <c r="D21" s="70"/>
      <c r="E21" s="70"/>
      <c r="F21" s="70"/>
      <c r="G21" s="70"/>
      <c r="H21" s="71"/>
      <c r="L21" s="92"/>
      <c r="M21" s="95"/>
      <c r="N21" s="95"/>
      <c r="O21" s="95"/>
      <c r="P21" s="95"/>
      <c r="Q21" s="94"/>
    </row>
    <row r="22" spans="2:17">
      <c r="B22" s="72"/>
      <c r="C22" s="61"/>
      <c r="D22" s="61"/>
      <c r="E22" s="61"/>
      <c r="F22" s="61"/>
      <c r="G22" s="61"/>
      <c r="H22" s="66"/>
      <c r="L22" s="92"/>
      <c r="M22" s="95"/>
      <c r="N22" s="95"/>
      <c r="O22" s="95"/>
      <c r="P22" s="95"/>
      <c r="Q22" s="94"/>
    </row>
    <row r="23" spans="2:17">
      <c r="B23" s="72"/>
      <c r="C23" s="61"/>
      <c r="D23" s="61"/>
      <c r="E23" s="61"/>
      <c r="F23" s="61"/>
      <c r="G23" s="61"/>
      <c r="H23" s="66"/>
      <c r="L23" s="92"/>
      <c r="M23" s="95"/>
      <c r="N23" s="95"/>
      <c r="O23" s="95"/>
      <c r="P23" s="95"/>
      <c r="Q23" s="94"/>
    </row>
    <row r="24" spans="2:17">
      <c r="B24" s="72"/>
      <c r="C24" s="61"/>
      <c r="D24" s="61"/>
      <c r="E24" s="61"/>
      <c r="F24" s="61"/>
      <c r="G24" s="61"/>
      <c r="H24" s="66"/>
      <c r="L24" s="92"/>
      <c r="M24" s="95"/>
      <c r="N24" s="95"/>
      <c r="O24" s="95"/>
      <c r="P24" s="95"/>
      <c r="Q24" s="94"/>
    </row>
    <row r="25" spans="2:17">
      <c r="B25" s="72"/>
      <c r="C25" s="61"/>
      <c r="D25" s="61"/>
      <c r="E25" s="61"/>
      <c r="F25" s="61"/>
      <c r="G25" s="61"/>
      <c r="H25" s="66"/>
      <c r="L25" s="92"/>
      <c r="M25" s="95"/>
      <c r="N25" s="95"/>
      <c r="O25" s="95"/>
      <c r="P25" s="95"/>
      <c r="Q25" s="94"/>
    </row>
    <row r="26" spans="2:17">
      <c r="B26" s="72"/>
      <c r="C26" s="61"/>
      <c r="D26" s="61"/>
      <c r="E26" s="61"/>
      <c r="F26" s="61"/>
      <c r="G26" s="61"/>
      <c r="H26" s="66"/>
      <c r="L26" s="96"/>
      <c r="M26" s="97"/>
      <c r="N26" s="97"/>
      <c r="O26" s="97"/>
      <c r="P26" s="97"/>
      <c r="Q26" s="98"/>
    </row>
    <row r="27" spans="2:17" ht="15.95" thickBot="1">
      <c r="B27" s="72"/>
      <c r="C27" s="61"/>
      <c r="D27" s="61"/>
      <c r="E27" s="61"/>
      <c r="F27" s="61"/>
      <c r="G27" s="61"/>
      <c r="H27" s="66"/>
      <c r="L27" s="99"/>
      <c r="M27" s="100"/>
      <c r="N27" s="100"/>
      <c r="O27" s="100"/>
      <c r="P27" s="100"/>
      <c r="Q27" s="101"/>
    </row>
    <row r="28" spans="2:17">
      <c r="B28" s="72"/>
      <c r="C28" s="61"/>
      <c r="D28" s="61"/>
      <c r="E28" s="61"/>
      <c r="F28" s="61"/>
      <c r="G28" s="61"/>
      <c r="H28" s="66"/>
    </row>
    <row r="29" spans="2:17">
      <c r="B29" s="72"/>
      <c r="C29" s="61"/>
      <c r="D29" s="61"/>
      <c r="E29" s="61"/>
      <c r="F29" s="61"/>
      <c r="G29" s="61"/>
      <c r="H29" s="66"/>
      <c r="L29" s="79" t="s">
        <v>1026</v>
      </c>
    </row>
    <row r="30" spans="2:17">
      <c r="B30" s="72"/>
      <c r="C30" s="61"/>
      <c r="D30" s="61"/>
      <c r="E30" s="61"/>
      <c r="F30" s="61"/>
      <c r="G30" s="61"/>
      <c r="H30" s="66"/>
      <c r="L30" s="80" t="s">
        <v>1027</v>
      </c>
    </row>
    <row r="31" spans="2:17">
      <c r="B31" s="72"/>
      <c r="C31" s="61"/>
      <c r="D31" s="61"/>
      <c r="E31" s="61"/>
      <c r="F31" s="61"/>
      <c r="G31" s="61"/>
      <c r="H31" s="66"/>
      <c r="L31" s="81" t="s">
        <v>1028</v>
      </c>
    </row>
    <row r="32" spans="2:17">
      <c r="B32" s="72"/>
      <c r="C32" s="61"/>
      <c r="D32" s="61"/>
      <c r="E32" s="61"/>
      <c r="F32" s="61"/>
      <c r="G32" s="61"/>
      <c r="H32" s="66"/>
    </row>
    <row r="33" spans="2:8">
      <c r="B33" s="72"/>
      <c r="C33" s="61"/>
      <c r="D33" s="61"/>
      <c r="E33" s="61"/>
      <c r="F33" s="61"/>
      <c r="G33" s="61"/>
      <c r="H33" s="66"/>
    </row>
    <row r="34" spans="2:8">
      <c r="B34" s="72"/>
      <c r="C34" s="61"/>
      <c r="D34" s="61"/>
      <c r="E34" s="61"/>
      <c r="F34" s="62"/>
      <c r="G34" s="62"/>
      <c r="H34" s="66"/>
    </row>
    <row r="35" spans="2:8">
      <c r="B35" s="72"/>
      <c r="C35" s="62"/>
      <c r="D35" s="62"/>
      <c r="E35" s="61"/>
      <c r="F35" s="62"/>
      <c r="G35" s="62"/>
      <c r="H35" s="66"/>
    </row>
    <row r="36" spans="2:8">
      <c r="B36" s="72"/>
      <c r="C36" s="62"/>
      <c r="D36" s="62"/>
      <c r="E36" s="62"/>
      <c r="F36" s="62"/>
      <c r="G36" s="62"/>
      <c r="H36" s="66"/>
    </row>
    <row r="37" spans="2:8">
      <c r="B37" s="72"/>
      <c r="C37" s="62"/>
      <c r="D37" s="62"/>
      <c r="E37" s="61"/>
      <c r="F37" s="62"/>
      <c r="G37" s="62"/>
      <c r="H37" s="66"/>
    </row>
    <row r="38" spans="2:8">
      <c r="B38" s="72"/>
      <c r="C38" s="62"/>
      <c r="D38" s="62"/>
      <c r="E38" s="62"/>
      <c r="F38" s="62"/>
      <c r="G38" s="62"/>
      <c r="H38" s="66"/>
    </row>
    <row r="39" spans="2:8">
      <c r="B39" s="72"/>
      <c r="C39" s="62"/>
      <c r="D39" s="62"/>
      <c r="E39" s="62"/>
      <c r="F39" s="62"/>
      <c r="G39" s="62"/>
      <c r="H39" s="66"/>
    </row>
    <row r="40" spans="2:8">
      <c r="B40" s="72"/>
      <c r="C40" s="62"/>
      <c r="D40" s="62"/>
      <c r="E40" s="62"/>
      <c r="F40" s="62"/>
      <c r="G40" s="62"/>
      <c r="H40" s="66"/>
    </row>
    <row r="41" spans="2:8">
      <c r="B41" s="72"/>
      <c r="C41" s="62"/>
      <c r="D41" s="62"/>
      <c r="E41" s="62"/>
      <c r="F41" s="62"/>
      <c r="G41" s="62"/>
      <c r="H41" s="66"/>
    </row>
    <row r="42" spans="2:8">
      <c r="B42" s="72"/>
      <c r="C42" s="62"/>
      <c r="D42" s="62"/>
      <c r="E42" s="62"/>
      <c r="F42" s="62"/>
      <c r="G42" s="62"/>
      <c r="H42" s="66"/>
    </row>
    <row r="43" spans="2:8">
      <c r="B43" s="72"/>
      <c r="C43" s="62"/>
      <c r="D43" s="62"/>
      <c r="E43" s="62"/>
      <c r="F43" s="62"/>
      <c r="G43" s="62"/>
      <c r="H43" s="66"/>
    </row>
    <row r="44" spans="2:8" ht="15.95" thickBot="1">
      <c r="B44" s="88"/>
      <c r="C44" s="73"/>
      <c r="D44" s="73"/>
      <c r="E44" s="73"/>
      <c r="F44" s="73"/>
      <c r="G44" s="73"/>
      <c r="H44" s="68"/>
    </row>
    <row r="45" spans="2:8">
      <c r="B45" s="60"/>
    </row>
    <row r="48" spans="2:8">
      <c r="B48" s="79" t="s">
        <v>1026</v>
      </c>
    </row>
    <row r="49" spans="2:2">
      <c r="B49" s="80" t="s">
        <v>1029</v>
      </c>
    </row>
    <row r="50" spans="2:2">
      <c r="B50" s="81" t="s">
        <v>1028</v>
      </c>
    </row>
  </sheetData>
  <mergeCells count="4">
    <mergeCell ref="B8:B10"/>
    <mergeCell ref="B4:B7"/>
    <mergeCell ref="B11:B13"/>
    <mergeCell ref="B14:B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DD83-2D15-4BBB-B0DC-59D54EC077E6}">
  <dimension ref="A1:G63"/>
  <sheetViews>
    <sheetView workbookViewId="0">
      <selection activeCell="A2" sqref="A2"/>
    </sheetView>
  </sheetViews>
  <sheetFormatPr defaultColWidth="8.7109375" defaultRowHeight="15"/>
  <cols>
    <col min="1" max="1" width="14" customWidth="1"/>
    <col min="2" max="2" width="71.42578125" customWidth="1"/>
    <col min="3" max="3" width="19.140625" customWidth="1"/>
    <col min="4" max="4" width="86.42578125" bestFit="1" customWidth="1"/>
    <col min="5" max="6" width="17.7109375" customWidth="1"/>
  </cols>
  <sheetData>
    <row r="1" spans="1:7">
      <c r="A1" s="53" t="s">
        <v>1030</v>
      </c>
      <c r="B1" s="53" t="s">
        <v>1031</v>
      </c>
      <c r="C1" s="53" t="s">
        <v>1032</v>
      </c>
      <c r="D1" s="53" t="s">
        <v>1033</v>
      </c>
      <c r="E1" s="53" t="s">
        <v>1034</v>
      </c>
      <c r="F1" s="53" t="s">
        <v>1035</v>
      </c>
      <c r="G1" t="s">
        <v>1036</v>
      </c>
    </row>
    <row r="2" spans="1:7" ht="15.95">
      <c r="A2" t="s">
        <v>1037</v>
      </c>
      <c r="B2" t="s">
        <v>570</v>
      </c>
      <c r="C2" t="s">
        <v>83</v>
      </c>
      <c r="D2" s="59" t="s">
        <v>1038</v>
      </c>
    </row>
    <row r="3" spans="1:7">
      <c r="A3" s="58" t="s">
        <v>1</v>
      </c>
      <c r="B3" t="s">
        <v>1039</v>
      </c>
      <c r="C3" t="s">
        <v>1040</v>
      </c>
    </row>
    <row r="4" spans="1:7">
      <c r="A4" t="s">
        <v>1</v>
      </c>
      <c r="B4" t="s">
        <v>242</v>
      </c>
      <c r="C4" t="s">
        <v>1041</v>
      </c>
    </row>
    <row r="5" spans="1:7">
      <c r="A5" t="s">
        <v>1</v>
      </c>
      <c r="B5" t="s">
        <v>431</v>
      </c>
      <c r="C5" t="s">
        <v>1042</v>
      </c>
    </row>
    <row r="6" spans="1:7">
      <c r="A6" t="s">
        <v>1</v>
      </c>
      <c r="B6" t="s">
        <v>1043</v>
      </c>
      <c r="C6" t="s">
        <v>1040</v>
      </c>
    </row>
    <row r="7" spans="1:7">
      <c r="A7" t="s">
        <v>4</v>
      </c>
      <c r="B7" t="s">
        <v>1044</v>
      </c>
    </row>
    <row r="9" spans="1:7">
      <c r="A9" t="s">
        <v>9</v>
      </c>
      <c r="B9" t="s">
        <v>1045</v>
      </c>
    </row>
    <row r="10" spans="1:7">
      <c r="B10" t="s">
        <v>1046</v>
      </c>
    </row>
    <row r="11" spans="1:7">
      <c r="A11" t="s">
        <v>1047</v>
      </c>
      <c r="B11" t="s">
        <v>451</v>
      </c>
      <c r="C11" t="s">
        <v>1048</v>
      </c>
    </row>
    <row r="12" spans="1:7">
      <c r="B12" t="s">
        <v>1049</v>
      </c>
    </row>
    <row r="13" spans="1:7">
      <c r="B13" t="s">
        <v>1050</v>
      </c>
    </row>
    <row r="14" spans="1:7">
      <c r="B14" t="s">
        <v>1051</v>
      </c>
    </row>
    <row r="15" spans="1:7">
      <c r="B15" t="s">
        <v>1052</v>
      </c>
      <c r="D15" t="s">
        <v>1053</v>
      </c>
    </row>
    <row r="16" spans="1:7">
      <c r="A16" t="s">
        <v>1054</v>
      </c>
      <c r="B16" t="s">
        <v>1055</v>
      </c>
      <c r="C16" t="s">
        <v>1056</v>
      </c>
    </row>
    <row r="17" spans="1:6">
      <c r="A17" t="s">
        <v>1057</v>
      </c>
      <c r="B17" t="s">
        <v>1058</v>
      </c>
      <c r="D17" t="s">
        <v>1059</v>
      </c>
    </row>
    <row r="18" spans="1:6">
      <c r="A18" t="s">
        <v>1057</v>
      </c>
      <c r="B18" t="s">
        <v>1060</v>
      </c>
    </row>
    <row r="19" spans="1:6">
      <c r="A19" t="s">
        <v>1057</v>
      </c>
      <c r="B19" t="s">
        <v>1061</v>
      </c>
      <c r="F19" s="58"/>
    </row>
    <row r="20" spans="1:6">
      <c r="B20" t="s">
        <v>1062</v>
      </c>
      <c r="F20" s="58"/>
    </row>
    <row r="22" spans="1:6">
      <c r="F22" s="58"/>
    </row>
    <row r="23" spans="1:6">
      <c r="F23" s="58"/>
    </row>
    <row r="34" spans="6:6">
      <c r="F34" s="58"/>
    </row>
    <row r="35" spans="6:6">
      <c r="F35" s="58"/>
    </row>
    <row r="36" spans="6:6">
      <c r="F36" s="58"/>
    </row>
    <row r="45" spans="6:6">
      <c r="F45" s="58"/>
    </row>
    <row r="46" spans="6:6">
      <c r="F46" s="58"/>
    </row>
    <row r="49" spans="2:6">
      <c r="F49" s="58"/>
    </row>
    <row r="61" spans="2:6">
      <c r="B61" t="s">
        <v>1063</v>
      </c>
    </row>
    <row r="62" spans="2:6">
      <c r="B62" t="s">
        <v>1064</v>
      </c>
    </row>
    <row r="63" spans="2:6">
      <c r="B63" t="s">
        <v>1065</v>
      </c>
    </row>
  </sheetData>
  <autoFilter ref="A1:E1" xr:uid="{2539DD83-2D15-4BBB-B0DC-59D54EC077E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E2EC-BF15-42BD-B685-0351E49120F4}">
  <sheetPr>
    <tabColor theme="3"/>
  </sheetPr>
  <dimension ref="B2:S10"/>
  <sheetViews>
    <sheetView workbookViewId="0">
      <selection activeCell="C15" sqref="C15"/>
    </sheetView>
  </sheetViews>
  <sheetFormatPr defaultColWidth="8.7109375" defaultRowHeight="15"/>
  <cols>
    <col min="3" max="3" width="9.140625" customWidth="1"/>
    <col min="4" max="4" width="4.140625" customWidth="1"/>
    <col min="9" max="9" width="3.28515625" customWidth="1"/>
    <col min="10" max="10" width="4.7109375" customWidth="1"/>
    <col min="11" max="11" width="5.7109375" customWidth="1"/>
    <col min="12" max="19" width="5.28515625" customWidth="1"/>
  </cols>
  <sheetData>
    <row r="2" spans="2:19">
      <c r="B2" t="s">
        <v>1066</v>
      </c>
      <c r="C2" t="s">
        <v>1067</v>
      </c>
      <c r="E2" t="s">
        <v>1068</v>
      </c>
      <c r="F2" t="s">
        <v>1067</v>
      </c>
      <c r="H2" t="s">
        <v>1069</v>
      </c>
    </row>
    <row r="3" spans="2:19">
      <c r="B3" t="s">
        <v>53</v>
      </c>
      <c r="C3">
        <f>COUNTIF(Spelerslijst!F:F,Count!B3)</f>
        <v>1</v>
      </c>
      <c r="E3" t="s">
        <v>53</v>
      </c>
      <c r="F3">
        <f>COUNTIF(Spelerslijst!P:P,Count!E3)</f>
        <v>4</v>
      </c>
      <c r="H3">
        <f>Tabel7[[#This Row],[Aantal]]+Tabel9[[#This Row],[Aantal]]</f>
        <v>5</v>
      </c>
    </row>
    <row r="4" spans="2:19">
      <c r="B4" t="s">
        <v>1070</v>
      </c>
      <c r="C4">
        <f>COUNTIF(Spelerslijst!F:F,Count!B4)</f>
        <v>8</v>
      </c>
      <c r="E4" t="s">
        <v>1070</v>
      </c>
      <c r="F4">
        <f>COUNTIF(Spelerslijst!P:P,Count!E4)</f>
        <v>7</v>
      </c>
      <c r="H4">
        <f>Tabel7[[#This Row],[Aantal]]+Tabel9[[#This Row],[Aantal]]</f>
        <v>15</v>
      </c>
      <c r="J4" s="87">
        <v>2</v>
      </c>
      <c r="L4" t="s">
        <v>47</v>
      </c>
      <c r="M4" t="s">
        <v>48</v>
      </c>
    </row>
    <row r="5" spans="2:19">
      <c r="B5" t="s">
        <v>1057</v>
      </c>
      <c r="C5">
        <f>COUNTIF(Spelerslijst!F:F,Count!B5)</f>
        <v>15</v>
      </c>
      <c r="E5" t="s">
        <v>1057</v>
      </c>
      <c r="F5">
        <f>COUNTIF(Spelerslijst!P:P,Count!E5)</f>
        <v>7</v>
      </c>
      <c r="H5">
        <f>Tabel7[[#This Row],[Aantal]]+Tabel9[[#This Row],[Aantal]]</f>
        <v>22</v>
      </c>
      <c r="I5" s="54"/>
      <c r="J5" s="87">
        <v>4</v>
      </c>
      <c r="L5" t="s">
        <v>39</v>
      </c>
      <c r="M5" t="s">
        <v>40</v>
      </c>
      <c r="N5" t="s">
        <v>41</v>
      </c>
      <c r="O5" t="s">
        <v>42</v>
      </c>
    </row>
    <row r="6" spans="2:19">
      <c r="B6" t="s">
        <v>1071</v>
      </c>
      <c r="C6">
        <f>COUNTIF(Spelerslijst!F:F,Count!B6)</f>
        <v>20</v>
      </c>
      <c r="E6" t="s">
        <v>1071</v>
      </c>
      <c r="F6">
        <f>COUNTIF(Spelerslijst!P:P,Count!E6)</f>
        <v>21</v>
      </c>
      <c r="H6">
        <f>Tabel7[[#This Row],[Aantal]]+Tabel9[[#This Row],[Aantal]]</f>
        <v>41</v>
      </c>
      <c r="I6" s="54"/>
      <c r="J6" s="87">
        <v>4</v>
      </c>
      <c r="L6" t="s">
        <v>33</v>
      </c>
      <c r="M6" t="s">
        <v>34</v>
      </c>
      <c r="N6" t="s">
        <v>35</v>
      </c>
      <c r="O6" t="s">
        <v>36</v>
      </c>
    </row>
    <row r="7" spans="2:19">
      <c r="B7" t="s">
        <v>1072</v>
      </c>
      <c r="C7">
        <f>COUNTIF(Spelerslijst!F:F,Count!B7)</f>
        <v>18</v>
      </c>
      <c r="E7" t="s">
        <v>1072</v>
      </c>
      <c r="F7">
        <f>COUNTIF(Spelerslijst!P:P,Count!E7)</f>
        <v>15</v>
      </c>
      <c r="H7">
        <f>Tabel7[[#This Row],[Aantal]]+Tabel9[[#This Row],[Aantal]]</f>
        <v>33</v>
      </c>
      <c r="J7" s="87">
        <v>3</v>
      </c>
      <c r="L7" t="s">
        <v>27</v>
      </c>
      <c r="M7" t="s">
        <v>28</v>
      </c>
      <c r="N7" t="s">
        <v>29</v>
      </c>
    </row>
    <row r="8" spans="2:19">
      <c r="B8" t="s">
        <v>1073</v>
      </c>
      <c r="C8">
        <f>COUNTIF(Spelerslijst!F:F,Count!B8)</f>
        <v>25</v>
      </c>
      <c r="E8" t="s">
        <v>1073</v>
      </c>
      <c r="F8">
        <f>COUNTIF(Spelerslijst!P:P,Count!E8)</f>
        <v>15</v>
      </c>
      <c r="H8">
        <f>Tabel7[[#This Row],[Aantal]]+Tabel9[[#This Row],[Aantal]]</f>
        <v>40</v>
      </c>
      <c r="J8" s="87">
        <v>4</v>
      </c>
      <c r="L8" t="s">
        <v>21</v>
      </c>
      <c r="M8" t="s">
        <v>22</v>
      </c>
      <c r="N8" t="s">
        <v>23</v>
      </c>
      <c r="O8" t="s">
        <v>24</v>
      </c>
    </row>
    <row r="9" spans="2:19">
      <c r="B9" t="s">
        <v>1074</v>
      </c>
      <c r="C9">
        <f>COUNTIF(Spelerslijst!F:F,Count!B9)</f>
        <v>14</v>
      </c>
      <c r="E9" t="s">
        <v>1074</v>
      </c>
      <c r="F9">
        <f>COUNTIF(Spelerslijst!P:P,Count!E9)</f>
        <v>18</v>
      </c>
      <c r="H9">
        <f>Tabel7[[#This Row],[Aantal]]+Tabel9[[#This Row],[Aantal]]</f>
        <v>32</v>
      </c>
      <c r="J9" s="87">
        <v>3</v>
      </c>
      <c r="L9" t="s">
        <v>15</v>
      </c>
      <c r="M9" t="s">
        <v>16</v>
      </c>
      <c r="N9" t="s">
        <v>17</v>
      </c>
    </row>
    <row r="10" spans="2:19">
      <c r="B10" t="s">
        <v>208</v>
      </c>
      <c r="C10">
        <f>COUNTIF(Spelerslijst!F:F,Count!B10)</f>
        <v>64</v>
      </c>
      <c r="E10" t="s">
        <v>208</v>
      </c>
      <c r="F10">
        <f>COUNTIF(Spelerslijst!P:P,Count!E10)</f>
        <v>64</v>
      </c>
      <c r="H10">
        <f>Tabel7[[#This Row],[Aantal]]+Tabel9[[#This Row],[Aantal]]</f>
        <v>128</v>
      </c>
      <c r="J10" s="87">
        <v>8</v>
      </c>
      <c r="L10" s="86">
        <v>1</v>
      </c>
      <c r="M10" s="86">
        <v>2</v>
      </c>
      <c r="N10" s="86">
        <v>3</v>
      </c>
      <c r="O10" s="86">
        <v>4</v>
      </c>
      <c r="P10" s="86">
        <v>5</v>
      </c>
      <c r="Q10" s="86">
        <v>6</v>
      </c>
      <c r="R10" s="86">
        <v>7</v>
      </c>
      <c r="S10" t="s"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AB5B-6BA2-421E-82CB-C84FAEB11354}">
  <sheetPr>
    <tabColor theme="9"/>
  </sheetPr>
  <dimension ref="A1:AB132"/>
  <sheetViews>
    <sheetView topLeftCell="A18" zoomScale="80" zoomScaleNormal="80" workbookViewId="0">
      <selection activeCell="K36" sqref="K36"/>
    </sheetView>
  </sheetViews>
  <sheetFormatPr defaultColWidth="8.7109375" defaultRowHeight="15"/>
  <cols>
    <col min="1" max="1" width="4.7109375" customWidth="1"/>
    <col min="2" max="3" width="24.7109375" customWidth="1"/>
    <col min="4" max="4" width="3.42578125" customWidth="1"/>
    <col min="5" max="6" width="24.7109375" customWidth="1"/>
    <col min="7" max="7" width="3.42578125" customWidth="1"/>
    <col min="8" max="9" width="24.7109375" customWidth="1"/>
    <col min="10" max="10" width="3.42578125" customWidth="1"/>
    <col min="11" max="12" width="24.7109375" customWidth="1"/>
    <col min="13" max="13" width="3.7109375" customWidth="1"/>
    <col min="14" max="15" width="24.7109375" customWidth="1"/>
    <col min="16" max="16" width="3.7109375" customWidth="1"/>
    <col min="17" max="18" width="24.7109375" customWidth="1"/>
    <col min="20" max="20" width="24.7109375" customWidth="1"/>
    <col min="21" max="21" width="8.7109375" bestFit="1" customWidth="1"/>
    <col min="22" max="22" width="4.7109375" customWidth="1"/>
    <col min="23" max="23" width="24.7109375" customWidth="1"/>
    <col min="24" max="24" width="8.7109375" bestFit="1" customWidth="1"/>
    <col min="25" max="25" width="4.7109375" customWidth="1"/>
    <col min="27" max="28" width="24.7109375" customWidth="1"/>
  </cols>
  <sheetData>
    <row r="1" spans="1:12" ht="15.95" thickBot="1"/>
    <row r="2" spans="1:12" ht="15.75" customHeight="1" thickBot="1">
      <c r="A2" s="116" t="s">
        <v>0</v>
      </c>
      <c r="B2" s="84" t="s">
        <v>1</v>
      </c>
      <c r="C2" s="104"/>
      <c r="E2" s="84" t="s">
        <v>4</v>
      </c>
      <c r="F2" s="104"/>
      <c r="H2" s="84" t="s">
        <v>2</v>
      </c>
      <c r="I2" s="104"/>
      <c r="K2" s="84" t="s">
        <v>3</v>
      </c>
      <c r="L2" s="104"/>
    </row>
    <row r="3" spans="1:12" ht="15.95" thickBot="1">
      <c r="A3" s="116"/>
      <c r="B3" s="8" t="s">
        <v>1066</v>
      </c>
      <c r="C3" s="105" t="s">
        <v>1068</v>
      </c>
      <c r="E3" s="8" t="s">
        <v>1066</v>
      </c>
      <c r="F3" s="105" t="s">
        <v>1068</v>
      </c>
      <c r="H3" s="8" t="s">
        <v>1066</v>
      </c>
      <c r="I3" s="105" t="s">
        <v>1068</v>
      </c>
      <c r="K3" s="8" t="s">
        <v>1066</v>
      </c>
      <c r="L3" s="105" t="s">
        <v>1068</v>
      </c>
    </row>
    <row r="4" spans="1:12">
      <c r="A4" s="116"/>
      <c r="B4" s="3" t="str" cm="1">
        <f t="array" ref="B4:B15">_xlfn._xlws.FILTER(Spelerslijst!$B:$B,Spelerslijst!$G:$G=B$2,"")</f>
        <v>Demi van Dijk</v>
      </c>
      <c r="C4" s="106" t="str" cm="1">
        <f t="array" ref="C4:C15">_xlfn._xlws.FILTER(Spelerslijst!$L:$L,Spelerslijst!$Q:$Q=B$2,"")</f>
        <v>Bart Driesprong</v>
      </c>
      <c r="E4" s="3" t="str" cm="1">
        <f t="array" ref="E4">_xlfn._xlws.FILTER(Spelerslijst!$B:$B,Spelerslijst!$G:$G=E$2,"")</f>
        <v/>
      </c>
      <c r="F4" s="106" t="str" cm="1">
        <f t="array" ref="F4">_xlfn._xlws.FILTER(Spelerslijst!$L:$L,Spelerslijst!$Q:$Q=E$2,"")</f>
        <v/>
      </c>
      <c r="H4" s="3" t="str" cm="1">
        <f t="array" ref="H4:H12">_xlfn._xlws.FILTER(Spelerslijst!$B:$B,Spelerslijst!$G:$G=H$2,"")</f>
        <v>Amber de Haas</v>
      </c>
      <c r="I4" s="106" t="str" cm="1">
        <f t="array" ref="I4:I15">_xlfn._xlws.FILTER(Spelerslijst!$L:$L,Spelerslijst!$Q:$Q=H$2,"")</f>
        <v>Dani Heersping</v>
      </c>
      <c r="K4" s="3" t="str" cm="1">
        <f t="array" ref="K4:K12">_xlfn._xlws.FILTER(Spelerslijst!$B:$B,Spelerslijst!$G:$G=K$2,"")</f>
        <v>Danique van der Klooster</v>
      </c>
      <c r="L4" s="106" t="str" cm="1">
        <f t="array" ref="L4:L12">_xlfn._xlws.FILTER(Spelerslijst!$L:$L,Spelerslijst!$Q:$Q=K$2,"")</f>
        <v>Diederik Hovestadt</v>
      </c>
    </row>
    <row r="5" spans="1:12">
      <c r="A5" s="116"/>
      <c r="B5" s="6" t="str">
        <v>Eva Teerds</v>
      </c>
      <c r="C5" s="107" t="str">
        <v>Bob Mans</v>
      </c>
      <c r="E5" s="6"/>
      <c r="F5" s="107"/>
      <c r="H5" s="6" t="str">
        <v>Benthe van der Linden</v>
      </c>
      <c r="I5" s="107" t="str">
        <v>Freek van Dongen</v>
      </c>
      <c r="K5" s="6" t="str">
        <v>Demi Engelfriet</v>
      </c>
      <c r="L5" s="107" t="str">
        <v>Jarno Bemer</v>
      </c>
    </row>
    <row r="6" spans="1:12">
      <c r="A6" s="116"/>
      <c r="B6" s="6" t="str">
        <v>Iza Wolleswinkel</v>
      </c>
      <c r="C6" s="107" t="str">
        <v>Daniel den Uijl</v>
      </c>
      <c r="E6" s="6"/>
      <c r="F6" s="107"/>
      <c r="H6" s="6" t="str">
        <v>Carmen van der Klooster</v>
      </c>
      <c r="I6" s="107" t="str">
        <v>Jack Zwanenburg</v>
      </c>
      <c r="K6" s="6" t="str">
        <v>Demi Lindhout</v>
      </c>
      <c r="L6" s="107" t="str">
        <v>Jasper Sempel</v>
      </c>
    </row>
    <row r="7" spans="1:12">
      <c r="A7" s="116"/>
      <c r="B7" s="6" t="str">
        <v>Lindi Fasbender</v>
      </c>
      <c r="C7" s="107" t="str">
        <v>Jens Lohuis</v>
      </c>
      <c r="E7" s="6"/>
      <c r="F7" s="107"/>
      <c r="H7" s="6" t="str">
        <v>Doeska Voorbij</v>
      </c>
      <c r="I7" s="107" t="str">
        <v>Jarno Valk</v>
      </c>
      <c r="K7" s="6" t="str">
        <v>Feline van de Burgt</v>
      </c>
      <c r="L7" s="107" t="str">
        <v>Jonas van de Ven</v>
      </c>
    </row>
    <row r="8" spans="1:12">
      <c r="A8" s="116"/>
      <c r="B8" s="6" t="str">
        <v>Loïs Fernhout</v>
      </c>
      <c r="C8" s="107" t="str">
        <v>Joël Wietses</v>
      </c>
      <c r="E8" s="6"/>
      <c r="F8" s="107"/>
      <c r="H8" s="6" t="str">
        <v>Elize van de Burgt</v>
      </c>
      <c r="I8" s="107" t="str">
        <v>Jordi Vaartmans</v>
      </c>
      <c r="K8" s="6" t="str">
        <v>Floor Lohuis</v>
      </c>
      <c r="L8" s="107" t="str">
        <v>Kian Vliet</v>
      </c>
    </row>
    <row r="9" spans="1:12">
      <c r="A9" s="116"/>
      <c r="B9" s="6" t="str">
        <v>Maud van Wensen</v>
      </c>
      <c r="C9" s="107" t="str">
        <v>Joeri van Dijk</v>
      </c>
      <c r="E9" s="6"/>
      <c r="F9" s="107"/>
      <c r="H9" s="6" t="str">
        <v>Lisa Reuvers</v>
      </c>
      <c r="I9" s="107" t="str">
        <v>Lars Visser</v>
      </c>
      <c r="K9" s="6" t="str">
        <v>Floortje Jongkind</v>
      </c>
      <c r="L9" s="107" t="str">
        <v>Niek Sas</v>
      </c>
    </row>
    <row r="10" spans="1:12">
      <c r="A10" s="116"/>
      <c r="B10" s="108" t="str">
        <v>Meike Driesprong</v>
      </c>
      <c r="C10" s="107" t="str">
        <v>Jordan Timmer</v>
      </c>
      <c r="E10" s="6"/>
      <c r="F10" s="107"/>
      <c r="H10" s="6" t="str">
        <v>Merel Manduapessy</v>
      </c>
      <c r="I10" s="107" t="str">
        <v>Maarten Sas</v>
      </c>
      <c r="K10" s="6" t="str">
        <v>Githa Bemer</v>
      </c>
      <c r="L10" s="107" t="str">
        <v>Onno den Dekker</v>
      </c>
    </row>
    <row r="11" spans="1:12">
      <c r="A11" s="116"/>
      <c r="B11" s="6" t="str">
        <v>Milou Oppe</v>
      </c>
      <c r="C11" s="107" t="str">
        <v>Marijn Klink</v>
      </c>
      <c r="E11" s="6"/>
      <c r="F11" s="107"/>
      <c r="H11" s="6" t="str">
        <v>Sophie Kilsdonk</v>
      </c>
      <c r="I11" s="107" t="str">
        <v>Niek Driesprong</v>
      </c>
      <c r="K11" s="6" t="str">
        <v>Julia Kleingeld</v>
      </c>
      <c r="L11" s="107" t="str">
        <v>Thomas Vos</v>
      </c>
    </row>
    <row r="12" spans="1:12">
      <c r="A12" s="116"/>
      <c r="B12" s="6" t="str">
        <v>Robin Dommisse</v>
      </c>
      <c r="C12" s="107" t="str">
        <v>Olivier Klink</v>
      </c>
      <c r="E12" s="6"/>
      <c r="F12" s="107"/>
      <c r="H12" s="6" t="str">
        <v>Stella Verboom</v>
      </c>
      <c r="I12" s="107" t="str">
        <v>Seth van de Burgt</v>
      </c>
      <c r="K12" s="6" t="str">
        <v>Noa Stomp</v>
      </c>
      <c r="L12" s="107" t="str">
        <v>Timo Pichel</v>
      </c>
    </row>
    <row r="13" spans="1:12">
      <c r="A13" s="116"/>
      <c r="B13" s="6" t="str">
        <v>Roos Groeneweg</v>
      </c>
      <c r="C13" s="107" t="str">
        <v>Robin van Kalkeren</v>
      </c>
      <c r="E13" s="6"/>
      <c r="F13" s="107"/>
      <c r="H13" s="6"/>
      <c r="I13" s="107" t="str">
        <v>Tijn Bäcker</v>
      </c>
      <c r="K13" s="6"/>
      <c r="L13" s="107"/>
    </row>
    <row r="14" spans="1:12">
      <c r="A14" s="116"/>
      <c r="B14" s="6" t="str">
        <v>Sara Boshoven</v>
      </c>
      <c r="C14" s="107" t="str">
        <v>Senne Koster</v>
      </c>
      <c r="E14" s="6"/>
      <c r="F14" s="107"/>
      <c r="H14" s="6"/>
      <c r="I14" s="107" t="str">
        <v>Tijn Camphens</v>
      </c>
      <c r="K14" s="6"/>
      <c r="L14" s="107"/>
    </row>
    <row r="15" spans="1:12">
      <c r="A15" s="116"/>
      <c r="B15" s="6" t="str">
        <v>Xanne Klink</v>
      </c>
      <c r="C15" s="107" t="str">
        <v>Tim van Gent</v>
      </c>
      <c r="E15" s="6"/>
      <c r="F15" s="107"/>
      <c r="H15" s="6"/>
      <c r="I15" s="107" t="str">
        <v>Tycho Vliet</v>
      </c>
      <c r="K15" s="6"/>
      <c r="L15" s="107"/>
    </row>
    <row r="16" spans="1:12" ht="15.95" thickBot="1">
      <c r="A16" s="116"/>
      <c r="B16" s="6"/>
      <c r="C16" s="107"/>
      <c r="E16" s="6"/>
      <c r="F16" s="107"/>
      <c r="H16" s="6"/>
      <c r="I16" s="107"/>
      <c r="K16" s="6"/>
      <c r="L16" s="107"/>
    </row>
    <row r="17" spans="1:28">
      <c r="A17" s="116"/>
      <c r="B17" s="12" t="str" cm="1">
        <f t="array" ref="B17:B23">_xlfn._xlws.FILTER(Staf!$C:$C,Staf!$B:$B='Teams-deelversie'!B2,"")</f>
        <v>Trainer/Coach S1</v>
      </c>
      <c r="C17" s="14" t="str" cm="1">
        <f t="array" ref="C17:C23">_xlfn._xlws.FILTER(Staf!$A:$A,Staf!$B:$B='Teams-deelversie'!B2,"")</f>
        <v>Bo van Hoof</v>
      </c>
      <c r="E17" s="12" t="str" cm="1">
        <f t="array" ref="E17">_xlfn._xlws.FILTER(Staf!$C:$C,Staf!$B:$B='Teams-deelversie'!E2,"")</f>
        <v/>
      </c>
      <c r="F17" s="14"/>
      <c r="H17" s="12" t="str" cm="1">
        <f t="array" ref="H17:H21">_xlfn._xlws.FILTER(Staf!$C:$C,Staf!$B:$B='Teams-deelversie'!H2,"")</f>
        <v>Trainer/Coach A1</v>
      </c>
      <c r="I17" s="14" t="str" cm="1">
        <f t="array" ref="I17:I21">_xlfn._xlws.FILTER(Staf!$A:$A,Staf!$B:$B='Teams-deelversie'!H2,"")</f>
        <v>Rob van Dongen</v>
      </c>
      <c r="K17" s="12" t="str" cm="1">
        <f t="array" ref="K17:K22">_xlfn._xlws.FILTER(Staf!$C:$C,Staf!$B:$B='Teams-deelversie'!K2,"")</f>
        <v>Trainer/Coach B1</v>
      </c>
      <c r="L17" s="14" t="str" cm="1">
        <f t="array" ref="L17:L22">_xlfn._xlws.FILTER(Staf!$A:$A,Staf!$B:$B='Teams-deelversie'!K2,"")</f>
        <v>Jasper Kleingeld</v>
      </c>
    </row>
    <row r="18" spans="1:28">
      <c r="A18" s="116"/>
      <c r="B18" s="15" t="str">
        <v>Trainer/Coach S2</v>
      </c>
      <c r="C18" s="17" t="str">
        <v>Arthyn Muller</v>
      </c>
      <c r="E18" s="15"/>
      <c r="F18" s="17"/>
      <c r="H18" s="15" t="str">
        <v>Trainer/Coach A1</v>
      </c>
      <c r="I18" s="17" t="str">
        <v>Ruben Blokland</v>
      </c>
      <c r="K18" s="15" t="str">
        <v>Trainer/Coach B1</v>
      </c>
      <c r="L18" s="17" t="str">
        <v>Mees Oppe</v>
      </c>
    </row>
    <row r="19" spans="1:28">
      <c r="A19" s="116"/>
      <c r="B19" s="15" t="str">
        <v>Teambegeleider S1</v>
      </c>
      <c r="C19" s="17" t="str">
        <v>Dionne Broere</v>
      </c>
      <c r="E19" s="15"/>
      <c r="F19" s="17"/>
      <c r="H19" s="15" t="str">
        <v>Trainer/Coach A2</v>
      </c>
      <c r="I19" s="17" t="str">
        <v>Olivier Klink</v>
      </c>
      <c r="K19" s="15" t="str">
        <v>Trainer/Coach B2</v>
      </c>
      <c r="L19" s="17" t="str">
        <v>Daniël den Uijl</v>
      </c>
    </row>
    <row r="20" spans="1:28">
      <c r="A20" s="116"/>
      <c r="B20" s="15" t="str">
        <v>Teambegeleider S2</v>
      </c>
      <c r="C20" s="17" t="str">
        <v>Fred Lichteveld</v>
      </c>
      <c r="E20" s="15"/>
      <c r="F20" s="17"/>
      <c r="H20" s="15" t="str">
        <v>Trainer/Coach A2</v>
      </c>
      <c r="I20" s="17" t="str">
        <v>Tim van Gent</v>
      </c>
      <c r="K20" s="15" t="str">
        <v>Trainer/Coach B2</v>
      </c>
      <c r="L20" s="17" t="str">
        <v>Eva Teerds</v>
      </c>
    </row>
    <row r="21" spans="1:28">
      <c r="A21" s="116"/>
      <c r="B21" s="15" t="str">
        <v>Analist S1</v>
      </c>
      <c r="C21" s="17" t="str">
        <v>Joris van den Neucker</v>
      </c>
      <c r="E21" s="15"/>
      <c r="F21" s="17"/>
      <c r="H21" s="15" t="str">
        <v>Teambegeleider</v>
      </c>
      <c r="I21" s="17" t="str">
        <v>Alex van de Klooster</v>
      </c>
      <c r="K21" s="15" t="str">
        <v>Trainer/Coach B2</v>
      </c>
      <c r="L21" s="17" t="str">
        <v xml:space="preserve">Vacature </v>
      </c>
    </row>
    <row r="22" spans="1:28">
      <c r="A22" s="116"/>
      <c r="B22" s="15" t="str">
        <v>Fysio</v>
      </c>
      <c r="C22" s="17" t="str">
        <v>Ruben Kamerbeek</v>
      </c>
      <c r="E22" s="15"/>
      <c r="F22" s="17"/>
      <c r="H22" s="15"/>
      <c r="I22" s="17"/>
      <c r="K22" s="15" t="str">
        <v>Teambegeleider</v>
      </c>
      <c r="L22" s="17" t="str">
        <v>Michel Sas</v>
      </c>
    </row>
    <row r="23" spans="1:28">
      <c r="A23" s="116"/>
      <c r="B23" s="15" t="str">
        <v>Verzorger</v>
      </c>
      <c r="C23" s="17" t="str">
        <v>Theo Anrochte</v>
      </c>
      <c r="E23" s="15"/>
      <c r="F23" s="17"/>
      <c r="H23" s="15"/>
      <c r="I23" s="17"/>
      <c r="K23" s="15"/>
      <c r="L23" s="17"/>
    </row>
    <row r="24" spans="1:28" ht="15.95" thickBot="1">
      <c r="A24" s="116"/>
      <c r="B24" s="18"/>
      <c r="C24" s="20"/>
      <c r="E24" s="18"/>
      <c r="F24" s="20"/>
      <c r="H24" s="18"/>
      <c r="I24" s="20"/>
      <c r="K24" s="18"/>
      <c r="L24" s="20"/>
    </row>
    <row r="25" spans="1:28" ht="15.95" thickBot="1"/>
    <row r="26" spans="1:28" ht="15.95" thickBot="1">
      <c r="A26" s="116" t="s">
        <v>5</v>
      </c>
      <c r="B26" s="84" t="s">
        <v>6</v>
      </c>
      <c r="C26" s="104"/>
      <c r="E26" s="84" t="s">
        <v>7</v>
      </c>
      <c r="F26" s="104"/>
      <c r="H26" s="84" t="s">
        <v>8</v>
      </c>
      <c r="I26" s="104"/>
      <c r="K26" s="84" t="s">
        <v>9</v>
      </c>
      <c r="L26" s="104"/>
      <c r="N26" s="84" t="s">
        <v>10</v>
      </c>
      <c r="O26" s="104"/>
      <c r="Q26" s="84" t="s">
        <v>11</v>
      </c>
      <c r="R26" s="104"/>
      <c r="T26" s="21" t="s">
        <v>12</v>
      </c>
      <c r="U26" s="21"/>
      <c r="V26" s="21"/>
      <c r="W26" s="21"/>
      <c r="X26" s="21"/>
      <c r="Y26" s="21"/>
      <c r="AA26" s="84" t="s">
        <v>13</v>
      </c>
      <c r="AB26" s="104"/>
    </row>
    <row r="27" spans="1:28" ht="15.95" thickBot="1">
      <c r="A27" s="116"/>
      <c r="B27" s="8" t="s">
        <v>1066</v>
      </c>
      <c r="C27" s="105" t="s">
        <v>1068</v>
      </c>
      <c r="E27" s="8" t="s">
        <v>1066</v>
      </c>
      <c r="F27" s="105" t="s">
        <v>1068</v>
      </c>
      <c r="H27" s="8" t="s">
        <v>1066</v>
      </c>
      <c r="I27" s="105" t="s">
        <v>1068</v>
      </c>
      <c r="K27" s="8" t="s">
        <v>1066</v>
      </c>
      <c r="L27" s="105" t="s">
        <v>1068</v>
      </c>
      <c r="N27" s="8" t="s">
        <v>1066</v>
      </c>
      <c r="O27" s="105" t="s">
        <v>1068</v>
      </c>
      <c r="Q27" s="8" t="s">
        <v>1066</v>
      </c>
      <c r="R27" s="105" t="s">
        <v>1068</v>
      </c>
      <c r="T27" s="8" t="s">
        <v>1066</v>
      </c>
      <c r="U27" s="9"/>
      <c r="V27" s="10"/>
      <c r="W27" s="8" t="s">
        <v>1068</v>
      </c>
      <c r="X27" s="9"/>
      <c r="Y27" s="10"/>
      <c r="AA27" s="8" t="s">
        <v>1066</v>
      </c>
      <c r="AB27" s="105" t="s">
        <v>1068</v>
      </c>
    </row>
    <row r="28" spans="1:28">
      <c r="A28" s="116"/>
      <c r="B28" s="3" t="str" cm="1">
        <f t="array" ref="B28">_xlfn._xlws.FILTER(Spelerslijst!$B:$B,Spelerslijst!$G:$G=B$26,"")</f>
        <v/>
      </c>
      <c r="C28" s="106" t="str" cm="1">
        <f t="array" ref="C28">_xlfn._xlws.FILTER(Spelerslijst!$L:$L,Spelerslijst!$Q:$Q=B$26,"")</f>
        <v/>
      </c>
      <c r="E28" s="3" t="str" cm="1">
        <f t="array" ref="E28">_xlfn._xlws.FILTER(Spelerslijst!$B:$B,Spelerslijst!$G:$G=E$26,"")</f>
        <v/>
      </c>
      <c r="F28" s="106" t="str" cm="1">
        <f t="array" ref="F28">_xlfn._xlws.FILTER(Spelerslijst!$L:$L,Spelerslijst!$Q:$Q=E$26,"")</f>
        <v/>
      </c>
      <c r="H28" s="3" t="str" cm="1">
        <f t="array" ref="H28:H33">_xlfn._xlws.FILTER(Spelerslijst!$B:$B,Spelerslijst!$G:$G=H$26,"")</f>
        <v>Esther Ardon</v>
      </c>
      <c r="I28" s="106" t="str" cm="1">
        <f t="array" ref="I28:I32">_xlfn._xlws.FILTER(Spelerslijst!$L:$L,Spelerslijst!$Q:$Q=H$26,"")</f>
        <v>Emiel Houwerzijl</v>
      </c>
      <c r="K28" s="3" t="str" cm="1">
        <f t="array" ref="K28:K34">_xlfn._xlws.FILTER(Spelerslijst!$B:$B,Spelerslijst!$G:$G=K$26,"")</f>
        <v>~Dame S1S2</v>
      </c>
      <c r="L28" s="106" t="str" cm="1">
        <f t="array" ref="L28:L32">_xlfn._xlws.FILTER(Spelerslijst!$L:$L,Spelerslijst!$Q:$Q=K$26,"")</f>
        <v>~Heer S1S2</v>
      </c>
      <c r="N28" s="3" t="str" cm="1">
        <f t="array" ref="N28:N34">_xlfn._xlws.FILTER(Spelerslijst!$B:$B,Spelerslijst!$G:$G=N$26,"")</f>
        <v>Anniek Pierse</v>
      </c>
      <c r="O28" s="106" t="str" cm="1">
        <f t="array" ref="O28:O32">_xlfn._xlws.FILTER(Spelerslijst!$L:$L,Spelerslijst!$Q:$Q=N$26,"")</f>
        <v>Joram Flach</v>
      </c>
      <c r="Q28" s="3" t="str" cm="1">
        <f t="array" ref="Q28:Q33">_xlfn._xlws.FILTER(Spelerslijst!$B:$B,Spelerslijst!$G:$G=Q$26,"")</f>
        <v>Amber Boeije</v>
      </c>
      <c r="R28" s="106" t="str" cm="1">
        <f t="array" ref="R28:R33">_xlfn._xlws.FILTER(Spelerslijst!$L:$L,Spelerslijst!$Q:$Q=Q$26,"")</f>
        <v>Ché Kooper</v>
      </c>
      <c r="T28" s="3" t="str" cm="1">
        <f t="array" ref="T28">_xlfn._xlws.FILTER(Spelerslijst!$B:$B,Spelerslijst!$G:$G=T$26,"")</f>
        <v/>
      </c>
      <c r="U28" s="4"/>
      <c r="V28" s="5"/>
      <c r="W28" s="3" t="str" cm="1">
        <f t="array" ref="W28">_xlfn._xlws.FILTER(Spelerslijst!$L:$L,Spelerslijst!$Q:$Q=T$26,"")</f>
        <v/>
      </c>
      <c r="X28" s="4"/>
      <c r="Y28" s="5"/>
      <c r="AA28" s="3" t="str" cm="1">
        <f t="array" ref="AA28:AA32">_xlfn._xlws.FILTER(Spelerslijst!$B:$B,Spelerslijst!$G:$G=AA$26,"")</f>
        <v>Dorien in 't Veld</v>
      </c>
      <c r="AB28" s="106" t="str" cm="1">
        <f t="array" ref="AB28:AB31">_xlfn._xlws.FILTER(Spelerslijst!$L:$L,Spelerslijst!$Q:$Q=AA$26,"")</f>
        <v>Hans Ploeg</v>
      </c>
    </row>
    <row r="29" spans="1:28">
      <c r="A29" s="116"/>
      <c r="B29" s="6"/>
      <c r="C29" s="107"/>
      <c r="E29" s="6"/>
      <c r="F29" s="107"/>
      <c r="H29" s="6" t="str">
        <v>Hilde Visser</v>
      </c>
      <c r="I29" s="107" t="str">
        <v>Jan Booy</v>
      </c>
      <c r="K29" s="6" t="str">
        <v>~Dame S1S2</v>
      </c>
      <c r="L29" s="107" t="str">
        <v>~Heer S1S2</v>
      </c>
      <c r="N29" s="6" t="str">
        <v>Jany Lacroes</v>
      </c>
      <c r="O29" s="107" t="str">
        <v>Laurens Verhagen</v>
      </c>
      <c r="Q29" s="6" t="str">
        <v>Angela Friebel</v>
      </c>
      <c r="R29" s="107" t="str">
        <v>David Kuijper</v>
      </c>
      <c r="T29" s="6"/>
      <c r="U29" s="2"/>
      <c r="V29" s="7"/>
      <c r="W29" s="6"/>
      <c r="X29" s="2"/>
      <c r="Y29" s="7"/>
      <c r="AA29" s="6" t="str">
        <v>Kim Heesterbeek</v>
      </c>
      <c r="AB29" s="107" t="str">
        <v>Michiel 't Jong</v>
      </c>
    </row>
    <row r="30" spans="1:28">
      <c r="A30" s="116"/>
      <c r="B30" s="6"/>
      <c r="C30" s="107"/>
      <c r="E30" s="6"/>
      <c r="F30" s="107"/>
      <c r="H30" s="6" t="str">
        <v>Lieke Ploeg</v>
      </c>
      <c r="I30" s="107" t="str">
        <v>Lex van Gent</v>
      </c>
      <c r="K30" s="6" t="str">
        <v>Anouk de Jongh</v>
      </c>
      <c r="L30" s="107" t="str">
        <v>Luuk Baars</v>
      </c>
      <c r="N30" s="6" t="str">
        <v>Lara Schram</v>
      </c>
      <c r="O30" s="107" t="str">
        <v>Mark Schindler</v>
      </c>
      <c r="Q30" s="6" t="str">
        <v>Jennifer Herremans</v>
      </c>
      <c r="R30" s="107" t="str">
        <v>Jens de Vlaming</v>
      </c>
      <c r="T30" s="6"/>
      <c r="U30" s="2"/>
      <c r="V30" s="7"/>
      <c r="W30" s="6"/>
      <c r="X30" s="2"/>
      <c r="Y30" s="7"/>
      <c r="AA30" s="6" t="str">
        <v>Kim van der Starre-Scheurwater</v>
      </c>
      <c r="AB30" s="107" t="str">
        <v>Ronald Riet</v>
      </c>
    </row>
    <row r="31" spans="1:28">
      <c r="A31" s="116"/>
      <c r="B31" s="6"/>
      <c r="C31" s="107"/>
      <c r="E31" s="6"/>
      <c r="F31" s="107"/>
      <c r="H31" s="6" t="str">
        <v>Linda Ardon</v>
      </c>
      <c r="I31" s="107" t="str">
        <v>Roy de Vlaming</v>
      </c>
      <c r="K31" s="6" t="str">
        <v>Carlijn Lievaart</v>
      </c>
      <c r="L31" s="107" t="str">
        <v>Tijmen Fasbender</v>
      </c>
      <c r="N31" s="6" t="str">
        <v>Laura Koote</v>
      </c>
      <c r="O31" s="107" t="str">
        <v>Quinten van Driel</v>
      </c>
      <c r="Q31" s="6" t="str">
        <v>Kimberley Witman</v>
      </c>
      <c r="R31" s="107" t="str">
        <v>Ruben Dubbeld</v>
      </c>
      <c r="T31" s="6"/>
      <c r="U31" s="2"/>
      <c r="V31" s="7"/>
      <c r="W31" s="6"/>
      <c r="X31" s="2"/>
      <c r="Y31" s="7"/>
      <c r="AA31" s="6" t="str">
        <v>Liesbeth Brand</v>
      </c>
      <c r="AB31" s="107" t="str">
        <v>Wilco Kooij</v>
      </c>
    </row>
    <row r="32" spans="1:28">
      <c r="A32" s="116"/>
      <c r="B32" s="6"/>
      <c r="C32" s="107"/>
      <c r="E32" s="6"/>
      <c r="F32" s="107"/>
      <c r="H32" s="6" t="str">
        <v>Merel van Gurp</v>
      </c>
      <c r="I32" s="107" t="str">
        <v>Thomas Isarin</v>
      </c>
      <c r="K32" s="6" t="str">
        <v>Elena Quarré</v>
      </c>
      <c r="L32" s="107" t="str">
        <v>Tim Seevinck</v>
      </c>
      <c r="N32" s="6" t="str">
        <v>Marlies Valk</v>
      </c>
      <c r="O32" s="107" t="str">
        <v>Rick van de Wijgaart</v>
      </c>
      <c r="Q32" s="6" t="str">
        <v>Sanne Dubbeld</v>
      </c>
      <c r="R32" s="107" t="str">
        <v>Thijs Boon</v>
      </c>
      <c r="T32" s="6"/>
      <c r="U32" s="2"/>
      <c r="V32" s="7"/>
      <c r="W32" s="6"/>
      <c r="X32" s="2"/>
      <c r="Y32" s="7"/>
      <c r="AA32" s="6" t="str">
        <v>Tamara van Opstal-Haksteen</v>
      </c>
      <c r="AB32" s="107"/>
    </row>
    <row r="33" spans="1:28">
      <c r="A33" s="116"/>
      <c r="B33" s="6"/>
      <c r="C33" s="107"/>
      <c r="E33" s="6"/>
      <c r="F33" s="107"/>
      <c r="H33" s="6" t="str">
        <v>Robin Leijdsman</v>
      </c>
      <c r="I33" s="107"/>
      <c r="K33" s="6" t="str">
        <v>Kim Dommisse</v>
      </c>
      <c r="L33" s="107"/>
      <c r="N33" s="6" t="str">
        <v>Nadia de Wit</v>
      </c>
      <c r="O33" s="107"/>
      <c r="Q33" s="6" t="str">
        <v>Tessa Dubbeld</v>
      </c>
      <c r="R33" s="107" t="str">
        <v>Wouter Koornneef</v>
      </c>
      <c r="T33" s="6"/>
      <c r="U33" s="2"/>
      <c r="V33" s="7"/>
      <c r="W33" s="6"/>
      <c r="X33" s="2"/>
      <c r="Y33" s="7"/>
      <c r="AA33" s="6"/>
      <c r="AB33" s="107"/>
    </row>
    <row r="34" spans="1:28">
      <c r="A34" s="116"/>
      <c r="B34" s="6"/>
      <c r="C34" s="107"/>
      <c r="E34" s="6"/>
      <c r="F34" s="107"/>
      <c r="H34" s="6"/>
      <c r="I34" s="107"/>
      <c r="K34" s="6" t="str">
        <v>Laura Mol</v>
      </c>
      <c r="L34" s="107"/>
      <c r="N34" s="6" t="str">
        <v>Syrah de Wit</v>
      </c>
      <c r="O34" s="107"/>
      <c r="Q34" s="6"/>
      <c r="R34" s="107"/>
      <c r="T34" s="6"/>
      <c r="U34" s="2"/>
      <c r="V34" s="7"/>
      <c r="W34" s="6"/>
      <c r="X34" s="2"/>
      <c r="Y34" s="7"/>
      <c r="AA34" s="6"/>
      <c r="AB34" s="107"/>
    </row>
    <row r="35" spans="1:28" ht="15.95" thickBot="1">
      <c r="A35" s="116"/>
      <c r="B35" s="6"/>
      <c r="C35" s="107"/>
      <c r="E35" s="6"/>
      <c r="F35" s="107"/>
      <c r="H35" s="6"/>
      <c r="I35" s="107"/>
      <c r="K35" s="6"/>
      <c r="L35" s="107"/>
      <c r="N35" s="6"/>
      <c r="O35" s="107"/>
      <c r="Q35" s="6"/>
      <c r="R35" s="107"/>
      <c r="T35" s="6"/>
      <c r="U35" s="2"/>
      <c r="V35" s="7"/>
      <c r="W35" s="6"/>
      <c r="X35" s="2"/>
      <c r="Y35" s="7"/>
      <c r="AA35" s="6"/>
      <c r="AB35" s="107"/>
    </row>
    <row r="36" spans="1:28">
      <c r="A36" s="116"/>
      <c r="B36" s="12" t="str" cm="1">
        <f t="array" ref="B36">_xlfn._xlws.FILTER(Staf!$C:$C,Staf!$B:$B='Teams-deelversie'!B26,"")</f>
        <v/>
      </c>
      <c r="C36" s="14"/>
      <c r="E36" s="12" t="str" cm="1">
        <f t="array" ref="E36">_xlfn._xlws.FILTER(Staf!$C:$C,Staf!$B:$B='Teams-deelversie'!E26,"")</f>
        <v/>
      </c>
      <c r="F36" s="14"/>
      <c r="H36" s="12" t="str" cm="1">
        <f t="array" ref="H36">_xlfn._xlws.FILTER(Staf!$C:$C,Staf!$B:$B='Teams-deelversie'!H26,"")</f>
        <v>Begeleider</v>
      </c>
      <c r="I36" s="14" t="str" cm="1">
        <f t="array" ref="I36">_xlfn._xlws.FILTER(Staf!$A:$A,Staf!$B:$B='Teams-deelversie'!H26,"")</f>
        <v>Kim Ardon</v>
      </c>
      <c r="K36" s="12" t="str" cm="1">
        <f t="array" ref="K36:K37">_xlfn._xlws.FILTER(Staf!$C:$C,Staf!$B:$B='Teams-deelversie'!K26,"")</f>
        <v>Trainer/Coach</v>
      </c>
      <c r="L36" s="14" t="str" cm="1">
        <f t="array" ref="L36:L37">_xlfn._xlws.FILTER(Staf!$A:$A,Staf!$B:$B='Teams-deelversie'!K26,"")</f>
        <v xml:space="preserve">Vacature </v>
      </c>
      <c r="N36" s="12" t="str" cm="1">
        <f t="array" ref="N36">_xlfn._xlws.FILTER(Staf!$C:$C,Staf!$B:$B='Teams-deelversie'!N26,"")</f>
        <v>Trainer/Coach</v>
      </c>
      <c r="O36" s="14" t="str" cm="1">
        <f t="array" ref="O36">_xlfn._xlws.FILTER(Staf!$A:$A,Staf!$B:$B='Teams-deelversie'!N26,"")</f>
        <v xml:space="preserve">Vacature </v>
      </c>
      <c r="Q36" s="12" t="str" cm="1">
        <f t="array" ref="Q36">_xlfn._xlws.FILTER(Staf!$C:$C,Staf!$B:$B='Teams-deelversie'!Q26,"")</f>
        <v>Trainer/Coach</v>
      </c>
      <c r="R36" s="14" t="str" cm="1">
        <f t="array" ref="R36">_xlfn._xlws.FILTER(Staf!$A:$A,Staf!$B:$B='Teams-deelversie'!Q26,"")</f>
        <v>Monique Kooper</v>
      </c>
      <c r="T36" s="12" t="str" cm="1">
        <f t="array" ref="T36">_xlfn._xlws.FILTER(Staf!$C:$C,Staf!$B:$B='Teams-deelversie'!T26,"")</f>
        <v/>
      </c>
      <c r="U36" s="13" t="str" cm="1">
        <f t="array" ref="U36">_xlfn._xlws.FILTER(Staf!$A:$A,Staf!$B:$B='Teams-deelversie'!T26,"")</f>
        <v/>
      </c>
      <c r="V36" s="13"/>
      <c r="W36" s="13"/>
      <c r="X36" s="13"/>
      <c r="Y36" s="14"/>
      <c r="AA36" s="12" t="str" cm="1">
        <f t="array" ref="AA36">_xlfn._xlws.FILTER(Staf!$C:$C,Staf!$B:$B='Teams-deelversie'!AA26,"")</f>
        <v/>
      </c>
      <c r="AB36" s="14"/>
    </row>
    <row r="37" spans="1:28" ht="15.95" thickBot="1">
      <c r="A37" s="116"/>
      <c r="B37" s="18"/>
      <c r="C37" s="20"/>
      <c r="E37" s="18"/>
      <c r="F37" s="20"/>
      <c r="H37" s="18"/>
      <c r="I37" s="20"/>
      <c r="K37" s="18" t="str">
        <v>Trainer/Coach</v>
      </c>
      <c r="L37" s="20" t="str">
        <v xml:space="preserve">Vacature </v>
      </c>
      <c r="N37" s="18"/>
      <c r="O37" s="20"/>
      <c r="Q37" s="18"/>
      <c r="R37" s="20"/>
      <c r="T37" s="18"/>
      <c r="U37" s="19"/>
      <c r="V37" s="19"/>
      <c r="W37" s="19"/>
      <c r="X37" s="19"/>
      <c r="Y37" s="20"/>
      <c r="AA37" s="18"/>
      <c r="AB37" s="20"/>
    </row>
    <row r="38" spans="1:28" ht="15.95" thickBot="1"/>
    <row r="39" spans="1:28" ht="15.95" thickBot="1">
      <c r="A39" s="116" t="s">
        <v>14</v>
      </c>
      <c r="B39" s="84" t="s">
        <v>15</v>
      </c>
      <c r="C39" s="104"/>
      <c r="E39" s="84" t="s">
        <v>16</v>
      </c>
      <c r="F39" s="104"/>
      <c r="H39" s="84" t="s">
        <v>17</v>
      </c>
      <c r="I39" s="104"/>
      <c r="K39" s="84" t="s">
        <v>18</v>
      </c>
      <c r="L39" s="104"/>
      <c r="N39" s="84" t="s">
        <v>19</v>
      </c>
      <c r="O39" s="104"/>
    </row>
    <row r="40" spans="1:28" ht="15.95" thickBot="1">
      <c r="A40" s="116"/>
      <c r="B40" s="8" t="s">
        <v>1066</v>
      </c>
      <c r="C40" s="105" t="s">
        <v>1068</v>
      </c>
      <c r="E40" s="8" t="s">
        <v>1066</v>
      </c>
      <c r="F40" s="105" t="s">
        <v>1068</v>
      </c>
      <c r="H40" s="8" t="s">
        <v>1066</v>
      </c>
      <c r="I40" s="105" t="s">
        <v>1068</v>
      </c>
      <c r="K40" s="8" t="s">
        <v>1066</v>
      </c>
      <c r="L40" s="105" t="s">
        <v>1068</v>
      </c>
      <c r="N40" s="8" t="s">
        <v>1066</v>
      </c>
      <c r="O40" s="105" t="s">
        <v>1068</v>
      </c>
    </row>
    <row r="41" spans="1:28">
      <c r="A41" s="116"/>
      <c r="B41" s="3" t="str" cm="1">
        <f t="array" ref="B41">_xlfn._xlws.FILTER(Spelerslijst!$B:$B,Spelerslijst!$G:$G=B$39,"")</f>
        <v/>
      </c>
      <c r="C41" s="106" t="str" cm="1">
        <f t="array" ref="C41">_xlfn._xlws.FILTER(Spelerslijst!$L:$L,Spelerslijst!$Q:$Q=B$39,"")</f>
        <v/>
      </c>
      <c r="E41" s="3" t="str" cm="1">
        <f t="array" ref="E41">_xlfn._xlws.FILTER(Spelerslijst!$B:$B,Spelerslijst!$G:$G=E$39,"")</f>
        <v/>
      </c>
      <c r="F41" s="106" t="str" cm="1">
        <f t="array" ref="F41">_xlfn._xlws.FILTER(Spelerslijst!$L:$L,Spelerslijst!$Q:$Q=E$39,"")</f>
        <v/>
      </c>
      <c r="H41" s="3" t="str" cm="1">
        <f t="array" ref="H41:H46">_xlfn._xlws.FILTER(Spelerslijst!$B:$B,Spelerslijst!$G:$G=H$39,"")</f>
        <v>Julia Bozuwa</v>
      </c>
      <c r="I41" s="106" t="str" cm="1">
        <f t="array" ref="I41:I45">_xlfn._xlws.FILTER(Spelerslijst!$L:$L,Spelerslijst!$Q:$Q=H$39,"")</f>
        <v>Casper Boshoven</v>
      </c>
      <c r="K41" s="3" t="str" cm="1">
        <f t="array" ref="K41">_xlfn._xlws.FILTER(Spelerslijst!$B:$B,Spelerslijst!$G:$G=K$39,"")</f>
        <v/>
      </c>
      <c r="L41" s="106" t="str" cm="1">
        <f t="array" ref="L41">_xlfn._xlws.FILTER(Spelerslijst!$L:$L,Spelerslijst!$Q:$Q=K$39,"")</f>
        <v/>
      </c>
      <c r="N41" s="3" t="str" cm="1">
        <f t="array" ref="N41">_xlfn._xlws.FILTER(Spelerslijst!$B:$B,Spelerslijst!$G:$G=N$39,"")</f>
        <v/>
      </c>
      <c r="O41" s="106" t="str" cm="1">
        <f t="array" ref="O41">_xlfn._xlws.FILTER(Spelerslijst!$L:$L,Spelerslijst!$Q:$Q=N$39,"")</f>
        <v/>
      </c>
    </row>
    <row r="42" spans="1:28">
      <c r="A42" s="116"/>
      <c r="B42" s="6"/>
      <c r="C42" s="107"/>
      <c r="E42" s="6"/>
      <c r="F42" s="107"/>
      <c r="H42" s="6" t="str">
        <v>Lianne Bouwknegt</v>
      </c>
      <c r="I42" s="107" t="str">
        <v>Matthijs de Jongh</v>
      </c>
      <c r="K42" s="6"/>
      <c r="L42" s="107"/>
      <c r="N42" s="6"/>
      <c r="O42" s="107"/>
    </row>
    <row r="43" spans="1:28">
      <c r="A43" s="116"/>
      <c r="B43" s="6"/>
      <c r="C43" s="107"/>
      <c r="E43" s="6"/>
      <c r="F43" s="107"/>
      <c r="H43" s="6" t="str">
        <v>Robin Zwanenburg</v>
      </c>
      <c r="I43" s="107" t="str">
        <v>Menno Pille</v>
      </c>
      <c r="K43" s="6"/>
      <c r="L43" s="107"/>
      <c r="N43" s="6"/>
      <c r="O43" s="107"/>
    </row>
    <row r="44" spans="1:28">
      <c r="A44" s="116"/>
      <c r="B44" s="6"/>
      <c r="C44" s="107"/>
      <c r="E44" s="6"/>
      <c r="F44" s="107"/>
      <c r="H44" s="6" t="str">
        <v>Tessa van Everdingen</v>
      </c>
      <c r="I44" s="107" t="str">
        <v>Raoul Kuijper</v>
      </c>
      <c r="K44" s="6"/>
      <c r="L44" s="107"/>
      <c r="N44" s="6"/>
      <c r="O44" s="107"/>
    </row>
    <row r="45" spans="1:28">
      <c r="A45" s="116"/>
      <c r="B45" s="6"/>
      <c r="C45" s="107"/>
      <c r="E45" s="6"/>
      <c r="F45" s="107"/>
      <c r="H45" s="6" t="str">
        <v>Vivienne Versnel</v>
      </c>
      <c r="I45" s="107" t="str">
        <v>Tommie Koornneef</v>
      </c>
      <c r="K45" s="6"/>
      <c r="L45" s="107"/>
      <c r="N45" s="6"/>
      <c r="O45" s="107"/>
    </row>
    <row r="46" spans="1:28">
      <c r="A46" s="116"/>
      <c r="B46" s="6"/>
      <c r="C46" s="107"/>
      <c r="E46" s="6"/>
      <c r="F46" s="107"/>
      <c r="H46" s="6" t="str">
        <v>Zoë Kamerman</v>
      </c>
      <c r="I46" s="107"/>
      <c r="K46" s="6"/>
      <c r="L46" s="107"/>
      <c r="N46" s="6"/>
      <c r="O46" s="107"/>
    </row>
    <row r="47" spans="1:28">
      <c r="A47" s="116"/>
      <c r="B47" s="6"/>
      <c r="C47" s="107"/>
      <c r="E47" s="6"/>
      <c r="F47" s="107"/>
      <c r="H47" s="6"/>
      <c r="I47" s="107"/>
      <c r="K47" s="6"/>
      <c r="L47" s="107"/>
      <c r="N47" s="6"/>
      <c r="O47" s="107"/>
    </row>
    <row r="48" spans="1:28">
      <c r="A48" s="116"/>
      <c r="B48" s="6"/>
      <c r="C48" s="107"/>
      <c r="E48" s="6"/>
      <c r="F48" s="107"/>
      <c r="H48" s="6"/>
      <c r="I48" s="107"/>
      <c r="K48" s="6"/>
      <c r="L48" s="107"/>
      <c r="N48" s="6"/>
      <c r="O48" s="107"/>
    </row>
    <row r="49" spans="1:15" ht="15.95" thickBot="1">
      <c r="A49" s="116"/>
      <c r="B49" s="6"/>
      <c r="C49" s="107"/>
      <c r="E49" s="6"/>
      <c r="F49" s="107"/>
      <c r="H49" s="6"/>
      <c r="I49" s="107"/>
      <c r="K49" s="6"/>
      <c r="L49" s="107"/>
      <c r="N49" s="6"/>
      <c r="O49" s="107"/>
    </row>
    <row r="50" spans="1:15">
      <c r="A50" s="116"/>
      <c r="B50" s="12" t="str" cm="1">
        <f t="array" ref="B50">_xlfn._xlws.FILTER(Staf!$C:$C,Staf!$B:$B='Teams-deelversie'!B39,"")</f>
        <v/>
      </c>
      <c r="C50" s="14"/>
      <c r="E50" s="12" t="str" cm="1">
        <f t="array" ref="E50">_xlfn._xlws.FILTER(Staf!$C:$C,Staf!$B:$B='Teams-deelversie'!E39,"")</f>
        <v/>
      </c>
      <c r="F50" s="14"/>
      <c r="H50" s="12" t="str" cm="1">
        <f t="array" ref="H50:H51">_xlfn._xlws.FILTER(Staf!$C:$C,Staf!$B:$B='Teams-deelversie'!H39,"")</f>
        <v>Trainer/Coach</v>
      </c>
      <c r="I50" s="14" t="str" cm="1">
        <f t="array" ref="I50:I51">_xlfn._xlws.FILTER(Staf!$A:$A,Staf!$B:$B='Teams-deelversie'!H39,"")</f>
        <v>David Kuijper</v>
      </c>
      <c r="K50" s="12" t="str" cm="1">
        <f t="array" ref="K50">_xlfn._xlws.FILTER(Staf!$C:$C,Staf!$B:$B='Teams-deelversie'!K39,"")</f>
        <v/>
      </c>
      <c r="L50" s="14"/>
      <c r="N50" s="12" t="str" cm="1">
        <f t="array" ref="N50">_xlfn._xlws.FILTER(Staf!$C:$C,Staf!$B:$B='Teams-deelversie'!N39,"")</f>
        <v/>
      </c>
      <c r="O50" s="14"/>
    </row>
    <row r="51" spans="1:15">
      <c r="A51" s="116"/>
      <c r="B51" s="15"/>
      <c r="C51" s="17"/>
      <c r="E51" s="15"/>
      <c r="F51" s="17"/>
      <c r="H51" s="15" t="str">
        <v>Trainer/Coach</v>
      </c>
      <c r="I51" s="17" t="str">
        <v>Ruben Dubbeld</v>
      </c>
      <c r="K51" s="15"/>
      <c r="L51" s="17"/>
      <c r="N51" s="15"/>
      <c r="O51" s="17"/>
    </row>
    <row r="52" spans="1:15" ht="15.95" thickBot="1">
      <c r="A52" s="116"/>
      <c r="B52" s="18"/>
      <c r="C52" s="20"/>
      <c r="E52" s="18"/>
      <c r="F52" s="20"/>
      <c r="H52" s="18"/>
      <c r="I52" s="20"/>
      <c r="K52" s="18"/>
      <c r="L52" s="20"/>
      <c r="N52" s="18"/>
      <c r="O52" s="20"/>
    </row>
    <row r="53" spans="1:15" ht="15.95" thickBot="1"/>
    <row r="54" spans="1:15" ht="15.95" thickBot="1">
      <c r="A54" s="116" t="s">
        <v>20</v>
      </c>
      <c r="B54" s="84" t="s">
        <v>21</v>
      </c>
      <c r="C54" s="104"/>
      <c r="E54" s="84" t="s">
        <v>22</v>
      </c>
      <c r="F54" s="104"/>
      <c r="H54" s="84" t="s">
        <v>23</v>
      </c>
      <c r="I54" s="104"/>
      <c r="K54" s="84" t="s">
        <v>24</v>
      </c>
      <c r="L54" s="104"/>
      <c r="N54" s="84" t="s">
        <v>25</v>
      </c>
      <c r="O54" s="104"/>
    </row>
    <row r="55" spans="1:15" ht="15.95" thickBot="1">
      <c r="A55" s="116"/>
      <c r="B55" s="8" t="s">
        <v>1066</v>
      </c>
      <c r="C55" s="105" t="s">
        <v>1068</v>
      </c>
      <c r="E55" s="8" t="s">
        <v>1066</v>
      </c>
      <c r="F55" s="105" t="s">
        <v>1068</v>
      </c>
      <c r="H55" s="8" t="s">
        <v>1066</v>
      </c>
      <c r="I55" s="105" t="s">
        <v>1068</v>
      </c>
      <c r="K55" s="8" t="s">
        <v>1066</v>
      </c>
      <c r="L55" s="105" t="s">
        <v>1068</v>
      </c>
      <c r="N55" s="8" t="s">
        <v>1066</v>
      </c>
      <c r="O55" s="105" t="s">
        <v>1068</v>
      </c>
    </row>
    <row r="56" spans="1:15">
      <c r="A56" s="116"/>
      <c r="B56" s="3" t="str" cm="1">
        <f t="array" ref="B56">_xlfn._xlws.FILTER(Spelerslijst!$B:$B,Spelerslijst!$G:$G=B$54,"")</f>
        <v/>
      </c>
      <c r="C56" s="106" t="str" cm="1">
        <f t="array" ref="C56">_xlfn._xlws.FILTER(Spelerslijst!$L:$L,Spelerslijst!$Q:$Q=B$54,"")</f>
        <v/>
      </c>
      <c r="E56" s="3" t="str" cm="1">
        <f t="array" ref="E56">_xlfn._xlws.FILTER(Spelerslijst!$B:$B,Spelerslijst!$G:$G=E$54,"")</f>
        <v/>
      </c>
      <c r="F56" s="106" t="str" cm="1">
        <f t="array" ref="F56">_xlfn._xlws.FILTER(Spelerslijst!$L:$L,Spelerslijst!$Q:$Q=E$54,"")</f>
        <v/>
      </c>
      <c r="H56" s="3" t="str" cm="1">
        <f t="array" ref="H56:H61">_xlfn._xlws.FILTER(Spelerslijst!$B:$B,Spelerslijst!$G:$G=H$54,"")</f>
        <v>Danique van der Wiel</v>
      </c>
      <c r="I56" s="106" t="str" cm="1">
        <f t="array" ref="I56:I58">_xlfn._xlws.FILTER(Spelerslijst!$L:$L,Spelerslijst!$Q:$Q=H$54,"")</f>
        <v>Joaz Post</v>
      </c>
      <c r="K56" s="3" t="str" cm="1">
        <f t="array" ref="K56:K61">_xlfn._xlws.FILTER(Spelerslijst!$B:$B,Spelerslijst!$G:$G=K$54,"")</f>
        <v>Eline Veenendaal</v>
      </c>
      <c r="L56" s="106" t="str" cm="1">
        <f t="array" ref="L56:L58">_xlfn._xlws.FILTER(Spelerslijst!$L:$L,Spelerslijst!$Q:$Q=K$54,"")</f>
        <v>Djess van Heeren</v>
      </c>
      <c r="N56" s="3" t="e" cm="1">
        <f t="array" ref="N56">_xlfn._xlws.FILTER(Spelerslijst!$B:$B,Spelerslijst!$G:$G=#REF!,"")</f>
        <v>#REF!</v>
      </c>
      <c r="O56" s="106" t="e" cm="1">
        <f t="array" ref="O56">_xlfn._xlws.FILTER(Spelerslijst!$L:$L,Spelerslijst!$Q:$Q=#REF!,"")</f>
        <v>#REF!</v>
      </c>
    </row>
    <row r="57" spans="1:15">
      <c r="A57" s="116"/>
      <c r="B57" s="6"/>
      <c r="C57" s="107"/>
      <c r="E57" s="6"/>
      <c r="F57" s="107"/>
      <c r="H57" s="6" t="str">
        <v>Enora Bouwknegt</v>
      </c>
      <c r="I57" s="107" t="str">
        <v>Justin Vos</v>
      </c>
      <c r="K57" s="6" t="str">
        <v>Evie Groen</v>
      </c>
      <c r="L57" s="107" t="str">
        <v>Jurre van der Linden</v>
      </c>
      <c r="N57" s="6"/>
      <c r="O57" s="107"/>
    </row>
    <row r="58" spans="1:15">
      <c r="A58" s="116"/>
      <c r="B58" s="6"/>
      <c r="C58" s="107"/>
      <c r="E58" s="6"/>
      <c r="F58" s="107"/>
      <c r="H58" s="6" t="str">
        <v>Femke Bakker</v>
      </c>
      <c r="I58" s="107" t="str">
        <v>Stephan Quarre</v>
      </c>
      <c r="K58" s="6" t="str">
        <v>Manon Barbaroux</v>
      </c>
      <c r="L58" s="107" t="str">
        <v>Parham Afsharbegloe</v>
      </c>
      <c r="N58" s="6"/>
      <c r="O58" s="107"/>
    </row>
    <row r="59" spans="1:15">
      <c r="A59" s="116"/>
      <c r="B59" s="6"/>
      <c r="C59" s="107"/>
      <c r="E59" s="6"/>
      <c r="F59" s="107"/>
      <c r="H59" s="6" t="str">
        <v>Madelief van Dongen</v>
      </c>
      <c r="I59" s="107"/>
      <c r="K59" s="6" t="str">
        <v>Noortje Vercouteren</v>
      </c>
      <c r="L59" s="107"/>
      <c r="N59" s="6"/>
      <c r="O59" s="107"/>
    </row>
    <row r="60" spans="1:15">
      <c r="A60" s="116"/>
      <c r="B60" s="6"/>
      <c r="C60" s="107"/>
      <c r="E60" s="6"/>
      <c r="F60" s="107"/>
      <c r="H60" s="6" t="str">
        <v>Marit van den Bergh</v>
      </c>
      <c r="I60" s="107"/>
      <c r="K60" s="6" t="str">
        <v>Pippa Jongkind</v>
      </c>
      <c r="L60" s="107"/>
      <c r="N60" s="6"/>
      <c r="O60" s="107"/>
    </row>
    <row r="61" spans="1:15">
      <c r="A61" s="116"/>
      <c r="B61" s="6"/>
      <c r="C61" s="107"/>
      <c r="E61" s="6" t="s">
        <v>1075</v>
      </c>
      <c r="F61" s="107"/>
      <c r="H61" s="6" t="str">
        <v>Nikki Baas</v>
      </c>
      <c r="I61" s="107"/>
      <c r="K61" s="6" t="str">
        <v>Sanne Peters</v>
      </c>
      <c r="L61" s="107"/>
      <c r="N61" s="6"/>
      <c r="O61" s="107"/>
    </row>
    <row r="62" spans="1:15" ht="15.95" thickBot="1">
      <c r="A62" s="116"/>
      <c r="B62" s="6"/>
      <c r="C62" s="107"/>
      <c r="E62" s="6"/>
      <c r="F62" s="107"/>
      <c r="H62" s="6"/>
      <c r="I62" s="107"/>
      <c r="K62" s="6"/>
      <c r="L62" s="107"/>
      <c r="N62" s="6"/>
      <c r="O62" s="107"/>
    </row>
    <row r="63" spans="1:15">
      <c r="A63" s="116"/>
      <c r="B63" s="12" t="str" cm="1">
        <f t="array" ref="B63">_xlfn._xlws.FILTER(Staf!$C:$C,Staf!$B:$B='Teams-deelversie'!B54,"")</f>
        <v/>
      </c>
      <c r="C63" s="14"/>
      <c r="E63" s="12" t="str" cm="1">
        <f t="array" ref="E63">_xlfn._xlws.FILTER(Staf!$C:$C,Staf!$B:$B='Teams-deelversie'!E54,"")</f>
        <v/>
      </c>
      <c r="F63" s="14"/>
      <c r="H63" s="12" t="str" cm="1">
        <f t="array" ref="H63:H64">_xlfn._xlws.FILTER(Staf!$C:$C,Staf!$B:$B='Teams-deelversie'!H54,"")</f>
        <v>Trainer/Coach</v>
      </c>
      <c r="I63" s="14" t="str" cm="1">
        <f t="array" ref="I63:I64">_xlfn._xlws.FILTER(Staf!$A:$A,Staf!$B:$B='Teams-deelversie'!H54,"")</f>
        <v>Martijn van der Wiel</v>
      </c>
      <c r="K63" s="12" t="str" cm="1">
        <f t="array" ref="K63:K65">_xlfn._xlws.FILTER(Staf!$C:$C,Staf!$B:$B='Teams-deelversie'!K54,"")</f>
        <v>Trainer/Coach</v>
      </c>
      <c r="L63" s="14" t="str" cm="1">
        <f t="array" ref="L63:L65">_xlfn._xlws.FILTER(Staf!$A:$A,Staf!$B:$B='Teams-deelversie'!K54,"")</f>
        <v xml:space="preserve">Laura Mol </v>
      </c>
      <c r="N63" s="12" t="str" cm="1">
        <f t="array" ref="N63">_xlfn._xlws.FILTER(Staf!$C:$C,Staf!$B:$B='Teams-deelversie'!N54,"")</f>
        <v/>
      </c>
      <c r="O63" s="14"/>
    </row>
    <row r="64" spans="1:15">
      <c r="A64" s="116"/>
      <c r="B64" s="15"/>
      <c r="C64" s="17"/>
      <c r="E64" s="15"/>
      <c r="F64" s="17"/>
      <c r="H64" s="15" t="str">
        <v>Trainer/Coach</v>
      </c>
      <c r="I64" s="17" t="str">
        <v xml:space="preserve">Vacature </v>
      </c>
      <c r="K64" s="15" t="str">
        <v>Trainer/Coach</v>
      </c>
      <c r="L64" s="17" t="str">
        <v>Maud van Wensen</v>
      </c>
      <c r="N64" s="15"/>
      <c r="O64" s="17"/>
    </row>
    <row r="65" spans="1:15" ht="15.95" thickBot="1">
      <c r="A65" s="116"/>
      <c r="B65" s="18"/>
      <c r="C65" s="20"/>
      <c r="E65" s="18"/>
      <c r="F65" s="20"/>
      <c r="H65" s="18"/>
      <c r="I65" s="20"/>
      <c r="K65" s="18" t="str">
        <v>Teambegeleider</v>
      </c>
      <c r="L65" s="20" t="str">
        <v>Nog in te vullen</v>
      </c>
      <c r="N65" s="18"/>
      <c r="O65" s="20"/>
    </row>
    <row r="66" spans="1:15" ht="15.95" thickBot="1"/>
    <row r="67" spans="1:15" ht="15.95" thickBot="1">
      <c r="A67" s="116" t="s">
        <v>26</v>
      </c>
      <c r="B67" s="84" t="s">
        <v>27</v>
      </c>
      <c r="C67" s="104"/>
      <c r="E67" s="84" t="s">
        <v>28</v>
      </c>
      <c r="F67" s="104"/>
      <c r="H67" s="84" t="s">
        <v>29</v>
      </c>
      <c r="I67" s="104"/>
      <c r="K67" s="21" t="s">
        <v>30</v>
      </c>
      <c r="L67" s="21"/>
      <c r="N67" s="21" t="s">
        <v>31</v>
      </c>
      <c r="O67" s="21"/>
    </row>
    <row r="68" spans="1:15" ht="15.95" thickBot="1">
      <c r="A68" s="116"/>
      <c r="B68" s="8" t="s">
        <v>1066</v>
      </c>
      <c r="C68" s="105" t="s">
        <v>1068</v>
      </c>
      <c r="E68" s="8" t="s">
        <v>1066</v>
      </c>
      <c r="F68" s="105" t="s">
        <v>1068</v>
      </c>
      <c r="H68" s="8" t="s">
        <v>1066</v>
      </c>
      <c r="I68" s="105" t="s">
        <v>1068</v>
      </c>
      <c r="K68" s="8" t="s">
        <v>1066</v>
      </c>
      <c r="L68" s="8" t="s">
        <v>1068</v>
      </c>
      <c r="N68" s="8" t="s">
        <v>1066</v>
      </c>
      <c r="O68" s="8" t="s">
        <v>1068</v>
      </c>
    </row>
    <row r="69" spans="1:15">
      <c r="A69" s="116"/>
      <c r="B69" s="3" t="str" cm="1">
        <f t="array" ref="B69:B73">_xlfn._xlws.FILTER(Spelerslijst!$B:$B,Spelerslijst!$G:$G=B$67,"")</f>
        <v>Esmée de Boer</v>
      </c>
      <c r="C69" s="106" t="str" cm="1">
        <f t="array" ref="C69:C72">_xlfn._xlws.FILTER(Spelerslijst!$L:$L,Spelerslijst!$Q:$Q=B$67,"")</f>
        <v>Freek Laban</v>
      </c>
      <c r="E69" s="3" t="str" cm="1">
        <f t="array" ref="E69:E74">_xlfn._xlws.FILTER(Spelerslijst!$B:$B,Spelerslijst!$G:$G=E$67,"")</f>
        <v>Anouk Bakker</v>
      </c>
      <c r="F69" s="106" t="str" cm="1">
        <f t="array" ref="F69:F73">_xlfn._xlws.FILTER(Spelerslijst!$L:$L,Spelerslijst!$Q:$Q=E$67,"")</f>
        <v>Joep van Ameijden</v>
      </c>
      <c r="H69" s="3" t="str" cm="1">
        <f t="array" ref="H69:H74">_xlfn._xlws.FILTER(Spelerslijst!$B:$B,Spelerslijst!$G:$G=H$67,"")</f>
        <v>Anne-Sophie Lotgerink</v>
      </c>
      <c r="I69" s="106" t="str" cm="1">
        <f t="array" ref="I69:I72">_xlfn._xlws.FILTER(Spelerslijst!$L:$L,Spelerslijst!$Q:$Q=H$67,"")</f>
        <v>Daan vd Weijde</v>
      </c>
      <c r="K69" s="3" t="str" cm="1">
        <f t="array" ref="K69">_xlfn._xlws.FILTER(Spelerslijst!$B:$B,Spelerslijst!$G:$G=K$67,"")</f>
        <v/>
      </c>
      <c r="L69" s="3" t="str" cm="1">
        <f t="array" ref="L69">_xlfn._xlws.FILTER(Spelerslijst!$L:$L,Spelerslijst!$Q:$Q=K$67,"")</f>
        <v/>
      </c>
      <c r="N69" s="3" t="str" cm="1">
        <f t="array" ref="N69">_xlfn._xlws.FILTER(Spelerslijst!$B:$B,Spelerslijst!$G:$G=N$67,"")</f>
        <v/>
      </c>
      <c r="O69" s="3" t="str" cm="1">
        <f t="array" ref="O69">_xlfn._xlws.FILTER(Spelerslijst!$L:$L,Spelerslijst!$Q:$Q=N$67,"")</f>
        <v/>
      </c>
    </row>
    <row r="70" spans="1:15">
      <c r="A70" s="116"/>
      <c r="B70" s="6" t="str">
        <v>Eva van Rooij</v>
      </c>
      <c r="C70" s="107" t="str">
        <v>Lenn Belder</v>
      </c>
      <c r="E70" s="6" t="str">
        <v>Eva Bezemer</v>
      </c>
      <c r="F70" s="107" t="str">
        <v>Juda Vos</v>
      </c>
      <c r="H70" s="6" t="str">
        <v>Feline Littooij</v>
      </c>
      <c r="I70" s="107" t="str">
        <v>Finn de Haseth</v>
      </c>
      <c r="K70" s="6"/>
      <c r="L70" s="6"/>
      <c r="N70" s="6"/>
      <c r="O70" s="6"/>
    </row>
    <row r="71" spans="1:15">
      <c r="A71" s="116"/>
      <c r="B71" s="6" t="str">
        <v>Olivia de Waard</v>
      </c>
      <c r="C71" s="107" t="str">
        <v>Sander Heerspring</v>
      </c>
      <c r="E71" s="6" t="str">
        <v>Famke Nijman</v>
      </c>
      <c r="F71" s="107" t="str">
        <v>Matthijs de Reus</v>
      </c>
      <c r="H71" s="6" t="str">
        <v>Jenna Ehmila</v>
      </c>
      <c r="I71" s="107" t="str">
        <v>Levi Molendijk</v>
      </c>
      <c r="K71" s="6"/>
      <c r="L71" s="6"/>
      <c r="N71" s="6"/>
      <c r="O71" s="6"/>
    </row>
    <row r="72" spans="1:15">
      <c r="A72" s="116"/>
      <c r="B72" s="6" t="str">
        <v>Saar Camphens</v>
      </c>
      <c r="C72" s="107" t="str">
        <v>Tiemen den Dekker</v>
      </c>
      <c r="E72" s="6" t="str">
        <v>Fenna van Rijswijk</v>
      </c>
      <c r="F72" s="107" t="str">
        <v>Thijs Vos</v>
      </c>
      <c r="H72" s="6" t="str">
        <v>Kayleigh Gerritsen</v>
      </c>
      <c r="I72" s="107" t="str">
        <v>Mika Kerschkamp</v>
      </c>
      <c r="K72" s="6"/>
      <c r="L72" s="6"/>
      <c r="N72" s="6"/>
      <c r="O72" s="6"/>
    </row>
    <row r="73" spans="1:15">
      <c r="A73" s="116"/>
      <c r="B73" s="6" t="str">
        <v>Tess Volker</v>
      </c>
      <c r="C73" s="107"/>
      <c r="E73" s="6" t="str">
        <v>Laura Exalto</v>
      </c>
      <c r="F73" s="107" t="str">
        <v>Xavi Jacobs</v>
      </c>
      <c r="H73" s="6" t="str">
        <v>Lisanne Naeije</v>
      </c>
      <c r="I73" s="107"/>
      <c r="K73" s="6"/>
      <c r="L73" s="6"/>
      <c r="N73" s="6"/>
      <c r="O73" s="6"/>
    </row>
    <row r="74" spans="1:15">
      <c r="A74" s="116"/>
      <c r="B74" s="6"/>
      <c r="C74" s="107"/>
      <c r="E74" s="6" t="str">
        <v>Sanne van Driel</v>
      </c>
      <c r="F74" s="107"/>
      <c r="H74" s="6" t="str">
        <v>Milou Markusse</v>
      </c>
      <c r="I74" s="107"/>
      <c r="K74" s="6"/>
      <c r="L74" s="6"/>
      <c r="N74" s="6"/>
      <c r="O74" s="6"/>
    </row>
    <row r="75" spans="1:15">
      <c r="A75" s="116"/>
      <c r="B75" s="6"/>
      <c r="C75" s="107"/>
      <c r="E75" s="6"/>
      <c r="F75" s="107"/>
      <c r="H75" s="6"/>
      <c r="I75" s="107"/>
      <c r="K75" s="6"/>
      <c r="L75" s="6"/>
      <c r="N75" s="6"/>
      <c r="O75" s="6"/>
    </row>
    <row r="76" spans="1:15" ht="15.95" thickBot="1">
      <c r="A76" s="116"/>
      <c r="B76" s="6"/>
      <c r="C76" s="107"/>
      <c r="E76" s="6"/>
      <c r="F76" s="107"/>
      <c r="H76" s="6"/>
      <c r="I76" s="107"/>
      <c r="K76" s="6"/>
      <c r="L76" s="6"/>
      <c r="N76" s="6"/>
      <c r="O76" s="6"/>
    </row>
    <row r="77" spans="1:15">
      <c r="A77" s="116"/>
      <c r="B77" s="12" t="str" cm="1">
        <f t="array" ref="B77:B78">_xlfn._xlws.FILTER(Staf!$C:$C,Staf!$B:$B='Teams-deelversie'!B67,"")</f>
        <v>Trainer/Coach</v>
      </c>
      <c r="C77" s="14" t="str" cm="1">
        <f t="array" ref="C77:C78">_xlfn._xlws.FILTER(Staf!$A:$A,Staf!$B:$B='Teams-deelversie'!B67,"")</f>
        <v>Antjan Laban</v>
      </c>
      <c r="E77" s="12" t="str" cm="1">
        <f t="array" ref="E77:E79">_xlfn._xlws.FILTER(Staf!$C:$C,Staf!$B:$B='Teams-deelversie'!E67,"")</f>
        <v>Trainer/Coach</v>
      </c>
      <c r="F77" s="14" t="str" cm="1">
        <f t="array" ref="F77:F79">_xlfn._xlws.FILTER(Staf!$A:$A,Staf!$B:$B='Teams-deelversie'!E67,"")</f>
        <v>Kimberley Witman</v>
      </c>
      <c r="H77" s="12" t="str" cm="1">
        <f t="array" ref="H77:H79">_xlfn._xlws.FILTER(Staf!$C:$C,Staf!$B:$B='Teams-deelversie'!H67,"")</f>
        <v>Trainer/Coach</v>
      </c>
      <c r="I77" s="14" t="str" cm="1">
        <f t="array" ref="I77:I79">_xlfn._xlws.FILTER(Staf!$A:$A,Staf!$B:$B='Teams-deelversie'!H67,"")</f>
        <v>Nadia de Wit</v>
      </c>
      <c r="K77" s="12" t="str" cm="1">
        <f t="array" ref="K77">_xlfn._xlws.FILTER(Staf!$C:$C,Staf!$B:$B='Teams-deelversie'!K67,"")</f>
        <v/>
      </c>
      <c r="L77" s="13"/>
      <c r="N77" s="12" t="str" cm="1">
        <f t="array" ref="N77">_xlfn._xlws.FILTER(Staf!$C:$C,Staf!$B:$B='Teams-deelversie'!N67,"")</f>
        <v/>
      </c>
      <c r="O77" s="13"/>
    </row>
    <row r="78" spans="1:15">
      <c r="A78" s="116"/>
      <c r="B78" s="15" t="str">
        <v>Trainer/Coach</v>
      </c>
      <c r="C78" s="17" t="str">
        <v>Milou Oppe</v>
      </c>
      <c r="E78" s="15" t="str">
        <v>Trainer/Coach</v>
      </c>
      <c r="F78" s="17" t="str">
        <v>Robert Koster</v>
      </c>
      <c r="H78" s="15" t="str">
        <v>Trainer/Coach</v>
      </c>
      <c r="I78" s="17" t="str">
        <v>Syrah de Wit</v>
      </c>
      <c r="K78" s="15"/>
      <c r="L78" s="16"/>
      <c r="N78" s="15"/>
      <c r="O78" s="16"/>
    </row>
    <row r="79" spans="1:15" ht="15.95" thickBot="1">
      <c r="A79" s="116"/>
      <c r="B79" s="18"/>
      <c r="C79" s="20"/>
      <c r="E79" s="18" t="str">
        <v>Trainer/Coach</v>
      </c>
      <c r="F79" s="20" t="str">
        <v>Senne Koster</v>
      </c>
      <c r="H79" s="18" t="str">
        <v>Assistent-trainer</v>
      </c>
      <c r="I79" s="20" t="str">
        <v xml:space="preserve">Vacature </v>
      </c>
      <c r="K79" s="18"/>
      <c r="L79" s="19"/>
      <c r="N79" s="18"/>
      <c r="O79" s="19"/>
    </row>
    <row r="80" spans="1:15" ht="15.95" thickBot="1"/>
    <row r="81" spans="1:25" ht="15.95" thickBot="1">
      <c r="A81" s="116" t="s">
        <v>32</v>
      </c>
      <c r="B81" s="84" t="s">
        <v>33</v>
      </c>
      <c r="C81" s="104"/>
      <c r="E81" s="84" t="s">
        <v>34</v>
      </c>
      <c r="F81" s="104"/>
      <c r="H81" s="84" t="s">
        <v>35</v>
      </c>
      <c r="I81" s="104"/>
      <c r="K81" s="84" t="s">
        <v>36</v>
      </c>
      <c r="L81" s="104"/>
      <c r="N81" s="21" t="s">
        <v>37</v>
      </c>
      <c r="O81" s="21"/>
    </row>
    <row r="82" spans="1:25" ht="15.95" thickBot="1">
      <c r="A82" s="116"/>
      <c r="B82" s="8" t="s">
        <v>1066</v>
      </c>
      <c r="C82" s="105" t="s">
        <v>1068</v>
      </c>
      <c r="E82" s="8" t="s">
        <v>1066</v>
      </c>
      <c r="F82" s="105" t="s">
        <v>1068</v>
      </c>
      <c r="H82" s="8" t="s">
        <v>1066</v>
      </c>
      <c r="I82" s="105" t="s">
        <v>1068</v>
      </c>
      <c r="K82" s="8" t="s">
        <v>1066</v>
      </c>
      <c r="L82" s="105" t="s">
        <v>1068</v>
      </c>
      <c r="N82" s="8" t="s">
        <v>1066</v>
      </c>
      <c r="O82" s="8" t="s">
        <v>1068</v>
      </c>
    </row>
    <row r="83" spans="1:25">
      <c r="A83" s="116"/>
      <c r="B83" s="3" t="str" cm="1">
        <f t="array" ref="B83:B88">_xlfn._xlws.FILTER(Spelerslijst!$B:$B,Spelerslijst!$G:$G=B$81,"")</f>
        <v>Davina Moniz</v>
      </c>
      <c r="C83" s="106" t="str" cm="1">
        <f t="array" ref="C83:C86">_xlfn._xlws.FILTER(Spelerslijst!$L:$L,Spelerslijst!$Q:$Q=B$81,"")</f>
        <v>Abel van de Ven</v>
      </c>
      <c r="E83" s="3" t="str" cm="1">
        <f t="array" ref="E83:E88">_xlfn._xlws.FILTER(Spelerslijst!$B:$B,Spelerslijst!$G:$G=E$81,"")</f>
        <v>Esther Oosse</v>
      </c>
      <c r="F83" s="106" t="str" cm="1">
        <f t="array" ref="F83:F87">_xlfn._xlws.FILTER(Spelerslijst!$L:$L,Spelerslijst!$Q:$Q=E$81,"")</f>
        <v>Cas Uljee</v>
      </c>
      <c r="H83" s="3" t="str" cm="1">
        <f t="array" ref="H83:H86">_xlfn._xlws.FILTER(Spelerslijst!$B:$B,Spelerslijst!$G:$G=H$81,"")</f>
        <v>Ize van der Linden</v>
      </c>
      <c r="I83" s="106" t="str" cm="1">
        <f t="array" ref="I83:I87">_xlfn._xlws.FILTER(Spelerslijst!$L:$L,Spelerslijst!$Q:$Q=H$81,"")</f>
        <v>Ayden van den Bosch</v>
      </c>
      <c r="K83" s="3" t="str" cm="1">
        <f t="array" ref="K83:K86">_xlfn._xlws.FILTER(Spelerslijst!$B:$B,Spelerslijst!$G:$G=K$81,"")</f>
        <v>Benthe van Dijl</v>
      </c>
      <c r="L83" s="106" t="str" cm="1">
        <f t="array" ref="L83:L88">_xlfn._xlws.FILTER(Spelerslijst!$L:$L,Spelerslijst!$Q:$Q=K$81,"")</f>
        <v>Collin Koppelaar</v>
      </c>
      <c r="N83" s="3" t="str" cm="1">
        <f t="array" ref="N83">_xlfn._xlws.FILTER(Spelerslijst!$B:$B,Spelerslijst!$G:$G=N$81,"")</f>
        <v/>
      </c>
      <c r="O83" s="3" t="str" cm="1">
        <f t="array" ref="O83">_xlfn._xlws.FILTER(Spelerslijst!$L:$L,Spelerslijst!$Q:$Q=N$81,"")</f>
        <v/>
      </c>
    </row>
    <row r="84" spans="1:25">
      <c r="A84" s="116"/>
      <c r="B84" s="6" t="str">
        <v>Evi Kleingeld</v>
      </c>
      <c r="C84" s="107" t="str">
        <v>Falco Bemer</v>
      </c>
      <c r="E84" s="6" t="str">
        <v>Jolijn van den Bergh</v>
      </c>
      <c r="F84" s="107" t="str">
        <v>Fynn Kuling</v>
      </c>
      <c r="H84" s="6" t="str">
        <v>Jeslynn Vos</v>
      </c>
      <c r="I84" s="107" t="str">
        <v>Jorn den Dekker</v>
      </c>
      <c r="K84" s="6" t="str">
        <v>Elske Niehof</v>
      </c>
      <c r="L84" s="107" t="str">
        <v>Joep Jongkind</v>
      </c>
      <c r="N84" s="6"/>
      <c r="O84" s="6"/>
    </row>
    <row r="85" spans="1:25">
      <c r="A85" s="116"/>
      <c r="B85" s="6" t="str">
        <v>Fay Tims</v>
      </c>
      <c r="C85" s="107" t="str">
        <v>Nathan Verberkt</v>
      </c>
      <c r="E85" s="6" t="str">
        <v>Lenthe van den Boogaart</v>
      </c>
      <c r="F85" s="107" t="str">
        <v>Lars Winter</v>
      </c>
      <c r="H85" s="6" t="str">
        <v>Pien van Dongen</v>
      </c>
      <c r="I85" s="107" t="str">
        <v>Levi Everaarts</v>
      </c>
      <c r="K85" s="6" t="str">
        <v>Emma Schot</v>
      </c>
      <c r="L85" s="107" t="str">
        <v>Lukas van der Weijde</v>
      </c>
      <c r="N85" s="6"/>
      <c r="O85" s="6"/>
    </row>
    <row r="86" spans="1:25">
      <c r="A86" s="116"/>
      <c r="B86" s="6" t="str">
        <v>Imke van Geldrop</v>
      </c>
      <c r="C86" s="107" t="str">
        <v>Tygo Bemer</v>
      </c>
      <c r="E86" s="6" t="str">
        <v>Lisa Exalto</v>
      </c>
      <c r="F86" s="107" t="str">
        <v>Martijn Veenendaal</v>
      </c>
      <c r="H86" s="6" t="str">
        <v>Sanae el Arbiati</v>
      </c>
      <c r="I86" s="107" t="str">
        <v>Lucas van de Rest</v>
      </c>
      <c r="K86" s="6" t="str">
        <v>Nurefsan Kombe</v>
      </c>
      <c r="L86" s="107" t="str">
        <v>Mayson Josefina</v>
      </c>
      <c r="N86" s="6"/>
      <c r="O86" s="6"/>
    </row>
    <row r="87" spans="1:25">
      <c r="A87" s="116"/>
      <c r="B87" s="6" t="str">
        <v>Layla de Boer</v>
      </c>
      <c r="C87" s="107"/>
      <c r="E87" s="6" t="str">
        <v>Noor Brouwer</v>
      </c>
      <c r="F87" s="107" t="str">
        <v>Tobias Hoedelmans</v>
      </c>
      <c r="H87" s="6"/>
      <c r="I87" s="107" t="str">
        <v>Morris van Ameijden</v>
      </c>
      <c r="K87" s="6"/>
      <c r="L87" s="107" t="str">
        <v>Ralf Dijkstra</v>
      </c>
      <c r="N87" s="6"/>
      <c r="O87" s="6"/>
    </row>
    <row r="88" spans="1:25">
      <c r="A88" s="116"/>
      <c r="B88" s="6" t="str">
        <v>Yara van der Wiel</v>
      </c>
      <c r="C88" s="107"/>
      <c r="E88" s="6" t="str">
        <v>Tess Uljee</v>
      </c>
      <c r="F88" s="107"/>
      <c r="H88" s="6"/>
      <c r="I88" s="107"/>
      <c r="K88" s="6"/>
      <c r="L88" s="107" t="str">
        <v>Sepp Jongkind</v>
      </c>
      <c r="N88" s="6"/>
      <c r="O88" s="6"/>
    </row>
    <row r="89" spans="1:25">
      <c r="A89" s="116"/>
      <c r="B89" s="6"/>
      <c r="C89" s="107"/>
      <c r="E89" s="6"/>
      <c r="F89" s="107"/>
      <c r="H89" s="6"/>
      <c r="I89" s="107"/>
      <c r="K89" s="6"/>
      <c r="L89" s="107"/>
      <c r="N89" s="6"/>
      <c r="O89" s="6"/>
    </row>
    <row r="90" spans="1:25" ht="15.95" thickBot="1">
      <c r="A90" s="116"/>
      <c r="B90" s="6"/>
      <c r="C90" s="107"/>
      <c r="E90" s="6"/>
      <c r="F90" s="107"/>
      <c r="H90" s="6"/>
      <c r="I90" s="107"/>
      <c r="K90" s="6"/>
      <c r="L90" s="107"/>
      <c r="N90" s="6"/>
      <c r="O90" s="6"/>
    </row>
    <row r="91" spans="1:25">
      <c r="A91" s="116"/>
      <c r="B91" s="12" t="str" cm="1">
        <f t="array" ref="B91:B93">_xlfn._xlws.FILTER(Staf!$C:$C,Staf!$B:$B='Teams-deelversie'!B81,"")</f>
        <v>Trainer/Coach</v>
      </c>
      <c r="C91" s="14" t="str" cm="1">
        <f t="array" ref="C91:C93">_xlfn._xlws.FILTER(Staf!$A:$A,Staf!$B:$B='Teams-deelversie'!B81,"")</f>
        <v>Marcel St. Nicolaas</v>
      </c>
      <c r="E91" s="12" t="str" cm="1">
        <f t="array" ref="E91:E92">_xlfn._xlws.FILTER(Staf!$C:$C,Staf!$B:$B='Teams-deelversie'!E81,"")</f>
        <v>Trainer/Coach</v>
      </c>
      <c r="F91" s="14" t="str" cm="1">
        <f t="array" ref="F91:F92">_xlfn._xlws.FILTER(Staf!$A:$A,Staf!$B:$B='Teams-deelversie'!E81,"")</f>
        <v>Marlies Valk</v>
      </c>
      <c r="H91" s="12" t="str" cm="1">
        <f t="array" ref="H91:H92">_xlfn._xlws.FILTER(Staf!$C:$C,Staf!$B:$B='Teams-deelversie'!H81,"")</f>
        <v>Trainer/Coach</v>
      </c>
      <c r="I91" s="14" t="str" cm="1">
        <f t="array" ref="I91:I92">_xlfn._xlws.FILTER(Staf!$A:$A,Staf!$B:$B='Teams-deelversie'!H81,"")</f>
        <v>Anouk de Jongh</v>
      </c>
      <c r="K91" s="12" t="str" cm="1">
        <f t="array" ref="K91:K92">_xlfn._xlws.FILTER(Staf!$C:$C,Staf!$B:$B='Teams-deelversie'!K81,"")</f>
        <v>Trainer/Coach</v>
      </c>
      <c r="L91" s="14" t="str" cm="1">
        <f t="array" ref="L91:L92">_xlfn._xlws.FILTER(Staf!$A:$A,Staf!$B:$B='Teams-deelversie'!K81,"")</f>
        <v xml:space="preserve">Vacature </v>
      </c>
      <c r="N91" s="12" t="str" cm="1">
        <f t="array" ref="N91">_xlfn._xlws.FILTER(Staf!$C:$C,Staf!$B:$B='Teams-deelversie'!N81,"")</f>
        <v/>
      </c>
      <c r="O91" s="13"/>
    </row>
    <row r="92" spans="1:25">
      <c r="A92" s="116"/>
      <c r="B92" s="15" t="str">
        <v>Trainer/Coach</v>
      </c>
      <c r="C92" s="17" t="str">
        <v>Tom van de Ven</v>
      </c>
      <c r="E92" s="15" t="str">
        <v>Trainer/Coach</v>
      </c>
      <c r="F92" s="17" t="str">
        <v>Sara Boshoven</v>
      </c>
      <c r="H92" s="15" t="str">
        <v>Trainer/Coach</v>
      </c>
      <c r="I92" s="17" t="str">
        <v>Sjoerd van Ameijden</v>
      </c>
      <c r="K92" s="15" t="str">
        <v>Trainer/Coach</v>
      </c>
      <c r="L92" s="17" t="str">
        <v xml:space="preserve">Vacature </v>
      </c>
      <c r="N92" s="15"/>
      <c r="O92" s="16"/>
    </row>
    <row r="93" spans="1:25" ht="15.95" thickBot="1">
      <c r="A93" s="116"/>
      <c r="B93" s="18" t="str">
        <v>Assistent-trainer</v>
      </c>
      <c r="C93" s="20" t="str">
        <v>Alex de Boer</v>
      </c>
      <c r="E93" s="18"/>
      <c r="F93" s="20"/>
      <c r="H93" s="18"/>
      <c r="I93" s="20"/>
      <c r="K93" s="18"/>
      <c r="L93" s="20"/>
      <c r="N93" s="18"/>
      <c r="O93" s="19"/>
    </row>
    <row r="94" spans="1:25" ht="15.95" thickBot="1"/>
    <row r="95" spans="1:25" ht="15.95" thickBot="1">
      <c r="A95" s="116" t="s">
        <v>38</v>
      </c>
      <c r="B95" s="84" t="s">
        <v>39</v>
      </c>
      <c r="C95" s="104"/>
      <c r="E95" s="84" t="s">
        <v>40</v>
      </c>
      <c r="F95" s="104"/>
      <c r="H95" s="84" t="s">
        <v>41</v>
      </c>
      <c r="I95" s="104"/>
      <c r="K95" s="84" t="s">
        <v>42</v>
      </c>
      <c r="L95" s="104"/>
      <c r="N95" s="84" t="s">
        <v>43</v>
      </c>
      <c r="O95" s="104"/>
      <c r="Q95" s="84" t="s">
        <v>44</v>
      </c>
      <c r="R95" s="104"/>
      <c r="T95" s="21" t="s">
        <v>45</v>
      </c>
      <c r="U95" s="21"/>
      <c r="V95" s="21"/>
      <c r="W95" s="21"/>
      <c r="X95" s="21"/>
      <c r="Y95" s="21"/>
    </row>
    <row r="96" spans="1:25" ht="15.95" thickBot="1">
      <c r="A96" s="116"/>
      <c r="B96" s="8" t="s">
        <v>1066</v>
      </c>
      <c r="C96" s="105" t="s">
        <v>1068</v>
      </c>
      <c r="E96" s="8" t="s">
        <v>1066</v>
      </c>
      <c r="F96" s="105" t="s">
        <v>1068</v>
      </c>
      <c r="H96" s="8" t="s">
        <v>1066</v>
      </c>
      <c r="I96" s="105" t="s">
        <v>1068</v>
      </c>
      <c r="K96" s="8" t="s">
        <v>1066</v>
      </c>
      <c r="L96" s="105" t="s">
        <v>1068</v>
      </c>
      <c r="N96" s="8" t="s">
        <v>1066</v>
      </c>
      <c r="O96" s="105" t="s">
        <v>1068</v>
      </c>
      <c r="Q96" s="8" t="s">
        <v>1066</v>
      </c>
      <c r="R96" s="105" t="s">
        <v>1068</v>
      </c>
      <c r="T96" s="8" t="s">
        <v>1066</v>
      </c>
      <c r="U96" s="9"/>
      <c r="V96" s="10"/>
      <c r="W96" s="8" t="s">
        <v>1068</v>
      </c>
      <c r="X96" s="9"/>
      <c r="Y96" s="10"/>
    </row>
    <row r="97" spans="1:25">
      <c r="A97" s="116"/>
      <c r="B97" s="3" t="str" cm="1">
        <f t="array" ref="B97:B99">_xlfn._xlws.FILTER(Spelerslijst!$B:$B,Spelerslijst!$G:$G=B$95,"")</f>
        <v>Maartje Laban</v>
      </c>
      <c r="C97" s="106" t="str" cm="1">
        <f t="array" ref="C97:C98">_xlfn._xlws.FILTER(Spelerslijst!$L:$L,Spelerslijst!$Q:$Q=B$95,"")</f>
        <v>Koen Ploeg</v>
      </c>
      <c r="E97" s="3" t="str" cm="1">
        <f t="array" ref="E97:E99">_xlfn._xlws.FILTER(Spelerslijst!$B:$B,Spelerslijst!$G:$G=E$95,"")</f>
        <v>Aniek van den Bergh</v>
      </c>
      <c r="F97" s="106" t="str" cm="1">
        <f t="array" ref="F97:F98">_xlfn._xlws.FILTER(Spelerslijst!$L:$L,Spelerslijst!$Q:$Q=E$95,"")</f>
        <v>Gideon Verberkt</v>
      </c>
      <c r="H97" s="3" t="str" cm="1">
        <f t="array" ref="H97:H100">_xlfn._xlws.FILTER(Spelerslijst!$B:$B,Spelerslijst!$G:$G=H$95,"")</f>
        <v>Imme Bouman</v>
      </c>
      <c r="I97" s="106" t="str" cm="1">
        <f t="array" ref="I97">_xlfn._xlws.FILTER(Spelerslijst!$L:$L,Spelerslijst!$Q:$Q=H$95,"")</f>
        <v>Tom van der Stel</v>
      </c>
      <c r="K97" s="3" t="str" cm="1">
        <f t="array" ref="K97:K101">_xlfn._xlws.FILTER(Spelerslijst!$B:$B,Spelerslijst!$G:$G=K$95,"")</f>
        <v>Jaylinn Ottevanger</v>
      </c>
      <c r="L97" s="106" t="str" cm="1">
        <f t="array" ref="L97">_xlfn._xlws.FILTER(Spelerslijst!$L:$L,Spelerslijst!$Q:$Q=K$95,"")</f>
        <v>Lucien Mol</v>
      </c>
      <c r="N97" s="3" t="str" cm="1">
        <f t="array" ref="N97">_xlfn._xlws.FILTER(Spelerslijst!$B:$B,Spelerslijst!$G:$G=N$95,"")</f>
        <v/>
      </c>
      <c r="O97" s="106" t="str" cm="1">
        <f t="array" ref="O97">_xlfn._xlws.FILTER(Spelerslijst!$L:$L,Spelerslijst!$Q:$Q=N$95,"")</f>
        <v/>
      </c>
      <c r="Q97" s="3" t="str" cm="1">
        <f t="array" ref="Q97">_xlfn._xlws.FILTER(Spelerslijst!$B:$B,Spelerslijst!$G:$G=Q$95,"")</f>
        <v/>
      </c>
      <c r="R97" s="106" t="str" cm="1">
        <f t="array" ref="R97">_xlfn._xlws.FILTER(Spelerslijst!$L:$L,Spelerslijst!$Q:$Q=Q$95,"")</f>
        <v/>
      </c>
      <c r="T97" s="3" t="str" cm="1">
        <f t="array" ref="T97">_xlfn._xlws.FILTER(Spelerslijst!$B:$B,Spelerslijst!$G:$G=T$95,"")</f>
        <v/>
      </c>
      <c r="U97" s="4" t="str" cm="1">
        <f t="array" ref="U97">_xlfn._xlws.FILTER(Spelerslijst!$H:$H,Spelerslijst!$G:$G=T$95,"")</f>
        <v/>
      </c>
      <c r="V97" s="5" t="str" cm="1">
        <f t="array" ref="V97">_xlfn._xlws.FILTER(Spelerslijst!$D:$D,Spelerslijst!$G:$G=T$95,"")</f>
        <v/>
      </c>
      <c r="W97" s="3" t="str" cm="1">
        <f t="array" ref="W97">_xlfn._xlws.FILTER(Spelerslijst!$L:$L,Spelerslijst!$Q:$Q=T$95,"")</f>
        <v/>
      </c>
      <c r="X97" s="4" t="str" cm="1">
        <f t="array" ref="X97">_xlfn._xlws.FILTER(Spelerslijst!$R:$R,Spelerslijst!$Q:$Q=T$95,"")</f>
        <v/>
      </c>
      <c r="Y97" s="5" t="str" cm="1">
        <f t="array" ref="Y97">_xlfn._xlws.FILTER(Spelerslijst!$N:$N,Spelerslijst!$Q:$Q=T$95,"")</f>
        <v/>
      </c>
    </row>
    <row r="98" spans="1:25">
      <c r="A98" s="116"/>
      <c r="B98" s="6" t="str">
        <v>Robin Mans</v>
      </c>
      <c r="C98" s="107" t="str">
        <v>Rens Boekee</v>
      </c>
      <c r="E98" s="6" t="str">
        <v>Julia van Twist</v>
      </c>
      <c r="F98" s="107" t="str">
        <v>Timo van der Sijde</v>
      </c>
      <c r="H98" s="6" t="str">
        <v>Karlijn Bakker</v>
      </c>
      <c r="I98" s="107"/>
      <c r="K98" s="6" t="str">
        <v>Julia Baas</v>
      </c>
      <c r="L98" s="107"/>
      <c r="N98" s="6"/>
      <c r="O98" s="107"/>
      <c r="Q98" s="6"/>
      <c r="R98" s="107"/>
      <c r="T98" s="6"/>
      <c r="U98" s="2"/>
      <c r="V98" s="7"/>
      <c r="W98" s="6"/>
      <c r="X98" s="2"/>
      <c r="Y98" s="7"/>
    </row>
    <row r="99" spans="1:25">
      <c r="A99" s="116"/>
      <c r="B99" s="6" t="str">
        <v>Sofie Kleingeld</v>
      </c>
      <c r="C99" s="107"/>
      <c r="E99" s="6" t="str">
        <v>Nehir Torbali</v>
      </c>
      <c r="F99" s="107"/>
      <c r="H99" s="6" t="str">
        <v>Suze Maaskant</v>
      </c>
      <c r="I99" s="107"/>
      <c r="K99" s="6" t="str">
        <v>Nesrin Kombe</v>
      </c>
      <c r="L99" s="107"/>
      <c r="N99" s="6"/>
      <c r="O99" s="107"/>
      <c r="Q99" s="6"/>
      <c r="R99" s="107"/>
      <c r="T99" s="6"/>
      <c r="U99" s="2"/>
      <c r="V99" s="7"/>
      <c r="W99" s="6"/>
      <c r="X99" s="2"/>
      <c r="Y99" s="7"/>
    </row>
    <row r="100" spans="1:25">
      <c r="A100" s="116"/>
      <c r="B100" s="6"/>
      <c r="C100" s="107"/>
      <c r="E100" s="6"/>
      <c r="F100" s="107"/>
      <c r="H100" s="6" t="str">
        <v>Tess Rebollo</v>
      </c>
      <c r="I100" s="107"/>
      <c r="K100" s="6" t="str">
        <v>Vive Jacobs</v>
      </c>
      <c r="L100" s="107"/>
      <c r="N100" s="6"/>
      <c r="O100" s="107"/>
      <c r="Q100" s="6"/>
      <c r="R100" s="107"/>
      <c r="T100" s="6"/>
      <c r="U100" s="2"/>
      <c r="V100" s="7"/>
      <c r="W100" s="6"/>
      <c r="X100" s="2"/>
      <c r="Y100" s="7"/>
    </row>
    <row r="101" spans="1:25">
      <c r="A101" s="116"/>
      <c r="B101" s="6"/>
      <c r="C101" s="107"/>
      <c r="E101" s="6"/>
      <c r="F101" s="107"/>
      <c r="H101" s="6"/>
      <c r="I101" s="107"/>
      <c r="K101" s="6" t="str">
        <v>Wies van den Berg</v>
      </c>
      <c r="L101" s="107"/>
      <c r="N101" s="6"/>
      <c r="O101" s="107"/>
      <c r="Q101" s="6"/>
      <c r="R101" s="107"/>
      <c r="T101" s="6"/>
      <c r="U101" s="2"/>
      <c r="V101" s="7"/>
      <c r="W101" s="6"/>
      <c r="X101" s="2"/>
      <c r="Y101" s="7"/>
    </row>
    <row r="102" spans="1:25" ht="15.95" thickBot="1">
      <c r="A102" s="116"/>
      <c r="B102" s="6"/>
      <c r="C102" s="107"/>
      <c r="E102" s="6"/>
      <c r="F102" s="107"/>
      <c r="H102" s="6"/>
      <c r="I102" s="107"/>
      <c r="K102" s="6"/>
      <c r="L102" s="107"/>
      <c r="N102" s="6"/>
      <c r="O102" s="107"/>
      <c r="Q102" s="6"/>
      <c r="R102" s="107"/>
      <c r="T102" s="6"/>
      <c r="U102" s="2"/>
      <c r="V102" s="7"/>
      <c r="W102" s="6"/>
      <c r="X102" s="2"/>
      <c r="Y102" s="7"/>
    </row>
    <row r="103" spans="1:25">
      <c r="A103" s="116"/>
      <c r="B103" s="12" t="str" cm="1">
        <f t="array" ref="B103:B105">_xlfn._xlws.FILTER(Staf!$C:$C,Staf!$B:$B='Teams-deelversie'!B95,"")</f>
        <v>Trainer/Coach</v>
      </c>
      <c r="C103" s="14" t="str" cm="1">
        <f t="array" ref="C103:C105">_xlfn._xlws.FILTER(Staf!$A:$A,Staf!$B:$B='Teams-deelversie'!B95,"")</f>
        <v>Liesbeth Wibbens</v>
      </c>
      <c r="E103" s="12" t="str" cm="1">
        <f t="array" ref="E103">_xlfn._xlws.FILTER(Staf!$C:$C,Staf!$B:$B='Teams-deelversie'!E95,"")</f>
        <v>Trainer/Coach</v>
      </c>
      <c r="F103" s="14" t="str" cm="1">
        <f t="array" ref="F103">_xlfn._xlws.FILTER(Staf!$A:$A,Staf!$B:$B='Teams-deelversie'!E95,"")</f>
        <v>Ilonka Bouwknegt</v>
      </c>
      <c r="H103" s="12" t="str" cm="1">
        <f t="array" ref="H103:H106">_xlfn._xlws.FILTER(Staf!$C:$C,Staf!$B:$B='Teams-deelversie'!H95,"")</f>
        <v>Trainer/Coach</v>
      </c>
      <c r="I103" s="14" t="str" cm="1">
        <f t="array" ref="I103:I106">_xlfn._xlws.FILTER(Staf!$A:$A,Staf!$B:$B='Teams-deelversie'!H95,"")</f>
        <v>Matthijs de Jongh</v>
      </c>
      <c r="K103" s="12" t="str" cm="1">
        <f t="array" ref="K103:K104">_xlfn._xlws.FILTER(Staf!$C:$C,Staf!$B:$B='Teams-deelversie'!K95,"")</f>
        <v>Trainer/Coach</v>
      </c>
      <c r="L103" s="14" t="str" cm="1">
        <f t="array" ref="L103:L104">_xlfn._xlws.FILTER(Staf!$A:$A,Staf!$B:$B=Teams!W103,"")</f>
        <v>Jet van Trooijen</v>
      </c>
      <c r="N103" s="12" t="str" cm="1">
        <f t="array" ref="N103">_xlfn._xlws.FILTER(Staf!$C:$C,Staf!$B:$B='Teams-deelversie'!N95,"")</f>
        <v/>
      </c>
      <c r="O103" s="14"/>
      <c r="Q103" s="12" t="str" cm="1">
        <f t="array" ref="Q103">_xlfn._xlws.FILTER(Staf!$C:$C,Staf!$B:$B='Teams-deelversie'!Q95,"")</f>
        <v/>
      </c>
      <c r="R103" s="14"/>
      <c r="T103" s="12" t="str" cm="1">
        <f t="array" ref="T103">_xlfn._xlws.FILTER(Staf!$C:$C,Staf!$B:$B='Teams-deelversie'!T95,"")</f>
        <v/>
      </c>
      <c r="U103" s="13" t="str" cm="1">
        <f t="array" ref="U103">_xlfn._xlws.FILTER(Staf!$A:$A,Staf!$B:$B='Teams-deelversie'!T95,"")</f>
        <v/>
      </c>
      <c r="V103" s="13"/>
      <c r="W103" s="13"/>
      <c r="X103" s="13"/>
      <c r="Y103" s="14"/>
    </row>
    <row r="104" spans="1:25">
      <c r="A104" s="116"/>
      <c r="B104" s="15" t="str">
        <v>Trainer/Coach</v>
      </c>
      <c r="C104" s="17" t="str">
        <v>Monique te Witt</v>
      </c>
      <c r="E104" s="15"/>
      <c r="F104" s="17"/>
      <c r="H104" s="15" t="str">
        <v>Trainer/Coach</v>
      </c>
      <c r="I104" s="17" t="str">
        <v>Viviënne Versnel</v>
      </c>
      <c r="K104" s="15" t="str">
        <v>Trainer/Coach</v>
      </c>
      <c r="L104" s="17" t="str">
        <v>Kimberly Jacobs</v>
      </c>
      <c r="N104" s="15"/>
      <c r="O104" s="17"/>
      <c r="Q104" s="15"/>
      <c r="R104" s="17"/>
      <c r="T104" s="15"/>
      <c r="U104" s="16"/>
      <c r="V104" s="16"/>
      <c r="W104" s="16"/>
      <c r="X104" s="16"/>
      <c r="Y104" s="17"/>
    </row>
    <row r="105" spans="1:25" ht="15.95" thickBot="1">
      <c r="A105" s="116"/>
      <c r="B105" s="18" t="str">
        <v>Ondersteuning E-trainers</v>
      </c>
      <c r="C105" s="20" t="str">
        <v>Gertjan Ploeg</v>
      </c>
      <c r="E105" s="18"/>
      <c r="F105" s="20"/>
      <c r="H105" s="18" t="str">
        <v>Trainer/Coach</v>
      </c>
      <c r="I105" s="20" t="str">
        <v>Tessa van Everdingen</v>
      </c>
      <c r="K105" s="18"/>
      <c r="L105" s="20"/>
      <c r="N105" s="18"/>
      <c r="O105" s="20"/>
      <c r="Q105" s="18"/>
      <c r="R105" s="20"/>
      <c r="T105" s="18"/>
      <c r="U105" s="19"/>
      <c r="V105" s="19"/>
      <c r="W105" s="19"/>
      <c r="X105" s="19"/>
      <c r="Y105" s="20"/>
    </row>
    <row r="106" spans="1:25" ht="15.95" thickBot="1">
      <c r="H106" t="str">
        <v>Ondersteuning</v>
      </c>
      <c r="I106" t="str">
        <v>Lieke Bakker</v>
      </c>
    </row>
    <row r="107" spans="1:25" ht="15.95" thickBot="1">
      <c r="A107" s="116" t="s">
        <v>46</v>
      </c>
      <c r="B107" s="84" t="s">
        <v>47</v>
      </c>
      <c r="C107" s="104"/>
      <c r="E107" s="84" t="s">
        <v>48</v>
      </c>
      <c r="F107" s="104"/>
      <c r="H107" s="84" t="s">
        <v>49</v>
      </c>
      <c r="I107" s="104"/>
      <c r="K107" s="84" t="s">
        <v>50</v>
      </c>
      <c r="L107" s="104"/>
      <c r="N107" s="84" t="s">
        <v>51</v>
      </c>
      <c r="O107" s="104"/>
    </row>
    <row r="108" spans="1:25" ht="15.95" thickBot="1">
      <c r="A108" s="116"/>
      <c r="B108" s="8" t="s">
        <v>1066</v>
      </c>
      <c r="C108" s="105" t="s">
        <v>1068</v>
      </c>
      <c r="E108" s="8" t="s">
        <v>1066</v>
      </c>
      <c r="F108" s="105" t="s">
        <v>1068</v>
      </c>
      <c r="H108" s="8" t="s">
        <v>1066</v>
      </c>
      <c r="I108" s="105" t="s">
        <v>1068</v>
      </c>
      <c r="K108" s="8" t="s">
        <v>1066</v>
      </c>
      <c r="L108" s="105" t="s">
        <v>1068</v>
      </c>
      <c r="N108" s="8" t="s">
        <v>1066</v>
      </c>
      <c r="O108" s="105" t="s">
        <v>1068</v>
      </c>
    </row>
    <row r="109" spans="1:25">
      <c r="A109" s="116"/>
      <c r="B109" s="3" t="str" cm="1">
        <f t="array" ref="B109:B110">_xlfn._xlws.FILTER(Spelerslijst!$B:$B,Spelerslijst!$G:$G=B$107,"")</f>
        <v>Alisa Stomp</v>
      </c>
      <c r="C109" s="106" t="str" cm="1">
        <f t="array" ref="C109:C111">_xlfn._xlws.FILTER(Spelerslijst!$L:$L,Spelerslijst!$Q:$Q=B$107,"")</f>
        <v>Amos Alberts</v>
      </c>
      <c r="E109" s="3" t="str" cm="1">
        <f t="array" ref="E109:E112">_xlfn._xlws.FILTER(Spelerslijst!$B:$B,Spelerslijst!$G:$G=E$107,"")</f>
        <v>Livia van de Burgt</v>
      </c>
      <c r="F109" s="106" t="str" cm="1">
        <f t="array" ref="F109:F112">_xlfn._xlws.FILTER(Spelerslijst!$L:$L,Spelerslijst!$Q:$Q=E$107,"")</f>
        <v>Elroy van Wingerden</v>
      </c>
      <c r="H109" s="3" t="str" cm="1">
        <f t="array" ref="H109">_xlfn._xlws.FILTER(Spelerslijst!$B:$B,Spelerslijst!$G:$G=H$107,"")</f>
        <v/>
      </c>
      <c r="I109" s="106" t="str" cm="1">
        <f t="array" ref="I109">_xlfn._xlws.FILTER(Spelerslijst!$L:$L,Spelerslijst!$Q:$Q=H$107,"")</f>
        <v/>
      </c>
      <c r="K109" s="3" t="str" cm="1">
        <f t="array" ref="K109">_xlfn._xlws.FILTER(Spelerslijst!$B:$B,Spelerslijst!$G:$G=K$107,"")</f>
        <v/>
      </c>
      <c r="L109" s="106" t="str" cm="1">
        <f t="array" ref="L109">_xlfn._xlws.FILTER(Spelerslijst!$L:$L,Spelerslijst!$Q:$Q=K$107,"")</f>
        <v/>
      </c>
      <c r="N109" s="3" t="str" cm="1">
        <f t="array" ref="N109">_xlfn._xlws.FILTER(Spelerslijst!$B:$B,Spelerslijst!$G:$G=N$107,"")</f>
        <v/>
      </c>
      <c r="O109" s="106" t="str" cm="1">
        <f t="array" ref="O109">_xlfn._xlws.FILTER(Spelerslijst!$L:$L,Spelerslijst!$Q:$Q=N$107,"")</f>
        <v/>
      </c>
    </row>
    <row r="110" spans="1:25">
      <c r="A110" s="116"/>
      <c r="B110" s="6" t="str">
        <v>Lara Mans</v>
      </c>
      <c r="C110" s="107" t="str">
        <v>Luuk Ploeg</v>
      </c>
      <c r="E110" s="6" t="str">
        <v>Mayvin Nawar</v>
      </c>
      <c r="F110" s="107" t="str">
        <v>Finn Ploeg</v>
      </c>
      <c r="H110" s="6"/>
      <c r="I110" s="107"/>
      <c r="K110" s="6"/>
      <c r="L110" s="107"/>
      <c r="N110" s="6"/>
      <c r="O110" s="107"/>
    </row>
    <row r="111" spans="1:25">
      <c r="A111" s="116"/>
      <c r="B111" s="6"/>
      <c r="C111" s="107" t="str">
        <v>Sepp de Jong</v>
      </c>
      <c r="E111" s="6" t="str">
        <v>Sanna de Lange</v>
      </c>
      <c r="F111" s="107" t="str">
        <v>Ruben Verberkt</v>
      </c>
      <c r="H111" s="6"/>
      <c r="I111" s="107"/>
      <c r="K111" s="6"/>
      <c r="L111" s="107"/>
      <c r="N111" s="6"/>
      <c r="O111" s="107"/>
    </row>
    <row r="112" spans="1:25">
      <c r="A112" s="116"/>
      <c r="B112" s="6"/>
      <c r="C112" s="107"/>
      <c r="E112" s="6" t="str">
        <v>Tess Rombouts</v>
      </c>
      <c r="F112" s="107" t="str">
        <v>Stepan Polumysni</v>
      </c>
      <c r="H112" s="6"/>
      <c r="I112" s="107"/>
      <c r="K112" s="6"/>
      <c r="L112" s="107"/>
      <c r="N112" s="6"/>
      <c r="O112" s="107"/>
    </row>
    <row r="113" spans="1:15">
      <c r="A113" s="116"/>
      <c r="B113" s="6"/>
      <c r="C113" s="107"/>
      <c r="E113" s="6"/>
      <c r="F113" s="107"/>
      <c r="H113" s="6"/>
      <c r="I113" s="107"/>
      <c r="K113" s="6"/>
      <c r="L113" s="107"/>
      <c r="N113" s="6"/>
      <c r="O113" s="107"/>
    </row>
    <row r="114" spans="1:15" ht="15.95" thickBot="1">
      <c r="A114" s="116"/>
      <c r="B114" s="6"/>
      <c r="C114" s="107"/>
      <c r="E114" s="6"/>
      <c r="F114" s="107"/>
      <c r="H114" s="6"/>
      <c r="I114" s="107"/>
      <c r="K114" s="6"/>
      <c r="L114" s="107"/>
      <c r="N114" s="6"/>
      <c r="O114" s="107"/>
    </row>
    <row r="115" spans="1:15">
      <c r="A115" s="116"/>
      <c r="B115" s="12" t="str" cm="1">
        <f t="array" ref="B115:B117">_xlfn._xlws.FILTER(Staf!$C:$C,Staf!$B:$B='Teams-deelversie'!B107,"")</f>
        <v>Hoofd trainer/coach F</v>
      </c>
      <c r="C115" s="14" t="str" cm="1">
        <f t="array" ref="C115:C117">_xlfn._xlws.FILTER(Staf!$A:$A,Staf!$B:$B=Teams!B115,"")</f>
        <v>Lianne Stomp - vd Burgt</v>
      </c>
      <c r="E115" s="12" t="str" cm="1">
        <f t="array" ref="E115:E117">_xlfn._xlws.FILTER(Staf!$C:$C,Staf!$B:$B='Teams-deelversie'!E107,"")</f>
        <v>Hoofd trainer/coach F</v>
      </c>
      <c r="F115" s="14" t="str" cm="1">
        <f t="array" ref="F115:F117">_xlfn._xlws.FILTER(Staf!$A:$A,Staf!$B:$B=Teams!I115,"")</f>
        <v>Lianne Stomp - vd Burgt</v>
      </c>
      <c r="H115" s="12" t="str" cm="1">
        <f t="array" ref="H115">_xlfn._xlws.FILTER(Staf!$C:$C,Staf!$B:$B='Teams-deelversie'!H107,"")</f>
        <v/>
      </c>
      <c r="I115" s="14"/>
      <c r="K115" s="12" t="str" cm="1">
        <f t="array" ref="K115">_xlfn._xlws.FILTER(Staf!$C:$C,Staf!$B:$B='Teams-deelversie'!K107,"")</f>
        <v/>
      </c>
      <c r="L115" s="14"/>
      <c r="N115" s="12" t="str" cm="1">
        <f t="array" ref="N115">_xlfn._xlws.FILTER(Staf!$C:$C,Staf!$B:$B='Teams-deelversie'!N107,"")</f>
        <v/>
      </c>
      <c r="O115" s="14"/>
    </row>
    <row r="116" spans="1:15">
      <c r="A116" s="116"/>
      <c r="B116" s="15" t="str">
        <v>Trainer/Coach</v>
      </c>
      <c r="C116" s="17" t="str">
        <v>Seth vd Burgt</v>
      </c>
      <c r="E116" s="15" t="str">
        <v>Trainer/Coach</v>
      </c>
      <c r="F116" s="17" t="str">
        <v>Noa Stomp</v>
      </c>
      <c r="H116" s="15"/>
      <c r="I116" s="17"/>
      <c r="K116" s="15"/>
      <c r="L116" s="17"/>
      <c r="N116" s="15"/>
      <c r="O116" s="17"/>
    </row>
    <row r="117" spans="1:15">
      <c r="A117" s="116"/>
      <c r="B117" s="15" t="str">
        <v>Trainer/Coach</v>
      </c>
      <c r="C117" s="17" t="str">
        <v>Sophie Kilsdonk</v>
      </c>
      <c r="E117" s="15" t="str">
        <v>Teambegeleider</v>
      </c>
      <c r="F117" s="17" t="str">
        <v>Irene Ploeg</v>
      </c>
      <c r="H117" s="15"/>
      <c r="I117" s="17"/>
      <c r="K117" s="15"/>
      <c r="L117" s="17"/>
      <c r="N117" s="15"/>
      <c r="O117" s="17"/>
    </row>
    <row r="118" spans="1:15" ht="15.95" thickBot="1">
      <c r="A118" s="116"/>
      <c r="B118" s="18"/>
      <c r="C118" s="20"/>
      <c r="E118" s="18"/>
      <c r="F118" s="20"/>
      <c r="H118" s="18"/>
      <c r="I118" s="20"/>
      <c r="K118" s="18"/>
      <c r="L118" s="20"/>
      <c r="N118" s="18"/>
      <c r="O118" s="20"/>
    </row>
    <row r="119" spans="1:15" ht="15.95" thickBot="1"/>
    <row r="120" spans="1:15" ht="15.95" thickBot="1">
      <c r="A120" s="116" t="s">
        <v>52</v>
      </c>
      <c r="B120" s="84" t="s">
        <v>53</v>
      </c>
      <c r="C120" s="104"/>
    </row>
    <row r="121" spans="1:15" ht="15.95" thickBot="1">
      <c r="A121" s="116"/>
      <c r="B121" s="8" t="s">
        <v>1066</v>
      </c>
      <c r="C121" s="105" t="s">
        <v>1068</v>
      </c>
    </row>
    <row r="122" spans="1:15">
      <c r="A122" s="116"/>
      <c r="B122" s="3" t="str" cm="1">
        <f t="array" ref="B122">_xlfn._xlws.FILTER(Spelerslijst!$B:$B,Spelerslijst!$G:$G=B$120,"")</f>
        <v>Floor van de Merwe</v>
      </c>
      <c r="C122" s="106" t="str" cm="1">
        <f t="array" ref="C122:C123">_xlfn._xlws.FILTER(Spelerslijst!$L:$L,Spelerslijst!$Q:$Q=B$120,"")</f>
        <v>Branley van Wingerden</v>
      </c>
    </row>
    <row r="123" spans="1:15">
      <c r="A123" s="116"/>
      <c r="B123" s="6"/>
      <c r="C123" s="107" t="str">
        <v>Olle Bezemer</v>
      </c>
    </row>
    <row r="124" spans="1:15">
      <c r="A124" s="116"/>
      <c r="B124" s="6"/>
      <c r="C124" s="107"/>
    </row>
    <row r="125" spans="1:15">
      <c r="A125" s="116"/>
      <c r="B125" s="6"/>
      <c r="C125" s="107"/>
    </row>
    <row r="126" spans="1:15">
      <c r="A126" s="116"/>
      <c r="B126" s="6"/>
      <c r="C126" s="107"/>
    </row>
    <row r="127" spans="1:15">
      <c r="A127" s="116"/>
      <c r="B127" s="6"/>
      <c r="C127" s="107"/>
    </row>
    <row r="128" spans="1:15">
      <c r="A128" s="116"/>
      <c r="B128" s="6"/>
      <c r="C128" s="107"/>
    </row>
    <row r="129" spans="1:3" ht="15.95" thickBot="1">
      <c r="A129" s="116"/>
      <c r="B129" s="6"/>
      <c r="C129" s="107"/>
    </row>
    <row r="130" spans="1:3">
      <c r="A130" s="116"/>
      <c r="B130" s="12" t="str" cm="1">
        <f t="array" ref="B130">_xlfn._xlws.FILTER(Staf!$C:$C,Staf!$B:$B='Teams-deelversie'!B120,"")</f>
        <v/>
      </c>
      <c r="C130" s="14"/>
    </row>
    <row r="131" spans="1:3">
      <c r="A131" s="116"/>
      <c r="B131" s="15"/>
      <c r="C131" s="17"/>
    </row>
    <row r="132" spans="1:3" ht="15.95" thickBot="1">
      <c r="A132" s="116"/>
      <c r="B132" s="18"/>
      <c r="C132" s="20"/>
    </row>
  </sheetData>
  <mergeCells count="9">
    <mergeCell ref="A95:A105"/>
    <mergeCell ref="A107:A118"/>
    <mergeCell ref="A120:A132"/>
    <mergeCell ref="A2:A24"/>
    <mergeCell ref="A26:A37"/>
    <mergeCell ref="A39:A52"/>
    <mergeCell ref="A54:A65"/>
    <mergeCell ref="A67:A79"/>
    <mergeCell ref="A81:A9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6F42-7DCB-44F4-B848-35E3940B68E0}">
  <sheetPr>
    <tabColor theme="5"/>
  </sheetPr>
  <dimension ref="A1:O29"/>
  <sheetViews>
    <sheetView topLeftCell="B1" zoomScale="115" zoomScaleNormal="115" workbookViewId="0">
      <selection activeCell="B2" sqref="B2"/>
    </sheetView>
  </sheetViews>
  <sheetFormatPr defaultColWidth="8.7109375" defaultRowHeight="15"/>
  <cols>
    <col min="1" max="1" width="9.7109375" bestFit="1" customWidth="1"/>
    <col min="2" max="2" width="21" bestFit="1" customWidth="1"/>
    <col min="3" max="3" width="10.28515625" bestFit="1" customWidth="1"/>
    <col min="4" max="4" width="15.42578125" customWidth="1"/>
    <col min="5" max="5" width="11.28515625" style="1" bestFit="1" customWidth="1"/>
    <col min="6" max="6" width="18.42578125" bestFit="1" customWidth="1"/>
    <col min="7" max="7" width="13.7109375" bestFit="1" customWidth="1"/>
    <col min="9" max="9" width="10" bestFit="1" customWidth="1"/>
    <col min="10" max="10" width="16.7109375" bestFit="1" customWidth="1"/>
    <col min="11" max="11" width="10.28515625" bestFit="1" customWidth="1"/>
    <col min="12" max="12" width="17.7109375" bestFit="1" customWidth="1"/>
    <col min="13" max="13" width="11.28515625" style="1" bestFit="1" customWidth="1"/>
    <col min="14" max="14" width="18.42578125" bestFit="1" customWidth="1"/>
    <col min="15" max="15" width="13.7109375" bestFit="1" customWidth="1"/>
  </cols>
  <sheetData>
    <row r="1" spans="1:15">
      <c r="A1" s="23" t="s">
        <v>54</v>
      </c>
      <c r="B1" s="23" t="s">
        <v>55</v>
      </c>
      <c r="C1" s="23" t="s">
        <v>56</v>
      </c>
      <c r="D1" s="23" t="s">
        <v>57</v>
      </c>
      <c r="E1" s="25" t="s">
        <v>58</v>
      </c>
      <c r="F1" s="23" t="s">
        <v>59</v>
      </c>
      <c r="G1" s="23" t="s">
        <v>1076</v>
      </c>
      <c r="I1" s="11" t="s">
        <v>54</v>
      </c>
      <c r="J1" s="11" t="s">
        <v>55</v>
      </c>
      <c r="K1" s="11" t="s">
        <v>56</v>
      </c>
      <c r="L1" s="11" t="s">
        <v>57</v>
      </c>
      <c r="M1" s="27" t="s">
        <v>58</v>
      </c>
      <c r="N1" s="11" t="s">
        <v>59</v>
      </c>
      <c r="O1" s="11" t="s">
        <v>1076</v>
      </c>
    </row>
    <row r="2" spans="1:15">
      <c r="A2" s="24" t="str" cm="1">
        <f t="array" ref="A2:A12">_xlfn._xlws.FILTER(Spelerslijst!A:A,Spelerslijst!$G:$G="Stopt","")</f>
        <v>NKS24S7</v>
      </c>
      <c r="B2" s="24" t="str" cm="1">
        <f t="array" ref="B2:B12">_xlfn._xlws.FILTER(Spelerslijst!B:B,Spelerslijst!$G:$G="Stopt","")</f>
        <v>Bente van Wijngaarden</v>
      </c>
      <c r="C2" s="24" t="str" cm="1">
        <f t="array" ref="C2:C12">_xlfn._xlws.FILTER(Spelerslijst!C:C,Spelerslijst!$G:$G="Stopt","")</f>
        <v>Bente</v>
      </c>
      <c r="D2" s="24" cm="1">
        <f t="array" ref="D2:D12">_xlfn._xlws.FILTER(Spelerslijst!D:D,Spelerslijst!$G:$G="Stopt","")</f>
        <v>18</v>
      </c>
      <c r="E2" s="26" cm="1">
        <f t="array" ref="E2:E12">_xlfn._xlws.FILTER(Spelerslijst!E:E,Spelerslijst!$G:$G="Stopt","")</f>
        <v>38928</v>
      </c>
      <c r="F2" s="24" t="str" cm="1">
        <f t="array" ref="F2:F12">_xlfn._xlws.FILTER(Spelerslijst!F:F,Spelerslijst!$G:$G="Stopt","")</f>
        <v>A</v>
      </c>
      <c r="G2" s="24" t="str" cm="1">
        <f t="array" ref="G2:G12">_xlfn._xlws.FILTER(Spelerslijst!G:G,Spelerslijst!$G:$G="Stopt","")</f>
        <v>Stopt</v>
      </c>
      <c r="I2" s="24" t="str" cm="1">
        <f t="array" ref="I2:I17">_xlfn._xlws.FILTER(Spelerslijst!K:K,Spelerslijst!$Q:$Q="Stopt","")</f>
        <v>NFW26G8</v>
      </c>
      <c r="J2" s="24" t="str" cm="1">
        <f t="array" ref="J2:J17">_xlfn._xlws.FILTER(Spelerslijst!L:L,Spelerslijst!$Q:$Q="Stopt","")</f>
        <v>Arjan Noels</v>
      </c>
      <c r="K2" s="24" t="str" cm="1">
        <f t="array" ref="K2:K17">_xlfn._xlws.FILTER(Spelerslijst!M:M,Spelerslijst!$Q:$Q="Stopt","")</f>
        <v>Arjan</v>
      </c>
      <c r="L2" s="24" cm="1">
        <f t="array" ref="L2:L17">_xlfn._xlws.FILTER(Spelerslijst!N:N,Spelerslijst!$Q:$Q="Stopt","")</f>
        <v>44</v>
      </c>
      <c r="M2" s="26" cm="1">
        <f t="array" ref="M2:M17">_xlfn._xlws.FILTER(Spelerslijst!O:O,Spelerslijst!$Q:$Q="Stopt","")</f>
        <v>29523</v>
      </c>
      <c r="N2" s="24" t="str" cm="1">
        <f t="array" ref="N2:N17">_xlfn._xlws.FILTER(Spelerslijst!P:P,Spelerslijst!$Q:$Q="Stopt","")</f>
        <v>S</v>
      </c>
      <c r="O2" s="24" t="str" cm="1">
        <f t="array" ref="O2:O17">_xlfn._xlws.FILTER(Spelerslijst!Q:Q,Spelerslijst!$Q:$Q="Stopt","")</f>
        <v>Stopt</v>
      </c>
    </row>
    <row r="3" spans="1:15">
      <c r="A3" s="24" t="str">
        <v>NKR88F7</v>
      </c>
      <c r="B3" s="24" t="str">
        <v>Bridget ter Horst</v>
      </c>
      <c r="C3" s="24" t="str">
        <v>Bridget</v>
      </c>
      <c r="D3" s="24">
        <v>21</v>
      </c>
      <c r="E3" s="26">
        <v>37771</v>
      </c>
      <c r="F3" s="24" t="str">
        <v>S</v>
      </c>
      <c r="G3" s="24" t="str">
        <v>Stopt</v>
      </c>
      <c r="I3" s="24" t="str">
        <v>NMV76G1</v>
      </c>
      <c r="J3" s="24" t="str">
        <v>Art Malschaert</v>
      </c>
      <c r="K3" s="24" t="str">
        <v>Art</v>
      </c>
      <c r="L3" s="24">
        <v>7</v>
      </c>
      <c r="M3" s="26">
        <v>42955</v>
      </c>
      <c r="N3" s="24" t="str">
        <v>F</v>
      </c>
      <c r="O3" s="24" t="str">
        <v>Stopt</v>
      </c>
    </row>
    <row r="4" spans="1:15">
      <c r="A4" s="24" t="str">
        <v>NML00R5</v>
      </c>
      <c r="B4" s="24" t="str">
        <v>Bryanna Bos</v>
      </c>
      <c r="C4" s="24" t="str">
        <v>Bryanna</v>
      </c>
      <c r="D4" s="24">
        <v>14</v>
      </c>
      <c r="E4" s="26">
        <v>40373</v>
      </c>
      <c r="F4" s="24" t="str">
        <v>B</v>
      </c>
      <c r="G4" s="24" t="str">
        <v>Stopt</v>
      </c>
      <c r="I4" s="24" t="str">
        <v>NFS90V6</v>
      </c>
      <c r="J4" s="24" t="str">
        <v>Bart de Wit</v>
      </c>
      <c r="K4" s="24" t="str">
        <v>Bart</v>
      </c>
      <c r="L4" s="24">
        <v>45</v>
      </c>
      <c r="M4" s="26">
        <v>29031</v>
      </c>
      <c r="N4" s="24" t="str">
        <v>S</v>
      </c>
      <c r="O4" s="24" t="str">
        <v>Stopt</v>
      </c>
    </row>
    <row r="5" spans="1:15">
      <c r="A5" s="24" t="str">
        <v>NJC15T9</v>
      </c>
      <c r="B5" s="24" t="str">
        <v>Diana Visser-Michelsen</v>
      </c>
      <c r="C5" s="24" t="str">
        <v>Diana</v>
      </c>
      <c r="D5" s="24">
        <v>32</v>
      </c>
      <c r="E5" s="26">
        <v>33777</v>
      </c>
      <c r="F5" s="24" t="str">
        <v>S</v>
      </c>
      <c r="G5" s="24" t="str">
        <v>Stopt</v>
      </c>
      <c r="I5" s="24" t="str">
        <v>NMQ44L0</v>
      </c>
      <c r="J5" s="24" t="str">
        <v>Cas Tieleman</v>
      </c>
      <c r="K5" s="24" t="str">
        <v>Cas</v>
      </c>
      <c r="L5" s="24">
        <v>20</v>
      </c>
      <c r="M5" s="26">
        <v>38220</v>
      </c>
      <c r="N5" s="24" t="str">
        <v>S</v>
      </c>
      <c r="O5" s="24" t="str">
        <v>Stopt</v>
      </c>
    </row>
    <row r="6" spans="1:15">
      <c r="A6" s="24" t="str">
        <v>NMR70L4</v>
      </c>
      <c r="B6" s="24" t="str">
        <v>Diede van den Boogaart</v>
      </c>
      <c r="C6" s="24" t="str">
        <v>Diede</v>
      </c>
      <c r="D6" s="24">
        <v>6</v>
      </c>
      <c r="E6" s="26">
        <v>43409</v>
      </c>
      <c r="F6" s="24" t="str">
        <v>F</v>
      </c>
      <c r="G6" s="24" t="str">
        <v>Stopt</v>
      </c>
      <c r="I6" s="24" t="str">
        <v>NMX21V8</v>
      </c>
      <c r="J6" s="24" t="str">
        <v>Ciprian Minzararu</v>
      </c>
      <c r="K6" s="24" t="str">
        <v>Ciprian</v>
      </c>
      <c r="L6" s="24">
        <v>8</v>
      </c>
      <c r="M6" s="26">
        <v>42507</v>
      </c>
      <c r="N6" s="24" t="str">
        <v>E</v>
      </c>
      <c r="O6" s="24" t="str">
        <v>Stopt</v>
      </c>
    </row>
    <row r="7" spans="1:15">
      <c r="A7" s="24" t="str">
        <v>NMX01Q3</v>
      </c>
      <c r="B7" s="24" t="str">
        <v>Elize Bohms</v>
      </c>
      <c r="C7" s="24" t="str">
        <v>Elize</v>
      </c>
      <c r="D7" s="24">
        <v>12</v>
      </c>
      <c r="E7" s="26">
        <v>41223</v>
      </c>
      <c r="F7" s="24" t="str">
        <v>C</v>
      </c>
      <c r="G7" s="24" t="str">
        <v>Stopt</v>
      </c>
      <c r="I7" s="24" t="str">
        <v>NFW26Q8</v>
      </c>
      <c r="J7" s="24" t="str">
        <v>Egbert Vos</v>
      </c>
      <c r="K7" s="24" t="str">
        <v>Egbert</v>
      </c>
      <c r="L7" s="24">
        <v>43</v>
      </c>
      <c r="M7" s="26">
        <v>29725</v>
      </c>
      <c r="N7" s="24" t="str">
        <v>S</v>
      </c>
      <c r="O7" s="24" t="str">
        <v>Stopt</v>
      </c>
    </row>
    <row r="8" spans="1:15">
      <c r="A8" s="24" t="str">
        <v>NMQ57Y5</v>
      </c>
      <c r="B8" s="24" t="str">
        <v>Feliz Lanser</v>
      </c>
      <c r="C8" s="24" t="str">
        <v>Feliz</v>
      </c>
      <c r="D8" s="24">
        <v>9</v>
      </c>
      <c r="E8" s="26">
        <v>42333</v>
      </c>
      <c r="F8" s="24" t="str">
        <v>E</v>
      </c>
      <c r="G8" s="24" t="str">
        <v>Stopt</v>
      </c>
      <c r="I8" s="24" t="str">
        <v>NMG03C4</v>
      </c>
      <c r="J8" s="24" t="str">
        <v>Finn Verboom</v>
      </c>
      <c r="K8" s="24" t="str">
        <v>Finn</v>
      </c>
      <c r="L8" s="24">
        <v>12</v>
      </c>
      <c r="M8" s="26">
        <v>40974</v>
      </c>
      <c r="N8" s="24" t="str">
        <v>C</v>
      </c>
      <c r="O8" s="24" t="str">
        <v>Stopt</v>
      </c>
    </row>
    <row r="9" spans="1:15">
      <c r="A9" s="24" t="str">
        <v>NLL19T4</v>
      </c>
      <c r="B9" s="24" t="str">
        <v>Mila de Wit</v>
      </c>
      <c r="C9" s="24" t="str">
        <v>Mila</v>
      </c>
      <c r="D9" s="24">
        <v>17</v>
      </c>
      <c r="E9" s="26">
        <v>39433</v>
      </c>
      <c r="F9" s="24" t="str">
        <v>A</v>
      </c>
      <c r="G9" s="24" t="str">
        <v>Stopt</v>
      </c>
      <c r="I9" s="24" t="str">
        <v>NJB54T5</v>
      </c>
      <c r="J9" s="24" t="str">
        <v>Jaimy van Arkel</v>
      </c>
      <c r="K9" s="24" t="str">
        <v>Jaimy</v>
      </c>
      <c r="L9" s="24">
        <v>27</v>
      </c>
      <c r="M9" s="26">
        <v>35451</v>
      </c>
      <c r="N9" s="24" t="str">
        <v>S</v>
      </c>
      <c r="O9" s="24" t="str">
        <v>Stopt</v>
      </c>
    </row>
    <row r="10" spans="1:15">
      <c r="A10" s="24" t="str">
        <v>NMT10Q1</v>
      </c>
      <c r="B10" s="24" t="str">
        <v>Mirjam de Wit</v>
      </c>
      <c r="C10" s="24" t="str">
        <v>Mirjam</v>
      </c>
      <c r="D10" s="24">
        <v>44</v>
      </c>
      <c r="E10" s="26">
        <v>29257</v>
      </c>
      <c r="F10" s="24" t="str">
        <v>S</v>
      </c>
      <c r="G10" s="24" t="str">
        <v>Stopt</v>
      </c>
      <c r="I10" s="24" t="str">
        <v>NFW14Y3</v>
      </c>
      <c r="J10" s="24" t="str">
        <v>Jan-Peter Verwaal</v>
      </c>
      <c r="K10" s="24" t="str">
        <v>Jan-Peter</v>
      </c>
      <c r="L10" s="24">
        <v>55</v>
      </c>
      <c r="M10" s="26">
        <v>25273</v>
      </c>
      <c r="N10" s="24" t="str">
        <v>S</v>
      </c>
      <c r="O10" s="24" t="str">
        <v>Stopt</v>
      </c>
    </row>
    <row r="11" spans="1:15">
      <c r="A11" s="24" t="str">
        <v>NJK27R4</v>
      </c>
      <c r="B11" s="24" t="str">
        <v>Sanne van Andel</v>
      </c>
      <c r="C11" s="24" t="str">
        <v>Sanne</v>
      </c>
      <c r="D11" s="24">
        <v>36</v>
      </c>
      <c r="E11" s="26">
        <v>32143</v>
      </c>
      <c r="F11" s="24" t="str">
        <v>S</v>
      </c>
      <c r="G11" s="24" t="str">
        <v>Stopt</v>
      </c>
      <c r="I11" s="24" t="str">
        <v>NML47R6</v>
      </c>
      <c r="J11" s="24" t="str">
        <v>Maarten Rutten</v>
      </c>
      <c r="K11" s="24" t="str">
        <v>Maarten</v>
      </c>
      <c r="L11" s="24">
        <v>14</v>
      </c>
      <c r="M11" s="26">
        <v>40227</v>
      </c>
      <c r="N11" s="24" t="str">
        <v>B</v>
      </c>
      <c r="O11" s="24" t="str">
        <v>Stopt</v>
      </c>
    </row>
    <row r="12" spans="1:15">
      <c r="A12" s="24" t="str">
        <v>NKL40B9</v>
      </c>
      <c r="B12" s="24" t="str">
        <v>Vera Klootwijk</v>
      </c>
      <c r="C12" s="24" t="str">
        <v>Vera</v>
      </c>
      <c r="D12" s="24">
        <v>22</v>
      </c>
      <c r="E12" s="26">
        <v>37410</v>
      </c>
      <c r="F12" s="24" t="str">
        <v>S</v>
      </c>
      <c r="G12" s="24" t="str">
        <v>Stopt</v>
      </c>
      <c r="I12" s="24" t="str">
        <v>NMJ57G2</v>
      </c>
      <c r="J12" s="24" t="str">
        <v>Merlijn de Wit</v>
      </c>
      <c r="K12" s="24" t="str">
        <v>Merlijn</v>
      </c>
      <c r="L12" s="24">
        <v>10</v>
      </c>
      <c r="M12" s="26">
        <v>41801</v>
      </c>
      <c r="N12" s="24" t="str">
        <v>D</v>
      </c>
      <c r="O12" s="24" t="str">
        <v>Stopt</v>
      </c>
    </row>
    <row r="13" spans="1:15">
      <c r="A13" s="24"/>
      <c r="B13" s="24"/>
      <c r="C13" s="24"/>
      <c r="D13" s="24"/>
      <c r="E13" s="26"/>
      <c r="F13" s="24"/>
      <c r="G13" s="24"/>
      <c r="I13" s="24" t="str">
        <v>NFZ85W0</v>
      </c>
      <c r="J13" s="24" t="str">
        <v>Peter Batenburg</v>
      </c>
      <c r="K13" s="24" t="str">
        <v>Peter</v>
      </c>
      <c r="L13" s="24">
        <v>42</v>
      </c>
      <c r="M13" s="26">
        <v>30083</v>
      </c>
      <c r="N13" s="24" t="str">
        <v>S</v>
      </c>
      <c r="O13" s="24" t="str">
        <v>Stopt</v>
      </c>
    </row>
    <row r="14" spans="1:15">
      <c r="A14" s="24"/>
      <c r="B14" s="24"/>
      <c r="C14" s="24"/>
      <c r="D14" s="24"/>
      <c r="E14" s="26"/>
      <c r="F14" s="24"/>
      <c r="G14" s="24"/>
      <c r="I14" s="24" t="str">
        <v>NJH51W3</v>
      </c>
      <c r="J14" s="24" t="str">
        <v>Peter Berendsen</v>
      </c>
      <c r="K14" s="24" t="str">
        <v>Peter</v>
      </c>
      <c r="L14" s="24">
        <v>27</v>
      </c>
      <c r="M14" s="26">
        <v>35488</v>
      </c>
      <c r="N14" s="24" t="str">
        <v>S</v>
      </c>
      <c r="O14" s="24" t="str">
        <v>Stopt</v>
      </c>
    </row>
    <row r="15" spans="1:15">
      <c r="A15" s="24"/>
      <c r="B15" s="24"/>
      <c r="C15" s="24"/>
      <c r="D15" s="24"/>
      <c r="E15" s="26"/>
      <c r="F15" s="24"/>
      <c r="G15" s="24"/>
      <c r="I15" s="24" t="str">
        <v>NFW13G4</v>
      </c>
      <c r="J15" s="24" t="str">
        <v>Sebastiaan Belder</v>
      </c>
      <c r="K15" s="24" t="str">
        <v>Sebastiaan</v>
      </c>
      <c r="L15" s="24">
        <v>44</v>
      </c>
      <c r="M15" s="26">
        <v>29221</v>
      </c>
      <c r="N15" s="24" t="str">
        <v>S</v>
      </c>
      <c r="O15" s="24" t="str">
        <v>Stopt</v>
      </c>
    </row>
    <row r="16" spans="1:15">
      <c r="A16" s="24"/>
      <c r="B16" s="24"/>
      <c r="C16" s="24"/>
      <c r="D16" s="24"/>
      <c r="E16" s="26"/>
      <c r="F16" s="24"/>
      <c r="G16" s="24"/>
      <c r="I16" s="24" t="str">
        <v>NGT16K5</v>
      </c>
      <c r="J16" s="24" t="str">
        <v>Stefan Naaktgeboren</v>
      </c>
      <c r="K16" s="24" t="str">
        <v>Stefan</v>
      </c>
      <c r="L16" s="24">
        <v>33</v>
      </c>
      <c r="M16" s="26">
        <v>33241</v>
      </c>
      <c r="N16" s="24" t="str">
        <v>S</v>
      </c>
      <c r="O16" s="24" t="str">
        <v>Stopt</v>
      </c>
    </row>
    <row r="17" spans="1:15">
      <c r="A17" s="24"/>
      <c r="B17" s="24"/>
      <c r="C17" s="24"/>
      <c r="D17" s="24"/>
      <c r="E17" s="26"/>
      <c r="F17" s="24"/>
      <c r="G17" s="24"/>
      <c r="I17" s="24" t="str">
        <v>NMS76D7</v>
      </c>
      <c r="J17" s="24" t="str">
        <v>Vince van der Hoeven</v>
      </c>
      <c r="K17" s="24" t="str">
        <v>Vince</v>
      </c>
      <c r="L17" s="24">
        <v>12</v>
      </c>
      <c r="M17" s="26">
        <v>41263</v>
      </c>
      <c r="N17" s="24" t="str">
        <v>C</v>
      </c>
      <c r="O17" s="24" t="str">
        <v>Stopt</v>
      </c>
    </row>
    <row r="18" spans="1:15">
      <c r="A18" s="24"/>
      <c r="B18" s="24"/>
      <c r="C18" s="24"/>
      <c r="D18" s="24"/>
      <c r="E18" s="26"/>
      <c r="F18" s="24"/>
      <c r="G18" s="24"/>
      <c r="I18" s="24"/>
      <c r="J18" s="24"/>
      <c r="K18" s="24"/>
      <c r="L18" s="24"/>
      <c r="M18" s="26"/>
      <c r="N18" s="24"/>
      <c r="O18" s="24"/>
    </row>
    <row r="19" spans="1:15">
      <c r="A19" s="24"/>
      <c r="B19" s="24"/>
      <c r="C19" s="24"/>
      <c r="D19" s="24"/>
      <c r="E19" s="26"/>
      <c r="F19" s="24"/>
      <c r="G19" s="24"/>
      <c r="I19" s="24"/>
      <c r="J19" s="24"/>
      <c r="K19" s="24"/>
      <c r="L19" s="24"/>
      <c r="M19" s="26"/>
      <c r="N19" s="24"/>
      <c r="O19" s="24"/>
    </row>
    <row r="20" spans="1:15">
      <c r="A20" s="24"/>
      <c r="B20" s="24"/>
      <c r="C20" s="24"/>
      <c r="D20" s="24"/>
      <c r="E20" s="26"/>
      <c r="F20" s="24"/>
      <c r="G20" s="24"/>
      <c r="I20" s="24"/>
      <c r="J20" s="24"/>
      <c r="K20" s="24"/>
      <c r="L20" s="24"/>
      <c r="M20" s="26"/>
      <c r="N20" s="24"/>
      <c r="O20" s="24"/>
    </row>
    <row r="21" spans="1:15">
      <c r="A21" s="24"/>
      <c r="B21" s="24"/>
      <c r="C21" s="24"/>
      <c r="D21" s="24"/>
      <c r="E21" s="26"/>
      <c r="F21" s="24"/>
      <c r="G21" s="24"/>
      <c r="I21" s="24"/>
      <c r="J21" s="24"/>
      <c r="K21" s="24"/>
      <c r="L21" s="24"/>
      <c r="M21" s="26"/>
      <c r="N21" s="24"/>
      <c r="O21" s="24"/>
    </row>
    <row r="22" spans="1:15">
      <c r="A22" s="24"/>
      <c r="B22" s="24"/>
      <c r="C22" s="24"/>
      <c r="D22" s="24"/>
      <c r="E22" s="26"/>
      <c r="F22" s="24"/>
      <c r="G22" s="24"/>
      <c r="I22" s="24"/>
      <c r="J22" s="24"/>
      <c r="K22" s="24"/>
      <c r="L22" s="24"/>
      <c r="M22" s="26"/>
      <c r="N22" s="24"/>
      <c r="O22" s="24"/>
    </row>
    <row r="23" spans="1:15">
      <c r="A23" s="24"/>
      <c r="B23" s="24"/>
      <c r="C23" s="24"/>
      <c r="D23" s="24"/>
      <c r="E23" s="26"/>
      <c r="F23" s="24"/>
      <c r="G23" s="24"/>
      <c r="I23" s="24"/>
      <c r="J23" s="24"/>
      <c r="K23" s="24"/>
      <c r="L23" s="24"/>
      <c r="M23" s="26"/>
      <c r="N23" s="24"/>
      <c r="O23" s="24"/>
    </row>
    <row r="24" spans="1:15">
      <c r="A24" s="24"/>
      <c r="B24" s="24"/>
      <c r="C24" s="24"/>
      <c r="D24" s="24"/>
      <c r="E24" s="26"/>
      <c r="F24" s="24"/>
      <c r="G24" s="24"/>
      <c r="I24" s="24"/>
      <c r="J24" s="24"/>
      <c r="K24" s="24"/>
      <c r="L24" s="24"/>
      <c r="M24" s="26"/>
      <c r="N24" s="24"/>
      <c r="O24" s="24"/>
    </row>
    <row r="25" spans="1:15">
      <c r="A25" s="24"/>
      <c r="B25" s="24"/>
      <c r="C25" s="24"/>
      <c r="D25" s="24"/>
      <c r="E25" s="26"/>
      <c r="F25" s="24"/>
      <c r="G25" s="24"/>
      <c r="I25" s="24"/>
      <c r="J25" s="24"/>
      <c r="K25" s="24"/>
      <c r="L25" s="24"/>
      <c r="M25" s="26"/>
      <c r="N25" s="24"/>
      <c r="O25" s="24"/>
    </row>
    <row r="26" spans="1:15">
      <c r="A26" s="24"/>
      <c r="B26" s="24"/>
      <c r="C26" s="24"/>
      <c r="D26" s="24"/>
      <c r="E26" s="26"/>
      <c r="F26" s="24"/>
      <c r="G26" s="24"/>
      <c r="I26" s="24"/>
      <c r="J26" s="24"/>
      <c r="K26" s="24"/>
      <c r="L26" s="24"/>
      <c r="M26" s="26"/>
      <c r="N26" s="24"/>
      <c r="O26" s="24"/>
    </row>
    <row r="27" spans="1:15">
      <c r="A27" s="24"/>
      <c r="B27" s="24"/>
      <c r="C27" s="24"/>
      <c r="D27" s="24"/>
      <c r="E27" s="26"/>
      <c r="F27" s="24"/>
      <c r="G27" s="24"/>
      <c r="I27" s="24"/>
      <c r="J27" s="24"/>
      <c r="K27" s="24"/>
      <c r="L27" s="24"/>
      <c r="M27" s="26"/>
      <c r="N27" s="24"/>
      <c r="O27" s="24"/>
    </row>
    <row r="28" spans="1:15">
      <c r="A28" s="24"/>
      <c r="B28" s="24"/>
      <c r="C28" s="24"/>
      <c r="D28" s="24"/>
      <c r="E28" s="26"/>
      <c r="F28" s="24"/>
      <c r="G28" s="24"/>
      <c r="I28" s="24"/>
      <c r="J28" s="24"/>
      <c r="K28" s="24"/>
      <c r="L28" s="24"/>
      <c r="M28" s="26"/>
      <c r="N28" s="24"/>
      <c r="O28" s="24"/>
    </row>
    <row r="29" spans="1:15">
      <c r="A29" s="24"/>
      <c r="B29" s="24"/>
      <c r="C29" s="24"/>
      <c r="D29" s="24"/>
      <c r="E29" s="26"/>
      <c r="F29" s="24"/>
      <c r="G29" s="24"/>
      <c r="I29" s="24"/>
      <c r="J29" s="24"/>
      <c r="K29" s="24"/>
      <c r="L29" s="24"/>
      <c r="M29" s="26"/>
      <c r="N29" s="24"/>
      <c r="O29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24C7-B070-4E24-AC8F-FE4A64B46F3D}">
  <sheetPr>
    <tabColor theme="5"/>
  </sheetPr>
  <dimension ref="A1:O29"/>
  <sheetViews>
    <sheetView workbookViewId="0">
      <selection activeCell="G2" sqref="G2"/>
    </sheetView>
  </sheetViews>
  <sheetFormatPr defaultColWidth="8.7109375" defaultRowHeight="15"/>
  <cols>
    <col min="1" max="1" width="9.7109375" bestFit="1" customWidth="1"/>
    <col min="2" max="2" width="21" bestFit="1" customWidth="1"/>
    <col min="3" max="3" width="10.28515625" bestFit="1" customWidth="1"/>
    <col min="4" max="4" width="15.42578125" customWidth="1"/>
    <col min="5" max="5" width="10.7109375" style="1" bestFit="1" customWidth="1"/>
    <col min="6" max="6" width="18.42578125" bestFit="1" customWidth="1"/>
    <col min="7" max="7" width="13.7109375" bestFit="1" customWidth="1"/>
    <col min="9" max="9" width="10" bestFit="1" customWidth="1"/>
    <col min="10" max="10" width="16.7109375" bestFit="1" customWidth="1"/>
    <col min="11" max="11" width="10.28515625" bestFit="1" customWidth="1"/>
    <col min="12" max="12" width="17.7109375" bestFit="1" customWidth="1"/>
    <col min="13" max="13" width="10.7109375" style="1" bestFit="1" customWidth="1"/>
    <col min="14" max="14" width="18.42578125" bestFit="1" customWidth="1"/>
    <col min="15" max="15" width="13.7109375" bestFit="1" customWidth="1"/>
  </cols>
  <sheetData>
    <row r="1" spans="1:15">
      <c r="A1" s="23" t="s">
        <v>54</v>
      </c>
      <c r="B1" s="23" t="s">
        <v>55</v>
      </c>
      <c r="C1" s="23" t="s">
        <v>56</v>
      </c>
      <c r="D1" s="23" t="s">
        <v>57</v>
      </c>
      <c r="E1" s="25" t="s">
        <v>58</v>
      </c>
      <c r="F1" s="23" t="s">
        <v>59</v>
      </c>
      <c r="G1" s="23" t="s">
        <v>1076</v>
      </c>
      <c r="I1" s="11" t="s">
        <v>54</v>
      </c>
      <c r="J1" s="11" t="s">
        <v>55</v>
      </c>
      <c r="K1" s="11" t="s">
        <v>56</v>
      </c>
      <c r="L1" s="11" t="s">
        <v>57</v>
      </c>
      <c r="M1" s="27" t="s">
        <v>58</v>
      </c>
      <c r="N1" s="11" t="s">
        <v>59</v>
      </c>
      <c r="O1" s="11" t="s">
        <v>1076</v>
      </c>
    </row>
    <row r="2" spans="1:15">
      <c r="A2" s="24" t="str" cm="1">
        <f t="array" ref="A2:A6">_xlfn._xlws.FILTER(Spelerslijst!A:A,Spelerslijst!$G:$G="?","")</f>
        <v>NMW65S8</v>
      </c>
      <c r="B2" s="24" t="str" cm="1">
        <f t="array" ref="B2:B6">_xlfn._xlws.FILTER(Spelerslijst!B:B,Spelerslijst!$G:$G="?","")</f>
        <v>Annelieke Smouter</v>
      </c>
      <c r="C2" s="24" t="str" cm="1">
        <f t="array" ref="C2:C6">_xlfn._xlws.FILTER(Spelerslijst!C:C,Spelerslijst!$G:$G="?","")</f>
        <v>Annelieke</v>
      </c>
      <c r="D2" s="24" cm="1">
        <f t="array" ref="D2:D6">_xlfn._xlws.FILTER(Spelerslijst!D:D,Spelerslijst!$G:$G="?","")</f>
        <v>25</v>
      </c>
      <c r="E2" s="26" cm="1">
        <f t="array" ref="E2:E6">_xlfn._xlws.FILTER(Spelerslijst!E:E,Spelerslijst!$G:$G="?","")</f>
        <v>36522</v>
      </c>
      <c r="F2" s="24" t="str" cm="1">
        <f t="array" ref="F2:F6">_xlfn._xlws.FILTER(Spelerslijst!F:F,Spelerslijst!$G:$G="?","")</f>
        <v>S</v>
      </c>
      <c r="G2" s="24" t="str" cm="1">
        <f t="array" ref="G2:G6">_xlfn._xlws.FILTER(Spelerslijst!G:G,Spelerslijst!$G:$G="?","")</f>
        <v>?</v>
      </c>
      <c r="I2" s="24" t="str" cm="1">
        <f t="array" ref="I2">_xlfn._xlws.FILTER(Spelerslijst!K:K,Spelerslijst!$Q:$Q="?","")</f>
        <v/>
      </c>
      <c r="J2" s="24" t="str" cm="1">
        <f t="array" ref="J2">_xlfn._xlws.FILTER(Spelerslijst!L:L,Spelerslijst!$Q:$Q="?","")</f>
        <v/>
      </c>
      <c r="K2" s="24" t="str" cm="1">
        <f t="array" ref="K2">_xlfn._xlws.FILTER(Spelerslijst!M:M,Spelerslijst!$Q:$Q="?","")</f>
        <v/>
      </c>
      <c r="L2" s="24" t="str" cm="1">
        <f t="array" ref="L2">_xlfn._xlws.FILTER(Spelerslijst!N:N,Spelerslijst!$Q:$Q="?","")</f>
        <v/>
      </c>
      <c r="M2" s="24" t="str" cm="1">
        <f t="array" ref="M2">_xlfn._xlws.FILTER(Spelerslijst!O:O,Spelerslijst!$Q:$Q="?","")</f>
        <v/>
      </c>
      <c r="N2" s="24" t="str" cm="1">
        <f t="array" ref="N2">_xlfn._xlws.FILTER(Spelerslijst!P:P,Spelerslijst!$Q:$Q="?","")</f>
        <v/>
      </c>
      <c r="O2" s="24" t="str" cm="1">
        <f t="array" ref="O2">_xlfn._xlws.FILTER(Spelerslijst!Q:Q,Spelerslijst!$Q:$Q="?","")</f>
        <v/>
      </c>
    </row>
    <row r="3" spans="1:15">
      <c r="A3" s="24" t="str">
        <v>NKX20W8</v>
      </c>
      <c r="B3" s="24" t="str">
        <v>Flore Steenks</v>
      </c>
      <c r="C3" s="24" t="str">
        <v>Flore</v>
      </c>
      <c r="D3" s="24">
        <v>20</v>
      </c>
      <c r="E3" s="26">
        <v>38263</v>
      </c>
      <c r="F3" s="24" t="str">
        <v>S</v>
      </c>
      <c r="G3" s="24" t="str">
        <v>?</v>
      </c>
      <c r="I3" s="24"/>
      <c r="J3" s="24"/>
      <c r="K3" s="24"/>
      <c r="L3" s="24"/>
      <c r="M3" s="26"/>
      <c r="N3" s="24"/>
      <c r="O3" s="24"/>
    </row>
    <row r="4" spans="1:15">
      <c r="A4" s="24" t="str">
        <v>NGG54V3</v>
      </c>
      <c r="B4" s="24" t="str">
        <v>Hanneke Batenburg</v>
      </c>
      <c r="C4" s="24" t="str">
        <v>Hanneke</v>
      </c>
      <c r="D4" s="24">
        <v>37</v>
      </c>
      <c r="E4" s="26">
        <v>32050</v>
      </c>
      <c r="F4" s="24" t="str">
        <v>S</v>
      </c>
      <c r="G4" s="24" t="str">
        <v>?</v>
      </c>
      <c r="I4" s="24"/>
      <c r="J4" s="24"/>
      <c r="K4" s="24"/>
      <c r="L4" s="24"/>
      <c r="M4" s="26"/>
      <c r="N4" s="24"/>
      <c r="O4" s="24"/>
    </row>
    <row r="5" spans="1:15">
      <c r="A5" s="24" t="str">
        <v>NJC72L4</v>
      </c>
      <c r="B5" s="24" t="str">
        <v>Nada Hussein</v>
      </c>
      <c r="C5" s="24" t="str">
        <v>Nada</v>
      </c>
      <c r="D5" s="24">
        <v>34</v>
      </c>
      <c r="E5" s="26">
        <v>32945</v>
      </c>
      <c r="F5" s="24" t="str">
        <v>S</v>
      </c>
      <c r="G5" s="24" t="str">
        <v>?</v>
      </c>
      <c r="I5" s="24"/>
      <c r="J5" s="24"/>
      <c r="K5" s="24"/>
      <c r="L5" s="24"/>
      <c r="M5" s="26"/>
      <c r="N5" s="24"/>
      <c r="O5" s="24"/>
    </row>
    <row r="6" spans="1:15">
      <c r="A6" s="24" t="str">
        <v>NJQ72J4</v>
      </c>
      <c r="B6" s="24" t="str">
        <v>Simone van Zwoll</v>
      </c>
      <c r="C6" s="24" t="str">
        <v>Simone</v>
      </c>
      <c r="D6" s="24">
        <v>30</v>
      </c>
      <c r="E6" s="26">
        <v>34635</v>
      </c>
      <c r="F6" s="24" t="str">
        <v>S</v>
      </c>
      <c r="G6" s="24" t="str">
        <v>?</v>
      </c>
      <c r="I6" s="24"/>
      <c r="J6" s="24"/>
      <c r="K6" s="24"/>
      <c r="L6" s="24"/>
      <c r="M6" s="26"/>
      <c r="N6" s="24"/>
      <c r="O6" s="24"/>
    </row>
    <row r="7" spans="1:15">
      <c r="A7" s="24"/>
      <c r="B7" s="24"/>
      <c r="C7" s="24"/>
      <c r="D7" s="24"/>
      <c r="E7" s="26"/>
      <c r="F7" s="24"/>
      <c r="G7" s="24"/>
      <c r="I7" s="24"/>
      <c r="J7" s="24"/>
      <c r="K7" s="24"/>
      <c r="L7" s="24"/>
      <c r="M7" s="26"/>
      <c r="N7" s="24"/>
      <c r="O7" s="24"/>
    </row>
    <row r="8" spans="1:15">
      <c r="A8" s="24"/>
      <c r="B8" s="24"/>
      <c r="C8" s="24"/>
      <c r="D8" s="24"/>
      <c r="E8" s="26"/>
      <c r="F8" s="24"/>
      <c r="G8" s="24"/>
      <c r="I8" s="24"/>
      <c r="J8" s="24"/>
      <c r="K8" s="24"/>
      <c r="L8" s="24"/>
      <c r="M8" s="26"/>
      <c r="N8" s="24"/>
      <c r="O8" s="24"/>
    </row>
    <row r="9" spans="1:15">
      <c r="A9" s="24"/>
      <c r="B9" s="24"/>
      <c r="C9" s="24"/>
      <c r="D9" s="24"/>
      <c r="E9" s="26"/>
      <c r="F9" s="24"/>
      <c r="G9" s="24"/>
      <c r="I9" s="24"/>
      <c r="J9" s="24"/>
      <c r="K9" s="24"/>
      <c r="L9" s="24"/>
      <c r="M9" s="26"/>
      <c r="N9" s="24"/>
      <c r="O9" s="24"/>
    </row>
    <row r="10" spans="1:15">
      <c r="A10" s="24"/>
      <c r="B10" s="24"/>
      <c r="C10" s="24"/>
      <c r="D10" s="24"/>
      <c r="E10" s="26"/>
      <c r="F10" s="24"/>
      <c r="G10" s="24"/>
      <c r="I10" s="24"/>
      <c r="J10" s="24"/>
      <c r="K10" s="24"/>
      <c r="L10" s="24"/>
      <c r="M10" s="26"/>
      <c r="N10" s="24"/>
      <c r="O10" s="24"/>
    </row>
    <row r="11" spans="1:15">
      <c r="A11" s="24"/>
      <c r="B11" s="24"/>
      <c r="C11" s="24"/>
      <c r="D11" s="24"/>
      <c r="E11" s="26"/>
      <c r="F11" s="24"/>
      <c r="G11" s="24"/>
      <c r="I11" s="24"/>
      <c r="J11" s="24"/>
      <c r="K11" s="24"/>
      <c r="L11" s="24"/>
      <c r="M11" s="26"/>
      <c r="N11" s="24"/>
      <c r="O11" s="24"/>
    </row>
    <row r="12" spans="1:15">
      <c r="A12" s="24"/>
      <c r="B12" s="24"/>
      <c r="C12" s="24"/>
      <c r="D12" s="24"/>
      <c r="E12" s="26"/>
      <c r="F12" s="24"/>
      <c r="G12" s="24"/>
      <c r="I12" s="24"/>
      <c r="J12" s="24"/>
      <c r="K12" s="24"/>
      <c r="L12" s="24"/>
      <c r="M12" s="26"/>
      <c r="N12" s="24"/>
      <c r="O12" s="24"/>
    </row>
    <row r="13" spans="1:15">
      <c r="A13" s="24"/>
      <c r="B13" s="24"/>
      <c r="C13" s="24"/>
      <c r="D13" s="24"/>
      <c r="E13" s="26"/>
      <c r="F13" s="24"/>
      <c r="G13" s="24"/>
      <c r="I13" s="24"/>
      <c r="J13" s="24"/>
      <c r="K13" s="24"/>
      <c r="L13" s="24"/>
      <c r="M13" s="26"/>
      <c r="N13" s="24"/>
      <c r="O13" s="24"/>
    </row>
    <row r="14" spans="1:15">
      <c r="A14" s="24"/>
      <c r="B14" s="24"/>
      <c r="C14" s="24"/>
      <c r="D14" s="24"/>
      <c r="E14" s="26"/>
      <c r="F14" s="24"/>
      <c r="G14" s="24"/>
      <c r="I14" s="24"/>
      <c r="J14" s="24"/>
      <c r="K14" s="24"/>
      <c r="L14" s="24"/>
      <c r="M14" s="26"/>
      <c r="N14" s="24"/>
      <c r="O14" s="24"/>
    </row>
    <row r="15" spans="1:15">
      <c r="A15" s="24"/>
      <c r="B15" s="24"/>
      <c r="C15" s="24"/>
      <c r="D15" s="24"/>
      <c r="E15" s="26"/>
      <c r="F15" s="24"/>
      <c r="G15" s="24"/>
      <c r="I15" s="24"/>
      <c r="J15" s="24"/>
      <c r="K15" s="24"/>
      <c r="L15" s="24"/>
      <c r="M15" s="26"/>
      <c r="N15" s="24"/>
      <c r="O15" s="24"/>
    </row>
    <row r="16" spans="1:15">
      <c r="A16" s="24"/>
      <c r="B16" s="24"/>
      <c r="C16" s="24"/>
      <c r="D16" s="24"/>
      <c r="E16" s="26"/>
      <c r="F16" s="24"/>
      <c r="G16" s="24"/>
      <c r="I16" s="24"/>
      <c r="J16" s="24"/>
      <c r="K16" s="24"/>
      <c r="L16" s="24"/>
      <c r="M16" s="26"/>
      <c r="N16" s="24"/>
      <c r="O16" s="24"/>
    </row>
    <row r="17" spans="1:15">
      <c r="A17" s="24"/>
      <c r="B17" s="24"/>
      <c r="C17" s="24"/>
      <c r="D17" s="24"/>
      <c r="E17" s="26"/>
      <c r="F17" s="24"/>
      <c r="G17" s="24"/>
      <c r="I17" s="24"/>
      <c r="J17" s="24"/>
      <c r="K17" s="24"/>
      <c r="L17" s="24"/>
      <c r="M17" s="26"/>
      <c r="N17" s="24"/>
      <c r="O17" s="24"/>
    </row>
    <row r="18" spans="1:15">
      <c r="A18" s="24"/>
      <c r="B18" s="24"/>
      <c r="C18" s="24"/>
      <c r="D18" s="24"/>
      <c r="E18" s="26"/>
      <c r="F18" s="24"/>
      <c r="G18" s="24"/>
      <c r="I18" s="24"/>
      <c r="J18" s="24"/>
      <c r="K18" s="24"/>
      <c r="L18" s="24"/>
      <c r="M18" s="26"/>
      <c r="N18" s="24"/>
      <c r="O18" s="24"/>
    </row>
    <row r="19" spans="1:15">
      <c r="A19" s="24"/>
      <c r="B19" s="24"/>
      <c r="C19" s="24"/>
      <c r="D19" s="24"/>
      <c r="E19" s="26"/>
      <c r="F19" s="24"/>
      <c r="G19" s="24"/>
      <c r="I19" s="24"/>
      <c r="J19" s="24"/>
      <c r="K19" s="24"/>
      <c r="L19" s="24"/>
      <c r="M19" s="26"/>
      <c r="N19" s="24"/>
      <c r="O19" s="24"/>
    </row>
    <row r="20" spans="1:15">
      <c r="A20" s="24"/>
      <c r="B20" s="24"/>
      <c r="C20" s="24"/>
      <c r="D20" s="24"/>
      <c r="E20" s="26"/>
      <c r="F20" s="24"/>
      <c r="G20" s="24"/>
      <c r="I20" s="24"/>
      <c r="J20" s="24"/>
      <c r="K20" s="24"/>
      <c r="L20" s="24"/>
      <c r="M20" s="26"/>
      <c r="N20" s="24"/>
      <c r="O20" s="24"/>
    </row>
    <row r="21" spans="1:15">
      <c r="A21" s="24"/>
      <c r="B21" s="24"/>
      <c r="C21" s="24"/>
      <c r="D21" s="24"/>
      <c r="E21" s="26"/>
      <c r="F21" s="24"/>
      <c r="G21" s="24"/>
      <c r="I21" s="24"/>
      <c r="J21" s="24"/>
      <c r="K21" s="24"/>
      <c r="L21" s="24"/>
      <c r="M21" s="26"/>
      <c r="N21" s="24"/>
      <c r="O21" s="24"/>
    </row>
    <row r="22" spans="1:15">
      <c r="A22" s="24"/>
      <c r="B22" s="24"/>
      <c r="C22" s="24"/>
      <c r="D22" s="24"/>
      <c r="E22" s="26"/>
      <c r="F22" s="24"/>
      <c r="G22" s="24"/>
      <c r="I22" s="24"/>
      <c r="J22" s="24"/>
      <c r="K22" s="24"/>
      <c r="L22" s="24"/>
      <c r="M22" s="26"/>
      <c r="N22" s="24"/>
      <c r="O22" s="24"/>
    </row>
    <row r="23" spans="1:15">
      <c r="A23" s="24"/>
      <c r="B23" s="24"/>
      <c r="C23" s="24"/>
      <c r="D23" s="24"/>
      <c r="E23" s="26"/>
      <c r="F23" s="24"/>
      <c r="G23" s="24"/>
      <c r="I23" s="24"/>
      <c r="J23" s="24"/>
      <c r="K23" s="24"/>
      <c r="L23" s="24"/>
      <c r="M23" s="26"/>
      <c r="N23" s="24"/>
      <c r="O23" s="24"/>
    </row>
    <row r="24" spans="1:15">
      <c r="A24" s="24"/>
      <c r="B24" s="24"/>
      <c r="C24" s="24"/>
      <c r="D24" s="24"/>
      <c r="E24" s="26"/>
      <c r="F24" s="24"/>
      <c r="G24" s="24"/>
      <c r="I24" s="24"/>
      <c r="J24" s="24"/>
      <c r="K24" s="24"/>
      <c r="L24" s="24"/>
      <c r="M24" s="26"/>
      <c r="N24" s="24"/>
      <c r="O24" s="24"/>
    </row>
    <row r="25" spans="1:15">
      <c r="A25" s="24"/>
      <c r="B25" s="24"/>
      <c r="C25" s="24"/>
      <c r="D25" s="24"/>
      <c r="E25" s="26"/>
      <c r="F25" s="24"/>
      <c r="G25" s="24"/>
      <c r="I25" s="24"/>
      <c r="J25" s="24"/>
      <c r="K25" s="24"/>
      <c r="L25" s="24"/>
      <c r="M25" s="26"/>
      <c r="N25" s="24"/>
      <c r="O25" s="24"/>
    </row>
    <row r="26" spans="1:15">
      <c r="A26" s="24"/>
      <c r="B26" s="24"/>
      <c r="C26" s="24"/>
      <c r="D26" s="24"/>
      <c r="E26" s="26"/>
      <c r="F26" s="24"/>
      <c r="G26" s="24"/>
      <c r="I26" s="24"/>
      <c r="J26" s="24"/>
      <c r="K26" s="24"/>
      <c r="L26" s="24"/>
      <c r="M26" s="26"/>
      <c r="N26" s="24"/>
      <c r="O26" s="24"/>
    </row>
    <row r="27" spans="1:15">
      <c r="A27" s="24"/>
      <c r="B27" s="24"/>
      <c r="C27" s="24"/>
      <c r="D27" s="24"/>
      <c r="E27" s="26"/>
      <c r="F27" s="24"/>
      <c r="G27" s="24"/>
      <c r="I27" s="24"/>
      <c r="J27" s="24"/>
      <c r="K27" s="24"/>
      <c r="L27" s="24"/>
      <c r="M27" s="26"/>
      <c r="N27" s="24"/>
      <c r="O27" s="24"/>
    </row>
    <row r="28" spans="1:15">
      <c r="A28" s="24"/>
      <c r="B28" s="24"/>
      <c r="C28" s="24"/>
      <c r="D28" s="24"/>
      <c r="E28" s="26"/>
      <c r="F28" s="24"/>
      <c r="G28" s="24"/>
      <c r="I28" s="24"/>
      <c r="J28" s="24"/>
      <c r="K28" s="24"/>
      <c r="L28" s="24"/>
      <c r="M28" s="26"/>
      <c r="N28" s="24"/>
      <c r="O28" s="24"/>
    </row>
    <row r="29" spans="1:15">
      <c r="A29" s="24"/>
      <c r="B29" s="24"/>
      <c r="C29" s="24"/>
      <c r="D29" s="24"/>
      <c r="E29" s="26"/>
      <c r="F29" s="24"/>
      <c r="G29" s="24"/>
      <c r="I29" s="24"/>
      <c r="J29" s="24"/>
      <c r="K29" s="24"/>
      <c r="L29" s="24"/>
      <c r="M29" s="26"/>
      <c r="N29" s="24"/>
      <c r="O29" s="24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0561-E2A0-425E-A50F-AE1EBB83F46A}">
  <sheetPr>
    <tabColor theme="3"/>
  </sheetPr>
  <dimension ref="A1:X468"/>
  <sheetViews>
    <sheetView workbookViewId="0">
      <selection activeCell="E163" sqref="E163"/>
    </sheetView>
  </sheetViews>
  <sheetFormatPr defaultColWidth="8.7109375" defaultRowHeight="15"/>
  <cols>
    <col min="1" max="3" width="11.42578125" customWidth="1"/>
    <col min="4" max="4" width="13.7109375" customWidth="1"/>
    <col min="5" max="5" width="19.7109375" customWidth="1"/>
    <col min="6" max="6" width="12.42578125" customWidth="1"/>
    <col min="7" max="7" width="17.28515625" customWidth="1"/>
    <col min="8" max="8" width="19.42578125" customWidth="1"/>
    <col min="9" max="9" width="32.7109375" customWidth="1"/>
    <col min="10" max="10" width="10.7109375" customWidth="1"/>
    <col min="11" max="12" width="9.140625"/>
    <col min="13" max="13" width="44.42578125" customWidth="1"/>
    <col min="14" max="14" width="9.140625"/>
    <col min="15" max="15" width="11.7109375" bestFit="1" customWidth="1"/>
    <col min="16" max="16" width="40.42578125" bestFit="1" customWidth="1"/>
    <col min="17" max="17" width="26" bestFit="1" customWidth="1"/>
    <col min="18" max="18" width="24.42578125" bestFit="1" customWidth="1"/>
    <col min="19" max="19" width="17.42578125" bestFit="1" customWidth="1"/>
    <col min="20" max="20" width="55.7109375" bestFit="1" customWidth="1"/>
    <col min="21" max="21" width="8.7109375" bestFit="1" customWidth="1"/>
    <col min="22" max="22" width="19.7109375" bestFit="1" customWidth="1"/>
    <col min="23" max="23" width="10.28515625" bestFit="1" customWidth="1"/>
    <col min="24" max="24" width="13.42578125" bestFit="1" customWidth="1"/>
  </cols>
  <sheetData>
    <row r="1" spans="1:24">
      <c r="A1" t="s">
        <v>1077</v>
      </c>
      <c r="B1" t="s">
        <v>1078</v>
      </c>
      <c r="C1" t="s">
        <v>1079</v>
      </c>
      <c r="D1" t="s">
        <v>1080</v>
      </c>
      <c r="E1" t="s">
        <v>1081</v>
      </c>
      <c r="F1" t="s">
        <v>56</v>
      </c>
      <c r="G1" t="s">
        <v>1082</v>
      </c>
      <c r="H1" t="s">
        <v>1083</v>
      </c>
      <c r="I1" t="s">
        <v>1036</v>
      </c>
      <c r="J1" t="s">
        <v>1084</v>
      </c>
    </row>
    <row r="2" spans="1:24">
      <c r="A2" t="b">
        <f>_xlfn.IFNA(VLOOKUP(D2,Spelerslijst!A:B,1,FALSE),FALSE)</f>
        <v>0</v>
      </c>
      <c r="B2" t="str">
        <f>_xlfn.IFNA(VLOOKUP(D2,Spelerslijst!K:L,1,FALSE),FALSE)</f>
        <v>NFS90V6</v>
      </c>
      <c r="C2" t="str">
        <f>IF(AND(A2=FALSE,B2=FALSE),"Onbekend","")</f>
        <v/>
      </c>
      <c r="D2" t="s">
        <v>98</v>
      </c>
      <c r="E2" t="s">
        <v>99</v>
      </c>
      <c r="F2" t="s">
        <v>100</v>
      </c>
      <c r="G2" s="1">
        <v>29031</v>
      </c>
      <c r="H2" t="s">
        <v>1085</v>
      </c>
      <c r="I2" t="s">
        <v>1086</v>
      </c>
      <c r="J2" t="s">
        <v>1087</v>
      </c>
      <c r="N2" s="1"/>
      <c r="W2" s="1"/>
    </row>
    <row r="3" spans="1:24">
      <c r="A3" t="b">
        <f>_xlfn.IFNA(VLOOKUP(D3,Spelerslijst!A:B,1,FALSE),FALSE)</f>
        <v>0</v>
      </c>
      <c r="B3" t="str">
        <f>_xlfn.IFNA(VLOOKUP(D3,Spelerslijst!K:L,1,FALSE),FALSE)</f>
        <v>NFV13V8</v>
      </c>
      <c r="C3" t="str">
        <f t="shared" ref="C3:C66" si="0">IF(AND(A3=FALSE,B3=FALSE),"Onbekend","")</f>
        <v/>
      </c>
      <c r="D3" t="s">
        <v>689</v>
      </c>
      <c r="E3" t="s">
        <v>690</v>
      </c>
      <c r="F3" t="s">
        <v>691</v>
      </c>
      <c r="G3" s="1">
        <v>30397</v>
      </c>
      <c r="H3" t="s">
        <v>1088</v>
      </c>
      <c r="I3" t="s">
        <v>1086</v>
      </c>
      <c r="J3" t="s">
        <v>1087</v>
      </c>
      <c r="N3" s="1"/>
      <c r="W3" s="1"/>
    </row>
    <row r="4" spans="1:24">
      <c r="A4" t="b">
        <f>_xlfn.IFNA(VLOOKUP(D4,Spelerslijst!A:B,1,FALSE),FALSE)</f>
        <v>0</v>
      </c>
      <c r="B4" t="str">
        <f>_xlfn.IFNA(VLOOKUP(D4,Spelerslijst!K:L,1,FALSE),FALSE)</f>
        <v>NFW13Y0</v>
      </c>
      <c r="C4" t="str">
        <f t="shared" si="0"/>
        <v/>
      </c>
      <c r="D4" t="s">
        <v>527</v>
      </c>
      <c r="E4" t="s">
        <v>528</v>
      </c>
      <c r="F4" t="s">
        <v>529</v>
      </c>
      <c r="G4" s="1">
        <v>25227</v>
      </c>
      <c r="H4" t="s">
        <v>1088</v>
      </c>
      <c r="I4" t="s">
        <v>1086</v>
      </c>
      <c r="J4" t="s">
        <v>1087</v>
      </c>
      <c r="N4" s="1"/>
      <c r="W4" s="1"/>
      <c r="X4" s="1"/>
    </row>
    <row r="5" spans="1:24">
      <c r="A5" t="b">
        <f>_xlfn.IFNA(VLOOKUP(D5,Spelerslijst!A:B,1,FALSE),FALSE)</f>
        <v>0</v>
      </c>
      <c r="B5" t="str">
        <f>_xlfn.IFNA(VLOOKUP(D5,Spelerslijst!K:L,1,FALSE),FALSE)</f>
        <v>NFW14Y3</v>
      </c>
      <c r="C5" t="str">
        <f t="shared" si="0"/>
        <v/>
      </c>
      <c r="D5" t="s">
        <v>309</v>
      </c>
      <c r="E5" t="s">
        <v>310</v>
      </c>
      <c r="F5" t="s">
        <v>311</v>
      </c>
      <c r="G5" s="1">
        <v>25273</v>
      </c>
      <c r="H5" t="s">
        <v>1089</v>
      </c>
      <c r="I5" t="s">
        <v>1086</v>
      </c>
      <c r="J5" t="s">
        <v>1087</v>
      </c>
      <c r="N5" s="1"/>
      <c r="W5" s="1"/>
    </row>
    <row r="6" spans="1:24">
      <c r="A6" t="b">
        <f>_xlfn.IFNA(VLOOKUP(D6,Spelerslijst!A:B,1,FALSE),FALSE)</f>
        <v>0</v>
      </c>
      <c r="B6" t="str">
        <f>_xlfn.IFNA(VLOOKUP(D6,Spelerslijst!K:L,1,FALSE),FALSE)</f>
        <v>NFW15F3</v>
      </c>
      <c r="C6" t="str">
        <f t="shared" si="0"/>
        <v/>
      </c>
      <c r="D6" t="s">
        <v>380</v>
      </c>
      <c r="E6" t="s">
        <v>381</v>
      </c>
      <c r="F6" t="s">
        <v>382</v>
      </c>
      <c r="G6" s="1">
        <v>24003</v>
      </c>
      <c r="H6" t="s">
        <v>1089</v>
      </c>
      <c r="I6" t="s">
        <v>1086</v>
      </c>
      <c r="J6" t="s">
        <v>1087</v>
      </c>
      <c r="N6" s="1"/>
      <c r="W6" s="1"/>
    </row>
    <row r="7" spans="1:24" hidden="1">
      <c r="A7" t="str">
        <f>_xlfn.IFNA(VLOOKUP(D7,Spelerslijst!A:B,1,FALSE),FALSE)</f>
        <v>NFW15S4</v>
      </c>
      <c r="B7" t="b">
        <f>_xlfn.IFNA(VLOOKUP(D7,Spelerslijst!K:L,1,FALSE),FALSE)</f>
        <v>0</v>
      </c>
      <c r="C7" t="str">
        <f t="shared" si="0"/>
        <v/>
      </c>
      <c r="D7" t="s">
        <v>205</v>
      </c>
      <c r="E7" t="s">
        <v>1090</v>
      </c>
      <c r="F7" t="s">
        <v>207</v>
      </c>
      <c r="G7" s="1">
        <v>28329</v>
      </c>
      <c r="H7" t="s">
        <v>1089</v>
      </c>
      <c r="I7" t="s">
        <v>1086</v>
      </c>
      <c r="J7" t="s">
        <v>1091</v>
      </c>
      <c r="N7" s="1"/>
      <c r="W7" s="1"/>
      <c r="X7" s="1"/>
    </row>
    <row r="8" spans="1:24">
      <c r="A8" t="b">
        <f>_xlfn.IFNA(VLOOKUP(D8,Spelerslijst!A:B,1,FALSE),FALSE)</f>
        <v>0</v>
      </c>
      <c r="B8" t="str">
        <f>_xlfn.IFNA(VLOOKUP(D8,Spelerslijst!K:L,1,FALSE),FALSE)</f>
        <v>NFW26G8</v>
      </c>
      <c r="C8" t="str">
        <f t="shared" si="0"/>
        <v/>
      </c>
      <c r="D8" t="s">
        <v>80</v>
      </c>
      <c r="E8" t="s">
        <v>81</v>
      </c>
      <c r="F8" t="s">
        <v>82</v>
      </c>
      <c r="G8" s="1">
        <v>29523</v>
      </c>
      <c r="H8" t="s">
        <v>1085</v>
      </c>
      <c r="I8" t="s">
        <v>1086</v>
      </c>
      <c r="J8" t="s">
        <v>1087</v>
      </c>
      <c r="N8" s="1"/>
      <c r="W8" s="1"/>
    </row>
    <row r="9" spans="1:24">
      <c r="A9" t="b">
        <f>_xlfn.IFNA(VLOOKUP(D9,Spelerslijst!A:B,1,FALSE),FALSE)</f>
        <v>0</v>
      </c>
      <c r="B9" t="str">
        <f>_xlfn.IFNA(VLOOKUP(D9,Spelerslijst!K:L,1,FALSE),FALSE)</f>
        <v>NFW26Q8</v>
      </c>
      <c r="C9" t="str">
        <f t="shared" si="0"/>
        <v/>
      </c>
      <c r="D9" t="s">
        <v>209</v>
      </c>
      <c r="E9" t="s">
        <v>210</v>
      </c>
      <c r="F9" t="s">
        <v>211</v>
      </c>
      <c r="G9" s="1">
        <v>29725</v>
      </c>
      <c r="H9" t="s">
        <v>1085</v>
      </c>
      <c r="I9" t="s">
        <v>1086</v>
      </c>
      <c r="J9" t="s">
        <v>1087</v>
      </c>
      <c r="N9" s="1"/>
      <c r="W9" s="1"/>
    </row>
    <row r="10" spans="1:24" hidden="1">
      <c r="A10" t="str">
        <f>_xlfn.IFNA(VLOOKUP(D10,Spelerslijst!A:B,1,FALSE),FALSE)</f>
        <v>NFW26V3</v>
      </c>
      <c r="B10" t="b">
        <f>_xlfn.IFNA(VLOOKUP(D10,Spelerslijst!K:L,1,FALSE),FALSE)</f>
        <v>0</v>
      </c>
      <c r="C10" t="str">
        <f t="shared" si="0"/>
        <v/>
      </c>
      <c r="D10" t="s">
        <v>606</v>
      </c>
      <c r="E10" t="s">
        <v>607</v>
      </c>
      <c r="F10" t="s">
        <v>608</v>
      </c>
      <c r="G10" s="1">
        <v>30573</v>
      </c>
      <c r="H10" t="s">
        <v>1089</v>
      </c>
      <c r="I10" t="s">
        <v>1086</v>
      </c>
      <c r="J10" t="s">
        <v>1091</v>
      </c>
      <c r="N10" s="1"/>
      <c r="W10" s="1"/>
    </row>
    <row r="11" spans="1:24" hidden="1">
      <c r="A11" t="str">
        <f>_xlfn.IFNA(VLOOKUP(D11,Spelerslijst!A:B,1,FALSE),FALSE)</f>
        <v>NFW28D3</v>
      </c>
      <c r="B11" t="b">
        <f>_xlfn.IFNA(VLOOKUP(D11,Spelerslijst!K:L,1,FALSE),FALSE)</f>
        <v>0</v>
      </c>
      <c r="C11" t="str">
        <f t="shared" si="0"/>
        <v/>
      </c>
      <c r="D11" t="s">
        <v>250</v>
      </c>
      <c r="E11" t="s">
        <v>251</v>
      </c>
      <c r="F11" t="s">
        <v>252</v>
      </c>
      <c r="G11" s="1">
        <v>31086</v>
      </c>
      <c r="H11" t="s">
        <v>1088</v>
      </c>
      <c r="I11" t="s">
        <v>1086</v>
      </c>
      <c r="J11" t="s">
        <v>1091</v>
      </c>
      <c r="N11" s="1"/>
      <c r="W11" s="1"/>
    </row>
    <row r="12" spans="1:24">
      <c r="A12" t="b">
        <f>_xlfn.IFNA(VLOOKUP(D12,Spelerslijst!A:B,1,FALSE),FALSE)</f>
        <v>0</v>
      </c>
      <c r="B12" t="str">
        <f>_xlfn.IFNA(VLOOKUP(D12,Spelerslijst!K:L,1,FALSE),FALSE)</f>
        <v>NFW28T5</v>
      </c>
      <c r="C12" t="str">
        <f t="shared" si="0"/>
        <v/>
      </c>
      <c r="D12" t="s">
        <v>324</v>
      </c>
      <c r="E12" t="s">
        <v>325</v>
      </c>
      <c r="F12" t="s">
        <v>326</v>
      </c>
      <c r="G12" s="1">
        <v>31083</v>
      </c>
      <c r="H12" t="s">
        <v>1089</v>
      </c>
      <c r="I12" t="s">
        <v>1086</v>
      </c>
      <c r="J12" t="s">
        <v>1087</v>
      </c>
      <c r="N12" s="1"/>
      <c r="W12" s="1"/>
    </row>
    <row r="13" spans="1:24" hidden="1">
      <c r="A13" t="str">
        <f>_xlfn.IFNA(VLOOKUP(D13,Spelerslijst!A:B,1,FALSE),FALSE)</f>
        <v>NFW41S7</v>
      </c>
      <c r="B13" t="b">
        <f>_xlfn.IFNA(VLOOKUP(D13,Spelerslijst!K:L,1,FALSE),FALSE)</f>
        <v>0</v>
      </c>
      <c r="C13" t="str">
        <f t="shared" si="0"/>
        <v/>
      </c>
      <c r="D13" t="s">
        <v>136</v>
      </c>
      <c r="E13" t="s">
        <v>137</v>
      </c>
      <c r="F13" t="s">
        <v>138</v>
      </c>
      <c r="G13" s="1">
        <v>29885</v>
      </c>
      <c r="H13" t="s">
        <v>1089</v>
      </c>
      <c r="I13" t="s">
        <v>1086</v>
      </c>
      <c r="J13" t="s">
        <v>1091</v>
      </c>
      <c r="N13" s="1"/>
      <c r="W13" s="1"/>
    </row>
    <row r="14" spans="1:24">
      <c r="A14" t="b">
        <f>_xlfn.IFNA(VLOOKUP(D14,Spelerslijst!A:B,1,FALSE),FALSE)</f>
        <v>0</v>
      </c>
      <c r="B14" t="str">
        <f>_xlfn.IFNA(VLOOKUP(D14,Spelerslijst!K:L,1,FALSE),FALSE)</f>
        <v>NFW42X5</v>
      </c>
      <c r="C14" t="str">
        <f t="shared" si="0"/>
        <v/>
      </c>
      <c r="D14" t="s">
        <v>575</v>
      </c>
      <c r="E14" t="s">
        <v>576</v>
      </c>
      <c r="F14" t="s">
        <v>577</v>
      </c>
      <c r="G14" s="1">
        <v>29718</v>
      </c>
      <c r="H14" t="s">
        <v>1088</v>
      </c>
      <c r="I14" t="s">
        <v>1086</v>
      </c>
      <c r="J14" t="s">
        <v>1087</v>
      </c>
      <c r="N14" s="1"/>
      <c r="W14" s="1"/>
    </row>
    <row r="15" spans="1:24">
      <c r="A15" t="b">
        <f>_xlfn.IFNA(VLOOKUP(D15,Spelerslijst!A:B,1,FALSE),FALSE)</f>
        <v>0</v>
      </c>
      <c r="B15" t="str">
        <f>_xlfn.IFNA(VLOOKUP(D15,Spelerslijst!K:L,1,FALSE),FALSE)</f>
        <v>NFW92M3</v>
      </c>
      <c r="C15" t="str">
        <f t="shared" si="0"/>
        <v/>
      </c>
      <c r="D15" t="s">
        <v>74</v>
      </c>
      <c r="E15" t="s">
        <v>75</v>
      </c>
      <c r="F15" t="s">
        <v>76</v>
      </c>
      <c r="G15" s="1">
        <v>29340</v>
      </c>
      <c r="H15" t="s">
        <v>1085</v>
      </c>
      <c r="I15" t="s">
        <v>1086</v>
      </c>
      <c r="J15" t="s">
        <v>1087</v>
      </c>
      <c r="N15" s="1"/>
      <c r="W15" s="1"/>
    </row>
    <row r="16" spans="1:24">
      <c r="A16" t="b">
        <f>_xlfn.IFNA(VLOOKUP(D16,Spelerslijst!A:B,1,FALSE),FALSE)</f>
        <v>0</v>
      </c>
      <c r="B16" t="str">
        <f>_xlfn.IFNA(VLOOKUP(D16,Spelerslijst!K:L,1,FALSE),FALSE)</f>
        <v>NFX11D8</v>
      </c>
      <c r="C16" t="str">
        <f t="shared" si="0"/>
        <v/>
      </c>
      <c r="D16" t="s">
        <v>482</v>
      </c>
      <c r="E16" t="s">
        <v>483</v>
      </c>
      <c r="F16" t="s">
        <v>484</v>
      </c>
      <c r="G16" s="1">
        <v>24583</v>
      </c>
      <c r="H16" t="s">
        <v>1089</v>
      </c>
      <c r="I16" t="s">
        <v>1086</v>
      </c>
      <c r="J16" t="s">
        <v>1087</v>
      </c>
      <c r="N16" s="1"/>
      <c r="W16" s="1"/>
    </row>
    <row r="17" spans="1:24" hidden="1">
      <c r="A17" t="str">
        <f>_xlfn.IFNA(VLOOKUP(D17,Spelerslijst!A:B,1,FALSE),FALSE)</f>
        <v>NFX24T4</v>
      </c>
      <c r="B17" t="b">
        <f>_xlfn.IFNA(VLOOKUP(D17,Spelerslijst!K:L,1,FALSE),FALSE)</f>
        <v>0</v>
      </c>
      <c r="C17" t="str">
        <f t="shared" si="0"/>
        <v/>
      </c>
      <c r="D17" t="s">
        <v>895</v>
      </c>
      <c r="E17" t="s">
        <v>896</v>
      </c>
      <c r="F17" t="s">
        <v>897</v>
      </c>
      <c r="G17" s="1">
        <v>32197</v>
      </c>
      <c r="H17" t="s">
        <v>1088</v>
      </c>
      <c r="I17" t="s">
        <v>1086</v>
      </c>
      <c r="J17" t="s">
        <v>1091</v>
      </c>
      <c r="N17" s="1"/>
      <c r="W17" s="1"/>
    </row>
    <row r="18" spans="1:24">
      <c r="A18" t="b">
        <f>_xlfn.IFNA(VLOOKUP(D18,Spelerslijst!A:B,1,FALSE),FALSE)</f>
        <v>0</v>
      </c>
      <c r="B18" t="str">
        <f>_xlfn.IFNA(VLOOKUP(D18,Spelerslijst!K:L,1,FALSE),FALSE)</f>
        <v>NFZ85W0</v>
      </c>
      <c r="C18" t="str">
        <f t="shared" si="0"/>
        <v/>
      </c>
      <c r="D18" t="s">
        <v>633</v>
      </c>
      <c r="E18" t="s">
        <v>634</v>
      </c>
      <c r="F18" t="s">
        <v>635</v>
      </c>
      <c r="G18" s="1">
        <v>30083</v>
      </c>
      <c r="H18" t="s">
        <v>1088</v>
      </c>
      <c r="I18" t="s">
        <v>1086</v>
      </c>
      <c r="J18" t="s">
        <v>1087</v>
      </c>
      <c r="N18" s="1"/>
      <c r="W18" s="1"/>
    </row>
    <row r="19" spans="1:24">
      <c r="A19" t="b">
        <f>_xlfn.IFNA(VLOOKUP(D19,Spelerslijst!A:B,1,FALSE),FALSE)</f>
        <v>0</v>
      </c>
      <c r="B19" t="str">
        <f>_xlfn.IFNA(VLOOKUP(D19,Spelerslijst!K:L,1,FALSE),FALSE)</f>
        <v>NGD51N5</v>
      </c>
      <c r="C19" t="str">
        <f t="shared" si="0"/>
        <v/>
      </c>
      <c r="D19" t="s">
        <v>785</v>
      </c>
      <c r="E19" t="s">
        <v>786</v>
      </c>
      <c r="F19" t="s">
        <v>787</v>
      </c>
      <c r="G19" s="1">
        <v>32357</v>
      </c>
      <c r="H19" t="s">
        <v>1085</v>
      </c>
      <c r="I19" t="s">
        <v>1086</v>
      </c>
      <c r="J19" t="s">
        <v>1087</v>
      </c>
      <c r="N19" s="1"/>
      <c r="W19" s="1"/>
    </row>
    <row r="20" spans="1:24" hidden="1">
      <c r="A20" t="str">
        <f>_xlfn.IFNA(VLOOKUP(D20,Spelerslijst!A:B,1,FALSE),FALSE)</f>
        <v>NGD85T4</v>
      </c>
      <c r="B20" t="b">
        <f>_xlfn.IFNA(VLOOKUP(D20,Spelerslijst!K:L,1,FALSE),FALSE)</f>
        <v>0</v>
      </c>
      <c r="C20" t="str">
        <f t="shared" si="0"/>
        <v/>
      </c>
      <c r="D20" t="s">
        <v>511</v>
      </c>
      <c r="E20" t="s">
        <v>512</v>
      </c>
      <c r="F20" t="s">
        <v>507</v>
      </c>
      <c r="G20" s="1">
        <v>31792</v>
      </c>
      <c r="H20" t="s">
        <v>1088</v>
      </c>
      <c r="I20" t="s">
        <v>1086</v>
      </c>
      <c r="J20" t="s">
        <v>1091</v>
      </c>
      <c r="N20" s="1"/>
      <c r="W20" s="1"/>
      <c r="X20" s="1"/>
    </row>
    <row r="21" spans="1:24">
      <c r="A21" t="b">
        <f>_xlfn.IFNA(VLOOKUP(D21,Spelerslijst!A:B,1,FALSE),FALSE)</f>
        <v>0</v>
      </c>
      <c r="B21" t="str">
        <f>_xlfn.IFNA(VLOOKUP(D21,Spelerslijst!K:L,1,FALSE),FALSE)</f>
        <v>NGG54S2</v>
      </c>
      <c r="C21" t="str">
        <f t="shared" si="0"/>
        <v/>
      </c>
      <c r="D21" t="s">
        <v>280</v>
      </c>
      <c r="E21" t="s">
        <v>281</v>
      </c>
      <c r="F21" t="s">
        <v>282</v>
      </c>
      <c r="G21" s="1">
        <v>32170</v>
      </c>
      <c r="H21" t="s">
        <v>1088</v>
      </c>
      <c r="I21" t="s">
        <v>1086</v>
      </c>
      <c r="J21" t="s">
        <v>1087</v>
      </c>
      <c r="N21" s="1"/>
      <c r="W21" s="1"/>
    </row>
    <row r="22" spans="1:24">
      <c r="A22" t="b">
        <f>_xlfn.IFNA(VLOOKUP(D22,Spelerslijst!A:B,1,FALSE),FALSE)</f>
        <v>0</v>
      </c>
      <c r="B22" t="str">
        <f>_xlfn.IFNA(VLOOKUP(D22,Spelerslijst!K:L,1,FALSE),FALSE)</f>
        <v>NGP49B2</v>
      </c>
      <c r="C22" t="str">
        <f t="shared" si="0"/>
        <v/>
      </c>
      <c r="D22" t="s">
        <v>678</v>
      </c>
      <c r="E22" t="s">
        <v>679</v>
      </c>
      <c r="F22" t="s">
        <v>680</v>
      </c>
      <c r="G22" s="1">
        <v>32911</v>
      </c>
      <c r="H22" t="s">
        <v>1089</v>
      </c>
      <c r="I22" t="s">
        <v>1086</v>
      </c>
      <c r="J22" t="s">
        <v>1087</v>
      </c>
      <c r="N22" s="1"/>
      <c r="W22" s="1"/>
    </row>
    <row r="23" spans="1:24">
      <c r="A23" t="b">
        <f>_xlfn.IFNA(VLOOKUP(D23,Spelerslijst!A:B,1,FALSE),FALSE)</f>
        <v>0</v>
      </c>
      <c r="B23" t="str">
        <f>_xlfn.IFNA(VLOOKUP(D23,Spelerslijst!K:L,1,FALSE),FALSE)</f>
        <v>NGT16K5</v>
      </c>
      <c r="C23" t="str">
        <f t="shared" si="0"/>
        <v/>
      </c>
      <c r="D23" t="s">
        <v>744</v>
      </c>
      <c r="E23" t="s">
        <v>745</v>
      </c>
      <c r="F23" t="s">
        <v>746</v>
      </c>
      <c r="G23" s="1">
        <v>33241</v>
      </c>
      <c r="H23" t="s">
        <v>1085</v>
      </c>
      <c r="I23" t="s">
        <v>1086</v>
      </c>
      <c r="J23" t="s">
        <v>1087</v>
      </c>
      <c r="N23" s="1"/>
      <c r="W23" s="1"/>
    </row>
    <row r="24" spans="1:24" hidden="1">
      <c r="A24" t="str">
        <f>_xlfn.IFNA(VLOOKUP(D24,Spelerslijst!A:B,1,FALSE),FALSE)</f>
        <v>NGT42S4</v>
      </c>
      <c r="B24" t="b">
        <f>_xlfn.IFNA(VLOOKUP(D24,Spelerslijst!K:L,1,FALSE),FALSE)</f>
        <v>0</v>
      </c>
      <c r="C24" t="str">
        <f t="shared" si="0"/>
        <v/>
      </c>
      <c r="D24" t="s">
        <v>572</v>
      </c>
      <c r="E24" t="s">
        <v>573</v>
      </c>
      <c r="F24" t="s">
        <v>574</v>
      </c>
      <c r="G24" s="1">
        <v>33086</v>
      </c>
      <c r="H24" t="s">
        <v>1088</v>
      </c>
      <c r="I24" t="s">
        <v>1086</v>
      </c>
      <c r="J24" t="s">
        <v>1091</v>
      </c>
      <c r="N24" s="1"/>
      <c r="W24" s="1"/>
      <c r="X24" s="1"/>
    </row>
    <row r="25" spans="1:24">
      <c r="A25" t="b">
        <f>_xlfn.IFNA(VLOOKUP(D25,Spelerslijst!A:B,1,FALSE),FALSE)</f>
        <v>0</v>
      </c>
      <c r="B25" t="str">
        <f>_xlfn.IFNA(VLOOKUP(D25,Spelerslijst!K:L,1,FALSE),FALSE)</f>
        <v>NGT42V5</v>
      </c>
      <c r="C25" t="str">
        <f t="shared" si="0"/>
        <v/>
      </c>
      <c r="D25" t="s">
        <v>668</v>
      </c>
      <c r="E25" t="s">
        <v>669</v>
      </c>
      <c r="F25" t="s">
        <v>664</v>
      </c>
      <c r="G25" s="1">
        <v>33211</v>
      </c>
      <c r="H25" t="s">
        <v>1089</v>
      </c>
      <c r="I25" t="s">
        <v>1086</v>
      </c>
      <c r="J25" t="s">
        <v>1087</v>
      </c>
      <c r="N25" s="1"/>
      <c r="W25" s="1"/>
    </row>
    <row r="26" spans="1:24" hidden="1">
      <c r="A26" t="str">
        <f>_xlfn.IFNA(VLOOKUP(D26,Spelerslijst!A:B,1,FALSE),FALSE)</f>
        <v>NGT43N2</v>
      </c>
      <c r="B26" t="b">
        <f>_xlfn.IFNA(VLOOKUP(D26,Spelerslijst!K:L,1,FALSE),FALSE)</f>
        <v>0</v>
      </c>
      <c r="C26" t="str">
        <f t="shared" si="0"/>
        <v/>
      </c>
      <c r="D26" t="s">
        <v>412</v>
      </c>
      <c r="E26" t="s">
        <v>413</v>
      </c>
      <c r="F26" t="s">
        <v>414</v>
      </c>
      <c r="G26" s="1">
        <v>33146</v>
      </c>
      <c r="H26" t="s">
        <v>1089</v>
      </c>
      <c r="I26" t="s">
        <v>1086</v>
      </c>
      <c r="J26" t="s">
        <v>1091</v>
      </c>
      <c r="N26" s="1"/>
      <c r="W26" s="1"/>
    </row>
    <row r="27" spans="1:24">
      <c r="A27" t="b">
        <f>_xlfn.IFNA(VLOOKUP(D27,Spelerslijst!A:B,1,FALSE),FALSE)</f>
        <v>0</v>
      </c>
      <c r="B27" t="str">
        <f>_xlfn.IFNA(VLOOKUP(D27,Spelerslijst!K:L,1,FALSE),FALSE)</f>
        <v>NGT92Q5</v>
      </c>
      <c r="C27" t="str">
        <f t="shared" si="0"/>
        <v/>
      </c>
      <c r="D27" t="s">
        <v>762</v>
      </c>
      <c r="E27" t="s">
        <v>763</v>
      </c>
      <c r="F27" t="s">
        <v>764</v>
      </c>
      <c r="G27" s="1">
        <v>33058</v>
      </c>
      <c r="H27" t="s">
        <v>1085</v>
      </c>
      <c r="I27" t="s">
        <v>1086</v>
      </c>
      <c r="J27" t="s">
        <v>1087</v>
      </c>
      <c r="N27" s="1"/>
      <c r="W27" s="1"/>
    </row>
    <row r="28" spans="1:24">
      <c r="A28" t="b">
        <f>_xlfn.IFNA(VLOOKUP(D28,Spelerslijst!A:B,1,FALSE),FALSE)</f>
        <v>0</v>
      </c>
      <c r="B28" t="str">
        <f>_xlfn.IFNA(VLOOKUP(D28,Spelerslijst!K:L,1,FALSE),FALSE)</f>
        <v>NGW00S1</v>
      </c>
      <c r="C28" t="str">
        <f t="shared" si="0"/>
        <v/>
      </c>
      <c r="D28" t="s">
        <v>304</v>
      </c>
      <c r="E28" t="s">
        <v>305</v>
      </c>
      <c r="F28" t="s">
        <v>306</v>
      </c>
      <c r="G28" s="1">
        <v>33100</v>
      </c>
      <c r="H28" t="s">
        <v>1085</v>
      </c>
      <c r="I28" t="s">
        <v>1086</v>
      </c>
      <c r="J28" t="s">
        <v>1087</v>
      </c>
      <c r="N28" s="1"/>
      <c r="W28" s="1"/>
    </row>
    <row r="29" spans="1:24">
      <c r="A29" t="b">
        <f>_xlfn.IFNA(VLOOKUP(D29,Spelerslijst!A:B,1,FALSE),FALSE)</f>
        <v>0</v>
      </c>
      <c r="B29" t="str">
        <f>_xlfn.IFNA(VLOOKUP(D29,Spelerslijst!K:L,1,FALSE),FALSE)</f>
        <v>NGW10M4</v>
      </c>
      <c r="C29" t="str">
        <f t="shared" si="0"/>
        <v/>
      </c>
      <c r="D29" t="s">
        <v>115</v>
      </c>
      <c r="E29" t="s">
        <v>116</v>
      </c>
      <c r="F29" t="s">
        <v>117</v>
      </c>
      <c r="G29" s="1">
        <v>33019</v>
      </c>
      <c r="H29" t="s">
        <v>1085</v>
      </c>
      <c r="I29" t="s">
        <v>1086</v>
      </c>
      <c r="J29" t="s">
        <v>1087</v>
      </c>
      <c r="N29" s="1"/>
      <c r="W29" s="1"/>
      <c r="X29" s="1"/>
    </row>
    <row r="30" spans="1:24">
      <c r="A30" t="b">
        <f>_xlfn.IFNA(VLOOKUP(D30,Spelerslijst!A:B,1,FALSE),FALSE)</f>
        <v>0</v>
      </c>
      <c r="B30" t="str">
        <f>_xlfn.IFNA(VLOOKUP(D30,Spelerslijst!K:L,1,FALSE),FALSE)</f>
        <v>NJB54T5</v>
      </c>
      <c r="C30" t="str">
        <f t="shared" si="0"/>
        <v/>
      </c>
      <c r="D30" t="s">
        <v>299</v>
      </c>
      <c r="E30" t="s">
        <v>300</v>
      </c>
      <c r="F30" t="s">
        <v>301</v>
      </c>
      <c r="G30" s="1">
        <v>35451</v>
      </c>
      <c r="H30" t="s">
        <v>1085</v>
      </c>
      <c r="I30" t="s">
        <v>1086</v>
      </c>
      <c r="J30" t="s">
        <v>1087</v>
      </c>
      <c r="N30" s="1"/>
      <c r="W30" s="1"/>
    </row>
    <row r="31" spans="1:24" hidden="1">
      <c r="A31" t="str">
        <f>_xlfn.IFNA(VLOOKUP(D31,Spelerslijst!A:B,1,FALSE),FALSE)</f>
        <v>NJC15T9</v>
      </c>
      <c r="B31" t="b">
        <f>_xlfn.IFNA(VLOOKUP(D31,Spelerslijst!K:L,1,FALSE),FALSE)</f>
        <v>0</v>
      </c>
      <c r="C31" t="str">
        <f t="shared" si="0"/>
        <v/>
      </c>
      <c r="D31" t="s">
        <v>229</v>
      </c>
      <c r="E31" t="s">
        <v>230</v>
      </c>
      <c r="F31" t="s">
        <v>231</v>
      </c>
      <c r="G31" s="1">
        <v>33777</v>
      </c>
      <c r="H31" t="s">
        <v>1089</v>
      </c>
      <c r="I31" t="s">
        <v>1086</v>
      </c>
      <c r="J31" t="s">
        <v>1091</v>
      </c>
      <c r="N31" s="1"/>
      <c r="W31" s="1"/>
    </row>
    <row r="32" spans="1:24">
      <c r="A32" t="b">
        <f>_xlfn.IFNA(VLOOKUP(D32,Spelerslijst!A:B,1,FALSE),FALSE)</f>
        <v>0</v>
      </c>
      <c r="B32" t="str">
        <f>_xlfn.IFNA(VLOOKUP(D32,Spelerslijst!K:L,1,FALSE),FALSE)</f>
        <v>NJC17J5</v>
      </c>
      <c r="C32" t="str">
        <f t="shared" si="0"/>
        <v/>
      </c>
      <c r="D32" t="s">
        <v>487</v>
      </c>
      <c r="E32" t="s">
        <v>488</v>
      </c>
      <c r="F32" t="s">
        <v>484</v>
      </c>
      <c r="G32" s="1">
        <v>34711</v>
      </c>
      <c r="H32" t="s">
        <v>1085</v>
      </c>
      <c r="I32" t="s">
        <v>1086</v>
      </c>
      <c r="J32" t="s">
        <v>1087</v>
      </c>
      <c r="N32" s="1"/>
      <c r="W32" s="1"/>
    </row>
    <row r="33" spans="1:24">
      <c r="A33" t="b">
        <f>_xlfn.IFNA(VLOOKUP(D33,Spelerslijst!A:B,1,FALSE),FALSE)</f>
        <v>0</v>
      </c>
      <c r="B33" t="str">
        <f>_xlfn.IFNA(VLOOKUP(D33,Spelerslijst!K:L,1,FALSE),FALSE)</f>
        <v>NJC26C8</v>
      </c>
      <c r="C33" t="str">
        <f t="shared" si="0"/>
        <v/>
      </c>
      <c r="D33" t="s">
        <v>220</v>
      </c>
      <c r="E33" t="s">
        <v>221</v>
      </c>
      <c r="F33" t="s">
        <v>222</v>
      </c>
      <c r="G33" s="1">
        <v>34464</v>
      </c>
      <c r="H33" t="s">
        <v>1085</v>
      </c>
      <c r="I33" t="s">
        <v>1086</v>
      </c>
      <c r="J33" t="s">
        <v>1087</v>
      </c>
      <c r="N33" s="1"/>
      <c r="W33" s="1"/>
    </row>
    <row r="34" spans="1:24" hidden="1">
      <c r="A34" t="str">
        <f>_xlfn.IFNA(VLOOKUP(D34,Spelerslijst!A:B,1,FALSE),FALSE)</f>
        <v>NJC46R3</v>
      </c>
      <c r="B34" t="b">
        <f>_xlfn.IFNA(VLOOKUP(D34,Spelerslijst!K:L,1,FALSE),FALSE)</f>
        <v>0</v>
      </c>
      <c r="C34" t="str">
        <f t="shared" si="0"/>
        <v/>
      </c>
      <c r="D34" t="s">
        <v>307</v>
      </c>
      <c r="E34" t="s">
        <v>308</v>
      </c>
      <c r="F34" t="s">
        <v>298</v>
      </c>
      <c r="G34" s="1">
        <v>33690</v>
      </c>
      <c r="H34" t="s">
        <v>1085</v>
      </c>
      <c r="I34" t="s">
        <v>1086</v>
      </c>
      <c r="J34" t="s">
        <v>1091</v>
      </c>
      <c r="N34" s="1"/>
      <c r="W34" s="1"/>
    </row>
    <row r="35" spans="1:24">
      <c r="A35" t="b">
        <f>_xlfn.IFNA(VLOOKUP(D35,Spelerslijst!A:B,1,FALSE),FALSE)</f>
        <v>0</v>
      </c>
      <c r="B35" t="str">
        <f>_xlfn.IFNA(VLOOKUP(D35,Spelerslijst!K:L,1,FALSE),FALSE)</f>
        <v>NJD65S8</v>
      </c>
      <c r="C35" t="str">
        <f t="shared" si="0"/>
        <v/>
      </c>
      <c r="D35" t="s">
        <v>374</v>
      </c>
      <c r="E35" t="s">
        <v>375</v>
      </c>
      <c r="F35" t="s">
        <v>376</v>
      </c>
      <c r="G35" s="1">
        <v>35873</v>
      </c>
      <c r="H35" t="s">
        <v>1085</v>
      </c>
      <c r="I35" t="s">
        <v>1086</v>
      </c>
      <c r="J35" t="s">
        <v>1087</v>
      </c>
      <c r="N35" s="1"/>
      <c r="W35" s="1"/>
    </row>
    <row r="36" spans="1:24" hidden="1">
      <c r="A36" t="str">
        <f>_xlfn.IFNA(VLOOKUP(D36,Spelerslijst!A:B,1,FALSE),FALSE)</f>
        <v>NJF17P0</v>
      </c>
      <c r="B36" t="b">
        <f>_xlfn.IFNA(VLOOKUP(D36,Spelerslijst!K:L,1,FALSE),FALSE)</f>
        <v>0</v>
      </c>
      <c r="C36" t="str">
        <f t="shared" si="0"/>
        <v/>
      </c>
      <c r="D36" t="s">
        <v>798</v>
      </c>
      <c r="E36" t="s">
        <v>799</v>
      </c>
      <c r="F36" t="s">
        <v>685</v>
      </c>
      <c r="G36" s="1">
        <v>35195</v>
      </c>
      <c r="H36" t="s">
        <v>1085</v>
      </c>
      <c r="I36" t="s">
        <v>1086</v>
      </c>
      <c r="J36" t="s">
        <v>1091</v>
      </c>
      <c r="N36" s="1"/>
      <c r="W36" s="1"/>
    </row>
    <row r="37" spans="1:24">
      <c r="A37" t="b">
        <f>_xlfn.IFNA(VLOOKUP(D37,Spelerslijst!A:B,1,FALSE),FALSE)</f>
        <v>0</v>
      </c>
      <c r="B37" t="str">
        <f>_xlfn.IFNA(VLOOKUP(D37,Spelerslijst!K:L,1,FALSE),FALSE)</f>
        <v>NJF24X2</v>
      </c>
      <c r="C37" t="str">
        <f t="shared" si="0"/>
        <v/>
      </c>
      <c r="D37" t="s">
        <v>683</v>
      </c>
      <c r="E37" t="s">
        <v>684</v>
      </c>
      <c r="F37" t="s">
        <v>685</v>
      </c>
      <c r="G37" s="1">
        <v>35246</v>
      </c>
      <c r="H37" t="s">
        <v>1085</v>
      </c>
      <c r="I37" t="s">
        <v>1086</v>
      </c>
      <c r="J37" t="s">
        <v>1087</v>
      </c>
      <c r="N37" s="1"/>
      <c r="W37" s="1"/>
    </row>
    <row r="38" spans="1:24">
      <c r="A38" t="b">
        <f>_xlfn.IFNA(VLOOKUP(D38,Spelerslijst!A:B,1,FALSE),FALSE)</f>
        <v>0</v>
      </c>
      <c r="B38" t="str">
        <f>_xlfn.IFNA(VLOOKUP(D38,Spelerslijst!K:L,1,FALSE),FALSE)</f>
        <v>NJF53H2</v>
      </c>
      <c r="C38" t="str">
        <f t="shared" si="0"/>
        <v/>
      </c>
      <c r="D38" t="s">
        <v>445</v>
      </c>
      <c r="E38" t="s">
        <v>446</v>
      </c>
      <c r="F38" t="s">
        <v>447</v>
      </c>
      <c r="G38" s="1">
        <v>35330</v>
      </c>
      <c r="H38" t="s">
        <v>1089</v>
      </c>
      <c r="I38" t="s">
        <v>1086</v>
      </c>
      <c r="J38" t="s">
        <v>1087</v>
      </c>
      <c r="N38" s="1"/>
      <c r="W38" s="1"/>
    </row>
    <row r="39" spans="1:24">
      <c r="A39" t="b">
        <f>_xlfn.IFNA(VLOOKUP(D39,Spelerslijst!A:B,1,FALSE),FALSE)</f>
        <v>0</v>
      </c>
      <c r="B39" t="str">
        <f>_xlfn.IFNA(VLOOKUP(D39,Spelerslijst!K:L,1,FALSE),FALSE)</f>
        <v>NJF77Y3</v>
      </c>
      <c r="C39" t="str">
        <f t="shared" si="0"/>
        <v/>
      </c>
      <c r="D39" t="s">
        <v>532</v>
      </c>
      <c r="E39" t="s">
        <v>533</v>
      </c>
      <c r="F39" t="s">
        <v>534</v>
      </c>
      <c r="G39" s="1">
        <v>35550</v>
      </c>
      <c r="H39" t="s">
        <v>1085</v>
      </c>
      <c r="I39" t="s">
        <v>1086</v>
      </c>
      <c r="J39" t="s">
        <v>1087</v>
      </c>
      <c r="N39" s="1"/>
      <c r="W39" s="1"/>
    </row>
    <row r="40" spans="1:24" hidden="1">
      <c r="A40" t="str">
        <f>_xlfn.IFNA(VLOOKUP(D40,Spelerslijst!A:B,1,FALSE),FALSE)</f>
        <v>NJF85B1</v>
      </c>
      <c r="B40" t="b">
        <f>_xlfn.IFNA(VLOOKUP(D40,Spelerslijst!K:L,1,FALSE),FALSE)</f>
        <v>0</v>
      </c>
      <c r="C40" t="str">
        <f t="shared" si="0"/>
        <v/>
      </c>
      <c r="D40" t="s">
        <v>927</v>
      </c>
      <c r="E40" t="s">
        <v>928</v>
      </c>
      <c r="F40" t="s">
        <v>929</v>
      </c>
      <c r="G40" s="1">
        <v>34885</v>
      </c>
      <c r="H40" t="s">
        <v>1085</v>
      </c>
      <c r="I40" t="s">
        <v>1086</v>
      </c>
      <c r="J40" t="s">
        <v>1091</v>
      </c>
      <c r="N40" s="1"/>
      <c r="W40" s="1"/>
      <c r="X40" s="1"/>
    </row>
    <row r="41" spans="1:24">
      <c r="A41" t="b">
        <f>_xlfn.IFNA(VLOOKUP(D41,Spelerslijst!A:B,1,FALSE),FALSE)</f>
        <v>0</v>
      </c>
      <c r="B41" t="str">
        <f>_xlfn.IFNA(VLOOKUP(D41,Spelerslijst!K:L,1,FALSE),FALSE)</f>
        <v>NJF95S5</v>
      </c>
      <c r="C41" t="str">
        <f t="shared" si="0"/>
        <v/>
      </c>
      <c r="D41" t="s">
        <v>127</v>
      </c>
      <c r="E41" t="s">
        <v>128</v>
      </c>
      <c r="F41" t="s">
        <v>129</v>
      </c>
      <c r="G41" s="1">
        <v>35372</v>
      </c>
      <c r="H41" t="s">
        <v>1085</v>
      </c>
      <c r="I41" t="s">
        <v>1086</v>
      </c>
      <c r="J41" t="s">
        <v>1087</v>
      </c>
      <c r="N41" s="1"/>
      <c r="W41" s="1"/>
    </row>
    <row r="42" spans="1:24" hidden="1">
      <c r="A42" t="str">
        <f>_xlfn.IFNA(VLOOKUP(D42,Spelerslijst!A:B,1,FALSE),FALSE)</f>
        <v>NJG13L1</v>
      </c>
      <c r="B42" t="b">
        <f>_xlfn.IFNA(VLOOKUP(D42,Spelerslijst!K:L,1,FALSE),FALSE)</f>
        <v>0</v>
      </c>
      <c r="C42" t="str">
        <f t="shared" si="0"/>
        <v/>
      </c>
      <c r="D42" t="s">
        <v>296</v>
      </c>
      <c r="E42" t="s">
        <v>297</v>
      </c>
      <c r="F42" t="s">
        <v>298</v>
      </c>
      <c r="G42" s="1">
        <v>35337</v>
      </c>
      <c r="H42" t="s">
        <v>1085</v>
      </c>
      <c r="I42" t="s">
        <v>1086</v>
      </c>
      <c r="J42" t="s">
        <v>1091</v>
      </c>
      <c r="N42" s="1"/>
      <c r="W42" s="1"/>
    </row>
    <row r="43" spans="1:24" hidden="1">
      <c r="A43" t="str">
        <f>_xlfn.IFNA(VLOOKUP(D43,Spelerslijst!A:B,1,FALSE),FALSE)</f>
        <v>NJG35B7</v>
      </c>
      <c r="B43" t="b">
        <f>_xlfn.IFNA(VLOOKUP(D43,Spelerslijst!K:L,1,FALSE),FALSE)</f>
        <v>0</v>
      </c>
      <c r="C43" t="str">
        <f t="shared" si="0"/>
        <v/>
      </c>
      <c r="D43" t="s">
        <v>788</v>
      </c>
      <c r="E43" t="s">
        <v>789</v>
      </c>
      <c r="F43" t="s">
        <v>790</v>
      </c>
      <c r="G43" s="1">
        <v>36011</v>
      </c>
      <c r="H43" t="s">
        <v>1085</v>
      </c>
      <c r="I43" t="s">
        <v>1086</v>
      </c>
      <c r="J43" t="s">
        <v>1091</v>
      </c>
      <c r="N43" s="1"/>
      <c r="W43" s="1"/>
    </row>
    <row r="44" spans="1:24">
      <c r="A44" t="b">
        <f>_xlfn.IFNA(VLOOKUP(D44,Spelerslijst!A:B,1,FALSE),FALSE)</f>
        <v>0</v>
      </c>
      <c r="B44" t="str">
        <f>_xlfn.IFNA(VLOOKUP(D44,Spelerslijst!K:L,1,FALSE),FALSE)</f>
        <v>NJG52P6</v>
      </c>
      <c r="C44" t="str">
        <f t="shared" si="0"/>
        <v/>
      </c>
      <c r="D44" t="s">
        <v>253</v>
      </c>
      <c r="E44" t="s">
        <v>254</v>
      </c>
      <c r="F44" t="s">
        <v>255</v>
      </c>
      <c r="G44" s="1">
        <v>35270</v>
      </c>
      <c r="H44" t="s">
        <v>1089</v>
      </c>
      <c r="I44" t="s">
        <v>1086</v>
      </c>
      <c r="J44" t="s">
        <v>1087</v>
      </c>
      <c r="N44" s="1"/>
      <c r="W44" s="1"/>
    </row>
    <row r="45" spans="1:24" hidden="1">
      <c r="A45" t="str">
        <f>_xlfn.IFNA(VLOOKUP(D45,Spelerslijst!A:B,1,FALSE),FALSE)</f>
        <v>NJH13R4</v>
      </c>
      <c r="B45" t="b">
        <f>_xlfn.IFNA(VLOOKUP(D45,Spelerslijst!K:L,1,FALSE),FALSE)</f>
        <v>0</v>
      </c>
      <c r="C45" t="str">
        <f t="shared" si="0"/>
        <v/>
      </c>
      <c r="D45" t="s">
        <v>442</v>
      </c>
      <c r="E45" t="s">
        <v>443</v>
      </c>
      <c r="F45" t="s">
        <v>444</v>
      </c>
      <c r="G45" s="1">
        <v>36013</v>
      </c>
      <c r="H45" t="s">
        <v>1085</v>
      </c>
      <c r="I45" t="s">
        <v>1086</v>
      </c>
      <c r="J45" t="s">
        <v>1091</v>
      </c>
      <c r="N45" s="1"/>
      <c r="W45" s="1"/>
    </row>
    <row r="46" spans="1:24">
      <c r="A46" t="b">
        <f>_xlfn.IFNA(VLOOKUP(D46,Spelerslijst!A:B,1,FALSE),FALSE)</f>
        <v>0</v>
      </c>
      <c r="B46" t="str">
        <f>_xlfn.IFNA(VLOOKUP(D46,Spelerslijst!K:L,1,FALSE),FALSE)</f>
        <v>NJH39X4</v>
      </c>
      <c r="C46" t="str">
        <f t="shared" si="0"/>
        <v/>
      </c>
      <c r="D46" t="s">
        <v>110</v>
      </c>
      <c r="E46" t="s">
        <v>111</v>
      </c>
      <c r="F46" t="s">
        <v>100</v>
      </c>
      <c r="G46" s="1">
        <v>34900</v>
      </c>
      <c r="H46" t="s">
        <v>1089</v>
      </c>
      <c r="I46" t="s">
        <v>1086</v>
      </c>
      <c r="J46" t="s">
        <v>1087</v>
      </c>
      <c r="N46" s="1"/>
      <c r="W46" s="1"/>
    </row>
    <row r="47" spans="1:24">
      <c r="A47" t="b">
        <f>_xlfn.IFNA(VLOOKUP(D47,Spelerslijst!A:B,1,FALSE),FALSE)</f>
        <v>0</v>
      </c>
      <c r="B47" t="str">
        <f>_xlfn.IFNA(VLOOKUP(D47,Spelerslijst!K:L,1,FALSE),FALSE)</f>
        <v>NJH51J2</v>
      </c>
      <c r="C47" t="str">
        <f t="shared" si="0"/>
        <v/>
      </c>
      <c r="D47" t="s">
        <v>346</v>
      </c>
      <c r="E47" t="s">
        <v>347</v>
      </c>
      <c r="F47" t="s">
        <v>348</v>
      </c>
      <c r="G47" s="1">
        <v>35145</v>
      </c>
      <c r="H47" t="s">
        <v>1089</v>
      </c>
      <c r="I47" t="s">
        <v>1086</v>
      </c>
      <c r="J47" t="s">
        <v>1087</v>
      </c>
      <c r="N47" s="1"/>
      <c r="W47" s="1"/>
    </row>
    <row r="48" spans="1:24">
      <c r="A48" t="b">
        <f>_xlfn.IFNA(VLOOKUP(D48,Spelerslijst!A:B,1,FALSE),FALSE)</f>
        <v>0</v>
      </c>
      <c r="B48" t="str">
        <f>_xlfn.IFNA(VLOOKUP(D48,Spelerslijst!K:L,1,FALSE),FALSE)</f>
        <v>NJH76N5</v>
      </c>
      <c r="C48" t="str">
        <f t="shared" si="0"/>
        <v/>
      </c>
      <c r="D48" t="s">
        <v>609</v>
      </c>
      <c r="E48" t="s">
        <v>610</v>
      </c>
      <c r="F48" t="s">
        <v>611</v>
      </c>
      <c r="G48" s="1">
        <v>36143</v>
      </c>
      <c r="H48" t="s">
        <v>1085</v>
      </c>
      <c r="I48" t="s">
        <v>1086</v>
      </c>
      <c r="J48" t="s">
        <v>1087</v>
      </c>
      <c r="N48" s="1"/>
      <c r="W48" s="1"/>
    </row>
    <row r="49" spans="1:24" hidden="1">
      <c r="A49" t="str">
        <f>_xlfn.IFNA(VLOOKUP(D49,Spelerslijst!A:B,1,FALSE),FALSE)</f>
        <v>NJK08X9</v>
      </c>
      <c r="B49" t="b">
        <f>_xlfn.IFNA(VLOOKUP(D49,Spelerslijst!K:L,1,FALSE),FALSE)</f>
        <v>0</v>
      </c>
      <c r="C49" t="str">
        <f t="shared" si="0"/>
        <v/>
      </c>
      <c r="D49" t="s">
        <v>681</v>
      </c>
      <c r="E49" t="s">
        <v>682</v>
      </c>
      <c r="F49" t="s">
        <v>672</v>
      </c>
      <c r="G49" s="1">
        <v>33828</v>
      </c>
      <c r="H49" t="s">
        <v>1085</v>
      </c>
      <c r="I49" t="s">
        <v>1086</v>
      </c>
      <c r="J49" t="s">
        <v>1091</v>
      </c>
      <c r="N49" s="1"/>
      <c r="W49" s="1"/>
    </row>
    <row r="50" spans="1:24" hidden="1">
      <c r="A50" t="str">
        <f>_xlfn.IFNA(VLOOKUP(D50,Spelerslijst!A:B,1,FALSE),FALSE)</f>
        <v>NJK09N2</v>
      </c>
      <c r="B50" t="b">
        <f>_xlfn.IFNA(VLOOKUP(D50,Spelerslijst!K:L,1,FALSE),FALSE)</f>
        <v>0</v>
      </c>
      <c r="C50" t="str">
        <f t="shared" si="0"/>
        <v/>
      </c>
      <c r="D50" t="s">
        <v>514</v>
      </c>
      <c r="E50" t="s">
        <v>515</v>
      </c>
      <c r="F50" t="s">
        <v>507</v>
      </c>
      <c r="G50" s="1">
        <v>32843</v>
      </c>
      <c r="H50" t="s">
        <v>1088</v>
      </c>
      <c r="I50" t="s">
        <v>1086</v>
      </c>
      <c r="J50" t="s">
        <v>1091</v>
      </c>
      <c r="N50" s="1"/>
      <c r="W50" s="1"/>
    </row>
    <row r="51" spans="1:24" hidden="1">
      <c r="A51" t="str">
        <f>_xlfn.IFNA(VLOOKUP(D51,Spelerslijst!A:B,1,FALSE),FALSE)</f>
        <v>NJK27R4</v>
      </c>
      <c r="B51" t="b">
        <f>_xlfn.IFNA(VLOOKUP(D51,Spelerslijst!K:L,1,FALSE),FALSE)</f>
        <v>0</v>
      </c>
      <c r="C51" t="str">
        <f t="shared" si="0"/>
        <v/>
      </c>
      <c r="D51" t="s">
        <v>844</v>
      </c>
      <c r="E51" t="s">
        <v>845</v>
      </c>
      <c r="F51" t="s">
        <v>836</v>
      </c>
      <c r="G51" s="1">
        <v>33211</v>
      </c>
      <c r="H51" t="s">
        <v>1088</v>
      </c>
      <c r="I51" t="s">
        <v>1086</v>
      </c>
      <c r="J51" t="s">
        <v>1091</v>
      </c>
      <c r="N51" s="1"/>
      <c r="W51" s="1"/>
      <c r="X51" s="1"/>
    </row>
    <row r="52" spans="1:24" hidden="1">
      <c r="A52" t="str">
        <f>_xlfn.IFNA(VLOOKUP(D52,Spelerslijst!A:B,1,FALSE),FALSE)</f>
        <v>NJK34W5</v>
      </c>
      <c r="B52" t="b">
        <f>_xlfn.IFNA(VLOOKUP(D52,Spelerslijst!K:L,1,FALSE),FALSE)</f>
        <v>0</v>
      </c>
      <c r="C52" t="str">
        <f t="shared" si="0"/>
        <v/>
      </c>
      <c r="D52" t="s">
        <v>566</v>
      </c>
      <c r="E52" t="s">
        <v>567</v>
      </c>
      <c r="F52" t="s">
        <v>568</v>
      </c>
      <c r="G52" s="1">
        <v>31732</v>
      </c>
      <c r="H52" t="s">
        <v>1085</v>
      </c>
      <c r="I52" t="s">
        <v>1086</v>
      </c>
      <c r="J52" t="s">
        <v>1091</v>
      </c>
      <c r="N52" s="1"/>
      <c r="W52" s="1"/>
      <c r="X52" s="1"/>
    </row>
    <row r="53" spans="1:24" hidden="1">
      <c r="A53" t="str">
        <f>_xlfn.IFNA(VLOOKUP(D53,Spelerslijst!A:B,1,FALSE),FALSE)</f>
        <v>NJK42D1</v>
      </c>
      <c r="B53" t="b">
        <f>_xlfn.IFNA(VLOOKUP(D53,Spelerslijst!K:L,1,FALSE),FALSE)</f>
        <v>0</v>
      </c>
      <c r="C53" t="str">
        <f t="shared" si="0"/>
        <v/>
      </c>
      <c r="D53" t="s">
        <v>578</v>
      </c>
      <c r="E53" t="s">
        <v>579</v>
      </c>
      <c r="F53" t="s">
        <v>580</v>
      </c>
      <c r="G53" s="1">
        <v>33696</v>
      </c>
      <c r="H53" t="s">
        <v>1085</v>
      </c>
      <c r="I53" t="s">
        <v>1086</v>
      </c>
      <c r="J53" t="s">
        <v>1091</v>
      </c>
      <c r="N53" s="1"/>
      <c r="W53" s="1"/>
    </row>
    <row r="54" spans="1:24" hidden="1">
      <c r="A54" t="str">
        <f>_xlfn.IFNA(VLOOKUP(D54,Spelerslijst!A:B,1,FALSE),FALSE)</f>
        <v>NJQ72J4</v>
      </c>
      <c r="B54" t="b">
        <f>_xlfn.IFNA(VLOOKUP(D54,Spelerslijst!K:L,1,FALSE),FALSE)</f>
        <v>0</v>
      </c>
      <c r="C54" t="str">
        <f t="shared" si="0"/>
        <v/>
      </c>
      <c r="D54" t="s">
        <v>859</v>
      </c>
      <c r="E54" t="s">
        <v>860</v>
      </c>
      <c r="F54" t="s">
        <v>861</v>
      </c>
      <c r="G54" s="1">
        <v>34635</v>
      </c>
      <c r="H54" t="s">
        <v>1085</v>
      </c>
      <c r="I54" t="s">
        <v>1086</v>
      </c>
      <c r="J54" t="s">
        <v>1091</v>
      </c>
      <c r="N54" s="1"/>
      <c r="W54" s="1"/>
      <c r="X54" s="1"/>
    </row>
    <row r="55" spans="1:24" hidden="1">
      <c r="A55" t="str">
        <f>_xlfn.IFNA(VLOOKUP(D55,Spelerslijst!A:B,1,FALSE),FALSE)</f>
        <v>NJW77M6</v>
      </c>
      <c r="B55" t="b">
        <f>_xlfn.IFNA(VLOOKUP(D55,Spelerslijst!K:L,1,FALSE),FALSE)</f>
        <v>0</v>
      </c>
      <c r="C55" t="str">
        <f t="shared" si="0"/>
        <v/>
      </c>
      <c r="D55" t="s">
        <v>676</v>
      </c>
      <c r="E55" t="s">
        <v>677</v>
      </c>
      <c r="F55" t="s">
        <v>672</v>
      </c>
      <c r="G55" s="1">
        <v>36432</v>
      </c>
      <c r="H55" t="s">
        <v>1089</v>
      </c>
      <c r="I55" t="s">
        <v>1086</v>
      </c>
      <c r="J55" t="s">
        <v>1091</v>
      </c>
      <c r="N55" s="1"/>
      <c r="W55" s="1"/>
    </row>
    <row r="56" spans="1:24" hidden="1">
      <c r="A56" t="str">
        <f>_xlfn.IFNA(VLOOKUP(D56,Spelerslijst!A:B,1,FALSE),FALSE)</f>
        <v>NJY82Z9</v>
      </c>
      <c r="B56" t="b">
        <f>_xlfn.IFNA(VLOOKUP(D56,Spelerslijst!K:L,1,FALSE),FALSE)</f>
        <v>0</v>
      </c>
      <c r="C56" t="str">
        <f t="shared" si="0"/>
        <v/>
      </c>
      <c r="D56" t="s">
        <v>907</v>
      </c>
      <c r="E56" t="s">
        <v>908</v>
      </c>
      <c r="F56" t="s">
        <v>909</v>
      </c>
      <c r="G56" s="1">
        <v>36865</v>
      </c>
      <c r="H56" t="s">
        <v>1085</v>
      </c>
      <c r="I56" t="s">
        <v>1086</v>
      </c>
      <c r="J56" t="s">
        <v>1091</v>
      </c>
      <c r="N56" s="1"/>
      <c r="W56" s="1"/>
    </row>
    <row r="57" spans="1:24">
      <c r="A57" t="b">
        <f>_xlfn.IFNA(VLOOKUP(D57,Spelerslijst!A:B,1,FALSE),FALSE)</f>
        <v>0</v>
      </c>
      <c r="B57" t="str">
        <f>_xlfn.IFNA(VLOOKUP(D57,Spelerslijst!K:L,1,FALSE),FALSE)</f>
        <v>NJY83B4</v>
      </c>
      <c r="C57" t="str">
        <f t="shared" si="0"/>
        <v/>
      </c>
      <c r="D57" t="s">
        <v>700</v>
      </c>
      <c r="E57" t="s">
        <v>701</v>
      </c>
      <c r="F57" t="s">
        <v>702</v>
      </c>
      <c r="G57" s="1">
        <v>36865</v>
      </c>
      <c r="H57" t="s">
        <v>1085</v>
      </c>
      <c r="I57" t="s">
        <v>1086</v>
      </c>
      <c r="J57" t="s">
        <v>1087</v>
      </c>
      <c r="N57" s="1"/>
      <c r="W57" s="1"/>
    </row>
    <row r="58" spans="1:24">
      <c r="A58" t="b">
        <f>_xlfn.IFNA(VLOOKUP(D58,Spelerslijst!A:B,1,FALSE),FALSE)</f>
        <v>0</v>
      </c>
      <c r="B58" t="str">
        <f>_xlfn.IFNA(VLOOKUP(D58,Spelerslijst!K:L,1,FALSE),FALSE)</f>
        <v>NJZ00W3</v>
      </c>
      <c r="C58" t="str">
        <f t="shared" si="0"/>
        <v/>
      </c>
      <c r="D58" t="s">
        <v>826</v>
      </c>
      <c r="E58" t="s">
        <v>827</v>
      </c>
      <c r="F58" t="s">
        <v>817</v>
      </c>
      <c r="G58" s="1">
        <v>36567</v>
      </c>
      <c r="H58" t="s">
        <v>1085</v>
      </c>
      <c r="I58" t="s">
        <v>1086</v>
      </c>
      <c r="J58" t="s">
        <v>1087</v>
      </c>
      <c r="N58" s="1"/>
      <c r="W58" s="1"/>
    </row>
    <row r="59" spans="1:24">
      <c r="A59" t="b">
        <f>_xlfn.IFNA(VLOOKUP(D59,Spelerslijst!A:B,1,FALSE),FALSE)</f>
        <v>0</v>
      </c>
      <c r="B59" t="str">
        <f>_xlfn.IFNA(VLOOKUP(D59,Spelerslijst!K:L,1,FALSE),FALSE)</f>
        <v>NJZ26Z2</v>
      </c>
      <c r="C59" t="str">
        <f t="shared" si="0"/>
        <v/>
      </c>
      <c r="D59" t="s">
        <v>156</v>
      </c>
      <c r="E59" t="s">
        <v>157</v>
      </c>
      <c r="F59" t="s">
        <v>158</v>
      </c>
      <c r="G59" s="1">
        <v>37566</v>
      </c>
      <c r="H59" t="s">
        <v>1085</v>
      </c>
      <c r="I59" t="s">
        <v>1086</v>
      </c>
      <c r="J59" t="s">
        <v>1087</v>
      </c>
      <c r="N59" s="1"/>
      <c r="W59" s="1"/>
    </row>
    <row r="60" spans="1:24" hidden="1">
      <c r="A60" t="str">
        <f>_xlfn.IFNA(VLOOKUP(D60,Spelerslijst!A:B,1,FALSE),FALSE)</f>
        <v>NKC46S7</v>
      </c>
      <c r="B60" t="b">
        <f>_xlfn.IFNA(VLOOKUP(D60,Spelerslijst!K:L,1,FALSE),FALSE)</f>
        <v>0</v>
      </c>
      <c r="C60" t="str">
        <f t="shared" si="0"/>
        <v/>
      </c>
      <c r="D60" t="s">
        <v>530</v>
      </c>
      <c r="E60" t="s">
        <v>531</v>
      </c>
      <c r="F60" t="s">
        <v>526</v>
      </c>
      <c r="G60" s="1">
        <v>36887</v>
      </c>
      <c r="H60" t="s">
        <v>1092</v>
      </c>
      <c r="I60" t="s">
        <v>1086</v>
      </c>
      <c r="J60" t="s">
        <v>1091</v>
      </c>
      <c r="N60" s="1"/>
      <c r="W60" s="1"/>
    </row>
    <row r="61" spans="1:24" hidden="1">
      <c r="A61" t="str">
        <f>_xlfn.IFNA(VLOOKUP(D61,Spelerslijst!A:B,1,FALSE),FALSE)</f>
        <v>NKC46T4</v>
      </c>
      <c r="B61" t="b">
        <f>_xlfn.IFNA(VLOOKUP(D61,Spelerslijst!K:L,1,FALSE),FALSE)</f>
        <v>0</v>
      </c>
      <c r="C61" t="str">
        <f t="shared" si="0"/>
        <v/>
      </c>
      <c r="D61" t="s">
        <v>541</v>
      </c>
      <c r="E61" t="s">
        <v>542</v>
      </c>
      <c r="F61" t="s">
        <v>537</v>
      </c>
      <c r="G61" s="1">
        <v>37269</v>
      </c>
      <c r="H61" t="s">
        <v>1092</v>
      </c>
      <c r="I61" t="s">
        <v>1086</v>
      </c>
      <c r="J61" t="s">
        <v>1091</v>
      </c>
      <c r="N61" s="1"/>
      <c r="W61" s="1"/>
    </row>
    <row r="62" spans="1:24" hidden="1">
      <c r="A62" t="str">
        <f>_xlfn.IFNA(VLOOKUP(D62,Spelerslijst!A:B,1,FALSE),FALSE)</f>
        <v>NKD19X7</v>
      </c>
      <c r="B62" t="b">
        <f>_xlfn.IFNA(VLOOKUP(D62,Spelerslijst!K:L,1,FALSE),FALSE)</f>
        <v>0</v>
      </c>
      <c r="C62" t="str">
        <f t="shared" si="0"/>
        <v/>
      </c>
      <c r="D62" t="s">
        <v>101</v>
      </c>
      <c r="E62" t="s">
        <v>102</v>
      </c>
      <c r="F62" t="s">
        <v>103</v>
      </c>
      <c r="G62" s="1">
        <v>36727</v>
      </c>
      <c r="H62" t="s">
        <v>1089</v>
      </c>
      <c r="I62" t="s">
        <v>1086</v>
      </c>
      <c r="J62" t="s">
        <v>1091</v>
      </c>
      <c r="N62" s="1"/>
      <c r="W62" s="1"/>
    </row>
    <row r="63" spans="1:24">
      <c r="A63" t="b">
        <f>_xlfn.IFNA(VLOOKUP(D63,Spelerslijst!A:B,1,FALSE),FALSE)</f>
        <v>0</v>
      </c>
      <c r="B63" t="str">
        <f>_xlfn.IFNA(VLOOKUP(D63,Spelerslijst!K:L,1,FALSE),FALSE)</f>
        <v>NKD19Y4</v>
      </c>
      <c r="C63" t="str">
        <f t="shared" si="0"/>
        <v/>
      </c>
      <c r="D63" t="s">
        <v>104</v>
      </c>
      <c r="E63" t="s">
        <v>105</v>
      </c>
      <c r="F63" t="s">
        <v>100</v>
      </c>
      <c r="G63" s="1">
        <v>36077</v>
      </c>
      <c r="H63" t="s">
        <v>1085</v>
      </c>
      <c r="I63" t="s">
        <v>1086</v>
      </c>
      <c r="J63" t="s">
        <v>1087</v>
      </c>
      <c r="N63" s="1"/>
      <c r="W63" s="1"/>
    </row>
    <row r="64" spans="1:24">
      <c r="A64" t="b">
        <f>_xlfn.IFNA(VLOOKUP(D64,Spelerslijst!A:B,1,FALSE),FALSE)</f>
        <v>0</v>
      </c>
      <c r="B64" t="str">
        <f>_xlfn.IFNA(VLOOKUP(D64,Spelerslijst!K:L,1,FALSE),FALSE)</f>
        <v>NKD39Q8</v>
      </c>
      <c r="C64" t="str">
        <f t="shared" si="0"/>
        <v/>
      </c>
      <c r="D64" t="s">
        <v>538</v>
      </c>
      <c r="E64" t="s">
        <v>539</v>
      </c>
      <c r="F64" t="s">
        <v>540</v>
      </c>
      <c r="G64" s="1">
        <v>36308</v>
      </c>
      <c r="H64" t="s">
        <v>1085</v>
      </c>
      <c r="I64" t="s">
        <v>1086</v>
      </c>
      <c r="J64" t="s">
        <v>1087</v>
      </c>
      <c r="N64" s="1"/>
      <c r="W64" s="1"/>
    </row>
    <row r="65" spans="1:24" hidden="1">
      <c r="A65" t="str">
        <f>_xlfn.IFNA(VLOOKUP(D65,Spelerslijst!A:B,1,FALSE),FALSE)</f>
        <v>NKF94H2</v>
      </c>
      <c r="B65" t="b">
        <f>_xlfn.IFNA(VLOOKUP(D65,Spelerslijst!K:L,1,FALSE),FALSE)</f>
        <v>0</v>
      </c>
      <c r="C65" t="str">
        <f t="shared" si="0"/>
        <v/>
      </c>
      <c r="D65" t="s">
        <v>912</v>
      </c>
      <c r="E65" t="s">
        <v>913</v>
      </c>
      <c r="F65" t="s">
        <v>914</v>
      </c>
      <c r="G65" s="1">
        <v>35817</v>
      </c>
      <c r="H65" t="s">
        <v>1089</v>
      </c>
      <c r="I65" t="s">
        <v>1086</v>
      </c>
      <c r="J65" t="s">
        <v>1091</v>
      </c>
      <c r="N65" s="1"/>
      <c r="W65" s="1"/>
    </row>
    <row r="66" spans="1:24" hidden="1">
      <c r="A66" t="str">
        <f>_xlfn.IFNA(VLOOKUP(D66,Spelerslijst!A:B,1,FALSE),FALSE)</f>
        <v>NKG18N7</v>
      </c>
      <c r="B66" t="b">
        <f>_xlfn.IFNA(VLOOKUP(D66,Spelerslijst!K:L,1,FALSE),FALSE)</f>
        <v>0</v>
      </c>
      <c r="C66" t="str">
        <f t="shared" si="0"/>
        <v/>
      </c>
      <c r="D66" t="s">
        <v>318</v>
      </c>
      <c r="E66" t="s">
        <v>319</v>
      </c>
      <c r="F66" t="s">
        <v>314</v>
      </c>
      <c r="G66" s="1">
        <v>37551</v>
      </c>
      <c r="H66" t="s">
        <v>1085</v>
      </c>
      <c r="I66" t="s">
        <v>1086</v>
      </c>
      <c r="J66" t="s">
        <v>1091</v>
      </c>
      <c r="N66" s="1"/>
      <c r="W66" s="1"/>
    </row>
    <row r="67" spans="1:24" hidden="1">
      <c r="A67" t="str">
        <f>_xlfn.IFNA(VLOOKUP(D67,Spelerslijst!A:B,1,FALSE),FALSE)</f>
        <v>NKG59H8</v>
      </c>
      <c r="B67" t="b">
        <f>_xlfn.IFNA(VLOOKUP(D67,Spelerslijst!K:L,1,FALSE),FALSE)</f>
        <v>0</v>
      </c>
      <c r="C67" t="str">
        <f t="shared" ref="C67:C130" si="1">IF(AND(A67=FALSE,B67=FALSE),"Onbekend","")</f>
        <v/>
      </c>
      <c r="D67" t="s">
        <v>505</v>
      </c>
      <c r="E67" t="s">
        <v>506</v>
      </c>
      <c r="F67" t="s">
        <v>507</v>
      </c>
      <c r="G67" s="1">
        <v>36993</v>
      </c>
      <c r="H67" t="s">
        <v>1085</v>
      </c>
      <c r="I67" t="s">
        <v>1086</v>
      </c>
      <c r="J67" t="s">
        <v>1091</v>
      </c>
      <c r="N67" s="1"/>
      <c r="W67" s="1"/>
    </row>
    <row r="68" spans="1:24" hidden="1">
      <c r="A68" t="str">
        <f>_xlfn.IFNA(VLOOKUP(D68,Spelerslijst!A:B,1,FALSE),FALSE)</f>
        <v>NKG59L6</v>
      </c>
      <c r="B68" t="b">
        <f>_xlfn.IFNA(VLOOKUP(D68,Spelerslijst!K:L,1,FALSE),FALSE)</f>
        <v>0</v>
      </c>
      <c r="C68" t="str">
        <f t="shared" si="1"/>
        <v/>
      </c>
      <c r="D68" t="s">
        <v>223</v>
      </c>
      <c r="E68" t="s">
        <v>224</v>
      </c>
      <c r="F68" t="s">
        <v>214</v>
      </c>
      <c r="G68" s="1">
        <v>36938</v>
      </c>
      <c r="H68" t="s">
        <v>1085</v>
      </c>
      <c r="I68" t="s">
        <v>1086</v>
      </c>
      <c r="J68" t="s">
        <v>1091</v>
      </c>
      <c r="N68" s="1"/>
      <c r="W68" s="1"/>
    </row>
    <row r="69" spans="1:24">
      <c r="A69" t="b">
        <f>_xlfn.IFNA(VLOOKUP(D69,Spelerslijst!A:B,1,FALSE),FALSE)</f>
        <v>0</v>
      </c>
      <c r="B69" t="str">
        <f>_xlfn.IFNA(VLOOKUP(D69,Spelerslijst!K:L,1,FALSE),FALSE)</f>
        <v>NKH71P1</v>
      </c>
      <c r="C69" t="str">
        <f t="shared" si="1"/>
        <v/>
      </c>
      <c r="D69" t="s">
        <v>880</v>
      </c>
      <c r="E69" t="s">
        <v>881</v>
      </c>
      <c r="F69" t="s">
        <v>882</v>
      </c>
      <c r="G69" s="1">
        <v>27643</v>
      </c>
      <c r="H69" t="s">
        <v>1088</v>
      </c>
      <c r="I69" t="s">
        <v>1086</v>
      </c>
      <c r="J69" t="s">
        <v>1087</v>
      </c>
      <c r="N69" s="1"/>
      <c r="W69" s="1"/>
    </row>
    <row r="70" spans="1:24" hidden="1">
      <c r="A70" t="str">
        <f>_xlfn.IFNA(VLOOKUP(D70,Spelerslijst!A:B,1,FALSE),FALSE)</f>
        <v>NKJ29C1</v>
      </c>
      <c r="B70" t="b">
        <f>_xlfn.IFNA(VLOOKUP(D70,Spelerslijst!K:L,1,FALSE),FALSE)</f>
        <v>0</v>
      </c>
      <c r="C70" t="str">
        <f t="shared" si="1"/>
        <v/>
      </c>
      <c r="D70" t="s">
        <v>118</v>
      </c>
      <c r="E70" t="s">
        <v>119</v>
      </c>
      <c r="F70" t="s">
        <v>120</v>
      </c>
      <c r="G70" s="1">
        <v>37324</v>
      </c>
      <c r="H70" t="s">
        <v>1085</v>
      </c>
      <c r="I70" t="s">
        <v>1086</v>
      </c>
      <c r="J70" t="s">
        <v>1091</v>
      </c>
      <c r="N70" s="1"/>
      <c r="W70" s="1"/>
    </row>
    <row r="71" spans="1:24" hidden="1">
      <c r="A71" t="str">
        <f>_xlfn.IFNA(VLOOKUP(D71,Spelerslijst!A:B,1,FALSE),FALSE)</f>
        <v>NKJ95L7</v>
      </c>
      <c r="B71" t="b">
        <f>_xlfn.IFNA(VLOOKUP(D71,Spelerslijst!K:L,1,FALSE),FALSE)</f>
        <v>0</v>
      </c>
      <c r="C71" t="str">
        <f t="shared" si="1"/>
        <v/>
      </c>
      <c r="D71" t="s">
        <v>698</v>
      </c>
      <c r="E71" t="s">
        <v>699</v>
      </c>
      <c r="F71" t="s">
        <v>694</v>
      </c>
      <c r="G71" s="1">
        <v>37307</v>
      </c>
      <c r="H71" t="s">
        <v>1085</v>
      </c>
      <c r="I71" t="s">
        <v>1086</v>
      </c>
      <c r="J71" t="s">
        <v>1091</v>
      </c>
      <c r="N71" s="1"/>
      <c r="W71" s="1"/>
    </row>
    <row r="72" spans="1:24" hidden="1">
      <c r="A72" t="str">
        <f>_xlfn.IFNA(VLOOKUP(D72,Spelerslijst!A:B,1,FALSE),FALSE)</f>
        <v>NKK27B9</v>
      </c>
      <c r="B72" t="b">
        <f>_xlfn.IFNA(VLOOKUP(D72,Spelerslijst!K:L,1,FALSE),FALSE)</f>
        <v>0</v>
      </c>
      <c r="C72" t="str">
        <f t="shared" si="1"/>
        <v/>
      </c>
      <c r="D72" t="s">
        <v>618</v>
      </c>
      <c r="E72" t="s">
        <v>619</v>
      </c>
      <c r="F72" t="s">
        <v>620</v>
      </c>
      <c r="G72" s="1">
        <v>37684</v>
      </c>
      <c r="H72" t="s">
        <v>1085</v>
      </c>
      <c r="I72" t="s">
        <v>1086</v>
      </c>
      <c r="J72" t="s">
        <v>1091</v>
      </c>
      <c r="N72" s="1"/>
      <c r="W72" s="1"/>
    </row>
    <row r="73" spans="1:24" hidden="1">
      <c r="A73" t="str">
        <f>_xlfn.IFNA(VLOOKUP(D73,Spelerslijst!A:B,1,FALSE),FALSE)</f>
        <v>NKK27G4</v>
      </c>
      <c r="B73" t="b">
        <f>_xlfn.IFNA(VLOOKUP(D73,Spelerslijst!K:L,1,FALSE),FALSE)</f>
        <v>0</v>
      </c>
      <c r="C73" t="str">
        <f t="shared" si="1"/>
        <v/>
      </c>
      <c r="D73" t="s">
        <v>647</v>
      </c>
      <c r="E73" t="s">
        <v>648</v>
      </c>
      <c r="F73" t="s">
        <v>649</v>
      </c>
      <c r="G73" s="1">
        <v>37702</v>
      </c>
      <c r="H73" t="s">
        <v>1085</v>
      </c>
      <c r="I73" t="s">
        <v>1086</v>
      </c>
      <c r="J73" t="s">
        <v>1091</v>
      </c>
      <c r="N73" s="1"/>
      <c r="W73" s="1"/>
      <c r="X73" s="1"/>
    </row>
    <row r="74" spans="1:24" hidden="1">
      <c r="A74" t="str">
        <f>_xlfn.IFNA(VLOOKUP(D74,Spelerslijst!A:B,1,FALSE),FALSE)</f>
        <v>NKL40B9</v>
      </c>
      <c r="B74" t="b">
        <f>_xlfn.IFNA(VLOOKUP(D74,Spelerslijst!K:L,1,FALSE),FALSE)</f>
        <v>0</v>
      </c>
      <c r="C74" t="str">
        <f t="shared" si="1"/>
        <v/>
      </c>
      <c r="D74" t="s">
        <v>915</v>
      </c>
      <c r="E74" t="s">
        <v>916</v>
      </c>
      <c r="F74" t="s">
        <v>917</v>
      </c>
      <c r="G74" s="1">
        <v>37410</v>
      </c>
      <c r="H74" t="s">
        <v>1085</v>
      </c>
      <c r="I74" t="s">
        <v>1086</v>
      </c>
      <c r="J74" t="s">
        <v>1091</v>
      </c>
      <c r="N74" s="1"/>
      <c r="W74" s="1"/>
    </row>
    <row r="75" spans="1:24" hidden="1">
      <c r="A75" t="str">
        <f>_xlfn.IFNA(VLOOKUP(D75,Spelerslijst!A:B,1,FALSE),FALSE)</f>
        <v>NKN53B5</v>
      </c>
      <c r="B75" t="b">
        <f>_xlfn.IFNA(VLOOKUP(D75,Spelerslijst!K:L,1,FALSE),FALSE)</f>
        <v>0</v>
      </c>
      <c r="C75" t="str">
        <f t="shared" si="1"/>
        <v/>
      </c>
      <c r="D75" t="s">
        <v>921</v>
      </c>
      <c r="E75" t="s">
        <v>922</v>
      </c>
      <c r="F75" t="s">
        <v>923</v>
      </c>
      <c r="G75" s="1">
        <v>38550</v>
      </c>
      <c r="H75" t="s">
        <v>1093</v>
      </c>
      <c r="I75" t="s">
        <v>1086</v>
      </c>
      <c r="J75" t="s">
        <v>1091</v>
      </c>
      <c r="N75" s="1"/>
      <c r="W75" s="1"/>
    </row>
    <row r="76" spans="1:24">
      <c r="A76" t="b">
        <f>_xlfn.IFNA(VLOOKUP(D76,Spelerslijst!A:B,1,FALSE),FALSE)</f>
        <v>0</v>
      </c>
      <c r="B76" t="str">
        <f>_xlfn.IFNA(VLOOKUP(D76,Spelerslijst!K:L,1,FALSE),FALSE)</f>
        <v>NKN65B6</v>
      </c>
      <c r="C76" t="str">
        <f t="shared" si="1"/>
        <v/>
      </c>
      <c r="D76" t="s">
        <v>508</v>
      </c>
      <c r="E76" t="s">
        <v>509</v>
      </c>
      <c r="F76" t="s">
        <v>510</v>
      </c>
      <c r="G76" s="1">
        <v>36929</v>
      </c>
      <c r="H76" t="s">
        <v>1085</v>
      </c>
      <c r="I76" t="s">
        <v>1086</v>
      </c>
      <c r="J76" t="s">
        <v>1087</v>
      </c>
      <c r="N76" s="1"/>
      <c r="W76" s="1"/>
    </row>
    <row r="77" spans="1:24" hidden="1">
      <c r="A77" t="str">
        <f>_xlfn.IFNA(VLOOKUP(D77,Spelerslijst!A:B,1,FALSE),FALSE)</f>
        <v>NKQ13Q3</v>
      </c>
      <c r="B77" t="b">
        <f>_xlfn.IFNA(VLOOKUP(D77,Spelerslijst!K:L,1,FALSE),FALSE)</f>
        <v>0</v>
      </c>
      <c r="C77" t="str">
        <f t="shared" si="1"/>
        <v/>
      </c>
      <c r="D77" t="s">
        <v>889</v>
      </c>
      <c r="E77" t="s">
        <v>890</v>
      </c>
      <c r="F77" t="s">
        <v>891</v>
      </c>
      <c r="G77" s="1">
        <v>37104</v>
      </c>
      <c r="H77" t="s">
        <v>1092</v>
      </c>
      <c r="I77" t="s">
        <v>1086</v>
      </c>
      <c r="J77" t="s">
        <v>1091</v>
      </c>
      <c r="N77" s="1"/>
      <c r="W77" s="1"/>
    </row>
    <row r="78" spans="1:24" hidden="1">
      <c r="A78" t="str">
        <f>_xlfn.IFNA(VLOOKUP(D78,Spelerslijst!A:B,1,FALSE),FALSE)</f>
        <v>NKQ14R3</v>
      </c>
      <c r="B78" t="b">
        <f>_xlfn.IFNA(VLOOKUP(D78,Spelerslijst!K:L,1,FALSE),FALSE)</f>
        <v>0</v>
      </c>
      <c r="C78" t="str">
        <f t="shared" si="1"/>
        <v/>
      </c>
      <c r="D78" t="s">
        <v>719</v>
      </c>
      <c r="E78" t="s">
        <v>720</v>
      </c>
      <c r="F78" t="s">
        <v>721</v>
      </c>
      <c r="G78" s="1">
        <v>37104</v>
      </c>
      <c r="H78" t="s">
        <v>1092</v>
      </c>
      <c r="I78" t="s">
        <v>1086</v>
      </c>
      <c r="J78" t="s">
        <v>1091</v>
      </c>
      <c r="N78" s="1"/>
      <c r="W78" s="1"/>
    </row>
    <row r="79" spans="1:24">
      <c r="A79" t="b">
        <f>_xlfn.IFNA(VLOOKUP(D79,Spelerslijst!A:B,1,FALSE),FALSE)</f>
        <v>0</v>
      </c>
      <c r="B79" t="str">
        <f>_xlfn.IFNA(VLOOKUP(D79,Spelerslijst!K:L,1,FALSE),FALSE)</f>
        <v>NKQ40P2</v>
      </c>
      <c r="C79" t="str">
        <f t="shared" si="1"/>
        <v/>
      </c>
      <c r="D79" t="s">
        <v>695</v>
      </c>
      <c r="E79" t="s">
        <v>696</v>
      </c>
      <c r="F79" t="s">
        <v>697</v>
      </c>
      <c r="G79" s="1">
        <v>30994</v>
      </c>
      <c r="H79" t="s">
        <v>1085</v>
      </c>
      <c r="I79" t="s">
        <v>1086</v>
      </c>
      <c r="J79" t="s">
        <v>1087</v>
      </c>
      <c r="N79" s="1"/>
      <c r="W79" s="1"/>
    </row>
    <row r="80" spans="1:24" hidden="1">
      <c r="A80" t="str">
        <f>_xlfn.IFNA(VLOOKUP(D80,Spelerslijst!A:B,1,FALSE),FALSE)</f>
        <v>NKQ40Q9</v>
      </c>
      <c r="B80" t="b">
        <f>_xlfn.IFNA(VLOOKUP(D80,Spelerslijst!K:L,1,FALSE),FALSE)</f>
        <v>0</v>
      </c>
      <c r="C80" t="str">
        <f t="shared" si="1"/>
        <v/>
      </c>
      <c r="D80" t="s">
        <v>665</v>
      </c>
      <c r="E80" t="s">
        <v>666</v>
      </c>
      <c r="F80" t="s">
        <v>667</v>
      </c>
      <c r="G80" s="1">
        <v>38011</v>
      </c>
      <c r="H80" t="s">
        <v>1085</v>
      </c>
      <c r="I80" t="s">
        <v>1086</v>
      </c>
      <c r="J80" t="s">
        <v>1091</v>
      </c>
      <c r="N80" s="1"/>
      <c r="W80" s="1"/>
    </row>
    <row r="81" spans="1:23">
      <c r="A81" t="b">
        <f>_xlfn.IFNA(VLOOKUP(D81,Spelerslijst!A:B,1,FALSE),FALSE)</f>
        <v>0</v>
      </c>
      <c r="B81" t="str">
        <f>_xlfn.IFNA(VLOOKUP(D81,Spelerslijst!K:L,1,FALSE),FALSE)</f>
        <v>NKR20M2</v>
      </c>
      <c r="C81" t="str">
        <f t="shared" si="1"/>
        <v/>
      </c>
      <c r="D81" t="s">
        <v>821</v>
      </c>
      <c r="E81" t="s">
        <v>822</v>
      </c>
      <c r="F81" t="s">
        <v>817</v>
      </c>
      <c r="G81" s="1">
        <v>37932</v>
      </c>
      <c r="H81" t="s">
        <v>1089</v>
      </c>
      <c r="I81" t="s">
        <v>1094</v>
      </c>
      <c r="J81" t="s">
        <v>1087</v>
      </c>
      <c r="N81" s="1"/>
      <c r="W81" s="1"/>
    </row>
    <row r="82" spans="1:23" hidden="1">
      <c r="A82" t="str">
        <f>_xlfn.IFNA(VLOOKUP(D82,Spelerslijst!A:B,1,FALSE),FALSE)</f>
        <v>NKR88F7</v>
      </c>
      <c r="B82" t="b">
        <f>_xlfn.IFNA(VLOOKUP(D82,Spelerslijst!K:L,1,FALSE),FALSE)</f>
        <v>0</v>
      </c>
      <c r="C82" t="str">
        <f t="shared" si="1"/>
        <v/>
      </c>
      <c r="D82" t="s">
        <v>159</v>
      </c>
      <c r="E82" t="s">
        <v>160</v>
      </c>
      <c r="F82" t="s">
        <v>161</v>
      </c>
      <c r="G82" s="1">
        <v>37771</v>
      </c>
      <c r="H82" t="s">
        <v>1085</v>
      </c>
      <c r="I82" t="s">
        <v>1086</v>
      </c>
      <c r="J82" t="s">
        <v>1091</v>
      </c>
      <c r="N82" s="1"/>
      <c r="W82" s="1"/>
    </row>
    <row r="83" spans="1:23" hidden="1">
      <c r="A83" t="str">
        <f>_xlfn.IFNA(VLOOKUP(D83,Spelerslijst!A:B,1,FALSE),FALSE)</f>
        <v>NKS24S7</v>
      </c>
      <c r="B83" t="b">
        <f>_xlfn.IFNA(VLOOKUP(D83,Spelerslijst!K:L,1,FALSE),FALSE)</f>
        <v>0</v>
      </c>
      <c r="C83" t="str">
        <f t="shared" si="1"/>
        <v/>
      </c>
      <c r="D83" t="s">
        <v>142</v>
      </c>
      <c r="E83" t="s">
        <v>143</v>
      </c>
      <c r="F83" t="s">
        <v>144</v>
      </c>
      <c r="G83" s="1">
        <v>38928</v>
      </c>
      <c r="H83" t="s">
        <v>1093</v>
      </c>
      <c r="I83" t="s">
        <v>1086</v>
      </c>
      <c r="J83" t="s">
        <v>1091</v>
      </c>
      <c r="N83" s="1"/>
      <c r="W83" s="1"/>
    </row>
    <row r="84" spans="1:23" hidden="1">
      <c r="A84" t="str">
        <f>_xlfn.IFNA(VLOOKUP(D84,Spelerslijst!A:B,1,FALSE),FALSE)</f>
        <v>NKT65Z0</v>
      </c>
      <c r="B84" t="b">
        <f>_xlfn.IFNA(VLOOKUP(D84,Spelerslijst!K:L,1,FALSE),FALSE)</f>
        <v>0</v>
      </c>
      <c r="C84" t="str">
        <f t="shared" si="1"/>
        <v/>
      </c>
      <c r="D84" t="s">
        <v>485</v>
      </c>
      <c r="E84" t="s">
        <v>486</v>
      </c>
      <c r="F84" t="s">
        <v>477</v>
      </c>
      <c r="G84" s="1">
        <v>40446</v>
      </c>
      <c r="H84" t="s">
        <v>1095</v>
      </c>
      <c r="I84" t="s">
        <v>1086</v>
      </c>
      <c r="J84" t="s">
        <v>1091</v>
      </c>
      <c r="N84" s="1"/>
      <c r="W84" s="1"/>
    </row>
    <row r="85" spans="1:23">
      <c r="A85" t="b">
        <f>_xlfn.IFNA(VLOOKUP(D85,Spelerslijst!A:B,1,FALSE),FALSE)</f>
        <v>0</v>
      </c>
      <c r="B85" t="str">
        <f>_xlfn.IFNA(VLOOKUP(D85,Spelerslijst!K:L,1,FALSE),FALSE)</f>
        <v>NKT73W8</v>
      </c>
      <c r="C85" t="str">
        <f t="shared" si="1"/>
        <v/>
      </c>
      <c r="D85" t="s">
        <v>644</v>
      </c>
      <c r="E85" t="s">
        <v>645</v>
      </c>
      <c r="F85" t="s">
        <v>646</v>
      </c>
      <c r="G85" s="1">
        <v>36666</v>
      </c>
      <c r="H85" t="s">
        <v>1085</v>
      </c>
      <c r="I85" t="s">
        <v>1086</v>
      </c>
      <c r="J85" t="s">
        <v>1087</v>
      </c>
      <c r="N85" s="1"/>
      <c r="W85" s="1"/>
    </row>
    <row r="86" spans="1:23" hidden="1">
      <c r="A86" t="str">
        <f>_xlfn.IFNA(VLOOKUP(D86,Spelerslijst!A:B,1,FALSE),FALSE)</f>
        <v>NKT92K1</v>
      </c>
      <c r="B86" t="b">
        <f>_xlfn.IFNA(VLOOKUP(D86,Spelerslijst!K:L,1,FALSE),FALSE)</f>
        <v>0</v>
      </c>
      <c r="C86" t="str">
        <f t="shared" si="1"/>
        <v/>
      </c>
      <c r="D86" t="s">
        <v>130</v>
      </c>
      <c r="E86" t="s">
        <v>131</v>
      </c>
      <c r="F86" t="s">
        <v>126</v>
      </c>
      <c r="G86" s="1">
        <v>38597</v>
      </c>
      <c r="H86" t="s">
        <v>1093</v>
      </c>
      <c r="I86" t="s">
        <v>1086</v>
      </c>
      <c r="J86" t="s">
        <v>1091</v>
      </c>
      <c r="N86" s="1"/>
      <c r="W86" s="1"/>
    </row>
    <row r="87" spans="1:23">
      <c r="A87" t="b">
        <f>_xlfn.IFNA(VLOOKUP(D87,Spelerslijst!A:B,1,FALSE),FALSE)</f>
        <v>0</v>
      </c>
      <c r="B87" t="str">
        <f>_xlfn.IFNA(VLOOKUP(D87,Spelerslijst!K:L,1,FALSE),FALSE)</f>
        <v>NKV95Q4</v>
      </c>
      <c r="C87" t="str">
        <f t="shared" si="1"/>
        <v/>
      </c>
      <c r="D87" t="s">
        <v>800</v>
      </c>
      <c r="E87" t="s">
        <v>801</v>
      </c>
      <c r="F87" t="s">
        <v>802</v>
      </c>
      <c r="G87" s="1">
        <v>37810</v>
      </c>
      <c r="H87" t="s">
        <v>1085</v>
      </c>
      <c r="I87" t="s">
        <v>1086</v>
      </c>
      <c r="J87" t="s">
        <v>1087</v>
      </c>
      <c r="N87" s="1"/>
      <c r="W87" s="1"/>
    </row>
    <row r="88" spans="1:23">
      <c r="A88" t="b">
        <f>_xlfn.IFNA(VLOOKUP(D88,Spelerslijst!A:B,1,FALSE),FALSE)</f>
        <v>0</v>
      </c>
      <c r="B88" t="str">
        <f>_xlfn.IFNA(VLOOKUP(D88,Spelerslijst!K:L,1,FALSE),FALSE)</f>
        <v>NKW21H5</v>
      </c>
      <c r="C88" t="str">
        <f t="shared" si="1"/>
        <v/>
      </c>
      <c r="D88" t="s">
        <v>191</v>
      </c>
      <c r="E88" t="s">
        <v>192</v>
      </c>
      <c r="F88" t="s">
        <v>193</v>
      </c>
      <c r="G88" s="1">
        <v>37971</v>
      </c>
      <c r="H88" t="s">
        <v>1085</v>
      </c>
      <c r="I88" t="s">
        <v>1086</v>
      </c>
      <c r="J88" t="s">
        <v>1087</v>
      </c>
      <c r="N88" s="1"/>
      <c r="W88" s="1"/>
    </row>
    <row r="89" spans="1:23">
      <c r="A89" t="b">
        <f>_xlfn.IFNA(VLOOKUP(D89,Spelerslijst!A:B,1,FALSE),FALSE)</f>
        <v>0</v>
      </c>
      <c r="B89" t="str">
        <f>_xlfn.IFNA(VLOOKUP(D89,Spelerslijst!K:L,1,FALSE),FALSE)</f>
        <v>NKW30G0</v>
      </c>
      <c r="C89" t="str">
        <f t="shared" si="1"/>
        <v/>
      </c>
      <c r="D89" t="s">
        <v>335</v>
      </c>
      <c r="E89" t="s">
        <v>336</v>
      </c>
      <c r="F89" t="s">
        <v>337</v>
      </c>
      <c r="G89" s="1">
        <v>37974</v>
      </c>
      <c r="H89" t="s">
        <v>1085</v>
      </c>
      <c r="I89" t="s">
        <v>1086</v>
      </c>
      <c r="J89" t="s">
        <v>1087</v>
      </c>
      <c r="N89" s="1"/>
      <c r="W89" s="1"/>
    </row>
    <row r="90" spans="1:23">
      <c r="A90" t="b">
        <f>_xlfn.IFNA(VLOOKUP(D90,Spelerslijst!A:B,1,FALSE),FALSE)</f>
        <v>0</v>
      </c>
      <c r="B90" t="str">
        <f>_xlfn.IFNA(VLOOKUP(D90,Spelerslijst!K:L,1,FALSE),FALSE)</f>
        <v>NKW50C2</v>
      </c>
      <c r="C90" t="str">
        <f t="shared" si="1"/>
        <v/>
      </c>
      <c r="D90" t="s">
        <v>774</v>
      </c>
      <c r="E90" t="s">
        <v>775</v>
      </c>
      <c r="F90" t="s">
        <v>776</v>
      </c>
      <c r="G90" s="1">
        <v>37960</v>
      </c>
      <c r="H90" t="s">
        <v>1085</v>
      </c>
      <c r="I90" t="s">
        <v>1086</v>
      </c>
      <c r="J90" t="s">
        <v>1087</v>
      </c>
      <c r="N90" s="1"/>
      <c r="W90" s="1"/>
    </row>
    <row r="91" spans="1:23" hidden="1">
      <c r="A91" t="str">
        <f>_xlfn.IFNA(VLOOKUP(D91,Spelerslijst!A:B,1,FALSE),FALSE)</f>
        <v>NKX20W8</v>
      </c>
      <c r="B91" t="b">
        <f>_xlfn.IFNA(VLOOKUP(D91,Spelerslijst!K:L,1,FALSE),FALSE)</f>
        <v>0</v>
      </c>
      <c r="C91" t="str">
        <f t="shared" si="1"/>
        <v/>
      </c>
      <c r="D91" t="s">
        <v>394</v>
      </c>
      <c r="E91" t="s">
        <v>395</v>
      </c>
      <c r="F91" t="s">
        <v>396</v>
      </c>
      <c r="G91" s="1">
        <v>38263</v>
      </c>
      <c r="H91" t="s">
        <v>1085</v>
      </c>
      <c r="I91" t="s">
        <v>1086</v>
      </c>
      <c r="J91" t="s">
        <v>1091</v>
      </c>
      <c r="N91" s="1"/>
      <c r="W91" s="1"/>
    </row>
    <row r="92" spans="1:23" hidden="1">
      <c r="A92" t="str">
        <f>_xlfn.IFNA(VLOOKUP(D92,Spelerslijst!A:B,1,FALSE),FALSE)</f>
        <v>NKX36X8</v>
      </c>
      <c r="B92" t="b">
        <f>_xlfn.IFNA(VLOOKUP(D92,Spelerslijst!K:L,1,FALSE),FALSE)</f>
        <v>0</v>
      </c>
      <c r="C92" t="str">
        <f t="shared" si="1"/>
        <v/>
      </c>
      <c r="D92" t="s">
        <v>519</v>
      </c>
      <c r="E92" t="s">
        <v>520</v>
      </c>
      <c r="F92" t="s">
        <v>521</v>
      </c>
      <c r="G92" s="1">
        <v>38163</v>
      </c>
      <c r="H92" t="s">
        <v>1092</v>
      </c>
      <c r="I92" t="s">
        <v>1086</v>
      </c>
      <c r="J92" t="s">
        <v>1091</v>
      </c>
      <c r="N92" s="1"/>
      <c r="W92" s="1"/>
    </row>
    <row r="93" spans="1:23">
      <c r="A93" t="b">
        <f>_xlfn.IFNA(VLOOKUP(D93,Spelerslijst!A:B,1,FALSE),FALSE)</f>
        <v>0</v>
      </c>
      <c r="B93" t="str">
        <f>_xlfn.IFNA(VLOOKUP(D93,Spelerslijst!K:L,1,FALSE),FALSE)</f>
        <v>NKX56P2</v>
      </c>
      <c r="C93" t="str">
        <f t="shared" si="1"/>
        <v/>
      </c>
      <c r="D93" t="s">
        <v>391</v>
      </c>
      <c r="E93" t="s">
        <v>392</v>
      </c>
      <c r="F93" t="s">
        <v>393</v>
      </c>
      <c r="G93" s="1">
        <v>36465</v>
      </c>
      <c r="H93" t="s">
        <v>1085</v>
      </c>
      <c r="I93" t="s">
        <v>1086</v>
      </c>
      <c r="J93" t="s">
        <v>1087</v>
      </c>
      <c r="N93" s="1"/>
      <c r="W93" s="1"/>
    </row>
    <row r="94" spans="1:23" hidden="1">
      <c r="A94" t="str">
        <f>_xlfn.IFNA(VLOOKUP(D94,Spelerslijst!A:B,1,FALSE),FALSE)</f>
        <v>NKX56Q9</v>
      </c>
      <c r="B94" t="b">
        <f>_xlfn.IFNA(VLOOKUP(D94,Spelerslijst!K:L,1,FALSE),FALSE)</f>
        <v>0</v>
      </c>
      <c r="C94" t="str">
        <f t="shared" si="1"/>
        <v/>
      </c>
      <c r="D94" t="s">
        <v>182</v>
      </c>
      <c r="E94" t="s">
        <v>183</v>
      </c>
      <c r="F94" t="s">
        <v>184</v>
      </c>
      <c r="G94" s="1">
        <v>28948</v>
      </c>
      <c r="H94" t="s">
        <v>1089</v>
      </c>
      <c r="I94" t="s">
        <v>1086</v>
      </c>
      <c r="J94" t="s">
        <v>1091</v>
      </c>
      <c r="N94" s="1"/>
      <c r="W94" s="1"/>
    </row>
    <row r="95" spans="1:23">
      <c r="A95" t="b">
        <f>_xlfn.IFNA(VLOOKUP(D95,Spelerslijst!A:B,1,FALSE),FALSE)</f>
        <v>0</v>
      </c>
      <c r="B95" t="str">
        <f>_xlfn.IFNA(VLOOKUP(D95,Spelerslijst!K:L,1,FALSE),FALSE)</f>
        <v>NKX56T0</v>
      </c>
      <c r="C95" t="str">
        <f t="shared" si="1"/>
        <v/>
      </c>
      <c r="D95" t="s">
        <v>460</v>
      </c>
      <c r="E95" t="s">
        <v>461</v>
      </c>
      <c r="F95" t="s">
        <v>462</v>
      </c>
      <c r="G95" s="1">
        <v>38090</v>
      </c>
      <c r="H95" t="s">
        <v>1085</v>
      </c>
      <c r="I95" t="s">
        <v>1086</v>
      </c>
      <c r="J95" t="s">
        <v>1087</v>
      </c>
      <c r="N95" s="1"/>
      <c r="W95" s="1"/>
    </row>
    <row r="96" spans="1:23">
      <c r="A96" t="b">
        <f>_xlfn.IFNA(VLOOKUP(D96,Spelerslijst!A:B,1,FALSE),FALSE)</f>
        <v>0</v>
      </c>
      <c r="B96" t="str">
        <f>_xlfn.IFNA(VLOOKUP(D96,Spelerslijst!K:L,1,FALSE),FALSE)</f>
        <v>NKX66T5</v>
      </c>
      <c r="C96" t="str">
        <f t="shared" si="1"/>
        <v/>
      </c>
      <c r="D96" t="s">
        <v>357</v>
      </c>
      <c r="E96" t="s">
        <v>358</v>
      </c>
      <c r="F96" t="s">
        <v>359</v>
      </c>
      <c r="G96" s="1">
        <v>38502</v>
      </c>
      <c r="H96" t="s">
        <v>1093</v>
      </c>
      <c r="I96" t="s">
        <v>1086</v>
      </c>
      <c r="J96" t="s">
        <v>1087</v>
      </c>
      <c r="N96" s="1"/>
      <c r="W96" s="1"/>
    </row>
    <row r="97" spans="1:24" hidden="1">
      <c r="A97" t="str">
        <f>_xlfn.IFNA(VLOOKUP(D97,Spelerslijst!A:B,1,FALSE),FALSE)</f>
        <v>NKY17P6</v>
      </c>
      <c r="B97" t="b">
        <f>_xlfn.IFNA(VLOOKUP(D97,Spelerslijst!K:L,1,FALSE),FALSE)</f>
        <v>0</v>
      </c>
      <c r="C97" t="str">
        <f t="shared" si="1"/>
        <v/>
      </c>
      <c r="D97" t="s">
        <v>812</v>
      </c>
      <c r="E97" t="s">
        <v>813</v>
      </c>
      <c r="F97" t="s">
        <v>814</v>
      </c>
      <c r="G97" s="1">
        <v>38432</v>
      </c>
      <c r="H97" t="s">
        <v>1093</v>
      </c>
      <c r="I97" t="s">
        <v>1086</v>
      </c>
      <c r="J97" t="s">
        <v>1091</v>
      </c>
      <c r="N97" s="1"/>
      <c r="W97" s="1"/>
    </row>
    <row r="98" spans="1:24" hidden="1">
      <c r="A98" t="str">
        <f>_xlfn.IFNA(VLOOKUP(D98,Spelerslijst!A:B,1,FALSE),FALSE)</f>
        <v>NKY54N3</v>
      </c>
      <c r="B98" t="b">
        <f>_xlfn.IFNA(VLOOKUP(D98,Spelerslijst!K:L,1,FALSE),FALSE)</f>
        <v>0</v>
      </c>
      <c r="C98" t="str">
        <f t="shared" si="1"/>
        <v/>
      </c>
      <c r="D98" t="s">
        <v>560</v>
      </c>
      <c r="E98" t="s">
        <v>561</v>
      </c>
      <c r="F98" t="s">
        <v>562</v>
      </c>
      <c r="G98" s="1">
        <v>39199</v>
      </c>
      <c r="H98" t="s">
        <v>1093</v>
      </c>
      <c r="I98" t="s">
        <v>1086</v>
      </c>
      <c r="J98" t="s">
        <v>1091</v>
      </c>
      <c r="N98" s="1"/>
      <c r="W98" s="1"/>
    </row>
    <row r="99" spans="1:24">
      <c r="A99" t="b">
        <f>_xlfn.IFNA(VLOOKUP(D99,Spelerslijst!A:B,1,FALSE),FALSE)</f>
        <v>0</v>
      </c>
      <c r="B99" t="str">
        <f>_xlfn.IFNA(VLOOKUP(D99,Spelerslijst!K:L,1,FALSE),FALSE)</f>
        <v>NKY88T2</v>
      </c>
      <c r="C99" t="str">
        <f t="shared" si="1"/>
        <v/>
      </c>
      <c r="D99" t="s">
        <v>185</v>
      </c>
      <c r="E99" t="s">
        <v>186</v>
      </c>
      <c r="F99" t="s">
        <v>187</v>
      </c>
      <c r="G99" s="1">
        <v>37832</v>
      </c>
      <c r="H99" t="s">
        <v>1085</v>
      </c>
      <c r="I99" t="s">
        <v>1086</v>
      </c>
      <c r="J99" t="s">
        <v>1087</v>
      </c>
      <c r="N99" s="1"/>
      <c r="W99" s="1"/>
      <c r="X99" s="1"/>
    </row>
    <row r="100" spans="1:24">
      <c r="A100" t="b">
        <f>_xlfn.IFNA(VLOOKUP(D100,Spelerslijst!A:B,1,FALSE),FALSE)</f>
        <v>0</v>
      </c>
      <c r="B100" t="str">
        <f>_xlfn.IFNA(VLOOKUP(D100,Spelerslijst!K:L,1,FALSE),FALSE)</f>
        <v>NKZ28R9</v>
      </c>
      <c r="C100" t="str">
        <f t="shared" si="1"/>
        <v/>
      </c>
      <c r="D100" t="s">
        <v>547</v>
      </c>
      <c r="E100" t="s">
        <v>548</v>
      </c>
      <c r="F100" t="s">
        <v>549</v>
      </c>
      <c r="G100" s="1">
        <v>39363</v>
      </c>
      <c r="H100" t="s">
        <v>1093</v>
      </c>
      <c r="I100" t="s">
        <v>1086</v>
      </c>
      <c r="J100" t="s">
        <v>1087</v>
      </c>
      <c r="N100" s="1"/>
      <c r="W100" s="1"/>
    </row>
    <row r="101" spans="1:24" hidden="1">
      <c r="A101" t="str">
        <f>_xlfn.IFNA(VLOOKUP(D101,Spelerslijst!A:B,1,FALSE),FALSE)</f>
        <v>NLB70S0</v>
      </c>
      <c r="B101" t="b">
        <f>_xlfn.IFNA(VLOOKUP(D101,Spelerslijst!K:L,1,FALSE),FALSE)</f>
        <v>0</v>
      </c>
      <c r="C101" t="str">
        <f t="shared" si="1"/>
        <v/>
      </c>
      <c r="D101" t="s">
        <v>256</v>
      </c>
      <c r="E101" t="s">
        <v>257</v>
      </c>
      <c r="F101" t="s">
        <v>258</v>
      </c>
      <c r="G101" s="1">
        <v>38509</v>
      </c>
      <c r="H101" t="s">
        <v>1093</v>
      </c>
      <c r="I101" t="s">
        <v>1086</v>
      </c>
      <c r="J101" t="s">
        <v>1091</v>
      </c>
      <c r="N101" s="1"/>
      <c r="W101" s="1"/>
    </row>
    <row r="102" spans="1:24" hidden="1">
      <c r="A102" t="str">
        <f>_xlfn.IFNA(VLOOKUP(D102,Spelerslijst!A:B,1,FALSE),FALSE)</f>
        <v>NLB70T7</v>
      </c>
      <c r="B102" t="b">
        <f>_xlfn.IFNA(VLOOKUP(D102,Spelerslijst!K:L,1,FALSE),FALSE)</f>
        <v>0</v>
      </c>
      <c r="C102" t="str">
        <f t="shared" si="1"/>
        <v/>
      </c>
      <c r="D102" t="s">
        <v>77</v>
      </c>
      <c r="E102" t="s">
        <v>78</v>
      </c>
      <c r="F102" t="s">
        <v>79</v>
      </c>
      <c r="G102" s="1">
        <v>38480</v>
      </c>
      <c r="H102" t="s">
        <v>1093</v>
      </c>
      <c r="I102" t="s">
        <v>1086</v>
      </c>
      <c r="J102" t="s">
        <v>1091</v>
      </c>
      <c r="N102" s="1"/>
      <c r="W102" s="1"/>
    </row>
    <row r="103" spans="1:24" hidden="1">
      <c r="A103" t="str">
        <f>_xlfn.IFNA(VLOOKUP(D103,Spelerslijst!A:B,1,FALSE),FALSE)</f>
        <v>NLB70X5</v>
      </c>
      <c r="B103" t="b">
        <f>_xlfn.IFNA(VLOOKUP(D103,Spelerslijst!K:L,1,FALSE),FALSE)</f>
        <v>0</v>
      </c>
      <c r="C103" t="str">
        <f t="shared" si="1"/>
        <v/>
      </c>
      <c r="D103" t="s">
        <v>89</v>
      </c>
      <c r="E103" t="s">
        <v>90</v>
      </c>
      <c r="F103" t="s">
        <v>91</v>
      </c>
      <c r="G103" s="1">
        <v>37541</v>
      </c>
      <c r="H103" t="s">
        <v>1085</v>
      </c>
      <c r="I103" t="s">
        <v>1086</v>
      </c>
      <c r="J103" t="s">
        <v>1091</v>
      </c>
      <c r="N103" s="1"/>
      <c r="W103" s="1"/>
    </row>
    <row r="104" spans="1:24" hidden="1">
      <c r="A104" t="str">
        <f>_xlfn.IFNA(VLOOKUP(D104,Spelerslijst!A:B,1,FALSE),FALSE)</f>
        <v>NLB70Z9</v>
      </c>
      <c r="B104" t="b">
        <f>_xlfn.IFNA(VLOOKUP(D104,Spelerslijst!K:L,1,FALSE),FALSE)</f>
        <v>0</v>
      </c>
      <c r="C104" t="str">
        <f t="shared" si="1"/>
        <v/>
      </c>
      <c r="D104" t="s">
        <v>171</v>
      </c>
      <c r="E104" t="s">
        <v>172</v>
      </c>
      <c r="F104" t="s">
        <v>173</v>
      </c>
      <c r="G104" s="1">
        <v>38267</v>
      </c>
      <c r="H104" t="s">
        <v>1085</v>
      </c>
      <c r="I104" t="s">
        <v>1086</v>
      </c>
      <c r="J104" t="s">
        <v>1091</v>
      </c>
      <c r="N104" s="1"/>
      <c r="W104" s="1"/>
    </row>
    <row r="105" spans="1:24">
      <c r="A105" t="b">
        <f>_xlfn.IFNA(VLOOKUP(D105,Spelerslijst!A:B,1,FALSE),FALSE)</f>
        <v>0</v>
      </c>
      <c r="B105" t="str">
        <f>_xlfn.IFNA(VLOOKUP(D105,Spelerslijst!K:L,1,FALSE),FALSE)</f>
        <v>NLB71B4</v>
      </c>
      <c r="C105" t="str">
        <f t="shared" si="1"/>
        <v/>
      </c>
      <c r="D105" t="s">
        <v>856</v>
      </c>
      <c r="E105" t="s">
        <v>857</v>
      </c>
      <c r="F105" t="s">
        <v>858</v>
      </c>
      <c r="G105" s="1">
        <v>39123</v>
      </c>
      <c r="H105" t="s">
        <v>1093</v>
      </c>
      <c r="I105" t="s">
        <v>1086</v>
      </c>
      <c r="J105" t="s">
        <v>1087</v>
      </c>
      <c r="N105" s="1"/>
      <c r="W105" s="1"/>
    </row>
    <row r="106" spans="1:24" hidden="1">
      <c r="A106" t="str">
        <f>_xlfn.IFNA(VLOOKUP(D106,Spelerslijst!A:B,1,FALSE),FALSE)</f>
        <v>NLB71D8</v>
      </c>
      <c r="B106" t="b">
        <f>_xlfn.IFNA(VLOOKUP(D106,Spelerslijst!K:L,1,FALSE),FALSE)</f>
        <v>0</v>
      </c>
      <c r="C106" t="str">
        <f t="shared" si="1"/>
        <v/>
      </c>
      <c r="D106" t="s">
        <v>853</v>
      </c>
      <c r="E106" t="s">
        <v>854</v>
      </c>
      <c r="F106" t="s">
        <v>855</v>
      </c>
      <c r="G106" s="1">
        <v>38635</v>
      </c>
      <c r="H106" t="s">
        <v>1093</v>
      </c>
      <c r="I106" t="s">
        <v>1086</v>
      </c>
      <c r="J106" t="s">
        <v>1091</v>
      </c>
      <c r="N106" s="1"/>
      <c r="W106" s="1"/>
    </row>
    <row r="107" spans="1:24">
      <c r="A107" t="b">
        <f>_xlfn.IFNA(VLOOKUP(D107,Spelerslijst!A:B,1,FALSE),FALSE)</f>
        <v>0</v>
      </c>
      <c r="B107" t="str">
        <f>_xlfn.IFNA(VLOOKUP(D107,Spelerslijst!K:L,1,FALSE),FALSE)</f>
        <v>NLB71F2</v>
      </c>
      <c r="C107" t="str">
        <f t="shared" si="1"/>
        <v/>
      </c>
      <c r="D107" t="s">
        <v>886</v>
      </c>
      <c r="E107" t="s">
        <v>887</v>
      </c>
      <c r="F107" t="s">
        <v>888</v>
      </c>
      <c r="G107" s="1">
        <v>38517</v>
      </c>
      <c r="H107" t="s">
        <v>1093</v>
      </c>
      <c r="I107" t="s">
        <v>1086</v>
      </c>
      <c r="J107" t="s">
        <v>1087</v>
      </c>
      <c r="N107" s="1"/>
      <c r="W107" s="1"/>
    </row>
    <row r="108" spans="1:24">
      <c r="A108" t="b">
        <f>_xlfn.IFNA(VLOOKUP(D108,Spelerslijst!A:B,1,FALSE),FALSE)</f>
        <v>0</v>
      </c>
      <c r="B108" t="str">
        <f>_xlfn.IFNA(VLOOKUP(D108,Spelerslijst!K:L,1,FALSE),FALSE)</f>
        <v>NLD36P9</v>
      </c>
      <c r="C108" t="str">
        <f t="shared" si="1"/>
        <v/>
      </c>
      <c r="D108" t="s">
        <v>598</v>
      </c>
      <c r="E108" t="s">
        <v>599</v>
      </c>
      <c r="F108" t="s">
        <v>600</v>
      </c>
      <c r="G108" s="1">
        <v>39655</v>
      </c>
      <c r="H108" t="s">
        <v>1095</v>
      </c>
      <c r="I108" t="s">
        <v>1086</v>
      </c>
      <c r="J108" t="s">
        <v>1087</v>
      </c>
      <c r="N108" s="1"/>
      <c r="W108" s="1"/>
    </row>
    <row r="109" spans="1:24" hidden="1">
      <c r="A109" t="str">
        <f>_xlfn.IFNA(VLOOKUP(D109,Spelerslijst!A:B,1,FALSE),FALSE)</f>
        <v>NLF29C4</v>
      </c>
      <c r="B109" t="b">
        <f>_xlfn.IFNA(VLOOKUP(D109,Spelerslijst!K:L,1,FALSE),FALSE)</f>
        <v>0</v>
      </c>
      <c r="C109" t="str">
        <f t="shared" si="1"/>
        <v/>
      </c>
      <c r="D109" t="s">
        <v>457</v>
      </c>
      <c r="E109" t="s">
        <v>458</v>
      </c>
      <c r="F109" t="s">
        <v>459</v>
      </c>
      <c r="G109" s="1">
        <v>37807</v>
      </c>
      <c r="H109" t="s">
        <v>1085</v>
      </c>
      <c r="I109" t="s">
        <v>1086</v>
      </c>
      <c r="J109" t="s">
        <v>1091</v>
      </c>
      <c r="N109" s="1"/>
      <c r="W109" s="1"/>
    </row>
    <row r="110" spans="1:24" hidden="1">
      <c r="A110" t="str">
        <f>_xlfn.IFNA(VLOOKUP(D110,Spelerslijst!A:B,1,FALSE),FALSE)</f>
        <v>NLF50K8</v>
      </c>
      <c r="B110" t="b">
        <f>_xlfn.IFNA(VLOOKUP(D110,Spelerslijst!K:L,1,FALSE),FALSE)</f>
        <v>0</v>
      </c>
      <c r="C110" t="str">
        <f t="shared" si="1"/>
        <v/>
      </c>
      <c r="D110" t="s">
        <v>584</v>
      </c>
      <c r="E110" t="s">
        <v>585</v>
      </c>
      <c r="F110" t="s">
        <v>586</v>
      </c>
      <c r="G110" s="1">
        <v>38656</v>
      </c>
      <c r="H110" t="s">
        <v>1093</v>
      </c>
      <c r="I110" t="s">
        <v>1086</v>
      </c>
      <c r="J110" t="s">
        <v>1091</v>
      </c>
      <c r="N110" s="1"/>
      <c r="W110" s="1"/>
    </row>
    <row r="111" spans="1:24">
      <c r="A111" t="b">
        <f>_xlfn.IFNA(VLOOKUP(D111,Spelerslijst!A:B,1,FALSE),FALSE)</f>
        <v>0</v>
      </c>
      <c r="B111" t="str">
        <f>_xlfn.IFNA(VLOOKUP(D111,Spelerslijst!K:L,1,FALSE),FALSE)</f>
        <v>NLG57L7</v>
      </c>
      <c r="C111" t="str">
        <f t="shared" si="1"/>
        <v/>
      </c>
      <c r="D111" t="s">
        <v>320</v>
      </c>
      <c r="E111" t="s">
        <v>321</v>
      </c>
      <c r="F111" t="s">
        <v>317</v>
      </c>
      <c r="G111" s="1">
        <v>39367</v>
      </c>
      <c r="H111" t="s">
        <v>1093</v>
      </c>
      <c r="I111" t="s">
        <v>1086</v>
      </c>
      <c r="J111" t="s">
        <v>1087</v>
      </c>
      <c r="N111" s="1"/>
      <c r="W111" s="1"/>
    </row>
    <row r="112" spans="1:24">
      <c r="A112" t="b">
        <f>_xlfn.IFNA(VLOOKUP(D112,Spelerslijst!A:B,1,FALSE),FALSE)</f>
        <v>0</v>
      </c>
      <c r="B112" t="str">
        <f>_xlfn.IFNA(VLOOKUP(D112,Spelerslijst!K:L,1,FALSE),FALSE)</f>
        <v>NLG57P5</v>
      </c>
      <c r="C112" t="str">
        <f t="shared" si="1"/>
        <v/>
      </c>
      <c r="D112" t="s">
        <v>805</v>
      </c>
      <c r="E112" t="s">
        <v>806</v>
      </c>
      <c r="F112" t="s">
        <v>807</v>
      </c>
      <c r="G112" s="1">
        <v>39239</v>
      </c>
      <c r="H112" t="s">
        <v>1093</v>
      </c>
      <c r="I112" t="s">
        <v>1086</v>
      </c>
      <c r="J112" t="s">
        <v>1087</v>
      </c>
      <c r="N112" s="1"/>
      <c r="W112" s="1"/>
    </row>
    <row r="113" spans="1:23">
      <c r="A113" t="b">
        <f>_xlfn.IFNA(VLOOKUP(D113,Spelerslijst!A:B,1,FALSE),FALSE)</f>
        <v>0</v>
      </c>
      <c r="B113" t="str">
        <f>_xlfn.IFNA(VLOOKUP(D113,Spelerslijst!K:L,1,FALSE),FALSE)</f>
        <v>NLG58W7</v>
      </c>
      <c r="C113" t="str">
        <f t="shared" si="1"/>
        <v/>
      </c>
      <c r="D113" t="s">
        <v>403</v>
      </c>
      <c r="E113" t="s">
        <v>404</v>
      </c>
      <c r="F113" t="s">
        <v>405</v>
      </c>
      <c r="G113" s="1">
        <v>39069</v>
      </c>
      <c r="H113" t="s">
        <v>1093</v>
      </c>
      <c r="I113" t="s">
        <v>1086</v>
      </c>
      <c r="J113" t="s">
        <v>1087</v>
      </c>
      <c r="N113" s="1"/>
      <c r="W113" s="1"/>
    </row>
    <row r="114" spans="1:23">
      <c r="A114" t="b">
        <f>_xlfn.IFNA(VLOOKUP(D114,Spelerslijst!A:B,1,FALSE),FALSE)</f>
        <v>0</v>
      </c>
      <c r="B114" t="str">
        <f>_xlfn.IFNA(VLOOKUP(D114,Spelerslijst!K:L,1,FALSE),FALSE)</f>
        <v>NLG58X4</v>
      </c>
      <c r="C114" t="str">
        <f t="shared" si="1"/>
        <v/>
      </c>
      <c r="D114" t="s">
        <v>264</v>
      </c>
      <c r="E114" t="s">
        <v>265</v>
      </c>
      <c r="F114" t="s">
        <v>255</v>
      </c>
      <c r="G114" s="1">
        <v>39196</v>
      </c>
      <c r="H114" t="s">
        <v>1093</v>
      </c>
      <c r="I114" t="s">
        <v>1086</v>
      </c>
      <c r="J114" t="s">
        <v>1087</v>
      </c>
      <c r="N114" s="1"/>
      <c r="W114" s="1"/>
    </row>
    <row r="115" spans="1:23">
      <c r="A115" t="b">
        <f>_xlfn.IFNA(VLOOKUP(D115,Spelerslijst!A:B,1,FALSE),FALSE)</f>
        <v>0</v>
      </c>
      <c r="B115" t="str">
        <f>_xlfn.IFNA(VLOOKUP(D115,Spelerslijst!K:L,1,FALSE),FALSE)</f>
        <v>NLG59F1</v>
      </c>
      <c r="C115" t="str">
        <f t="shared" si="1"/>
        <v/>
      </c>
      <c r="D115" t="s">
        <v>341</v>
      </c>
      <c r="E115" t="s">
        <v>342</v>
      </c>
      <c r="F115" t="s">
        <v>337</v>
      </c>
      <c r="G115" s="1">
        <v>38578</v>
      </c>
      <c r="H115" t="s">
        <v>1093</v>
      </c>
      <c r="I115" t="s">
        <v>1086</v>
      </c>
      <c r="J115" t="s">
        <v>1087</v>
      </c>
      <c r="N115" s="1"/>
      <c r="W115" s="1"/>
    </row>
    <row r="116" spans="1:23">
      <c r="A116" t="b">
        <f>_xlfn.IFNA(VLOOKUP(D116,Spelerslijst!A:B,1,FALSE),FALSE)</f>
        <v>0</v>
      </c>
      <c r="B116" t="str">
        <f>_xlfn.IFNA(VLOOKUP(D116,Spelerslijst!K:L,1,FALSE),FALSE)</f>
        <v>NLG59G8</v>
      </c>
      <c r="C116" t="str">
        <f t="shared" si="1"/>
        <v/>
      </c>
      <c r="D116" t="s">
        <v>722</v>
      </c>
      <c r="E116" t="s">
        <v>723</v>
      </c>
      <c r="F116" t="s">
        <v>724</v>
      </c>
      <c r="G116" s="1">
        <v>38657</v>
      </c>
      <c r="H116" t="s">
        <v>1093</v>
      </c>
      <c r="I116" t="s">
        <v>1086</v>
      </c>
      <c r="J116" t="s">
        <v>1087</v>
      </c>
      <c r="N116" s="1"/>
      <c r="W116" s="1"/>
    </row>
    <row r="117" spans="1:23" hidden="1">
      <c r="A117" t="str">
        <f>_xlfn.IFNA(VLOOKUP(D117,Spelerslijst!A:B,1,FALSE),FALSE)</f>
        <v>NLH27P1</v>
      </c>
      <c r="B117" t="b">
        <f>_xlfn.IFNA(VLOOKUP(D117,Spelerslijst!K:L,1,FALSE),FALSE)</f>
        <v>0</v>
      </c>
      <c r="C117" t="str">
        <f t="shared" si="1"/>
        <v/>
      </c>
      <c r="D117" t="s">
        <v>84</v>
      </c>
      <c r="E117" t="s">
        <v>85</v>
      </c>
      <c r="F117" t="s">
        <v>79</v>
      </c>
      <c r="G117" s="1">
        <v>39114</v>
      </c>
      <c r="H117" t="s">
        <v>1093</v>
      </c>
      <c r="I117" t="s">
        <v>1086</v>
      </c>
      <c r="J117" t="s">
        <v>1091</v>
      </c>
      <c r="N117" s="1"/>
      <c r="W117" s="1"/>
    </row>
    <row r="118" spans="1:23" hidden="1">
      <c r="A118" t="str">
        <f>_xlfn.IFNA(VLOOKUP(D118,Spelerslijst!A:B,1,FALSE),FALSE)</f>
        <v>NLJ04Z4</v>
      </c>
      <c r="B118" t="b">
        <f>_xlfn.IFNA(VLOOKUP(D118,Spelerslijst!K:L,1,FALSE),FALSE)</f>
        <v>0</v>
      </c>
      <c r="C118" t="str">
        <f t="shared" si="1"/>
        <v/>
      </c>
      <c r="D118" t="s">
        <v>377</v>
      </c>
      <c r="E118" t="s">
        <v>378</v>
      </c>
      <c r="F118" t="s">
        <v>379</v>
      </c>
      <c r="G118" s="1">
        <v>39878</v>
      </c>
      <c r="H118" t="s">
        <v>1095</v>
      </c>
      <c r="I118" t="s">
        <v>1086</v>
      </c>
      <c r="J118" t="s">
        <v>1091</v>
      </c>
      <c r="N118" s="1"/>
      <c r="W118" s="1"/>
    </row>
    <row r="119" spans="1:23" hidden="1">
      <c r="A119" t="str">
        <f>_xlfn.IFNA(VLOOKUP(D119,Spelerslijst!A:B,1,FALSE),FALSE)</f>
        <v>NLJ47P3</v>
      </c>
      <c r="B119" t="b">
        <f>_xlfn.IFNA(VLOOKUP(D119,Spelerslijst!K:L,1,FALSE),FALSE)</f>
        <v>0</v>
      </c>
      <c r="C119" t="str">
        <f t="shared" si="1"/>
        <v/>
      </c>
      <c r="D119" t="s">
        <v>910</v>
      </c>
      <c r="E119" t="s">
        <v>911</v>
      </c>
      <c r="F119" t="s">
        <v>909</v>
      </c>
      <c r="G119" s="1">
        <v>38900</v>
      </c>
      <c r="H119" t="s">
        <v>1093</v>
      </c>
      <c r="I119" t="s">
        <v>1086</v>
      </c>
      <c r="J119" t="s">
        <v>1091</v>
      </c>
      <c r="N119" s="1"/>
      <c r="W119" s="1"/>
    </row>
    <row r="120" spans="1:23" hidden="1">
      <c r="A120" t="str">
        <f>_xlfn.IFNA(VLOOKUP(D120,Spelerslijst!A:B,1,FALSE),FALSE)</f>
        <v>NLL19T4</v>
      </c>
      <c r="B120" t="b">
        <f>_xlfn.IFNA(VLOOKUP(D120,Spelerslijst!K:L,1,FALSE),FALSE)</f>
        <v>0</v>
      </c>
      <c r="C120" t="str">
        <f t="shared" si="1"/>
        <v/>
      </c>
      <c r="D120" t="s">
        <v>686</v>
      </c>
      <c r="E120" t="s">
        <v>687</v>
      </c>
      <c r="F120" t="s">
        <v>688</v>
      </c>
      <c r="G120" s="1">
        <v>39433</v>
      </c>
      <c r="H120" t="s">
        <v>1093</v>
      </c>
      <c r="I120" t="s">
        <v>1086</v>
      </c>
      <c r="J120" t="s">
        <v>1091</v>
      </c>
      <c r="N120" s="1"/>
      <c r="W120" s="1"/>
    </row>
    <row r="121" spans="1:23">
      <c r="A121" t="b">
        <f>_xlfn.IFNA(VLOOKUP(D121,Spelerslijst!A:B,1,FALSE),FALSE)</f>
        <v>0</v>
      </c>
      <c r="B121" t="str">
        <f>_xlfn.IFNA(VLOOKUP(D121,Spelerslijst!K:L,1,FALSE),FALSE)</f>
        <v>NLL19V8</v>
      </c>
      <c r="C121" t="str">
        <f t="shared" si="1"/>
        <v/>
      </c>
      <c r="D121" t="s">
        <v>293</v>
      </c>
      <c r="E121" t="s">
        <v>294</v>
      </c>
      <c r="F121" t="s">
        <v>295</v>
      </c>
      <c r="G121" s="1">
        <v>39356</v>
      </c>
      <c r="H121" t="s">
        <v>1093</v>
      </c>
      <c r="I121" t="s">
        <v>1086</v>
      </c>
      <c r="J121" t="s">
        <v>1087</v>
      </c>
      <c r="N121" s="1"/>
      <c r="W121" s="1"/>
    </row>
    <row r="122" spans="1:23" hidden="1">
      <c r="A122" t="str">
        <f>_xlfn.IFNA(VLOOKUP(D122,Spelerslijst!A:B,1,FALSE),FALSE)</f>
        <v>NLL20B6</v>
      </c>
      <c r="B122" t="b">
        <f>_xlfn.IFNA(VLOOKUP(D122,Spelerslijst!K:L,1,FALSE),FALSE)</f>
        <v>0</v>
      </c>
      <c r="C122" t="str">
        <f t="shared" si="1"/>
        <v/>
      </c>
      <c r="D122" t="s">
        <v>653</v>
      </c>
      <c r="E122" t="s">
        <v>654</v>
      </c>
      <c r="F122" t="s">
        <v>655</v>
      </c>
      <c r="G122" s="1">
        <v>38451</v>
      </c>
      <c r="H122" t="s">
        <v>1093</v>
      </c>
      <c r="I122" t="s">
        <v>1086</v>
      </c>
      <c r="J122" t="s">
        <v>1091</v>
      </c>
      <c r="N122" s="1"/>
      <c r="W122" s="1"/>
    </row>
    <row r="123" spans="1:23">
      <c r="A123" t="b">
        <f>_xlfn.IFNA(VLOOKUP(D123,Spelerslijst!A:B,1,FALSE),FALSE)</f>
        <v>0</v>
      </c>
      <c r="B123" t="str">
        <f>_xlfn.IFNA(VLOOKUP(D123,Spelerslijst!K:L,1,FALSE),FALSE)</f>
        <v>NLL20F4</v>
      </c>
      <c r="C123" t="str">
        <f t="shared" si="1"/>
        <v/>
      </c>
      <c r="D123" t="s">
        <v>738</v>
      </c>
      <c r="E123" t="s">
        <v>739</v>
      </c>
      <c r="F123" t="s">
        <v>740</v>
      </c>
      <c r="G123" s="1">
        <v>39018</v>
      </c>
      <c r="H123" t="s">
        <v>1093</v>
      </c>
      <c r="I123" t="s">
        <v>1086</v>
      </c>
      <c r="J123" t="s">
        <v>1087</v>
      </c>
      <c r="N123" s="1"/>
      <c r="W123" s="1"/>
    </row>
    <row r="124" spans="1:23" hidden="1">
      <c r="A124" t="str">
        <f>_xlfn.IFNA(VLOOKUP(D124,Spelerslijst!A:B,1,FALSE),FALSE)</f>
        <v>NLL20G1</v>
      </c>
      <c r="B124" t="b">
        <f>_xlfn.IFNA(VLOOKUP(D124,Spelerslijst!K:L,1,FALSE),FALSE)</f>
        <v>0</v>
      </c>
      <c r="C124" t="str">
        <f t="shared" si="1"/>
        <v/>
      </c>
      <c r="D124" t="s">
        <v>272</v>
      </c>
      <c r="E124" t="s">
        <v>273</v>
      </c>
      <c r="F124" t="s">
        <v>268</v>
      </c>
      <c r="G124" s="1">
        <v>39804</v>
      </c>
      <c r="H124" t="s">
        <v>1095</v>
      </c>
      <c r="I124" t="s">
        <v>1086</v>
      </c>
      <c r="J124" t="s">
        <v>1091</v>
      </c>
      <c r="N124" s="1"/>
      <c r="W124" s="1"/>
    </row>
    <row r="125" spans="1:23" hidden="1">
      <c r="A125" t="str">
        <f>_xlfn.IFNA(VLOOKUP(D125,Spelerslijst!A:B,1,FALSE),FALSE)</f>
        <v>NLL20H8</v>
      </c>
      <c r="B125" t="b">
        <f>_xlfn.IFNA(VLOOKUP(D125,Spelerslijst!K:L,1,FALSE),FALSE)</f>
        <v>0</v>
      </c>
      <c r="C125" t="str">
        <f t="shared" si="1"/>
        <v/>
      </c>
      <c r="D125" t="s">
        <v>355</v>
      </c>
      <c r="E125" t="s">
        <v>356</v>
      </c>
      <c r="F125" t="s">
        <v>351</v>
      </c>
      <c r="G125" s="1">
        <v>40429</v>
      </c>
      <c r="H125" t="s">
        <v>1095</v>
      </c>
      <c r="I125" t="s">
        <v>1086</v>
      </c>
      <c r="J125" t="s">
        <v>1091</v>
      </c>
      <c r="N125" s="1"/>
      <c r="W125" s="1"/>
    </row>
    <row r="126" spans="1:23">
      <c r="A126" t="b">
        <f>_xlfn.IFNA(VLOOKUP(D126,Spelerslijst!A:B,1,FALSE),FALSE)</f>
        <v>0</v>
      </c>
      <c r="B126" t="str">
        <f>_xlfn.IFNA(VLOOKUP(D126,Spelerslijst!K:L,1,FALSE),FALSE)</f>
        <v>NLL37Q7</v>
      </c>
      <c r="C126" t="str">
        <f t="shared" si="1"/>
        <v/>
      </c>
      <c r="D126" t="s">
        <v>397</v>
      </c>
      <c r="E126" t="s">
        <v>398</v>
      </c>
      <c r="F126" t="s">
        <v>399</v>
      </c>
      <c r="G126" s="1">
        <v>38010</v>
      </c>
      <c r="H126" t="s">
        <v>1085</v>
      </c>
      <c r="I126" t="s">
        <v>1086</v>
      </c>
      <c r="J126" t="s">
        <v>1087</v>
      </c>
      <c r="N126" s="1"/>
      <c r="W126" s="1"/>
    </row>
    <row r="127" spans="1:23">
      <c r="A127" t="b">
        <f>_xlfn.IFNA(VLOOKUP(D127,Spelerslijst!A:B,1,FALSE),FALSE)</f>
        <v>0</v>
      </c>
      <c r="B127" t="str">
        <f>_xlfn.IFNA(VLOOKUP(D127,Spelerslijst!K:L,1,FALSE),FALSE)</f>
        <v>NLL37S1</v>
      </c>
      <c r="C127" t="str">
        <f t="shared" si="1"/>
        <v/>
      </c>
      <c r="D127" t="s">
        <v>810</v>
      </c>
      <c r="E127" t="s">
        <v>811</v>
      </c>
      <c r="F127" t="s">
        <v>807</v>
      </c>
      <c r="G127" s="1">
        <v>39744</v>
      </c>
      <c r="H127" t="s">
        <v>1095</v>
      </c>
      <c r="I127" t="s">
        <v>1086</v>
      </c>
      <c r="J127" t="s">
        <v>1087</v>
      </c>
      <c r="N127" s="1"/>
      <c r="W127" s="1"/>
    </row>
    <row r="128" spans="1:23" hidden="1">
      <c r="A128" t="str">
        <f>_xlfn.IFNA(VLOOKUP(D128,Spelerslijst!A:B,1,FALSE),FALSE)</f>
        <v>NLL53K3</v>
      </c>
      <c r="B128" t="b">
        <f>_xlfn.IFNA(VLOOKUP(D128,Spelerslijst!K:L,1,FALSE),FALSE)</f>
        <v>0</v>
      </c>
      <c r="C128" t="str">
        <f t="shared" si="1"/>
        <v/>
      </c>
      <c r="D128" t="s">
        <v>630</v>
      </c>
      <c r="E128" t="s">
        <v>631</v>
      </c>
      <c r="F128" t="s">
        <v>632</v>
      </c>
      <c r="G128" s="1">
        <v>40143</v>
      </c>
      <c r="H128" t="s">
        <v>1095</v>
      </c>
      <c r="I128" t="s">
        <v>1086</v>
      </c>
      <c r="J128" t="s">
        <v>1091</v>
      </c>
      <c r="N128" s="1"/>
      <c r="W128" s="1"/>
    </row>
    <row r="129" spans="1:23" hidden="1">
      <c r="A129" t="str">
        <f>_xlfn.IFNA(VLOOKUP(D129,Spelerslijst!A:B,1,FALSE),FALSE)</f>
        <v>NLL81G4</v>
      </c>
      <c r="B129" t="b">
        <f>_xlfn.IFNA(VLOOKUP(D129,Spelerslijst!K:L,1,FALSE),FALSE)</f>
        <v>0</v>
      </c>
      <c r="C129" t="str">
        <f t="shared" si="1"/>
        <v/>
      </c>
      <c r="D129" t="s">
        <v>670</v>
      </c>
      <c r="E129" t="s">
        <v>671</v>
      </c>
      <c r="F129" t="s">
        <v>672</v>
      </c>
      <c r="G129" s="1">
        <v>39324</v>
      </c>
      <c r="H129" t="s">
        <v>1093</v>
      </c>
      <c r="I129" t="s">
        <v>1086</v>
      </c>
      <c r="J129" t="s">
        <v>1091</v>
      </c>
      <c r="N129" s="1"/>
      <c r="W129" s="1"/>
    </row>
    <row r="130" spans="1:23">
      <c r="A130" t="b">
        <f>_xlfn.IFNA(VLOOKUP(D130,Spelerslijst!A:B,1,FALSE),FALSE)</f>
        <v>0</v>
      </c>
      <c r="B130" t="str">
        <f>_xlfn.IFNA(VLOOKUP(D130,Spelerslijst!K:L,1,FALSE),FALSE)</f>
        <v>NLM05B2</v>
      </c>
      <c r="C130" t="str">
        <f t="shared" si="1"/>
        <v/>
      </c>
      <c r="D130" t="s">
        <v>862</v>
      </c>
      <c r="E130" t="s">
        <v>863</v>
      </c>
      <c r="F130" t="s">
        <v>864</v>
      </c>
      <c r="G130" s="1">
        <v>39346</v>
      </c>
      <c r="H130" t="s">
        <v>1093</v>
      </c>
      <c r="I130" t="s">
        <v>1086</v>
      </c>
      <c r="J130" t="s">
        <v>1087</v>
      </c>
      <c r="N130" s="1"/>
      <c r="W130" s="1"/>
    </row>
    <row r="131" spans="1:23" hidden="1">
      <c r="A131" t="str">
        <f>_xlfn.IFNA(VLOOKUP(D131,Spelerslijst!A:B,1,FALSE),FALSE)</f>
        <v>NLM40K0</v>
      </c>
      <c r="B131" t="b">
        <f>_xlfn.IFNA(VLOOKUP(D131,Spelerslijst!K:L,1,FALSE),FALSE)</f>
        <v>0</v>
      </c>
      <c r="C131" t="str">
        <f t="shared" ref="C131:C194" si="2">IF(AND(A131=FALSE,B131=FALSE),"Onbekend","")</f>
        <v/>
      </c>
      <c r="D131" t="s">
        <v>287</v>
      </c>
      <c r="E131" t="s">
        <v>288</v>
      </c>
      <c r="F131" t="s">
        <v>289</v>
      </c>
      <c r="G131" s="1">
        <v>40512</v>
      </c>
      <c r="H131" t="s">
        <v>1095</v>
      </c>
      <c r="I131" t="s">
        <v>1086</v>
      </c>
      <c r="J131" t="s">
        <v>1091</v>
      </c>
      <c r="N131" s="1"/>
      <c r="W131" s="1"/>
    </row>
    <row r="132" spans="1:23" hidden="1">
      <c r="A132" t="str">
        <f>_xlfn.IFNA(VLOOKUP(D132,Spelerslijst!A:B,1,FALSE),FALSE)</f>
        <v>NLN05N7</v>
      </c>
      <c r="B132" t="b">
        <f>_xlfn.IFNA(VLOOKUP(D132,Spelerslijst!K:L,1,FALSE),FALSE)</f>
        <v>0</v>
      </c>
      <c r="C132" t="str">
        <f t="shared" si="2"/>
        <v/>
      </c>
      <c r="D132" t="s">
        <v>176</v>
      </c>
      <c r="E132" t="s">
        <v>177</v>
      </c>
      <c r="F132" t="s">
        <v>178</v>
      </c>
      <c r="G132" s="1">
        <v>39760</v>
      </c>
      <c r="H132" t="s">
        <v>1095</v>
      </c>
      <c r="I132" t="s">
        <v>1086</v>
      </c>
      <c r="J132" t="s">
        <v>1091</v>
      </c>
      <c r="N132" s="1"/>
      <c r="W132" s="1"/>
    </row>
    <row r="133" spans="1:23">
      <c r="A133" t="b">
        <f>_xlfn.IFNA(VLOOKUP(D133,Spelerslijst!A:B,1,FALSE),FALSE)</f>
        <v>0</v>
      </c>
      <c r="B133" t="str">
        <f>_xlfn.IFNA(VLOOKUP(D133,Spelerslijst!K:L,1,FALSE),FALSE)</f>
        <v>NLN28Y3</v>
      </c>
      <c r="C133" t="str">
        <f t="shared" si="2"/>
        <v/>
      </c>
      <c r="D133" t="s">
        <v>656</v>
      </c>
      <c r="E133" t="s">
        <v>657</v>
      </c>
      <c r="F133" t="s">
        <v>658</v>
      </c>
      <c r="G133" s="1">
        <v>39629</v>
      </c>
      <c r="H133" t="s">
        <v>1095</v>
      </c>
      <c r="I133" t="s">
        <v>1086</v>
      </c>
      <c r="J133" t="s">
        <v>1087</v>
      </c>
      <c r="N133" s="1"/>
      <c r="W133" s="1"/>
    </row>
    <row r="134" spans="1:23" hidden="1">
      <c r="A134" t="str">
        <f>_xlfn.IFNA(VLOOKUP(D134,Spelerslijst!A:B,1,FALSE),FALSE)</f>
        <v>NLN41L1</v>
      </c>
      <c r="B134" t="b">
        <f>_xlfn.IFNA(VLOOKUP(D134,Spelerslijst!K:L,1,FALSE),FALSE)</f>
        <v>0</v>
      </c>
      <c r="C134" t="str">
        <f t="shared" si="2"/>
        <v/>
      </c>
      <c r="D134" t="s">
        <v>741</v>
      </c>
      <c r="E134" t="s">
        <v>742</v>
      </c>
      <c r="F134" t="s">
        <v>743</v>
      </c>
      <c r="G134" s="1">
        <v>40439</v>
      </c>
      <c r="H134" t="s">
        <v>1095</v>
      </c>
      <c r="I134" t="s">
        <v>1086</v>
      </c>
      <c r="J134" t="s">
        <v>1091</v>
      </c>
      <c r="N134" s="1"/>
      <c r="W134" s="1"/>
    </row>
    <row r="135" spans="1:23" hidden="1">
      <c r="A135" t="str">
        <f>_xlfn.IFNA(VLOOKUP(D135,Spelerslijst!A:B,1,FALSE),FALSE)</f>
        <v>NLP77Z4</v>
      </c>
      <c r="B135" t="b">
        <f>_xlfn.IFNA(VLOOKUP(D135,Spelerslijst!K:L,1,FALSE),FALSE)</f>
        <v>0</v>
      </c>
      <c r="C135" t="str">
        <f t="shared" si="2"/>
        <v/>
      </c>
      <c r="D135" t="s">
        <v>188</v>
      </c>
      <c r="E135" t="s">
        <v>189</v>
      </c>
      <c r="F135" t="s">
        <v>190</v>
      </c>
      <c r="G135" s="1">
        <v>40239</v>
      </c>
      <c r="H135" t="s">
        <v>1095</v>
      </c>
      <c r="I135" t="s">
        <v>1086</v>
      </c>
      <c r="J135" t="s">
        <v>1091</v>
      </c>
      <c r="N135" s="1"/>
      <c r="W135" s="1"/>
    </row>
    <row r="136" spans="1:23" hidden="1">
      <c r="A136" t="str">
        <f>_xlfn.IFNA(VLOOKUP(D136,Spelerslijst!A:B,1,FALSE),FALSE)</f>
        <v>NLP78C6</v>
      </c>
      <c r="B136" t="b">
        <f>_xlfn.IFNA(VLOOKUP(D136,Spelerslijst!K:L,1,FALSE),FALSE)</f>
        <v>0</v>
      </c>
      <c r="C136" t="str">
        <f t="shared" si="2"/>
        <v/>
      </c>
      <c r="D136" t="s">
        <v>877</v>
      </c>
      <c r="E136" t="s">
        <v>878</v>
      </c>
      <c r="F136" t="s">
        <v>879</v>
      </c>
      <c r="G136" s="1">
        <v>39562</v>
      </c>
      <c r="H136" t="s">
        <v>1095</v>
      </c>
      <c r="I136" t="s">
        <v>1086</v>
      </c>
      <c r="J136" t="s">
        <v>1091</v>
      </c>
      <c r="N136" s="1"/>
      <c r="W136" s="1"/>
    </row>
    <row r="137" spans="1:23" hidden="1">
      <c r="A137" t="str">
        <f>_xlfn.IFNA(VLOOKUP(D137,Spelerslijst!A:B,1,FALSE),FALSE)</f>
        <v>NLP78D3</v>
      </c>
      <c r="B137" t="b">
        <f>_xlfn.IFNA(VLOOKUP(D137,Spelerslijst!K:L,1,FALSE),FALSE)</f>
        <v>0</v>
      </c>
      <c r="C137" t="str">
        <f t="shared" si="2"/>
        <v/>
      </c>
      <c r="D137" t="s">
        <v>147</v>
      </c>
      <c r="E137" t="s">
        <v>148</v>
      </c>
      <c r="F137" t="s">
        <v>149</v>
      </c>
      <c r="G137" s="1">
        <v>39629</v>
      </c>
      <c r="H137" t="s">
        <v>1095</v>
      </c>
      <c r="I137" t="s">
        <v>1086</v>
      </c>
      <c r="J137" t="s">
        <v>1091</v>
      </c>
      <c r="N137" s="1"/>
      <c r="W137" s="1"/>
    </row>
    <row r="138" spans="1:23" hidden="1">
      <c r="A138" t="str">
        <f>_xlfn.IFNA(VLOOKUP(D138,Spelerslijst!A:B,1,FALSE),FALSE)</f>
        <v>NLP78G4</v>
      </c>
      <c r="B138" t="b">
        <f>_xlfn.IFNA(VLOOKUP(D138,Spelerslijst!K:L,1,FALSE),FALSE)</f>
        <v>0</v>
      </c>
      <c r="C138" t="str">
        <f t="shared" si="2"/>
        <v/>
      </c>
      <c r="D138" t="s">
        <v>480</v>
      </c>
      <c r="E138" t="s">
        <v>481</v>
      </c>
      <c r="F138" t="s">
        <v>477</v>
      </c>
      <c r="G138" s="1">
        <v>39274</v>
      </c>
      <c r="H138" t="s">
        <v>1093</v>
      </c>
      <c r="I138" t="s">
        <v>1086</v>
      </c>
      <c r="J138" t="s">
        <v>1091</v>
      </c>
      <c r="N138" s="1"/>
      <c r="W138" s="1"/>
    </row>
    <row r="139" spans="1:23" hidden="1">
      <c r="A139" t="str">
        <f>_xlfn.IFNA(VLOOKUP(D139,Spelerslijst!A:B,1,FALSE),FALSE)</f>
        <v>NLP78L9</v>
      </c>
      <c r="B139" t="b">
        <f>_xlfn.IFNA(VLOOKUP(D139,Spelerslijst!K:L,1,FALSE),FALSE)</f>
        <v>0</v>
      </c>
      <c r="C139" t="str">
        <f t="shared" si="2"/>
        <v/>
      </c>
      <c r="D139" t="s">
        <v>194</v>
      </c>
      <c r="E139" t="s">
        <v>195</v>
      </c>
      <c r="F139" t="s">
        <v>190</v>
      </c>
      <c r="G139" s="1">
        <v>40538</v>
      </c>
      <c r="H139" t="s">
        <v>1095</v>
      </c>
      <c r="I139" t="s">
        <v>1086</v>
      </c>
      <c r="J139" t="s">
        <v>1091</v>
      </c>
      <c r="N139" s="1"/>
      <c r="W139" s="1"/>
    </row>
    <row r="140" spans="1:23" hidden="1">
      <c r="A140" t="str">
        <f>_xlfn.IFNA(VLOOKUP(D140,Spelerslijst!A:B,1,FALSE),FALSE)</f>
        <v>NLP78N3</v>
      </c>
      <c r="B140" t="b">
        <f>_xlfn.IFNA(VLOOKUP(D140,Spelerslijst!K:L,1,FALSE),FALSE)</f>
        <v>0</v>
      </c>
      <c r="C140" t="str">
        <f t="shared" si="2"/>
        <v/>
      </c>
      <c r="D140" t="s">
        <v>430</v>
      </c>
      <c r="E140" t="s">
        <v>431</v>
      </c>
      <c r="F140" t="s">
        <v>432</v>
      </c>
      <c r="G140" s="1">
        <v>39328</v>
      </c>
      <c r="H140" t="s">
        <v>1093</v>
      </c>
      <c r="I140" t="s">
        <v>1086</v>
      </c>
      <c r="J140" t="s">
        <v>1091</v>
      </c>
      <c r="N140" s="1"/>
      <c r="W140" s="1"/>
    </row>
    <row r="141" spans="1:23">
      <c r="A141" t="b">
        <f>_xlfn.IFNA(VLOOKUP(D141,Spelerslijst!A:B,1,FALSE),FALSE)</f>
        <v>0</v>
      </c>
      <c r="B141" t="str">
        <f>_xlfn.IFNA(VLOOKUP(D141,Spelerslijst!K:L,1,FALSE),FALSE)</f>
        <v>NLP78P7</v>
      </c>
      <c r="C141" t="str">
        <f t="shared" si="2"/>
        <v/>
      </c>
      <c r="D141" t="s">
        <v>604</v>
      </c>
      <c r="E141" t="s">
        <v>605</v>
      </c>
      <c r="F141" t="s">
        <v>600</v>
      </c>
      <c r="G141" s="1">
        <v>40381</v>
      </c>
      <c r="H141" t="s">
        <v>1095</v>
      </c>
      <c r="I141" t="s">
        <v>1086</v>
      </c>
      <c r="J141" t="s">
        <v>1087</v>
      </c>
      <c r="N141" s="1"/>
      <c r="W141" s="1"/>
    </row>
    <row r="142" spans="1:23">
      <c r="A142" t="b">
        <f>_xlfn.IFNA(VLOOKUP(D142,Spelerslijst!A:B,1,FALSE),FALSE)</f>
        <v>0</v>
      </c>
      <c r="B142" t="str">
        <f>_xlfn.IFNA(VLOOKUP(D142,Spelerslijst!K:L,1,FALSE),FALSE)</f>
        <v>NLP78Q4</v>
      </c>
      <c r="C142" t="str">
        <f t="shared" si="2"/>
        <v/>
      </c>
      <c r="D142" t="s">
        <v>522</v>
      </c>
      <c r="E142" t="s">
        <v>523</v>
      </c>
      <c r="F142" t="s">
        <v>518</v>
      </c>
      <c r="G142" s="1">
        <v>39686</v>
      </c>
      <c r="H142" t="s">
        <v>1095</v>
      </c>
      <c r="I142" t="s">
        <v>1086</v>
      </c>
      <c r="J142" t="s">
        <v>1087</v>
      </c>
      <c r="N142" s="1"/>
      <c r="W142" s="1"/>
    </row>
    <row r="143" spans="1:23" hidden="1">
      <c r="A143" t="str">
        <f>_xlfn.IFNA(VLOOKUP(D143,Spelerslijst!A:B,1,FALSE),FALSE)</f>
        <v>NLP89W4</v>
      </c>
      <c r="B143" t="b">
        <f>_xlfn.IFNA(VLOOKUP(D143,Spelerslijst!K:L,1,FALSE),FALSE)</f>
        <v>0</v>
      </c>
      <c r="C143" t="str">
        <f t="shared" si="2"/>
        <v/>
      </c>
      <c r="D143" t="s">
        <v>905</v>
      </c>
      <c r="E143" t="s">
        <v>906</v>
      </c>
      <c r="F143" t="s">
        <v>900</v>
      </c>
      <c r="G143" s="1">
        <v>40227</v>
      </c>
      <c r="H143" t="s">
        <v>1095</v>
      </c>
      <c r="I143" t="s">
        <v>1086</v>
      </c>
      <c r="J143" t="s">
        <v>1091</v>
      </c>
      <c r="N143" s="1"/>
      <c r="W143" s="1"/>
    </row>
    <row r="144" spans="1:23" hidden="1">
      <c r="A144" t="str">
        <f>_xlfn.IFNA(VLOOKUP(D144,Spelerslijst!A:B,1,FALSE),FALSE)</f>
        <v>NLQ98H2</v>
      </c>
      <c r="B144" t="b">
        <f>_xlfn.IFNA(VLOOKUP(D144,Spelerslijst!K:L,1,FALSE),FALSE)</f>
        <v>0</v>
      </c>
      <c r="C144" t="str">
        <f t="shared" si="2"/>
        <v/>
      </c>
      <c r="D144" t="s">
        <v>366</v>
      </c>
      <c r="E144" t="s">
        <v>367</v>
      </c>
      <c r="F144" t="s">
        <v>368</v>
      </c>
      <c r="G144" s="1">
        <v>40344</v>
      </c>
      <c r="H144" t="s">
        <v>1095</v>
      </c>
      <c r="I144" t="s">
        <v>1086</v>
      </c>
      <c r="J144" t="s">
        <v>1091</v>
      </c>
      <c r="N144" s="1"/>
      <c r="W144" s="1"/>
    </row>
    <row r="145" spans="1:24">
      <c r="A145" t="b">
        <f>_xlfn.IFNA(VLOOKUP(D145,Spelerslijst!A:B,1,FALSE),FALSE)</f>
        <v>0</v>
      </c>
      <c r="B145" t="str">
        <f>_xlfn.IFNA(VLOOKUP(D145,Spelerslijst!K:L,1,FALSE),FALSE)</f>
        <v>NLR06X4</v>
      </c>
      <c r="C145" t="str">
        <f t="shared" si="2"/>
        <v/>
      </c>
      <c r="D145" t="s">
        <v>563</v>
      </c>
      <c r="E145" t="s">
        <v>564</v>
      </c>
      <c r="F145" t="s">
        <v>565</v>
      </c>
      <c r="G145" s="1">
        <v>39187</v>
      </c>
      <c r="H145" t="s">
        <v>1093</v>
      </c>
      <c r="I145" t="s">
        <v>1086</v>
      </c>
      <c r="J145" t="s">
        <v>1087</v>
      </c>
      <c r="N145" s="1"/>
      <c r="W145" s="1"/>
    </row>
    <row r="146" spans="1:24">
      <c r="A146" t="b">
        <f>_xlfn.IFNA(VLOOKUP(D146,Spelerslijst!A:B,1,FALSE),FALSE)</f>
        <v>0</v>
      </c>
      <c r="B146" t="str">
        <f>_xlfn.IFNA(VLOOKUP(D146,Spelerslijst!K:L,1,FALSE),FALSE)</f>
        <v>NLR23F9</v>
      </c>
      <c r="C146" t="str">
        <f t="shared" si="2"/>
        <v/>
      </c>
      <c r="D146" t="s">
        <v>673</v>
      </c>
      <c r="E146" t="s">
        <v>674</v>
      </c>
      <c r="F146" t="s">
        <v>675</v>
      </c>
      <c r="G146" s="1">
        <v>37909</v>
      </c>
      <c r="H146" t="s">
        <v>1085</v>
      </c>
      <c r="I146" t="s">
        <v>1086</v>
      </c>
      <c r="J146" t="s">
        <v>1087</v>
      </c>
      <c r="N146" s="1"/>
      <c r="W146" s="1"/>
    </row>
    <row r="147" spans="1:24" hidden="1">
      <c r="A147" t="str">
        <f>_xlfn.IFNA(VLOOKUP(D147,Spelerslijst!A:B,1,FALSE),FALSE)</f>
        <v>NLR34F7</v>
      </c>
      <c r="B147" t="b">
        <f>_xlfn.IFNA(VLOOKUP(D147,Spelerslijst!K:L,1,FALSE),FALSE)</f>
        <v>0</v>
      </c>
      <c r="C147" t="str">
        <f t="shared" si="2"/>
        <v/>
      </c>
      <c r="D147" t="s">
        <v>388</v>
      </c>
      <c r="E147" t="s">
        <v>389</v>
      </c>
      <c r="F147" t="s">
        <v>390</v>
      </c>
      <c r="G147" s="1">
        <v>40243</v>
      </c>
      <c r="H147" t="s">
        <v>1095</v>
      </c>
      <c r="I147" t="s">
        <v>1086</v>
      </c>
      <c r="J147" t="s">
        <v>1091</v>
      </c>
      <c r="N147" s="1"/>
      <c r="W147" s="1"/>
      <c r="X147" s="1"/>
    </row>
    <row r="148" spans="1:24" hidden="1">
      <c r="A148" t="str">
        <f>_xlfn.IFNA(VLOOKUP(D148,Spelerslijst!A:B,1,FALSE),FALSE)</f>
        <v>NLS08G2</v>
      </c>
      <c r="B148" t="b">
        <f>_xlfn.IFNA(VLOOKUP(D148,Spelerslijst!K:L,1,FALSE),FALSE)</f>
        <v>0</v>
      </c>
      <c r="C148" t="str">
        <f t="shared" si="2"/>
        <v/>
      </c>
      <c r="D148" t="s">
        <v>834</v>
      </c>
      <c r="E148" t="s">
        <v>835</v>
      </c>
      <c r="F148" t="s">
        <v>836</v>
      </c>
      <c r="G148" s="1">
        <v>37295</v>
      </c>
      <c r="H148" t="s">
        <v>1085</v>
      </c>
      <c r="I148" t="s">
        <v>1086</v>
      </c>
      <c r="J148" t="s">
        <v>1091</v>
      </c>
      <c r="N148" s="1"/>
      <c r="W148" s="1"/>
    </row>
    <row r="149" spans="1:24" hidden="1">
      <c r="A149" t="str">
        <f>_xlfn.IFNA(VLOOKUP(D149,Spelerslijst!A:B,1,FALSE),FALSE)</f>
        <v>NLS08H9</v>
      </c>
      <c r="B149" t="b">
        <f>_xlfn.IFNA(VLOOKUP(D149,Spelerslijst!K:L,1,FALSE),FALSE)</f>
        <v>0</v>
      </c>
      <c r="C149" t="str">
        <f t="shared" si="2"/>
        <v/>
      </c>
      <c r="D149" t="s">
        <v>596</v>
      </c>
      <c r="E149" t="s">
        <v>597</v>
      </c>
      <c r="F149" t="s">
        <v>592</v>
      </c>
      <c r="G149" s="1">
        <v>39993</v>
      </c>
      <c r="H149" t="s">
        <v>1095</v>
      </c>
      <c r="I149" t="s">
        <v>1086</v>
      </c>
      <c r="J149" t="s">
        <v>1091</v>
      </c>
      <c r="N149" s="1"/>
      <c r="W149" s="1"/>
    </row>
    <row r="150" spans="1:24" hidden="1">
      <c r="A150" t="str">
        <f>_xlfn.IFNA(VLOOKUP(D150,Spelerslijst!A:B,1,FALSE),FALSE)</f>
        <v>NLS34M7</v>
      </c>
      <c r="B150" t="b">
        <f>_xlfn.IFNA(VLOOKUP(D150,Spelerslijst!K:L,1,FALSE),FALSE)</f>
        <v>0</v>
      </c>
      <c r="C150" t="str">
        <f t="shared" si="2"/>
        <v/>
      </c>
      <c r="D150" t="s">
        <v>818</v>
      </c>
      <c r="E150" t="s">
        <v>819</v>
      </c>
      <c r="F150" t="s">
        <v>820</v>
      </c>
      <c r="G150" s="1">
        <v>40786</v>
      </c>
      <c r="H150" t="s">
        <v>1095</v>
      </c>
      <c r="I150" t="s">
        <v>1086</v>
      </c>
      <c r="J150" t="s">
        <v>1091</v>
      </c>
      <c r="N150" s="1"/>
      <c r="W150" s="1"/>
    </row>
    <row r="151" spans="1:24" hidden="1">
      <c r="A151" t="str">
        <f>_xlfn.IFNA(VLOOKUP(D151,Spelerslijst!A:B,1,FALSE),FALSE)</f>
        <v>NLS45N2</v>
      </c>
      <c r="B151" t="b">
        <f>_xlfn.IFNA(VLOOKUP(D151,Spelerslijst!K:L,1,FALSE),FALSE)</f>
        <v>0</v>
      </c>
      <c r="C151" t="str">
        <f t="shared" si="2"/>
        <v/>
      </c>
      <c r="D151" t="s">
        <v>871</v>
      </c>
      <c r="E151" t="s">
        <v>872</v>
      </c>
      <c r="F151" t="s">
        <v>873</v>
      </c>
      <c r="G151" s="1">
        <v>39538</v>
      </c>
      <c r="H151" t="s">
        <v>1095</v>
      </c>
      <c r="I151" t="s">
        <v>1086</v>
      </c>
      <c r="J151" t="s">
        <v>1091</v>
      </c>
      <c r="N151" s="1"/>
      <c r="W151" s="1"/>
    </row>
    <row r="152" spans="1:24" hidden="1">
      <c r="A152" t="str">
        <f>_xlfn.IFNA(VLOOKUP(D152,Spelerslijst!A:B,1,FALSE),FALSE)</f>
        <v>NLS54M7</v>
      </c>
      <c r="B152" t="b">
        <f>_xlfn.IFNA(VLOOKUP(D152,Spelerslijst!K:L,1,FALSE),FALSE)</f>
        <v>0</v>
      </c>
      <c r="C152" t="str">
        <f t="shared" si="2"/>
        <v/>
      </c>
      <c r="D152" t="s">
        <v>735</v>
      </c>
      <c r="E152" t="s">
        <v>736</v>
      </c>
      <c r="F152" t="s">
        <v>737</v>
      </c>
      <c r="G152" s="1">
        <v>40498</v>
      </c>
      <c r="H152" t="s">
        <v>1095</v>
      </c>
      <c r="I152" t="s">
        <v>1086</v>
      </c>
      <c r="J152" t="s">
        <v>1091</v>
      </c>
      <c r="N152" s="1"/>
      <c r="W152" s="1"/>
    </row>
    <row r="153" spans="1:24">
      <c r="A153" t="b">
        <f>_xlfn.IFNA(VLOOKUP(D153,Spelerslijst!A:B,1,FALSE),FALSE)</f>
        <v>0</v>
      </c>
      <c r="B153" t="str">
        <f>_xlfn.IFNA(VLOOKUP(D153,Spelerslijst!K:L,1,FALSE),FALSE)</f>
        <v>NLS75Y4</v>
      </c>
      <c r="C153" t="str">
        <f t="shared" si="2"/>
        <v/>
      </c>
      <c r="D153" t="s">
        <v>179</v>
      </c>
      <c r="E153" t="s">
        <v>180</v>
      </c>
      <c r="F153" t="s">
        <v>181</v>
      </c>
      <c r="G153" s="1">
        <v>39753</v>
      </c>
      <c r="H153" t="s">
        <v>1095</v>
      </c>
      <c r="I153" t="s">
        <v>1086</v>
      </c>
      <c r="J153" t="s">
        <v>1087</v>
      </c>
      <c r="N153" s="1"/>
      <c r="W153" s="1"/>
    </row>
    <row r="154" spans="1:24" hidden="1">
      <c r="A154" t="str">
        <f>_xlfn.IFNA(VLOOKUP(D154,Spelerslijst!A:B,1,FALSE),FALSE)</f>
        <v>NLS76C3</v>
      </c>
      <c r="B154" t="b">
        <f>_xlfn.IFNA(VLOOKUP(D154,Spelerslijst!K:L,1,FALSE),FALSE)</f>
        <v>0</v>
      </c>
      <c r="C154" t="str">
        <f t="shared" si="2"/>
        <v/>
      </c>
      <c r="D154" t="s">
        <v>808</v>
      </c>
      <c r="E154" t="s">
        <v>809</v>
      </c>
      <c r="F154" t="s">
        <v>685</v>
      </c>
      <c r="G154" s="1">
        <v>40097</v>
      </c>
      <c r="H154" t="s">
        <v>1095</v>
      </c>
      <c r="I154" t="s">
        <v>1086</v>
      </c>
      <c r="J154" t="s">
        <v>1091</v>
      </c>
      <c r="N154" s="1"/>
      <c r="W154" s="1"/>
    </row>
    <row r="155" spans="1:24">
      <c r="A155" t="b">
        <f>_xlfn.IFNA(VLOOKUP(D155,Spelerslijst!A:B,1,FALSE),FALSE)</f>
        <v>0</v>
      </c>
      <c r="B155" t="str">
        <f>_xlfn.IFNA(VLOOKUP(D155,Spelerslijst!K:L,1,FALSE),FALSE)</f>
        <v>NLS85H0</v>
      </c>
      <c r="C155" t="str">
        <f t="shared" si="2"/>
        <v/>
      </c>
      <c r="D155" t="s">
        <v>621</v>
      </c>
      <c r="E155" t="s">
        <v>622</v>
      </c>
      <c r="F155" t="s">
        <v>623</v>
      </c>
      <c r="G155" s="1">
        <v>39623</v>
      </c>
      <c r="H155" t="s">
        <v>1095</v>
      </c>
      <c r="I155" t="s">
        <v>1086</v>
      </c>
      <c r="J155" t="s">
        <v>1087</v>
      </c>
      <c r="N155" s="1"/>
      <c r="W155" s="1"/>
    </row>
    <row r="156" spans="1:24">
      <c r="A156" t="b">
        <f>_xlfn.IFNA(VLOOKUP(D156,Spelerslijst!A:B,1,FALSE),FALSE)</f>
        <v>0</v>
      </c>
      <c r="B156" t="str">
        <f>_xlfn.IFNA(VLOOKUP(D156,Spelerslijst!K:L,1,FALSE),FALSE)</f>
        <v>NLS85J4</v>
      </c>
      <c r="C156" t="str">
        <f t="shared" si="2"/>
        <v/>
      </c>
      <c r="D156" t="s">
        <v>433</v>
      </c>
      <c r="E156" t="s">
        <v>434</v>
      </c>
      <c r="F156" t="s">
        <v>435</v>
      </c>
      <c r="G156" s="1">
        <v>40058</v>
      </c>
      <c r="H156" t="s">
        <v>1095</v>
      </c>
      <c r="I156" t="s">
        <v>1086</v>
      </c>
      <c r="J156" t="s">
        <v>1087</v>
      </c>
      <c r="N156" s="1"/>
      <c r="W156" s="1"/>
    </row>
    <row r="157" spans="1:24">
      <c r="A157" t="b">
        <f>_xlfn.IFNA(VLOOKUP(D157,Spelerslijst!A:B,1,FALSE),FALSE)</f>
        <v>0</v>
      </c>
      <c r="B157" t="str">
        <f>_xlfn.IFNA(VLOOKUP(D157,Spelerslijst!K:L,1,FALSE),FALSE)</f>
        <v>NLT47Y6</v>
      </c>
      <c r="C157" t="str">
        <f t="shared" si="2"/>
        <v/>
      </c>
      <c r="D157" t="s">
        <v>450</v>
      </c>
      <c r="E157" t="s">
        <v>451</v>
      </c>
      <c r="F157" t="s">
        <v>447</v>
      </c>
      <c r="G157" s="1">
        <v>39539</v>
      </c>
      <c r="H157" t="s">
        <v>1095</v>
      </c>
      <c r="I157" t="s">
        <v>1086</v>
      </c>
      <c r="J157" t="s">
        <v>1087</v>
      </c>
      <c r="N157" s="1"/>
      <c r="W157" s="1"/>
    </row>
    <row r="158" spans="1:24" hidden="1">
      <c r="A158" t="str">
        <f>_xlfn.IFNA(VLOOKUP(D158,Spelerslijst!A:B,1,FALSE),FALSE)</f>
        <v>NLT96R9</v>
      </c>
      <c r="B158" t="b">
        <f>_xlfn.IFNA(VLOOKUP(D158,Spelerslijst!K:L,1,FALSE),FALSE)</f>
        <v>0</v>
      </c>
      <c r="C158" t="str">
        <f t="shared" si="2"/>
        <v/>
      </c>
      <c r="D158" t="s">
        <v>245</v>
      </c>
      <c r="E158" t="s">
        <v>246</v>
      </c>
      <c r="F158" t="s">
        <v>247</v>
      </c>
      <c r="G158" s="1">
        <v>39751</v>
      </c>
      <c r="H158" t="s">
        <v>1095</v>
      </c>
      <c r="I158" t="s">
        <v>1086</v>
      </c>
      <c r="J158" t="s">
        <v>1091</v>
      </c>
      <c r="N158" s="1"/>
      <c r="W158" s="1"/>
    </row>
    <row r="159" spans="1:24">
      <c r="A159" t="b">
        <f>_xlfn.IFNA(VLOOKUP(D159,Spelerslijst!A:B,1,FALSE),FALSE)</f>
        <v>0</v>
      </c>
      <c r="B159" t="str">
        <f>_xlfn.IFNA(VLOOKUP(D159,Spelerslijst!K:L,1,FALSE),FALSE)</f>
        <v>NLV35B6</v>
      </c>
      <c r="C159" t="str">
        <f t="shared" si="2"/>
        <v/>
      </c>
      <c r="D159" t="s">
        <v>756</v>
      </c>
      <c r="E159" t="s">
        <v>757</v>
      </c>
      <c r="F159" t="s">
        <v>758</v>
      </c>
      <c r="G159" s="1">
        <v>39878</v>
      </c>
      <c r="H159" t="s">
        <v>1095</v>
      </c>
      <c r="I159" t="s">
        <v>1086</v>
      </c>
      <c r="J159" t="s">
        <v>1087</v>
      </c>
      <c r="N159" s="1"/>
      <c r="W159" s="1"/>
    </row>
    <row r="160" spans="1:24">
      <c r="A160" t="b">
        <f>_xlfn.IFNA(VLOOKUP(D160,Spelerslijst!A:B,1,FALSE),FALSE)</f>
        <v>0</v>
      </c>
      <c r="B160" t="str">
        <f>_xlfn.IFNA(VLOOKUP(D160,Spelerslijst!K:L,1,FALSE),FALSE)</f>
        <v>NLV80M3</v>
      </c>
      <c r="C160" t="str">
        <f t="shared" si="2"/>
        <v/>
      </c>
      <c r="D160" t="s">
        <v>259</v>
      </c>
      <c r="E160" t="s">
        <v>260</v>
      </c>
      <c r="F160" t="s">
        <v>255</v>
      </c>
      <c r="G160" s="1">
        <v>41044</v>
      </c>
      <c r="H160" t="s">
        <v>1096</v>
      </c>
      <c r="I160" t="s">
        <v>1086</v>
      </c>
      <c r="J160" t="s">
        <v>1087</v>
      </c>
      <c r="N160" s="1"/>
      <c r="W160" s="1"/>
    </row>
    <row r="161" spans="1:24">
      <c r="A161" t="b">
        <f>_xlfn.IFNA(VLOOKUP(D161,Spelerslijst!A:B,1,FALSE),FALSE)</f>
        <v>0</v>
      </c>
      <c r="B161" t="str">
        <f>_xlfn.IFNA(VLOOKUP(D161,Spelerslijst!K:L,1,FALSE),FALSE)</f>
        <v>NLV80P4</v>
      </c>
      <c r="C161" t="str">
        <f t="shared" si="2"/>
        <v/>
      </c>
      <c r="D161" t="s">
        <v>710</v>
      </c>
      <c r="E161" t="s">
        <v>1097</v>
      </c>
      <c r="F161" t="s">
        <v>712</v>
      </c>
      <c r="G161" s="1">
        <v>40806</v>
      </c>
      <c r="H161" t="s">
        <v>1095</v>
      </c>
      <c r="I161" t="s">
        <v>1086</v>
      </c>
      <c r="J161" t="s">
        <v>1087</v>
      </c>
      <c r="N161" s="1"/>
      <c r="W161" s="1"/>
      <c r="X161" s="1"/>
    </row>
    <row r="162" spans="1:24" hidden="1">
      <c r="A162" t="str">
        <f>_xlfn.IFNA(VLOOKUP(D162,Spelerslijst!A:B,1,FALSE),FALSE)</f>
        <v>NLV84L8</v>
      </c>
      <c r="B162" t="b">
        <f>_xlfn.IFNA(VLOOKUP(D162,Spelerslijst!K:L,1,FALSE),FALSE)</f>
        <v>0</v>
      </c>
      <c r="C162" t="str">
        <f t="shared" si="2"/>
        <v/>
      </c>
      <c r="D162" t="s">
        <v>753</v>
      </c>
      <c r="E162" t="s">
        <v>754</v>
      </c>
      <c r="F162" t="s">
        <v>755</v>
      </c>
      <c r="G162" s="1">
        <v>40226</v>
      </c>
      <c r="H162" t="s">
        <v>1095</v>
      </c>
      <c r="I162" t="s">
        <v>1086</v>
      </c>
      <c r="J162" t="s">
        <v>1091</v>
      </c>
      <c r="N162" s="1"/>
      <c r="W162" s="1"/>
    </row>
    <row r="163" spans="1:24">
      <c r="A163" t="b">
        <f>_xlfn.IFNA(VLOOKUP(D163,Spelerslijst!A:B,1,FALSE),FALSE)</f>
        <v>0</v>
      </c>
      <c r="B163" t="str">
        <f>_xlfn.IFNA(VLOOKUP(D163,Spelerslijst!K:L,1,FALSE),FALSE)</f>
        <v>NLX00G3</v>
      </c>
      <c r="C163" t="str">
        <f t="shared" si="2"/>
        <v/>
      </c>
      <c r="D163" t="s">
        <v>330</v>
      </c>
      <c r="E163" t="s">
        <v>331</v>
      </c>
      <c r="F163" t="s">
        <v>326</v>
      </c>
      <c r="G163" s="1">
        <v>40100</v>
      </c>
      <c r="H163" t="s">
        <v>1095</v>
      </c>
      <c r="I163" t="s">
        <v>1086</v>
      </c>
      <c r="J163" t="s">
        <v>1087</v>
      </c>
      <c r="N163" s="1"/>
      <c r="W163" s="1"/>
    </row>
    <row r="164" spans="1:24" hidden="1">
      <c r="A164" t="str">
        <f>_xlfn.IFNA(VLOOKUP(D164,Spelerslijst!A:B,1,FALSE),FALSE)</f>
        <v>NLX00H0</v>
      </c>
      <c r="B164" t="b">
        <f>_xlfn.IFNA(VLOOKUP(D164,Spelerslijst!K:L,1,FALSE),FALSE)</f>
        <v>0</v>
      </c>
      <c r="C164" t="str">
        <f t="shared" si="2"/>
        <v/>
      </c>
      <c r="D164" t="s">
        <v>400</v>
      </c>
      <c r="E164" t="s">
        <v>401</v>
      </c>
      <c r="F164" t="s">
        <v>402</v>
      </c>
      <c r="G164" s="1">
        <v>40169</v>
      </c>
      <c r="H164" t="s">
        <v>1095</v>
      </c>
      <c r="I164" t="s">
        <v>1086</v>
      </c>
      <c r="J164" t="s">
        <v>1091</v>
      </c>
      <c r="N164" s="1"/>
      <c r="W164" s="1"/>
    </row>
    <row r="165" spans="1:24">
      <c r="A165" t="b">
        <f>_xlfn.IFNA(VLOOKUP(D165,Spelerslijst!A:B,1,FALSE),FALSE)</f>
        <v>0</v>
      </c>
      <c r="B165" t="str">
        <f>_xlfn.IFNA(VLOOKUP(D165,Spelerslijst!K:L,1,FALSE),FALSE)</f>
        <v>NLX04H2</v>
      </c>
      <c r="C165" t="str">
        <f t="shared" si="2"/>
        <v/>
      </c>
      <c r="D165" t="s">
        <v>352</v>
      </c>
      <c r="E165" t="s">
        <v>353</v>
      </c>
      <c r="F165" t="s">
        <v>354</v>
      </c>
      <c r="G165" s="1">
        <v>40309</v>
      </c>
      <c r="H165" t="s">
        <v>1095</v>
      </c>
      <c r="I165" t="s">
        <v>1086</v>
      </c>
      <c r="J165" t="s">
        <v>1087</v>
      </c>
      <c r="N165" s="1"/>
      <c r="W165" s="1"/>
    </row>
    <row r="166" spans="1:24" hidden="1">
      <c r="A166" t="str">
        <f>_xlfn.IFNA(VLOOKUP(D166,Spelerslijst!A:B,1,FALSE),FALSE)</f>
        <v>NLX08G7</v>
      </c>
      <c r="B166" t="b">
        <f>_xlfn.IFNA(VLOOKUP(D166,Spelerslijst!K:L,1,FALSE),FALSE)</f>
        <v>0</v>
      </c>
      <c r="C166" t="str">
        <f t="shared" si="2"/>
        <v/>
      </c>
      <c r="D166" t="s">
        <v>933</v>
      </c>
      <c r="E166" t="s">
        <v>934</v>
      </c>
      <c r="F166" t="s">
        <v>935</v>
      </c>
      <c r="G166" s="1">
        <v>40015</v>
      </c>
      <c r="H166" t="s">
        <v>1095</v>
      </c>
      <c r="I166" t="s">
        <v>1086</v>
      </c>
      <c r="J166" t="s">
        <v>1091</v>
      </c>
      <c r="N166" s="1"/>
      <c r="W166" s="1"/>
    </row>
    <row r="167" spans="1:24" hidden="1">
      <c r="A167" t="str">
        <f>_xlfn.IFNA(VLOOKUP(D167,Spelerslijst!A:B,1,FALSE),FALSE)</f>
        <v>NLX25R5</v>
      </c>
      <c r="B167" t="b">
        <f>_xlfn.IFNA(VLOOKUP(D167,Spelerslijst!K:L,1,FALSE),FALSE)</f>
        <v>0</v>
      </c>
      <c r="C167" t="str">
        <f t="shared" si="2"/>
        <v/>
      </c>
      <c r="D167" t="s">
        <v>212</v>
      </c>
      <c r="E167" t="s">
        <v>213</v>
      </c>
      <c r="F167" t="s">
        <v>214</v>
      </c>
      <c r="G167" s="1">
        <v>40327</v>
      </c>
      <c r="H167" t="s">
        <v>1095</v>
      </c>
      <c r="I167" t="s">
        <v>1086</v>
      </c>
      <c r="J167" t="s">
        <v>1091</v>
      </c>
      <c r="N167" s="1"/>
      <c r="W167" s="1"/>
    </row>
    <row r="168" spans="1:24" hidden="1">
      <c r="A168" t="str">
        <f>_xlfn.IFNA(VLOOKUP(D168,Spelerslijst!A:B,1,FALSE),FALSE)</f>
        <v>NLX64V0</v>
      </c>
      <c r="B168" t="b">
        <f>_xlfn.IFNA(VLOOKUP(D168,Spelerslijst!K:L,1,FALSE),FALSE)</f>
        <v>0</v>
      </c>
      <c r="C168" t="str">
        <f t="shared" si="2"/>
        <v/>
      </c>
      <c r="D168" t="s">
        <v>290</v>
      </c>
      <c r="E168" t="s">
        <v>291</v>
      </c>
      <c r="F168" t="s">
        <v>292</v>
      </c>
      <c r="G168" s="1">
        <v>40328</v>
      </c>
      <c r="H168" t="s">
        <v>1095</v>
      </c>
      <c r="I168" t="s">
        <v>1086</v>
      </c>
      <c r="J168" t="s">
        <v>1091</v>
      </c>
      <c r="N168" s="1"/>
      <c r="W168" s="1"/>
    </row>
    <row r="169" spans="1:24">
      <c r="A169" t="b">
        <f>_xlfn.IFNA(VLOOKUP(D169,Spelerslijst!A:B,1,FALSE),FALSE)</f>
        <v>0</v>
      </c>
      <c r="B169" t="str">
        <f>_xlfn.IFNA(VLOOKUP(D169,Spelerslijst!K:L,1,FALSE),FALSE)</f>
        <v>NLY32T6</v>
      </c>
      <c r="C169" t="str">
        <f t="shared" si="2"/>
        <v/>
      </c>
      <c r="D169" t="s">
        <v>385</v>
      </c>
      <c r="E169" t="s">
        <v>386</v>
      </c>
      <c r="F169" t="s">
        <v>387</v>
      </c>
      <c r="G169" s="1">
        <v>40413</v>
      </c>
      <c r="H169" t="s">
        <v>1095</v>
      </c>
      <c r="I169" t="s">
        <v>1086</v>
      </c>
      <c r="J169" t="s">
        <v>1087</v>
      </c>
      <c r="N169" s="1"/>
      <c r="W169" s="1"/>
    </row>
    <row r="170" spans="1:24">
      <c r="A170" t="b">
        <f>_xlfn.IFNA(VLOOKUP(D170,Spelerslijst!A:B,1,FALSE),FALSE)</f>
        <v>0</v>
      </c>
      <c r="B170" t="str">
        <f>_xlfn.IFNA(VLOOKUP(D170,Spelerslijst!K:L,1,FALSE),FALSE)</f>
        <v>NLY54F4</v>
      </c>
      <c r="C170" t="str">
        <f t="shared" si="2"/>
        <v/>
      </c>
      <c r="D170" t="s">
        <v>427</v>
      </c>
      <c r="E170" t="s">
        <v>428</v>
      </c>
      <c r="F170" t="s">
        <v>429</v>
      </c>
      <c r="G170" s="1">
        <v>39829</v>
      </c>
      <c r="H170" t="s">
        <v>1095</v>
      </c>
      <c r="I170" t="s">
        <v>1086</v>
      </c>
      <c r="J170" t="s">
        <v>1087</v>
      </c>
      <c r="N170" s="1"/>
      <c r="W170" s="1"/>
    </row>
    <row r="171" spans="1:24">
      <c r="A171" t="b">
        <f>_xlfn.IFNA(VLOOKUP(D171,Spelerslijst!A:B,1,FALSE),FALSE)</f>
        <v>0</v>
      </c>
      <c r="B171" t="str">
        <f>_xlfn.IFNA(VLOOKUP(D171,Spelerslijst!K:L,1,FALSE),FALSE)</f>
        <v>NLZ21F1</v>
      </c>
      <c r="C171" t="str">
        <f t="shared" si="2"/>
        <v/>
      </c>
      <c r="D171" t="s">
        <v>65</v>
      </c>
      <c r="E171" t="s">
        <v>66</v>
      </c>
      <c r="F171" t="s">
        <v>67</v>
      </c>
      <c r="G171" s="1">
        <v>41668</v>
      </c>
      <c r="H171" t="s">
        <v>1096</v>
      </c>
      <c r="I171" t="s">
        <v>1086</v>
      </c>
      <c r="J171" t="s">
        <v>1087</v>
      </c>
      <c r="N171" s="1"/>
      <c r="W171" s="1"/>
    </row>
    <row r="172" spans="1:24" hidden="1">
      <c r="A172" t="str">
        <f>_xlfn.IFNA(VLOOKUP(D172,Spelerslijst!A:B,1,FALSE),FALSE)</f>
        <v>NLZ39C9</v>
      </c>
      <c r="B172" t="b">
        <f>_xlfn.IFNA(VLOOKUP(D172,Spelerslijst!K:L,1,FALSE),FALSE)</f>
        <v>0</v>
      </c>
      <c r="C172" t="str">
        <f t="shared" si="2"/>
        <v/>
      </c>
      <c r="D172" t="s">
        <v>124</v>
      </c>
      <c r="E172" t="s">
        <v>125</v>
      </c>
      <c r="F172" t="s">
        <v>126</v>
      </c>
      <c r="G172" s="1">
        <v>41214</v>
      </c>
      <c r="H172" t="s">
        <v>1096</v>
      </c>
      <c r="I172" t="s">
        <v>1086</v>
      </c>
      <c r="J172" t="s">
        <v>1091</v>
      </c>
      <c r="N172" s="1"/>
      <c r="W172" s="1"/>
    </row>
    <row r="173" spans="1:24" hidden="1">
      <c r="A173" t="str">
        <f>_xlfn.IFNA(VLOOKUP(D173,Spelerslijst!A:B,1,FALSE),FALSE)</f>
        <v>NMB03R4</v>
      </c>
      <c r="B173" t="b">
        <f>_xlfn.IFNA(VLOOKUP(D173,Spelerslijst!K:L,1,FALSE),FALSE)</f>
        <v>0</v>
      </c>
      <c r="C173" t="str">
        <f t="shared" si="2"/>
        <v/>
      </c>
      <c r="D173" t="s">
        <v>535</v>
      </c>
      <c r="E173" t="s">
        <v>536</v>
      </c>
      <c r="F173" t="s">
        <v>537</v>
      </c>
      <c r="G173" s="1">
        <v>41047</v>
      </c>
      <c r="H173" t="s">
        <v>1096</v>
      </c>
      <c r="I173" t="s">
        <v>1086</v>
      </c>
      <c r="J173" t="s">
        <v>1091</v>
      </c>
      <c r="N173" s="1"/>
      <c r="W173" s="1"/>
    </row>
    <row r="174" spans="1:24">
      <c r="A174" t="b">
        <f>_xlfn.IFNA(VLOOKUP(D174,Spelerslijst!A:B,1,FALSE),FALSE)</f>
        <v>0</v>
      </c>
      <c r="B174" t="str">
        <f>_xlfn.IFNA(VLOOKUP(D174,Spelerslijst!K:L,1,FALSE),FALSE)</f>
        <v>NMB42C6</v>
      </c>
      <c r="C174" t="str">
        <f t="shared" si="2"/>
        <v/>
      </c>
      <c r="D174" t="s">
        <v>202</v>
      </c>
      <c r="E174" t="s">
        <v>203</v>
      </c>
      <c r="F174" t="s">
        <v>204</v>
      </c>
      <c r="G174" s="1">
        <v>40253</v>
      </c>
      <c r="H174" t="s">
        <v>1095</v>
      </c>
      <c r="I174" t="s">
        <v>1086</v>
      </c>
      <c r="J174" t="s">
        <v>1087</v>
      </c>
      <c r="N174" s="1"/>
      <c r="W174" s="1"/>
    </row>
    <row r="175" spans="1:24" hidden="1">
      <c r="A175" t="str">
        <f>_xlfn.IFNA(VLOOKUP(D175,Spelerslijst!A:B,1,FALSE),FALSE)</f>
        <v>NMB60Y4</v>
      </c>
      <c r="B175" t="b">
        <f>_xlfn.IFNA(VLOOKUP(D175,Spelerslijst!K:L,1,FALSE),FALSE)</f>
        <v>0</v>
      </c>
      <c r="C175" t="str">
        <f t="shared" si="2"/>
        <v/>
      </c>
      <c r="D175" t="s">
        <v>218</v>
      </c>
      <c r="E175" t="s">
        <v>219</v>
      </c>
      <c r="F175" t="s">
        <v>214</v>
      </c>
      <c r="G175" s="1">
        <v>40189</v>
      </c>
      <c r="H175" t="s">
        <v>1095</v>
      </c>
      <c r="I175" t="s">
        <v>1086</v>
      </c>
      <c r="J175" t="s">
        <v>1091</v>
      </c>
      <c r="N175" s="1"/>
      <c r="W175" s="1"/>
    </row>
    <row r="176" spans="1:24">
      <c r="A176" t="b">
        <f>_xlfn.IFNA(VLOOKUP(D176,Spelerslijst!A:B,1,FALSE),FALSE)</f>
        <v>0</v>
      </c>
      <c r="B176" t="str">
        <f>_xlfn.IFNA(VLOOKUP(D176,Spelerslijst!K:L,1,FALSE),FALSE)</f>
        <v>NMB99X9</v>
      </c>
      <c r="C176" t="str">
        <f t="shared" si="2"/>
        <v/>
      </c>
      <c r="D176" t="s">
        <v>92</v>
      </c>
      <c r="E176" t="s">
        <v>93</v>
      </c>
      <c r="F176" t="s">
        <v>94</v>
      </c>
      <c r="G176" s="1">
        <v>41706</v>
      </c>
      <c r="H176" t="s">
        <v>1096</v>
      </c>
      <c r="I176" t="s">
        <v>1086</v>
      </c>
      <c r="J176" t="s">
        <v>1087</v>
      </c>
      <c r="N176" s="1"/>
      <c r="W176" s="1"/>
    </row>
    <row r="177" spans="1:23">
      <c r="A177" t="b">
        <f>_xlfn.IFNA(VLOOKUP(D177,Spelerslijst!A:B,1,FALSE),FALSE)</f>
        <v>0</v>
      </c>
      <c r="B177" t="str">
        <f>_xlfn.IFNA(VLOOKUP(D177,Spelerslijst!K:L,1,FALSE),FALSE)</f>
        <v>NMC29Z9</v>
      </c>
      <c r="C177" t="str">
        <f t="shared" si="2"/>
        <v/>
      </c>
      <c r="D177" t="s">
        <v>415</v>
      </c>
      <c r="E177" t="s">
        <v>416</v>
      </c>
      <c r="F177" t="s">
        <v>417</v>
      </c>
      <c r="G177" s="1">
        <v>41121</v>
      </c>
      <c r="H177" t="s">
        <v>1096</v>
      </c>
      <c r="I177" t="s">
        <v>1086</v>
      </c>
      <c r="J177" t="s">
        <v>1087</v>
      </c>
      <c r="N177" s="1"/>
      <c r="W177" s="1"/>
    </row>
    <row r="178" spans="1:23">
      <c r="A178" t="b">
        <f>_xlfn.IFNA(VLOOKUP(D178,Spelerslijst!A:B,1,FALSE),FALSE)</f>
        <v>0</v>
      </c>
      <c r="B178" t="str">
        <f>_xlfn.IFNA(VLOOKUP(D178,Spelerslijst!K:L,1,FALSE),FALSE)</f>
        <v>NMC41D1</v>
      </c>
      <c r="C178" t="str">
        <f t="shared" si="2"/>
        <v/>
      </c>
      <c r="D178" t="s">
        <v>627</v>
      </c>
      <c r="E178" t="s">
        <v>628</v>
      </c>
      <c r="F178" t="s">
        <v>629</v>
      </c>
      <c r="G178" s="1">
        <v>40093</v>
      </c>
      <c r="H178" t="s">
        <v>1095</v>
      </c>
      <c r="I178" t="s">
        <v>1086</v>
      </c>
      <c r="J178" t="s">
        <v>1087</v>
      </c>
      <c r="N178" s="1"/>
      <c r="W178" s="1"/>
    </row>
    <row r="179" spans="1:23">
      <c r="A179" t="b">
        <f>_xlfn.IFNA(VLOOKUP(D179,Spelerslijst!A:B,1,FALSE),FALSE)</f>
        <v>0</v>
      </c>
      <c r="B179" t="str">
        <f>_xlfn.IFNA(VLOOKUP(D179,Spelerslijst!K:L,1,FALSE),FALSE)</f>
        <v>NMC41W4</v>
      </c>
      <c r="C179" t="str">
        <f t="shared" si="2"/>
        <v/>
      </c>
      <c r="D179" t="s">
        <v>369</v>
      </c>
      <c r="E179" t="s">
        <v>370</v>
      </c>
      <c r="F179" t="s">
        <v>365</v>
      </c>
      <c r="G179" s="1">
        <v>40929</v>
      </c>
      <c r="H179" t="s">
        <v>1096</v>
      </c>
      <c r="I179" t="s">
        <v>1086</v>
      </c>
      <c r="J179" t="s">
        <v>1087</v>
      </c>
      <c r="N179" s="1"/>
      <c r="W179" s="1"/>
    </row>
    <row r="180" spans="1:23">
      <c r="A180" t="b">
        <f>_xlfn.IFNA(VLOOKUP(D180,Spelerslijst!A:B,1,FALSE),FALSE)</f>
        <v>0</v>
      </c>
      <c r="B180" t="str">
        <f>_xlfn.IFNA(VLOOKUP(D180,Spelerslijst!K:L,1,FALSE),FALSE)</f>
        <v>NMC61P5</v>
      </c>
      <c r="C180" t="str">
        <f t="shared" si="2"/>
        <v/>
      </c>
      <c r="D180" t="s">
        <v>795</v>
      </c>
      <c r="E180" t="s">
        <v>796</v>
      </c>
      <c r="F180" t="s">
        <v>797</v>
      </c>
      <c r="G180" s="1">
        <v>40626</v>
      </c>
      <c r="H180" t="s">
        <v>1095</v>
      </c>
      <c r="I180" t="s">
        <v>1086</v>
      </c>
      <c r="J180" t="s">
        <v>1087</v>
      </c>
      <c r="N180" s="1"/>
      <c r="W180" s="1"/>
    </row>
    <row r="181" spans="1:23" hidden="1">
      <c r="A181" t="str">
        <f>_xlfn.IFNA(VLOOKUP(D181,Spelerslijst!A:B,1,FALSE),FALSE)</f>
        <v>NMC85Q4</v>
      </c>
      <c r="B181" t="b">
        <f>_xlfn.IFNA(VLOOKUP(D181,Spelerslijst!K:L,1,FALSE),FALSE)</f>
        <v>0</v>
      </c>
      <c r="C181" t="str">
        <f t="shared" si="2"/>
        <v/>
      </c>
      <c r="D181" t="s">
        <v>930</v>
      </c>
      <c r="E181" t="s">
        <v>931</v>
      </c>
      <c r="F181" t="s">
        <v>932</v>
      </c>
      <c r="G181" s="1">
        <v>41537</v>
      </c>
      <c r="H181" t="s">
        <v>1096</v>
      </c>
      <c r="I181" t="s">
        <v>1086</v>
      </c>
      <c r="J181" t="s">
        <v>1091</v>
      </c>
      <c r="N181" s="1"/>
      <c r="W181" s="1"/>
    </row>
    <row r="182" spans="1:23" hidden="1">
      <c r="A182" t="str">
        <f>_xlfn.IFNA(VLOOKUP(D182,Spelerslijst!A:B,1,FALSE),FALSE)</f>
        <v>NMD22V1</v>
      </c>
      <c r="B182" t="b">
        <f>_xlfn.IFNA(VLOOKUP(D182,Spelerslijst!K:L,1,FALSE),FALSE)</f>
        <v>0</v>
      </c>
      <c r="C182" t="str">
        <f t="shared" si="2"/>
        <v/>
      </c>
      <c r="D182" t="s">
        <v>312</v>
      </c>
      <c r="E182" t="s">
        <v>313</v>
      </c>
      <c r="F182" t="s">
        <v>314</v>
      </c>
      <c r="G182" s="1">
        <v>41014</v>
      </c>
      <c r="H182" t="s">
        <v>1096</v>
      </c>
      <c r="I182" t="s">
        <v>1086</v>
      </c>
      <c r="J182" t="s">
        <v>1091</v>
      </c>
      <c r="N182" s="1"/>
      <c r="W182" s="1"/>
    </row>
    <row r="183" spans="1:23" hidden="1">
      <c r="A183" t="str">
        <f>_xlfn.IFNA(VLOOKUP(D183,Spelerslijst!A:B,1,FALSE),FALSE)</f>
        <v>NMD34T8</v>
      </c>
      <c r="B183" t="b">
        <f>_xlfn.IFNA(VLOOKUP(D183,Spelerslijst!K:L,1,FALSE),FALSE)</f>
        <v>0</v>
      </c>
      <c r="C183" t="str">
        <f t="shared" si="2"/>
        <v/>
      </c>
      <c r="D183" t="s">
        <v>590</v>
      </c>
      <c r="E183" t="s">
        <v>591</v>
      </c>
      <c r="F183" t="s">
        <v>592</v>
      </c>
      <c r="G183" s="1">
        <v>41807</v>
      </c>
      <c r="H183" t="s">
        <v>1096</v>
      </c>
      <c r="I183" t="s">
        <v>1086</v>
      </c>
      <c r="J183" t="s">
        <v>1091</v>
      </c>
      <c r="N183" s="1"/>
      <c r="W183" s="1"/>
    </row>
    <row r="184" spans="1:23">
      <c r="A184" t="b">
        <f>_xlfn.IFNA(VLOOKUP(D184,Spelerslijst!A:B,1,FALSE),FALSE)</f>
        <v>0</v>
      </c>
      <c r="B184" t="str">
        <f>_xlfn.IFNA(VLOOKUP(D184,Spelerslijst!K:L,1,FALSE),FALSE)</f>
        <v>NMD51K6</v>
      </c>
      <c r="C184" t="str">
        <f t="shared" si="2"/>
        <v/>
      </c>
      <c r="D184" t="s">
        <v>791</v>
      </c>
      <c r="E184" t="s">
        <v>792</v>
      </c>
      <c r="F184" t="s">
        <v>787</v>
      </c>
      <c r="G184" s="1">
        <v>40446</v>
      </c>
      <c r="H184" t="s">
        <v>1095</v>
      </c>
      <c r="I184" t="s">
        <v>1086</v>
      </c>
      <c r="J184" t="s">
        <v>1087</v>
      </c>
      <c r="N184" s="1"/>
      <c r="W184" s="1"/>
    </row>
    <row r="185" spans="1:23" hidden="1">
      <c r="A185" t="str">
        <f>_xlfn.IFNA(VLOOKUP(D185,Spelerslijst!A:B,1,FALSE),FALSE)</f>
        <v>NMD71P1</v>
      </c>
      <c r="B185" t="b">
        <f>_xlfn.IFNA(VLOOKUP(D185,Spelerslijst!K:L,1,FALSE),FALSE)</f>
        <v>0</v>
      </c>
      <c r="C185" t="str">
        <f t="shared" si="2"/>
        <v/>
      </c>
      <c r="D185" t="s">
        <v>327</v>
      </c>
      <c r="E185" t="s">
        <v>328</v>
      </c>
      <c r="F185" t="s">
        <v>329</v>
      </c>
      <c r="G185" s="1">
        <v>41407</v>
      </c>
      <c r="H185" t="s">
        <v>1096</v>
      </c>
      <c r="I185" t="s">
        <v>1086</v>
      </c>
      <c r="J185" t="s">
        <v>1091</v>
      </c>
      <c r="N185" s="1"/>
      <c r="W185" s="1"/>
    </row>
    <row r="186" spans="1:23">
      <c r="A186" t="b">
        <f>_xlfn.IFNA(VLOOKUP(D186,Spelerslijst!A:B,1,FALSE),FALSE)</f>
        <v>0</v>
      </c>
      <c r="B186" t="str">
        <f>_xlfn.IFNA(VLOOKUP(D186,Spelerslijst!K:L,1,FALSE),FALSE)</f>
        <v>NMF22Q8</v>
      </c>
      <c r="C186" t="str">
        <f t="shared" si="2"/>
        <v/>
      </c>
      <c r="D186" t="s">
        <v>892</v>
      </c>
      <c r="E186" t="s">
        <v>893</v>
      </c>
      <c r="F186" t="s">
        <v>894</v>
      </c>
      <c r="G186" s="1">
        <v>40750</v>
      </c>
      <c r="H186" t="s">
        <v>1095</v>
      </c>
      <c r="I186" t="s">
        <v>1086</v>
      </c>
      <c r="J186" t="s">
        <v>1087</v>
      </c>
      <c r="N186" s="1"/>
      <c r="W186" s="1"/>
    </row>
    <row r="187" spans="1:23">
      <c r="A187" t="b">
        <f>_xlfn.IFNA(VLOOKUP(D187,Spelerslijst!A:B,1,FALSE),FALSE)</f>
        <v>0</v>
      </c>
      <c r="B187" t="str">
        <f>_xlfn.IFNA(VLOOKUP(D187,Spelerslijst!K:L,1,FALSE),FALSE)</f>
        <v>NMG03C4</v>
      </c>
      <c r="C187" t="str">
        <f t="shared" si="2"/>
        <v/>
      </c>
      <c r="D187" t="s">
        <v>248</v>
      </c>
      <c r="E187" t="s">
        <v>249</v>
      </c>
      <c r="F187" t="s">
        <v>239</v>
      </c>
      <c r="G187" s="1">
        <v>40974</v>
      </c>
      <c r="H187" t="s">
        <v>1096</v>
      </c>
      <c r="I187" t="s">
        <v>1086</v>
      </c>
      <c r="J187" t="s">
        <v>1087</v>
      </c>
      <c r="N187" s="1"/>
      <c r="W187" s="1"/>
    </row>
    <row r="188" spans="1:23" hidden="1">
      <c r="A188" t="str">
        <f>_xlfn.IFNA(VLOOKUP(D188,Spelerslijst!A:B,1,FALSE),FALSE)</f>
        <v>NMG13P0</v>
      </c>
      <c r="B188" t="b">
        <f>_xlfn.IFNA(VLOOKUP(D188,Spelerslijst!K:L,1,FALSE),FALSE)</f>
        <v>0</v>
      </c>
      <c r="C188" t="str">
        <f t="shared" si="2"/>
        <v/>
      </c>
      <c r="D188" t="s">
        <v>550</v>
      </c>
      <c r="E188" t="s">
        <v>551</v>
      </c>
      <c r="F188" t="s">
        <v>552</v>
      </c>
      <c r="G188" s="1">
        <v>41474</v>
      </c>
      <c r="H188" t="s">
        <v>1096</v>
      </c>
      <c r="I188" t="s">
        <v>1086</v>
      </c>
      <c r="J188" t="s">
        <v>1091</v>
      </c>
      <c r="N188" s="1"/>
      <c r="W188" s="1"/>
    </row>
    <row r="189" spans="1:23">
      <c r="A189" t="b">
        <f>_xlfn.IFNA(VLOOKUP(D189,Spelerslijst!A:B,1,FALSE),FALSE)</f>
        <v>0</v>
      </c>
      <c r="B189" t="str">
        <f>_xlfn.IFNA(VLOOKUP(D189,Spelerslijst!K:L,1,FALSE),FALSE)</f>
        <v>NMG18G2</v>
      </c>
      <c r="C189" t="str">
        <f t="shared" si="2"/>
        <v/>
      </c>
      <c r="D189" t="s">
        <v>466</v>
      </c>
      <c r="E189" t="s">
        <v>467</v>
      </c>
      <c r="F189" t="s">
        <v>468</v>
      </c>
      <c r="G189" s="1">
        <v>40557</v>
      </c>
      <c r="H189" t="s">
        <v>1095</v>
      </c>
      <c r="I189" t="s">
        <v>1086</v>
      </c>
      <c r="J189" t="s">
        <v>1087</v>
      </c>
      <c r="N189" s="1"/>
      <c r="W189" s="1"/>
    </row>
    <row r="190" spans="1:23">
      <c r="A190" t="b">
        <f>_xlfn.IFNA(VLOOKUP(D190,Spelerslijst!A:B,1,FALSE),FALSE)</f>
        <v>0</v>
      </c>
      <c r="B190" t="str">
        <f>_xlfn.IFNA(VLOOKUP(D190,Spelerslijst!K:L,1,FALSE),FALSE)</f>
        <v>NMG85H5</v>
      </c>
      <c r="C190" t="str">
        <f t="shared" si="2"/>
        <v/>
      </c>
      <c r="D190" t="s">
        <v>196</v>
      </c>
      <c r="E190" t="s">
        <v>197</v>
      </c>
      <c r="F190" t="s">
        <v>198</v>
      </c>
      <c r="G190" s="1">
        <v>40112</v>
      </c>
      <c r="H190" t="s">
        <v>1095</v>
      </c>
      <c r="I190" t="s">
        <v>1086</v>
      </c>
      <c r="J190" t="s">
        <v>1087</v>
      </c>
      <c r="N190" s="1"/>
      <c r="W190" s="1"/>
    </row>
    <row r="191" spans="1:23" hidden="1">
      <c r="A191" t="str">
        <f>_xlfn.IFNA(VLOOKUP(D191,Spelerslijst!A:B,1,FALSE),FALSE)</f>
        <v>NMH07D4</v>
      </c>
      <c r="B191" t="b">
        <f>_xlfn.IFNA(VLOOKUP(D191,Spelerslijst!K:L,1,FALSE),FALSE)</f>
        <v>0</v>
      </c>
      <c r="C191" t="str">
        <f t="shared" si="2"/>
        <v/>
      </c>
      <c r="D191" t="s">
        <v>463</v>
      </c>
      <c r="E191" t="s">
        <v>464</v>
      </c>
      <c r="F191" t="s">
        <v>465</v>
      </c>
      <c r="G191" s="1">
        <v>41692</v>
      </c>
      <c r="H191" t="s">
        <v>1096</v>
      </c>
      <c r="I191" t="s">
        <v>1086</v>
      </c>
      <c r="J191" t="s">
        <v>1091</v>
      </c>
      <c r="N191" s="1"/>
      <c r="W191" s="1"/>
    </row>
    <row r="192" spans="1:23" hidden="1">
      <c r="A192" t="str">
        <f>_xlfn.IFNA(VLOOKUP(D192,Spelerslijst!A:B,1,FALSE),FALSE)</f>
        <v>NMH24Z9</v>
      </c>
      <c r="B192" t="b">
        <f>_xlfn.IFNA(VLOOKUP(D192,Spelerslijst!K:L,1,FALSE),FALSE)</f>
        <v>0</v>
      </c>
      <c r="C192" t="str">
        <f t="shared" si="2"/>
        <v/>
      </c>
      <c r="D192" t="s">
        <v>771</v>
      </c>
      <c r="E192" t="s">
        <v>772</v>
      </c>
      <c r="F192" t="s">
        <v>773</v>
      </c>
      <c r="G192" s="1">
        <v>27135</v>
      </c>
      <c r="H192" t="s">
        <v>1088</v>
      </c>
      <c r="I192" t="s">
        <v>1086</v>
      </c>
      <c r="J192" t="s">
        <v>1091</v>
      </c>
      <c r="N192" s="1"/>
      <c r="W192" s="1"/>
    </row>
    <row r="193" spans="1:23" hidden="1">
      <c r="A193" t="str">
        <f>_xlfn.IFNA(VLOOKUP(D193,Spelerslijst!A:B,1,FALSE),FALSE)</f>
        <v>NMH37W2</v>
      </c>
      <c r="B193" t="b">
        <f>_xlfn.IFNA(VLOOKUP(D193,Spelerslijst!K:L,1,FALSE),FALSE)</f>
        <v>0</v>
      </c>
      <c r="C193" t="str">
        <f t="shared" si="2"/>
        <v/>
      </c>
      <c r="D193" t="s">
        <v>436</v>
      </c>
      <c r="E193" t="s">
        <v>437</v>
      </c>
      <c r="F193" t="s">
        <v>438</v>
      </c>
      <c r="G193" s="1">
        <v>41662</v>
      </c>
      <c r="H193" t="s">
        <v>1096</v>
      </c>
      <c r="I193" t="s">
        <v>1086</v>
      </c>
      <c r="J193" t="s">
        <v>1091</v>
      </c>
      <c r="N193" s="1"/>
      <c r="W193" s="1"/>
    </row>
    <row r="194" spans="1:23">
      <c r="A194" t="b">
        <f>_xlfn.IFNA(VLOOKUP(D194,Spelerslijst!A:B,1,FALSE),FALSE)</f>
        <v>0</v>
      </c>
      <c r="B194" t="str">
        <f>_xlfn.IFNA(VLOOKUP(D194,Spelerslijst!K:L,1,FALSE),FALSE)</f>
        <v>NMJ03L0</v>
      </c>
      <c r="C194" t="str">
        <f t="shared" si="2"/>
        <v/>
      </c>
      <c r="D194" t="s">
        <v>472</v>
      </c>
      <c r="E194" t="s">
        <v>473</v>
      </c>
      <c r="F194" t="s">
        <v>474</v>
      </c>
      <c r="G194" s="1">
        <v>41832</v>
      </c>
      <c r="H194" t="s">
        <v>1096</v>
      </c>
      <c r="I194" t="s">
        <v>1086</v>
      </c>
      <c r="J194" t="s">
        <v>1087</v>
      </c>
      <c r="N194" s="1"/>
      <c r="W194" s="1"/>
    </row>
    <row r="195" spans="1:23">
      <c r="A195" t="b">
        <f>_xlfn.IFNA(VLOOKUP(D195,Spelerslijst!A:B,1,FALSE),FALSE)</f>
        <v>0</v>
      </c>
      <c r="B195" t="str">
        <f>_xlfn.IFNA(VLOOKUP(D195,Spelerslijst!K:L,1,FALSE),FALSE)</f>
        <v>NMJ10P4</v>
      </c>
      <c r="C195" t="str">
        <f t="shared" ref="C195:C258" si="3">IF(AND(A195=FALSE,B195=FALSE),"Onbekend","")</f>
        <v/>
      </c>
      <c r="D195" t="s">
        <v>150</v>
      </c>
      <c r="E195" t="s">
        <v>151</v>
      </c>
      <c r="F195" t="s">
        <v>152</v>
      </c>
      <c r="G195" s="1">
        <v>39676</v>
      </c>
      <c r="H195" t="s">
        <v>1095</v>
      </c>
      <c r="I195" t="s">
        <v>1086</v>
      </c>
      <c r="J195" t="s">
        <v>1087</v>
      </c>
      <c r="N195" s="1"/>
      <c r="W195" s="1"/>
    </row>
    <row r="196" spans="1:23" hidden="1">
      <c r="A196" t="str">
        <f>_xlfn.IFNA(VLOOKUP(D196,Spelerslijst!A:B,1,FALSE),FALSE)</f>
        <v>NMJ35H3</v>
      </c>
      <c r="B196" t="b">
        <f>_xlfn.IFNA(VLOOKUP(D196,Spelerslijst!K:L,1,FALSE),FALSE)</f>
        <v>0</v>
      </c>
      <c r="C196" t="str">
        <f t="shared" si="3"/>
        <v/>
      </c>
      <c r="D196" t="s">
        <v>777</v>
      </c>
      <c r="E196" t="s">
        <v>778</v>
      </c>
      <c r="F196" t="s">
        <v>779</v>
      </c>
      <c r="G196" s="1">
        <v>41901</v>
      </c>
      <c r="H196" t="s">
        <v>1096</v>
      </c>
      <c r="I196" t="s">
        <v>1086</v>
      </c>
      <c r="J196" t="s">
        <v>1091</v>
      </c>
      <c r="N196" s="1"/>
      <c r="W196" s="1"/>
    </row>
    <row r="197" spans="1:23" hidden="1">
      <c r="A197" t="str">
        <f>_xlfn.IFNA(VLOOKUP(D197,Spelerslijst!A:B,1,FALSE),FALSE)</f>
        <v>NMJ53F3</v>
      </c>
      <c r="B197" t="b">
        <f>_xlfn.IFNA(VLOOKUP(D197,Spelerslijst!K:L,1,FALSE),FALSE)</f>
        <v>0</v>
      </c>
      <c r="C197" t="str">
        <f t="shared" si="3"/>
        <v/>
      </c>
      <c r="D197" t="s">
        <v>322</v>
      </c>
      <c r="E197" t="s">
        <v>323</v>
      </c>
      <c r="F197" t="s">
        <v>314</v>
      </c>
      <c r="G197" s="1">
        <v>41167</v>
      </c>
      <c r="H197" t="s">
        <v>1096</v>
      </c>
      <c r="I197" t="s">
        <v>1086</v>
      </c>
      <c r="J197" t="s">
        <v>1091</v>
      </c>
      <c r="N197" s="1"/>
      <c r="W197" s="1"/>
    </row>
    <row r="198" spans="1:23">
      <c r="A198" t="b">
        <f>_xlfn.IFNA(VLOOKUP(D198,Spelerslijst!A:B,1,FALSE),FALSE)</f>
        <v>0</v>
      </c>
      <c r="B198" t="str">
        <f>_xlfn.IFNA(VLOOKUP(D198,Spelerslijst!K:L,1,FALSE),FALSE)</f>
        <v>NMJ57G2</v>
      </c>
      <c r="C198" t="str">
        <f t="shared" si="3"/>
        <v/>
      </c>
      <c r="D198" t="s">
        <v>569</v>
      </c>
      <c r="E198" t="s">
        <v>1098</v>
      </c>
      <c r="F198" t="s">
        <v>571</v>
      </c>
      <c r="G198" s="1">
        <v>41801</v>
      </c>
      <c r="H198" t="s">
        <v>1096</v>
      </c>
      <c r="I198" t="s">
        <v>1086</v>
      </c>
      <c r="J198" t="s">
        <v>1087</v>
      </c>
      <c r="N198" s="1"/>
      <c r="W198" s="1"/>
    </row>
    <row r="199" spans="1:23">
      <c r="A199" t="b">
        <f>_xlfn.IFNA(VLOOKUP(D199,Spelerslijst!A:B,1,FALSE),FALSE)</f>
        <v>0</v>
      </c>
      <c r="B199" t="str">
        <f>_xlfn.IFNA(VLOOKUP(D199,Spelerslijst!K:L,1,FALSE),FALSE)</f>
        <v>NMJ72N6</v>
      </c>
      <c r="C199" t="str">
        <f t="shared" si="3"/>
        <v/>
      </c>
      <c r="D199" t="s">
        <v>315</v>
      </c>
      <c r="E199" t="s">
        <v>316</v>
      </c>
      <c r="F199" t="s">
        <v>317</v>
      </c>
      <c r="G199" s="1">
        <v>40169</v>
      </c>
      <c r="H199" t="s">
        <v>1095</v>
      </c>
      <c r="I199" t="s">
        <v>1086</v>
      </c>
      <c r="J199" t="s">
        <v>1087</v>
      </c>
      <c r="N199" s="1"/>
      <c r="W199" s="1"/>
    </row>
    <row r="200" spans="1:23">
      <c r="A200" t="b">
        <f>_xlfn.IFNA(VLOOKUP(D200,Spelerslijst!A:B,1,FALSE),FALSE)</f>
        <v>0</v>
      </c>
      <c r="B200" t="str">
        <f>_xlfn.IFNA(VLOOKUP(D200,Spelerslijst!K:L,1,FALSE),FALSE)</f>
        <v>NMJ72P0</v>
      </c>
      <c r="C200" t="str">
        <f t="shared" si="3"/>
        <v/>
      </c>
      <c r="D200" t="s">
        <v>868</v>
      </c>
      <c r="E200" t="s">
        <v>869</v>
      </c>
      <c r="F200" t="s">
        <v>870</v>
      </c>
      <c r="G200" s="1">
        <v>41299</v>
      </c>
      <c r="H200" t="s">
        <v>1096</v>
      </c>
      <c r="I200" t="s">
        <v>1086</v>
      </c>
      <c r="J200" t="s">
        <v>1087</v>
      </c>
      <c r="N200" s="1"/>
      <c r="W200" s="1"/>
    </row>
    <row r="201" spans="1:23">
      <c r="A201" t="b">
        <f>_xlfn.IFNA(VLOOKUP(D201,Spelerslijst!A:B,1,FALSE),FALSE)</f>
        <v>0</v>
      </c>
      <c r="B201" t="str">
        <f>_xlfn.IFNA(VLOOKUP(D201,Spelerslijst!K:L,1,FALSE),FALSE)</f>
        <v>NMJ72R4</v>
      </c>
      <c r="C201" t="str">
        <f t="shared" si="3"/>
        <v/>
      </c>
      <c r="D201" t="s">
        <v>232</v>
      </c>
      <c r="E201" t="s">
        <v>233</v>
      </c>
      <c r="F201" t="s">
        <v>234</v>
      </c>
      <c r="G201" s="1">
        <v>41299</v>
      </c>
      <c r="H201" t="s">
        <v>1096</v>
      </c>
      <c r="I201" t="s">
        <v>1086</v>
      </c>
      <c r="J201" t="s">
        <v>1087</v>
      </c>
      <c r="N201" s="1"/>
      <c r="W201" s="1"/>
    </row>
    <row r="202" spans="1:23" hidden="1">
      <c r="A202" t="str">
        <f>_xlfn.IFNA(VLOOKUP(D202,Spelerslijst!A:B,1,FALSE),FALSE)</f>
        <v>NMK01M2</v>
      </c>
      <c r="B202" t="b">
        <f>_xlfn.IFNA(VLOOKUP(D202,Spelerslijst!K:L,1,FALSE),FALSE)</f>
        <v>0</v>
      </c>
      <c r="C202" t="str">
        <f t="shared" si="3"/>
        <v/>
      </c>
      <c r="D202" t="s">
        <v>452</v>
      </c>
      <c r="E202" t="s">
        <v>453</v>
      </c>
      <c r="F202" t="s">
        <v>454</v>
      </c>
      <c r="G202" s="1">
        <v>41108</v>
      </c>
      <c r="H202" t="s">
        <v>1096</v>
      </c>
      <c r="I202" t="s">
        <v>1086</v>
      </c>
      <c r="J202" t="s">
        <v>1091</v>
      </c>
      <c r="N202" s="1"/>
      <c r="W202" s="1"/>
    </row>
    <row r="203" spans="1:23">
      <c r="A203" t="b">
        <f>_xlfn.IFNA(VLOOKUP(D203,Spelerslijst!A:B,1,FALSE),FALSE)</f>
        <v>0</v>
      </c>
      <c r="B203" t="str">
        <f>_xlfn.IFNA(VLOOKUP(D203,Spelerslijst!K:L,1,FALSE),FALSE)</f>
        <v>NMK07M0</v>
      </c>
      <c r="C203" t="str">
        <f t="shared" si="3"/>
        <v/>
      </c>
      <c r="D203" t="s">
        <v>841</v>
      </c>
      <c r="E203" t="s">
        <v>842</v>
      </c>
      <c r="F203" t="s">
        <v>843</v>
      </c>
      <c r="G203" s="1">
        <v>41737</v>
      </c>
      <c r="H203" t="s">
        <v>1096</v>
      </c>
      <c r="I203" t="s">
        <v>1086</v>
      </c>
      <c r="J203" t="s">
        <v>1087</v>
      </c>
      <c r="N203" s="1"/>
      <c r="W203" s="1"/>
    </row>
    <row r="204" spans="1:23" hidden="1">
      <c r="A204" t="str">
        <f>_xlfn.IFNA(VLOOKUP(D204,Spelerslijst!A:B,1,FALSE),FALSE)</f>
        <v>NMK07T9</v>
      </c>
      <c r="B204" t="b">
        <f>_xlfn.IFNA(VLOOKUP(D204,Spelerslijst!K:L,1,FALSE),FALSE)</f>
        <v>0</v>
      </c>
      <c r="C204" t="str">
        <f t="shared" si="3"/>
        <v/>
      </c>
      <c r="D204" t="s">
        <v>601</v>
      </c>
      <c r="E204" t="s">
        <v>602</v>
      </c>
      <c r="F204" t="s">
        <v>603</v>
      </c>
      <c r="G204" s="1">
        <v>41149</v>
      </c>
      <c r="H204" t="s">
        <v>1096</v>
      </c>
      <c r="I204" t="s">
        <v>1086</v>
      </c>
      <c r="J204" t="s">
        <v>1091</v>
      </c>
      <c r="N204" s="1"/>
      <c r="W204" s="1"/>
    </row>
    <row r="205" spans="1:23" hidden="1">
      <c r="A205" t="str">
        <f>_xlfn.IFNA(VLOOKUP(D205,Spelerslijst!A:B,1,FALSE),FALSE)</f>
        <v>NMK12D7</v>
      </c>
      <c r="B205" t="b">
        <f>_xlfn.IFNA(VLOOKUP(D205,Spelerslijst!K:L,1,FALSE),FALSE)</f>
        <v>0</v>
      </c>
      <c r="C205" t="str">
        <f t="shared" si="3"/>
        <v/>
      </c>
      <c r="D205" t="s">
        <v>343</v>
      </c>
      <c r="E205" t="s">
        <v>344</v>
      </c>
      <c r="F205" t="s">
        <v>345</v>
      </c>
      <c r="G205" s="1">
        <v>41477</v>
      </c>
      <c r="H205" t="s">
        <v>1096</v>
      </c>
      <c r="I205" t="s">
        <v>1086</v>
      </c>
      <c r="J205" t="s">
        <v>1091</v>
      </c>
      <c r="N205" s="1"/>
      <c r="W205" s="1"/>
    </row>
    <row r="206" spans="1:23" hidden="1">
      <c r="A206" t="str">
        <f>_xlfn.IFNA(VLOOKUP(D206,Spelerslijst!A:B,1,FALSE),FALSE)</f>
        <v>NMK12F1</v>
      </c>
      <c r="B206" t="b">
        <f>_xlfn.IFNA(VLOOKUP(D206,Spelerslijst!K:L,1,FALSE),FALSE)</f>
        <v>0</v>
      </c>
      <c r="C206" t="str">
        <f t="shared" si="3"/>
        <v/>
      </c>
      <c r="D206" t="s">
        <v>332</v>
      </c>
      <c r="E206" t="s">
        <v>333</v>
      </c>
      <c r="F206" t="s">
        <v>334</v>
      </c>
      <c r="G206" s="1">
        <v>40329</v>
      </c>
      <c r="H206" t="s">
        <v>1095</v>
      </c>
      <c r="I206" t="s">
        <v>1086</v>
      </c>
      <c r="J206" t="s">
        <v>1091</v>
      </c>
      <c r="N206" s="1"/>
      <c r="W206" s="1"/>
    </row>
    <row r="207" spans="1:23">
      <c r="A207" t="b">
        <f>_xlfn.IFNA(VLOOKUP(D207,Spelerslijst!A:B,1,FALSE),FALSE)</f>
        <v>0</v>
      </c>
      <c r="B207" t="str">
        <f>_xlfn.IFNA(VLOOKUP(D207,Spelerslijst!K:L,1,FALSE),FALSE)</f>
        <v>NMK12K6</v>
      </c>
      <c r="C207" t="str">
        <f t="shared" si="3"/>
        <v/>
      </c>
      <c r="D207" t="s">
        <v>780</v>
      </c>
      <c r="E207" t="s">
        <v>781</v>
      </c>
      <c r="F207" t="s">
        <v>776</v>
      </c>
      <c r="G207" s="1">
        <v>40790</v>
      </c>
      <c r="H207" t="s">
        <v>1095</v>
      </c>
      <c r="I207" t="s">
        <v>1086</v>
      </c>
      <c r="J207" t="s">
        <v>1087</v>
      </c>
      <c r="N207" s="1"/>
      <c r="W207" s="1"/>
    </row>
    <row r="208" spans="1:23" hidden="1">
      <c r="A208" t="str">
        <f>_xlfn.IFNA(VLOOKUP(D208,Spelerslijst!A:B,1,FALSE),FALSE)</f>
        <v>NMK31G5</v>
      </c>
      <c r="B208" t="b">
        <f>_xlfn.IFNA(VLOOKUP(D208,Spelerslijst!K:L,1,FALSE),FALSE)</f>
        <v>0</v>
      </c>
      <c r="C208" t="str">
        <f t="shared" si="3"/>
        <v/>
      </c>
      <c r="D208" t="s">
        <v>349</v>
      </c>
      <c r="E208" t="s">
        <v>350</v>
      </c>
      <c r="F208" t="s">
        <v>351</v>
      </c>
      <c r="G208" s="1">
        <v>41159</v>
      </c>
      <c r="H208" t="s">
        <v>1096</v>
      </c>
      <c r="I208" t="s">
        <v>1086</v>
      </c>
      <c r="J208" t="s">
        <v>1091</v>
      </c>
      <c r="N208" s="1"/>
      <c r="W208" s="1"/>
    </row>
    <row r="209" spans="1:23">
      <c r="A209" t="b">
        <f>_xlfn.IFNA(VLOOKUP(D209,Spelerslijst!A:B,1,FALSE),FALSE)</f>
        <v>0</v>
      </c>
      <c r="B209" t="str">
        <f>_xlfn.IFNA(VLOOKUP(D209,Spelerslijst!K:L,1,FALSE),FALSE)</f>
        <v>NMK59H6</v>
      </c>
      <c r="C209" t="str">
        <f t="shared" si="3"/>
        <v/>
      </c>
      <c r="D209" t="s">
        <v>587</v>
      </c>
      <c r="E209" t="s">
        <v>588</v>
      </c>
      <c r="F209" t="s">
        <v>589</v>
      </c>
      <c r="G209" s="1">
        <v>41780</v>
      </c>
      <c r="H209" t="s">
        <v>1096</v>
      </c>
      <c r="I209" t="s">
        <v>1086</v>
      </c>
      <c r="J209" t="s">
        <v>1087</v>
      </c>
      <c r="N209" s="1"/>
      <c r="W209" s="1"/>
    </row>
    <row r="210" spans="1:23" hidden="1">
      <c r="A210" t="str">
        <f>_xlfn.IFNA(VLOOKUP(D210,Spelerslijst!A:B,1,FALSE),FALSE)</f>
        <v>NMK64V4</v>
      </c>
      <c r="B210" t="b">
        <f>_xlfn.IFNA(VLOOKUP(D210,Spelerslijst!K:L,1,FALSE),FALSE)</f>
        <v>0</v>
      </c>
      <c r="C210" t="str">
        <f t="shared" si="3"/>
        <v/>
      </c>
      <c r="D210" t="s">
        <v>803</v>
      </c>
      <c r="E210" t="s">
        <v>804</v>
      </c>
      <c r="F210" t="s">
        <v>685</v>
      </c>
      <c r="G210" s="1">
        <v>42249</v>
      </c>
      <c r="H210" t="s">
        <v>1096</v>
      </c>
      <c r="I210" t="s">
        <v>1086</v>
      </c>
      <c r="J210" t="s">
        <v>1091</v>
      </c>
      <c r="N210" s="1"/>
      <c r="W210" s="1"/>
    </row>
    <row r="211" spans="1:23" hidden="1">
      <c r="A211" t="str">
        <f>_xlfn.IFNA(VLOOKUP(D211,Spelerslijst!A:B,1,FALSE),FALSE)</f>
        <v>NMK74C6</v>
      </c>
      <c r="B211" t="b">
        <f>_xlfn.IFNA(VLOOKUP(D211,Spelerslijst!K:L,1,FALSE),FALSE)</f>
        <v>0</v>
      </c>
      <c r="C211" t="str">
        <f t="shared" si="3"/>
        <v/>
      </c>
      <c r="D211" t="s">
        <v>338</v>
      </c>
      <c r="E211" t="s">
        <v>339</v>
      </c>
      <c r="F211" t="s">
        <v>340</v>
      </c>
      <c r="G211" s="1">
        <v>40722</v>
      </c>
      <c r="H211" t="s">
        <v>1096</v>
      </c>
      <c r="I211" t="s">
        <v>1086</v>
      </c>
      <c r="J211" t="s">
        <v>1091</v>
      </c>
      <c r="N211" s="1"/>
      <c r="W211" s="1"/>
    </row>
    <row r="212" spans="1:23">
      <c r="A212" t="b">
        <f>_xlfn.IFNA(VLOOKUP(D212,Spelerslijst!A:B,1,FALSE),FALSE)</f>
        <v>0</v>
      </c>
      <c r="B212" t="str">
        <f>_xlfn.IFNA(VLOOKUP(D212,Spelerslijst!K:L,1,FALSE),FALSE)</f>
        <v>NMK85P5</v>
      </c>
      <c r="C212" t="str">
        <f t="shared" si="3"/>
        <v/>
      </c>
      <c r="D212" t="s">
        <v>831</v>
      </c>
      <c r="E212" t="s">
        <v>832</v>
      </c>
      <c r="F212" t="s">
        <v>833</v>
      </c>
      <c r="G212" s="1">
        <v>39996</v>
      </c>
      <c r="H212" t="s">
        <v>1095</v>
      </c>
      <c r="I212" t="s">
        <v>1086</v>
      </c>
      <c r="J212" t="s">
        <v>1087</v>
      </c>
      <c r="N212" s="1"/>
      <c r="W212" s="1"/>
    </row>
    <row r="213" spans="1:23" hidden="1">
      <c r="A213" t="str">
        <f>_xlfn.IFNA(VLOOKUP(D213,Spelerslijst!A:B,1,FALSE),FALSE)</f>
        <v>NML00R5</v>
      </c>
      <c r="B213" t="b">
        <f>_xlfn.IFNA(VLOOKUP(D213,Spelerslijst!K:L,1,FALSE),FALSE)</f>
        <v>0</v>
      </c>
      <c r="C213" t="str">
        <f t="shared" si="3"/>
        <v/>
      </c>
      <c r="D213" t="s">
        <v>165</v>
      </c>
      <c r="E213" t="s">
        <v>166</v>
      </c>
      <c r="F213" t="s">
        <v>167</v>
      </c>
      <c r="G213" s="1">
        <v>40373</v>
      </c>
      <c r="H213" t="s">
        <v>1095</v>
      </c>
      <c r="I213" t="s">
        <v>1086</v>
      </c>
      <c r="J213" t="s">
        <v>1091</v>
      </c>
      <c r="N213" s="1"/>
      <c r="W213" s="1"/>
    </row>
    <row r="214" spans="1:23" hidden="1">
      <c r="A214" t="str">
        <f>_xlfn.IFNA(VLOOKUP(D214,Spelerslijst!A:B,1,FALSE),FALSE)</f>
        <v>NML06D5</v>
      </c>
      <c r="B214" t="b">
        <f>_xlfn.IFNA(VLOOKUP(D214,Spelerslijst!K:L,1,FALSE),FALSE)</f>
        <v>0</v>
      </c>
      <c r="C214" t="str">
        <f t="shared" si="3"/>
        <v/>
      </c>
      <c r="D214" t="s">
        <v>765</v>
      </c>
      <c r="E214" t="s">
        <v>766</v>
      </c>
      <c r="F214" t="s">
        <v>767</v>
      </c>
      <c r="G214" s="1">
        <v>40937</v>
      </c>
      <c r="H214" t="s">
        <v>1096</v>
      </c>
      <c r="I214" t="s">
        <v>1086</v>
      </c>
      <c r="J214" t="s">
        <v>1091</v>
      </c>
      <c r="N214" s="1"/>
      <c r="W214" s="1"/>
    </row>
    <row r="215" spans="1:23" hidden="1">
      <c r="A215" t="str">
        <f>_xlfn.IFNA(VLOOKUP(D215,Spelerslijst!A:B,1,FALSE),FALSE)</f>
        <v>NML14J6</v>
      </c>
      <c r="B215" t="b">
        <f>_xlfn.IFNA(VLOOKUP(D215,Spelerslijst!K:L,1,FALSE),FALSE)</f>
        <v>0</v>
      </c>
      <c r="C215" t="str">
        <f t="shared" si="3"/>
        <v/>
      </c>
      <c r="D215" t="s">
        <v>883</v>
      </c>
      <c r="E215" t="s">
        <v>884</v>
      </c>
      <c r="F215" t="s">
        <v>885</v>
      </c>
      <c r="G215" s="1">
        <v>42188</v>
      </c>
      <c r="H215" t="s">
        <v>1096</v>
      </c>
      <c r="I215" t="s">
        <v>1086</v>
      </c>
      <c r="J215" t="s">
        <v>1091</v>
      </c>
      <c r="N215" s="1"/>
      <c r="W215" s="1"/>
    </row>
    <row r="216" spans="1:23">
      <c r="A216" t="b">
        <f>_xlfn.IFNA(VLOOKUP(D216,Spelerslijst!A:B,1,FALSE),FALSE)</f>
        <v>0</v>
      </c>
      <c r="B216" t="str">
        <f>_xlfn.IFNA(VLOOKUP(D216,Spelerslijst!K:L,1,FALSE),FALSE)</f>
        <v>NML47R6</v>
      </c>
      <c r="C216" t="str">
        <f t="shared" si="3"/>
        <v/>
      </c>
      <c r="D216" t="s">
        <v>516</v>
      </c>
      <c r="E216" t="s">
        <v>517</v>
      </c>
      <c r="F216" t="s">
        <v>518</v>
      </c>
      <c r="G216" s="1">
        <v>40227</v>
      </c>
      <c r="H216" t="s">
        <v>1095</v>
      </c>
      <c r="I216" t="s">
        <v>1086</v>
      </c>
      <c r="J216" t="s">
        <v>1087</v>
      </c>
      <c r="N216" s="1"/>
      <c r="W216" s="1"/>
    </row>
    <row r="217" spans="1:23" hidden="1">
      <c r="A217" t="str">
        <f>_xlfn.IFNA(VLOOKUP(D217,Spelerslijst!A:B,1,FALSE),FALSE)</f>
        <v>NML53R9</v>
      </c>
      <c r="B217" t="b">
        <f>_xlfn.IFNA(VLOOKUP(D217,Spelerslijst!K:L,1,FALSE),FALSE)</f>
        <v>0</v>
      </c>
      <c r="C217" t="str">
        <f t="shared" si="3"/>
        <v/>
      </c>
      <c r="D217" t="s">
        <v>865</v>
      </c>
      <c r="E217" t="s">
        <v>866</v>
      </c>
      <c r="F217" t="s">
        <v>867</v>
      </c>
      <c r="G217" s="1">
        <v>42096</v>
      </c>
      <c r="H217" t="s">
        <v>1096</v>
      </c>
      <c r="I217" t="s">
        <v>1086</v>
      </c>
      <c r="J217" t="s">
        <v>1091</v>
      </c>
      <c r="N217" s="1"/>
      <c r="W217" s="1"/>
    </row>
    <row r="218" spans="1:23" hidden="1">
      <c r="A218" t="str">
        <f>_xlfn.IFNA(VLOOKUP(D218,Spelerslijst!A:B,1,FALSE),FALSE)</f>
        <v>NMM21T3</v>
      </c>
      <c r="B218" t="b">
        <f>_xlfn.IFNA(VLOOKUP(D218,Spelerslijst!K:L,1,FALSE),FALSE)</f>
        <v>0</v>
      </c>
      <c r="C218" t="str">
        <f t="shared" si="3"/>
        <v/>
      </c>
      <c r="D218" t="s">
        <v>555</v>
      </c>
      <c r="E218" t="s">
        <v>556</v>
      </c>
      <c r="F218" t="s">
        <v>557</v>
      </c>
      <c r="G218" s="1">
        <v>41557</v>
      </c>
      <c r="H218" t="s">
        <v>1096</v>
      </c>
      <c r="I218" t="s">
        <v>1086</v>
      </c>
      <c r="J218" t="s">
        <v>1091</v>
      </c>
      <c r="N218" s="1"/>
      <c r="W218" s="1"/>
    </row>
    <row r="219" spans="1:23" hidden="1">
      <c r="A219" t="str">
        <f>_xlfn.IFNA(VLOOKUP(D219,Spelerslijst!A:B,1,FALSE),FALSE)</f>
        <v>NMM42W7</v>
      </c>
      <c r="B219" t="b">
        <f>_xlfn.IFNA(VLOOKUP(D219,Spelerslijst!K:L,1,FALSE),FALSE)</f>
        <v>0</v>
      </c>
      <c r="C219" t="str">
        <f t="shared" si="3"/>
        <v/>
      </c>
      <c r="D219" t="s">
        <v>918</v>
      </c>
      <c r="E219" t="s">
        <v>919</v>
      </c>
      <c r="F219" t="s">
        <v>920</v>
      </c>
      <c r="G219" s="1">
        <v>42788</v>
      </c>
      <c r="H219" t="s">
        <v>1096</v>
      </c>
      <c r="I219" t="s">
        <v>1086</v>
      </c>
      <c r="J219" t="s">
        <v>1091</v>
      </c>
      <c r="N219" s="1"/>
      <c r="W219" s="1"/>
    </row>
    <row r="220" spans="1:23" hidden="1">
      <c r="A220" t="str">
        <f>_xlfn.IFNA(VLOOKUP(D220,Spelerslijst!A:B,1,FALSE),FALSE)</f>
        <v>NMM85F7</v>
      </c>
      <c r="B220" t="b">
        <f>_xlfn.IFNA(VLOOKUP(D220,Spelerslijst!K:L,1,FALSE),FALSE)</f>
        <v>0</v>
      </c>
      <c r="C220" t="str">
        <f t="shared" si="3"/>
        <v/>
      </c>
      <c r="D220" t="s">
        <v>747</v>
      </c>
      <c r="E220" t="s">
        <v>748</v>
      </c>
      <c r="F220" t="s">
        <v>749</v>
      </c>
      <c r="G220" s="1">
        <v>41574</v>
      </c>
      <c r="H220" t="s">
        <v>1096</v>
      </c>
      <c r="I220" t="s">
        <v>1086</v>
      </c>
      <c r="J220" t="s">
        <v>1091</v>
      </c>
      <c r="N220" s="1"/>
      <c r="W220" s="1"/>
    </row>
    <row r="221" spans="1:23" hidden="1">
      <c r="A221" t="str">
        <f>_xlfn.IFNA(VLOOKUP(D221,Spelerslijst!A:B,1,FALSE),FALSE)</f>
        <v>NMM97Y1</v>
      </c>
      <c r="B221" t="b">
        <f>_xlfn.IFNA(VLOOKUP(D221,Spelerslijst!K:L,1,FALSE),FALSE)</f>
        <v>0</v>
      </c>
      <c r="C221" t="str">
        <f t="shared" si="3"/>
        <v/>
      </c>
      <c r="D221" t="s">
        <v>624</v>
      </c>
      <c r="E221" t="s">
        <v>625</v>
      </c>
      <c r="F221" t="s">
        <v>626</v>
      </c>
      <c r="G221" s="1">
        <v>42058</v>
      </c>
      <c r="H221" t="s">
        <v>1096</v>
      </c>
      <c r="I221" t="s">
        <v>1086</v>
      </c>
      <c r="J221" t="s">
        <v>1091</v>
      </c>
      <c r="N221" s="1"/>
      <c r="W221" s="1"/>
    </row>
    <row r="222" spans="1:23" hidden="1">
      <c r="A222" t="str">
        <f>_xlfn.IFNA(VLOOKUP(D222,Spelerslijst!A:B,1,FALSE),FALSE)</f>
        <v>NMN06Y4</v>
      </c>
      <c r="B222" t="b">
        <f>_xlfn.IFNA(VLOOKUP(D222,Spelerslijst!K:L,1,FALSE),FALSE)</f>
        <v>0</v>
      </c>
      <c r="C222" t="str">
        <f t="shared" si="3"/>
        <v/>
      </c>
      <c r="D222" t="s">
        <v>782</v>
      </c>
      <c r="E222" t="s">
        <v>783</v>
      </c>
      <c r="F222" t="s">
        <v>784</v>
      </c>
      <c r="G222" s="1">
        <v>40796</v>
      </c>
      <c r="H222" t="s">
        <v>1095</v>
      </c>
      <c r="I222" t="s">
        <v>1086</v>
      </c>
      <c r="J222" t="s">
        <v>1091</v>
      </c>
      <c r="N222" s="1"/>
      <c r="W222" s="1"/>
    </row>
    <row r="223" spans="1:23" hidden="1">
      <c r="A223" t="str">
        <f>_xlfn.IFNA(VLOOKUP(D223,Spelerslijst!A:B,1,FALSE),FALSE)</f>
        <v>NMN07F4</v>
      </c>
      <c r="B223" t="b">
        <f>_xlfn.IFNA(VLOOKUP(D223,Spelerslijst!K:L,1,FALSE),FALSE)</f>
        <v>0</v>
      </c>
      <c r="C223" t="str">
        <f t="shared" si="3"/>
        <v/>
      </c>
      <c r="D223" t="s">
        <v>636</v>
      </c>
      <c r="E223" t="s">
        <v>637</v>
      </c>
      <c r="F223" t="s">
        <v>638</v>
      </c>
      <c r="G223" s="1">
        <v>40637</v>
      </c>
      <c r="H223" t="s">
        <v>1095</v>
      </c>
      <c r="I223" t="s">
        <v>1086</v>
      </c>
      <c r="J223" t="s">
        <v>1091</v>
      </c>
      <c r="N223" s="1"/>
      <c r="W223" s="1"/>
    </row>
    <row r="224" spans="1:23">
      <c r="A224" t="b">
        <f>_xlfn.IFNA(VLOOKUP(D224,Spelerslijst!A:B,1,FALSE),FALSE)</f>
        <v>0</v>
      </c>
      <c r="B224" t="str">
        <f>_xlfn.IFNA(VLOOKUP(D224,Spelerslijst!K:L,1,FALSE),FALSE)</f>
        <v>NMN09P0</v>
      </c>
      <c r="C224" t="str">
        <f t="shared" si="3"/>
        <v/>
      </c>
      <c r="D224" t="s">
        <v>409</v>
      </c>
      <c r="E224" t="s">
        <v>410</v>
      </c>
      <c r="F224" t="s">
        <v>411</v>
      </c>
      <c r="G224" s="1">
        <v>41867</v>
      </c>
      <c r="H224" t="s">
        <v>1096</v>
      </c>
      <c r="I224" t="s">
        <v>1086</v>
      </c>
      <c r="J224" t="s">
        <v>1087</v>
      </c>
      <c r="N224" s="1"/>
      <c r="W224" s="1"/>
    </row>
    <row r="225" spans="1:24">
      <c r="A225" t="b">
        <f>_xlfn.IFNA(VLOOKUP(D225,Spelerslijst!A:B,1,FALSE),FALSE)</f>
        <v>0</v>
      </c>
      <c r="B225" t="str">
        <f>_xlfn.IFNA(VLOOKUP(D225,Spelerslijst!K:L,1,FALSE),FALSE)</f>
        <v>NMN10V0</v>
      </c>
      <c r="C225" t="str">
        <f t="shared" si="3"/>
        <v/>
      </c>
      <c r="D225" t="s">
        <v>455</v>
      </c>
      <c r="E225" t="s">
        <v>456</v>
      </c>
      <c r="F225" t="s">
        <v>447</v>
      </c>
      <c r="G225" s="1">
        <v>41686</v>
      </c>
      <c r="H225" t="s">
        <v>1096</v>
      </c>
      <c r="I225" t="s">
        <v>1086</v>
      </c>
      <c r="J225" t="s">
        <v>1087</v>
      </c>
      <c r="N225" s="1"/>
      <c r="W225" s="1"/>
    </row>
    <row r="226" spans="1:24" hidden="1">
      <c r="A226" t="str">
        <f>_xlfn.IFNA(VLOOKUP(D226,Spelerslijst!A:B,1,FALSE),FALSE)</f>
        <v>NMN14R4</v>
      </c>
      <c r="B226" t="b">
        <f>_xlfn.IFNA(VLOOKUP(D226,Spelerslijst!K:L,1,FALSE),FALSE)</f>
        <v>0</v>
      </c>
      <c r="C226" t="str">
        <f t="shared" si="3"/>
        <v/>
      </c>
      <c r="D226" t="s">
        <v>302</v>
      </c>
      <c r="E226" t="s">
        <v>303</v>
      </c>
      <c r="F226" t="s">
        <v>298</v>
      </c>
      <c r="G226" s="1">
        <v>41323</v>
      </c>
      <c r="H226" t="s">
        <v>1096</v>
      </c>
      <c r="I226" t="s">
        <v>1086</v>
      </c>
      <c r="J226" t="s">
        <v>1091</v>
      </c>
      <c r="N226" s="1"/>
      <c r="W226" s="1"/>
    </row>
    <row r="227" spans="1:24" hidden="1">
      <c r="A227" t="str">
        <f>_xlfn.IFNA(VLOOKUP(D227,Spelerslijst!A:B,1,FALSE),FALSE)</f>
        <v>NMN23K7</v>
      </c>
      <c r="B227" t="b">
        <f>_xlfn.IFNA(VLOOKUP(D227,Spelerslijst!K:L,1,FALSE),FALSE)</f>
        <v>0</v>
      </c>
      <c r="C227" t="str">
        <f t="shared" si="3"/>
        <v/>
      </c>
      <c r="D227" t="s">
        <v>199</v>
      </c>
      <c r="E227" t="s">
        <v>200</v>
      </c>
      <c r="F227" t="s">
        <v>201</v>
      </c>
      <c r="G227" s="1">
        <v>41398</v>
      </c>
      <c r="H227" t="s">
        <v>1096</v>
      </c>
      <c r="I227" t="s">
        <v>1086</v>
      </c>
      <c r="J227" t="s">
        <v>1091</v>
      </c>
      <c r="N227" s="1"/>
      <c r="W227" s="1"/>
      <c r="X227" s="1"/>
    </row>
    <row r="228" spans="1:24">
      <c r="A228" t="b">
        <f>_xlfn.IFNA(VLOOKUP(D228,Spelerslijst!A:B,1,FALSE),FALSE)</f>
        <v>0</v>
      </c>
      <c r="B228" t="str">
        <f>_xlfn.IFNA(VLOOKUP(D228,Spelerslijst!K:L,1,FALSE),FALSE)</f>
        <v>NMN23L4</v>
      </c>
      <c r="C228" t="str">
        <f t="shared" si="3"/>
        <v/>
      </c>
      <c r="D228" t="s">
        <v>269</v>
      </c>
      <c r="E228" t="s">
        <v>270</v>
      </c>
      <c r="F228" t="s">
        <v>271</v>
      </c>
      <c r="G228" s="1">
        <v>41375</v>
      </c>
      <c r="H228" t="s">
        <v>1096</v>
      </c>
      <c r="I228" t="s">
        <v>1086</v>
      </c>
      <c r="J228" t="s">
        <v>1087</v>
      </c>
      <c r="N228" s="1"/>
      <c r="W228" s="1"/>
    </row>
    <row r="229" spans="1:24">
      <c r="A229" t="b">
        <f>_xlfn.IFNA(VLOOKUP(D229,Spelerslijst!A:B,1,FALSE),FALSE)</f>
        <v>0</v>
      </c>
      <c r="B229" t="str">
        <f>_xlfn.IFNA(VLOOKUP(D229,Spelerslijst!K:L,1,FALSE),FALSE)</f>
        <v>NMN23M1</v>
      </c>
      <c r="C229" t="str">
        <f t="shared" si="3"/>
        <v/>
      </c>
      <c r="D229" t="s">
        <v>543</v>
      </c>
      <c r="E229" t="s">
        <v>544</v>
      </c>
      <c r="F229" t="s">
        <v>545</v>
      </c>
      <c r="G229" s="1">
        <v>41611</v>
      </c>
      <c r="H229" t="s">
        <v>1096</v>
      </c>
      <c r="I229" t="s">
        <v>1086</v>
      </c>
      <c r="J229" t="s">
        <v>1087</v>
      </c>
      <c r="N229" s="1"/>
      <c r="W229" s="1"/>
    </row>
    <row r="230" spans="1:24" hidden="1">
      <c r="A230" t="str">
        <f>_xlfn.IFNA(VLOOKUP(D230,Spelerslijst!A:B,1,FALSE),FALSE)</f>
        <v>NMN23N8</v>
      </c>
      <c r="B230" t="b">
        <f>_xlfn.IFNA(VLOOKUP(D230,Spelerslijst!K:L,1,FALSE),FALSE)</f>
        <v>0</v>
      </c>
      <c r="C230" t="str">
        <f t="shared" si="3"/>
        <v/>
      </c>
      <c r="D230" t="s">
        <v>261</v>
      </c>
      <c r="E230" t="s">
        <v>262</v>
      </c>
      <c r="F230" t="s">
        <v>263</v>
      </c>
      <c r="G230" s="1">
        <v>40075</v>
      </c>
      <c r="H230" t="s">
        <v>1095</v>
      </c>
      <c r="I230" t="s">
        <v>1086</v>
      </c>
      <c r="J230" t="s">
        <v>1091</v>
      </c>
      <c r="N230" s="1"/>
      <c r="W230" s="1"/>
    </row>
    <row r="231" spans="1:24">
      <c r="A231" t="b">
        <f>_xlfn.IFNA(VLOOKUP(D231,Spelerslijst!A:B,1,FALSE),FALSE)</f>
        <v>0</v>
      </c>
      <c r="B231" t="str">
        <f>_xlfn.IFNA(VLOOKUP(D231,Spelerslijst!K:L,1,FALSE),FALSE)</f>
        <v>NMN39T3</v>
      </c>
      <c r="C231" t="str">
        <f t="shared" si="3"/>
        <v/>
      </c>
      <c r="D231" t="s">
        <v>439</v>
      </c>
      <c r="E231" t="s">
        <v>440</v>
      </c>
      <c r="F231" t="s">
        <v>441</v>
      </c>
      <c r="G231" s="1">
        <v>42040</v>
      </c>
      <c r="H231" t="s">
        <v>1096</v>
      </c>
      <c r="I231" t="s">
        <v>1086</v>
      </c>
      <c r="J231" t="s">
        <v>1087</v>
      </c>
      <c r="N231" s="1"/>
      <c r="W231" s="1"/>
    </row>
    <row r="232" spans="1:24">
      <c r="A232" t="b">
        <f>_xlfn.IFNA(VLOOKUP(D232,Spelerslijst!A:B,1,FALSE),FALSE)</f>
        <v>0</v>
      </c>
      <c r="B232" t="str">
        <f>_xlfn.IFNA(VLOOKUP(D232,Spelerslijst!K:L,1,FALSE),FALSE)</f>
        <v>NMN49T8</v>
      </c>
      <c r="C232" t="str">
        <f t="shared" si="3"/>
        <v/>
      </c>
      <c r="D232" t="s">
        <v>593</v>
      </c>
      <c r="E232" t="s">
        <v>594</v>
      </c>
      <c r="F232" t="s">
        <v>595</v>
      </c>
      <c r="G232" s="1">
        <v>41282</v>
      </c>
      <c r="H232" t="s">
        <v>1096</v>
      </c>
      <c r="I232" t="s">
        <v>1086</v>
      </c>
      <c r="J232" t="s">
        <v>1087</v>
      </c>
      <c r="N232" s="1"/>
      <c r="W232" s="1"/>
    </row>
    <row r="233" spans="1:24">
      <c r="A233" t="b">
        <f>_xlfn.IFNA(VLOOKUP(D233,Spelerslijst!A:B,1,FALSE),FALSE)</f>
        <v>0</v>
      </c>
      <c r="B233" t="str">
        <f>_xlfn.IFNA(VLOOKUP(D233,Spelerslijst!K:L,1,FALSE),FALSE)</f>
        <v>NMN65C7</v>
      </c>
      <c r="C233" t="str">
        <f t="shared" si="3"/>
        <v/>
      </c>
      <c r="D233" t="s">
        <v>733</v>
      </c>
      <c r="E233" t="s">
        <v>734</v>
      </c>
      <c r="F233" t="s">
        <v>729</v>
      </c>
      <c r="G233" s="1">
        <v>41760</v>
      </c>
      <c r="H233" t="s">
        <v>1096</v>
      </c>
      <c r="I233" t="s">
        <v>1086</v>
      </c>
      <c r="J233" t="s">
        <v>1087</v>
      </c>
      <c r="N233" s="1"/>
      <c r="W233" s="1"/>
    </row>
    <row r="234" spans="1:24">
      <c r="A234" t="b">
        <f>_xlfn.IFNA(VLOOKUP(D234,Spelerslijst!A:B,1,FALSE),FALSE)</f>
        <v>0</v>
      </c>
      <c r="B234" t="str">
        <f>_xlfn.IFNA(VLOOKUP(D234,Spelerslijst!K:L,1,FALSE),FALSE)</f>
        <v>NMN65L0</v>
      </c>
      <c r="C234" t="str">
        <f t="shared" si="3"/>
        <v/>
      </c>
      <c r="D234" t="s">
        <v>491</v>
      </c>
      <c r="E234" t="s">
        <v>492</v>
      </c>
      <c r="F234" t="s">
        <v>493</v>
      </c>
      <c r="G234" s="1">
        <v>41662</v>
      </c>
      <c r="H234" t="s">
        <v>1096</v>
      </c>
      <c r="I234" t="s">
        <v>1086</v>
      </c>
      <c r="J234" t="s">
        <v>1087</v>
      </c>
      <c r="N234" s="1"/>
      <c r="W234" s="1"/>
    </row>
    <row r="235" spans="1:24">
      <c r="A235" t="b">
        <f>_xlfn.IFNA(VLOOKUP(D235,Spelerslijst!A:B,1,FALSE),FALSE)</f>
        <v>0</v>
      </c>
      <c r="B235" t="str">
        <f>_xlfn.IFNA(VLOOKUP(D235,Spelerslijst!K:L,1,FALSE),FALSE)</f>
        <v>NMN66T9</v>
      </c>
      <c r="C235" t="str">
        <f t="shared" si="3"/>
        <v/>
      </c>
      <c r="D235" t="s">
        <v>363</v>
      </c>
      <c r="E235" t="s">
        <v>364</v>
      </c>
      <c r="F235" t="s">
        <v>365</v>
      </c>
      <c r="G235" s="1">
        <v>41760</v>
      </c>
      <c r="H235" t="s">
        <v>1096</v>
      </c>
      <c r="I235" t="s">
        <v>1086</v>
      </c>
      <c r="J235" t="s">
        <v>1087</v>
      </c>
      <c r="N235" s="1"/>
      <c r="W235" s="1"/>
    </row>
    <row r="236" spans="1:24" hidden="1">
      <c r="A236" t="str">
        <f>_xlfn.IFNA(VLOOKUP(D236,Spelerslijst!A:B,1,FALSE),FALSE)</f>
        <v>NMN85P8</v>
      </c>
      <c r="B236" t="b">
        <f>_xlfn.IFNA(VLOOKUP(D236,Spelerslijst!K:L,1,FALSE),FALSE)</f>
        <v>0</v>
      </c>
      <c r="C236" t="str">
        <f t="shared" si="3"/>
        <v/>
      </c>
      <c r="D236" t="s">
        <v>371</v>
      </c>
      <c r="E236" t="s">
        <v>372</v>
      </c>
      <c r="F236" t="s">
        <v>373</v>
      </c>
      <c r="G236" s="1">
        <v>41068</v>
      </c>
      <c r="H236" t="s">
        <v>1096</v>
      </c>
      <c r="I236" t="s">
        <v>1086</v>
      </c>
      <c r="J236" t="s">
        <v>1091</v>
      </c>
      <c r="N236" s="1"/>
      <c r="W236" s="1"/>
    </row>
    <row r="237" spans="1:24" hidden="1">
      <c r="A237" t="str">
        <f>_xlfn.IFNA(VLOOKUP(D237,Spelerslijst!A:B,1,FALSE),FALSE)</f>
        <v>NMP10M9</v>
      </c>
      <c r="B237" t="b">
        <f>_xlfn.IFNA(VLOOKUP(D237,Spelerslijst!K:L,1,FALSE),FALSE)</f>
        <v>0</v>
      </c>
      <c r="C237" t="str">
        <f t="shared" si="3"/>
        <v/>
      </c>
      <c r="D237" t="s">
        <v>641</v>
      </c>
      <c r="E237" t="s">
        <v>642</v>
      </c>
      <c r="F237" t="s">
        <v>643</v>
      </c>
      <c r="G237" s="1">
        <v>40541</v>
      </c>
      <c r="H237" t="s">
        <v>1095</v>
      </c>
      <c r="I237" t="s">
        <v>1086</v>
      </c>
      <c r="J237" t="s">
        <v>1091</v>
      </c>
      <c r="N237" s="1"/>
      <c r="W237" s="1"/>
    </row>
    <row r="238" spans="1:24" hidden="1">
      <c r="A238" t="str">
        <f>_xlfn.IFNA(VLOOKUP(D238,Spelerslijst!A:B,1,FALSE),FALSE)</f>
        <v>NMP73C8</v>
      </c>
      <c r="B238" t="b">
        <f>_xlfn.IFNA(VLOOKUP(D238,Spelerslijst!K:L,1,FALSE),FALSE)</f>
        <v>0</v>
      </c>
      <c r="C238" t="str">
        <f t="shared" si="3"/>
        <v/>
      </c>
      <c r="D238" t="s">
        <v>903</v>
      </c>
      <c r="E238" t="s">
        <v>904</v>
      </c>
      <c r="F238" t="s">
        <v>900</v>
      </c>
      <c r="G238" s="1">
        <v>41278</v>
      </c>
      <c r="H238" t="s">
        <v>1096</v>
      </c>
      <c r="I238" t="s">
        <v>1086</v>
      </c>
      <c r="J238" t="s">
        <v>1091</v>
      </c>
      <c r="N238" s="1"/>
      <c r="W238" s="1"/>
    </row>
    <row r="239" spans="1:24">
      <c r="A239" t="b">
        <f>_xlfn.IFNA(VLOOKUP(D239,Spelerslijst!A:B,1,FALSE),FALSE)</f>
        <v>0</v>
      </c>
      <c r="B239" t="str">
        <f>_xlfn.IFNA(VLOOKUP(D239,Spelerslijst!K:L,1,FALSE),FALSE)</f>
        <v>NMP90X6</v>
      </c>
      <c r="C239" t="str">
        <f t="shared" si="3"/>
        <v/>
      </c>
      <c r="D239" t="s">
        <v>478</v>
      </c>
      <c r="E239" t="s">
        <v>479</v>
      </c>
      <c r="F239" t="s">
        <v>474</v>
      </c>
      <c r="G239" s="1">
        <v>40741</v>
      </c>
      <c r="H239" t="s">
        <v>1095</v>
      </c>
      <c r="I239" t="s">
        <v>1086</v>
      </c>
      <c r="J239" t="s">
        <v>1087</v>
      </c>
      <c r="N239" s="1"/>
      <c r="W239" s="1"/>
    </row>
    <row r="240" spans="1:24" hidden="1">
      <c r="A240" t="str">
        <f>_xlfn.IFNA(VLOOKUP(D240,Spelerslijst!A:B,1,FALSE),FALSE)</f>
        <v>NMP92X2</v>
      </c>
      <c r="B240" t="b">
        <f>_xlfn.IFNA(VLOOKUP(D240,Spelerslijst!K:L,1,FALSE),FALSE)</f>
        <v>0</v>
      </c>
      <c r="C240" t="str">
        <f t="shared" si="3"/>
        <v/>
      </c>
      <c r="D240" t="s">
        <v>418</v>
      </c>
      <c r="E240" t="s">
        <v>419</v>
      </c>
      <c r="F240" t="s">
        <v>420</v>
      </c>
      <c r="G240" s="1">
        <v>41303</v>
      </c>
      <c r="H240" t="s">
        <v>1096</v>
      </c>
      <c r="I240" t="s">
        <v>1086</v>
      </c>
      <c r="J240" t="s">
        <v>1091</v>
      </c>
      <c r="N240" s="1"/>
      <c r="W240" s="1"/>
    </row>
    <row r="241" spans="1:23" hidden="1">
      <c r="A241" t="str">
        <f>_xlfn.IFNA(VLOOKUP(D241,Spelerslijst!A:B,1,FALSE),FALSE)</f>
        <v>NMQ40P6</v>
      </c>
      <c r="B241" t="b">
        <f>_xlfn.IFNA(VLOOKUP(D241,Spelerslijst!K:L,1,FALSE),FALSE)</f>
        <v>0</v>
      </c>
      <c r="C241" t="str">
        <f t="shared" si="3"/>
        <v/>
      </c>
      <c r="D241" t="s">
        <v>283</v>
      </c>
      <c r="E241" t="s">
        <v>284</v>
      </c>
      <c r="F241" t="s">
        <v>285</v>
      </c>
      <c r="G241" s="1">
        <v>41586</v>
      </c>
      <c r="H241" t="s">
        <v>1096</v>
      </c>
      <c r="I241" t="s">
        <v>1086</v>
      </c>
      <c r="J241" t="s">
        <v>1091</v>
      </c>
      <c r="N241" s="1"/>
      <c r="W241" s="1"/>
    </row>
    <row r="242" spans="1:23" hidden="1">
      <c r="A242" t="str">
        <f>_xlfn.IFNA(VLOOKUP(D242,Spelerslijst!A:B,1,FALSE),FALSE)</f>
        <v>NMQ42K7</v>
      </c>
      <c r="B242" t="b">
        <f>_xlfn.IFNA(VLOOKUP(D242,Spelerslijst!K:L,1,FALSE),FALSE)</f>
        <v>0</v>
      </c>
      <c r="C242" t="str">
        <f t="shared" si="3"/>
        <v/>
      </c>
      <c r="D242" t="s">
        <v>828</v>
      </c>
      <c r="E242" t="s">
        <v>829</v>
      </c>
      <c r="F242" t="s">
        <v>830</v>
      </c>
      <c r="G242" s="1">
        <v>43006</v>
      </c>
      <c r="H242" t="s">
        <v>1096</v>
      </c>
      <c r="I242" t="s">
        <v>1086</v>
      </c>
      <c r="J242" t="s">
        <v>1091</v>
      </c>
      <c r="N242" s="1"/>
      <c r="W242" s="1"/>
    </row>
    <row r="243" spans="1:23">
      <c r="A243" t="b">
        <f>_xlfn.IFNA(VLOOKUP(D243,Spelerslijst!A:B,1,FALSE),FALSE)</f>
        <v>0</v>
      </c>
      <c r="B243" t="str">
        <f>_xlfn.IFNA(VLOOKUP(D243,Spelerslijst!K:L,1,FALSE),FALSE)</f>
        <v>NMQ44L0</v>
      </c>
      <c r="C243" t="str">
        <f t="shared" si="3"/>
        <v/>
      </c>
      <c r="D243" t="s">
        <v>139</v>
      </c>
      <c r="E243" t="s">
        <v>140</v>
      </c>
      <c r="F243" t="s">
        <v>141</v>
      </c>
      <c r="G243" s="1">
        <v>38220</v>
      </c>
      <c r="H243" t="s">
        <v>1085</v>
      </c>
      <c r="I243" t="s">
        <v>1086</v>
      </c>
      <c r="J243" t="s">
        <v>1087</v>
      </c>
      <c r="N243" s="1"/>
      <c r="W243" s="1"/>
    </row>
    <row r="244" spans="1:23">
      <c r="A244" t="b">
        <f>_xlfn.IFNA(VLOOKUP(D244,Spelerslijst!A:B,1,FALSE),FALSE)</f>
        <v>0</v>
      </c>
      <c r="B244" t="str">
        <f>_xlfn.IFNA(VLOOKUP(D244,Spelerslijst!K:L,1,FALSE),FALSE)</f>
        <v>NMQ45V3</v>
      </c>
      <c r="C244" t="str">
        <f t="shared" si="3"/>
        <v/>
      </c>
      <c r="D244" t="s">
        <v>650</v>
      </c>
      <c r="E244" t="s">
        <v>651</v>
      </c>
      <c r="F244" t="s">
        <v>652</v>
      </c>
      <c r="G244" s="1">
        <v>41722</v>
      </c>
      <c r="H244" t="s">
        <v>1096</v>
      </c>
      <c r="I244" t="s">
        <v>1086</v>
      </c>
      <c r="J244" t="s">
        <v>1087</v>
      </c>
      <c r="N244" s="1"/>
      <c r="W244" s="1"/>
    </row>
    <row r="245" spans="1:23" hidden="1">
      <c r="A245" t="str">
        <f>_xlfn.IFNA(VLOOKUP(D245,Spelerslijst!A:B,1,FALSE),FALSE)</f>
        <v>NMQ48V2</v>
      </c>
      <c r="B245" t="b">
        <f>_xlfn.IFNA(VLOOKUP(D245,Spelerslijst!K:L,1,FALSE),FALSE)</f>
        <v>0</v>
      </c>
      <c r="C245" t="str">
        <f t="shared" si="3"/>
        <v/>
      </c>
      <c r="D245" t="s">
        <v>494</v>
      </c>
      <c r="E245" t="s">
        <v>495</v>
      </c>
      <c r="F245" t="s">
        <v>496</v>
      </c>
      <c r="G245" s="1">
        <v>42549</v>
      </c>
      <c r="H245" t="s">
        <v>1096</v>
      </c>
      <c r="I245" t="s">
        <v>1086</v>
      </c>
      <c r="J245" t="s">
        <v>1091</v>
      </c>
      <c r="N245" s="1"/>
      <c r="W245" s="1"/>
    </row>
    <row r="246" spans="1:23">
      <c r="A246" t="b">
        <f>_xlfn.IFNA(VLOOKUP(D246,Spelerslijst!A:B,1,FALSE),FALSE)</f>
        <v>0</v>
      </c>
      <c r="B246" t="str">
        <f>_xlfn.IFNA(VLOOKUP(D246,Spelerslijst!K:L,1,FALSE),FALSE)</f>
        <v>NMQ51D0</v>
      </c>
      <c r="C246" t="str">
        <f t="shared" si="3"/>
        <v/>
      </c>
      <c r="D246" t="s">
        <v>581</v>
      </c>
      <c r="E246" t="s">
        <v>582</v>
      </c>
      <c r="F246" t="s">
        <v>583</v>
      </c>
      <c r="G246" s="1">
        <v>40547</v>
      </c>
      <c r="H246" t="s">
        <v>1095</v>
      </c>
      <c r="I246" t="s">
        <v>1086</v>
      </c>
      <c r="J246" t="s">
        <v>1087</v>
      </c>
      <c r="N246" s="1"/>
      <c r="W246" s="1"/>
    </row>
    <row r="247" spans="1:23" hidden="1">
      <c r="A247" t="str">
        <f>_xlfn.IFNA(VLOOKUP(D247,Spelerslijst!A:B,1,FALSE),FALSE)</f>
        <v>NMQ57X8</v>
      </c>
      <c r="B247" t="b">
        <f>_xlfn.IFNA(VLOOKUP(D247,Spelerslijst!K:L,1,FALSE),FALSE)</f>
        <v>0</v>
      </c>
      <c r="C247" t="str">
        <f t="shared" si="3"/>
        <v/>
      </c>
      <c r="D247" t="s">
        <v>849</v>
      </c>
      <c r="E247" t="s">
        <v>850</v>
      </c>
      <c r="F247" t="s">
        <v>836</v>
      </c>
      <c r="G247" s="1">
        <v>40700</v>
      </c>
      <c r="H247" t="s">
        <v>1095</v>
      </c>
      <c r="I247" t="s">
        <v>1086</v>
      </c>
      <c r="J247" t="s">
        <v>1091</v>
      </c>
      <c r="N247" s="1"/>
      <c r="W247" s="1"/>
    </row>
    <row r="248" spans="1:23">
      <c r="A248" t="b">
        <f>_xlfn.IFNA(VLOOKUP(D248,Spelerslijst!A:B,1,FALSE),FALSE)</f>
        <v>0</v>
      </c>
      <c r="B248" t="str">
        <f>_xlfn.IFNA(VLOOKUP(D248,Spelerslijst!K:L,1,FALSE),FALSE)</f>
        <v>NMQ65B3</v>
      </c>
      <c r="C248" t="str">
        <f t="shared" si="3"/>
        <v/>
      </c>
      <c r="D248" t="s">
        <v>145</v>
      </c>
      <c r="E248" t="s">
        <v>146</v>
      </c>
      <c r="F248" t="s">
        <v>141</v>
      </c>
      <c r="G248" s="1">
        <v>41278</v>
      </c>
      <c r="H248" t="s">
        <v>1096</v>
      </c>
      <c r="I248" t="s">
        <v>1086</v>
      </c>
      <c r="J248" t="s">
        <v>1087</v>
      </c>
      <c r="N248" s="1"/>
      <c r="W248" s="1"/>
    </row>
    <row r="249" spans="1:23" hidden="1">
      <c r="A249" t="str">
        <f>_xlfn.IFNA(VLOOKUP(D249,Spelerslijst!A:B,1,FALSE),FALSE)</f>
        <v>NMR12K3</v>
      </c>
      <c r="B249" t="b">
        <f>_xlfn.IFNA(VLOOKUP(D249,Spelerslijst!K:L,1,FALSE),FALSE)</f>
        <v>0</v>
      </c>
      <c r="C249" t="str">
        <f t="shared" si="3"/>
        <v/>
      </c>
      <c r="D249" t="s">
        <v>469</v>
      </c>
      <c r="E249" t="s">
        <v>470</v>
      </c>
      <c r="F249" t="s">
        <v>471</v>
      </c>
      <c r="G249" s="1">
        <v>41569</v>
      </c>
      <c r="H249" t="s">
        <v>1096</v>
      </c>
      <c r="I249" t="s">
        <v>1086</v>
      </c>
      <c r="J249" t="s">
        <v>1091</v>
      </c>
      <c r="N249" s="1"/>
      <c r="W249" s="1"/>
    </row>
    <row r="250" spans="1:23" hidden="1">
      <c r="A250" t="str">
        <f>_xlfn.IFNA(VLOOKUP(D250,Spelerslijst!A:B,1,FALSE),FALSE)</f>
        <v>NMS09V7</v>
      </c>
      <c r="B250" t="b">
        <f>_xlfn.IFNA(VLOOKUP(D250,Spelerslijst!K:L,1,FALSE),FALSE)</f>
        <v>0</v>
      </c>
      <c r="C250" t="str">
        <f t="shared" si="3"/>
        <v/>
      </c>
      <c r="D250" t="s">
        <v>489</v>
      </c>
      <c r="E250" t="s">
        <v>490</v>
      </c>
      <c r="F250" t="s">
        <v>477</v>
      </c>
      <c r="G250" s="1">
        <v>42234</v>
      </c>
      <c r="H250" t="s">
        <v>1096</v>
      </c>
      <c r="I250" t="s">
        <v>1086</v>
      </c>
      <c r="J250" t="s">
        <v>1091</v>
      </c>
      <c r="N250" s="1"/>
      <c r="W250" s="1"/>
    </row>
    <row r="251" spans="1:23" hidden="1">
      <c r="A251" t="str">
        <f>_xlfn.IFNA(VLOOKUP(D251,Spelerslijst!A:B,1,FALSE),FALSE)</f>
        <v>NMS40B0</v>
      </c>
      <c r="B251" t="b">
        <f>_xlfn.IFNA(VLOOKUP(D251,Spelerslijst!K:L,1,FALSE),FALSE)</f>
        <v>0</v>
      </c>
      <c r="C251" t="str">
        <f t="shared" si="3"/>
        <v/>
      </c>
      <c r="D251" t="s">
        <v>95</v>
      </c>
      <c r="E251" t="s">
        <v>96</v>
      </c>
      <c r="F251" t="s">
        <v>97</v>
      </c>
      <c r="G251" s="1">
        <v>42308</v>
      </c>
      <c r="H251" t="s">
        <v>1096</v>
      </c>
      <c r="I251" t="s">
        <v>1086</v>
      </c>
      <c r="J251" t="s">
        <v>1091</v>
      </c>
      <c r="N251" s="1"/>
      <c r="W251" s="1"/>
    </row>
    <row r="252" spans="1:23" hidden="1">
      <c r="A252" t="str">
        <f>_xlfn.IFNA(VLOOKUP(D252,Spelerslijst!A:B,1,FALSE),FALSE)</f>
        <v>NMS67Y2</v>
      </c>
      <c r="B252" t="b">
        <f>_xlfn.IFNA(VLOOKUP(D252,Spelerslijst!K:L,1,FALSE),FALSE)</f>
        <v>0</v>
      </c>
      <c r="C252" t="str">
        <f t="shared" si="3"/>
        <v/>
      </c>
      <c r="D252" t="s">
        <v>424</v>
      </c>
      <c r="E252" t="s">
        <v>425</v>
      </c>
      <c r="F252" t="s">
        <v>426</v>
      </c>
      <c r="G252" s="1">
        <v>42481</v>
      </c>
      <c r="H252" t="s">
        <v>1096</v>
      </c>
      <c r="I252" t="s">
        <v>1086</v>
      </c>
      <c r="J252" t="s">
        <v>1091</v>
      </c>
      <c r="N252" s="1"/>
      <c r="W252" s="1"/>
    </row>
    <row r="253" spans="1:23">
      <c r="A253" t="b">
        <f>_xlfn.IFNA(VLOOKUP(D253,Spelerslijst!A:B,1,FALSE),FALSE)</f>
        <v>0</v>
      </c>
      <c r="B253" t="str">
        <f>_xlfn.IFNA(VLOOKUP(D253,Spelerslijst!K:L,1,FALSE),FALSE)</f>
        <v>NMS76D7</v>
      </c>
      <c r="C253" t="str">
        <f t="shared" si="3"/>
        <v/>
      </c>
      <c r="D253" t="s">
        <v>874</v>
      </c>
      <c r="E253" t="s">
        <v>875</v>
      </c>
      <c r="F253" t="s">
        <v>876</v>
      </c>
      <c r="G253" s="1">
        <v>41263</v>
      </c>
      <c r="H253" t="s">
        <v>1096</v>
      </c>
      <c r="I253" t="s">
        <v>1086</v>
      </c>
      <c r="J253" t="s">
        <v>1087</v>
      </c>
      <c r="N253" s="1"/>
      <c r="W253" s="1"/>
    </row>
    <row r="254" spans="1:23" hidden="1">
      <c r="A254" t="str">
        <f>_xlfn.IFNA(VLOOKUP(D254,Spelerslijst!A:B,1,FALSE),FALSE)</f>
        <v>NMS99T8</v>
      </c>
      <c r="B254" t="b">
        <f>_xlfn.IFNA(VLOOKUP(D254,Spelerslijst!K:L,1,FALSE),FALSE)</f>
        <v>0</v>
      </c>
      <c r="C254" t="str">
        <f t="shared" si="3"/>
        <v/>
      </c>
      <c r="D254" t="s">
        <v>898</v>
      </c>
      <c r="E254" t="s">
        <v>899</v>
      </c>
      <c r="F254" t="s">
        <v>900</v>
      </c>
      <c r="G254" s="1">
        <v>42111</v>
      </c>
      <c r="H254" t="s">
        <v>1096</v>
      </c>
      <c r="I254" t="s">
        <v>1086</v>
      </c>
      <c r="J254" t="s">
        <v>1091</v>
      </c>
      <c r="N254" s="1"/>
      <c r="W254" s="1"/>
    </row>
    <row r="255" spans="1:23" hidden="1">
      <c r="A255" t="str">
        <f>_xlfn.IFNA(VLOOKUP(D255,Spelerslijst!A:B,1,FALSE),FALSE)</f>
        <v>NMT10Q1</v>
      </c>
      <c r="B255" t="b">
        <f>_xlfn.IFNA(VLOOKUP(D255,Spelerslijst!K:L,1,FALSE),FALSE)</f>
        <v>0</v>
      </c>
      <c r="C255" t="str">
        <f t="shared" si="3"/>
        <v/>
      </c>
      <c r="D255" t="s">
        <v>703</v>
      </c>
      <c r="E255" t="s">
        <v>704</v>
      </c>
      <c r="F255" t="s">
        <v>705</v>
      </c>
      <c r="G255" s="1">
        <v>29257</v>
      </c>
      <c r="H255" t="s">
        <v>1088</v>
      </c>
      <c r="I255" t="s">
        <v>1086</v>
      </c>
      <c r="J255" t="s">
        <v>1091</v>
      </c>
      <c r="N255" s="1"/>
      <c r="W255" s="1"/>
    </row>
    <row r="256" spans="1:23">
      <c r="A256" t="b">
        <f>_xlfn.IFNA(VLOOKUP(D256,Spelerslijst!A:B,1,FALSE),FALSE)</f>
        <v>0</v>
      </c>
      <c r="B256" t="str">
        <f>_xlfn.IFNA(VLOOKUP(D256,Spelerslijst!K:L,1,FALSE),FALSE)</f>
        <v>NMT18Q5</v>
      </c>
      <c r="C256" t="str">
        <f t="shared" si="3"/>
        <v/>
      </c>
      <c r="D256" t="s">
        <v>553</v>
      </c>
      <c r="E256" t="s">
        <v>554</v>
      </c>
      <c r="F256" t="s">
        <v>549</v>
      </c>
      <c r="G256" s="1">
        <v>40848</v>
      </c>
      <c r="H256" t="s">
        <v>1095</v>
      </c>
      <c r="I256" t="s">
        <v>1086</v>
      </c>
      <c r="J256" t="s">
        <v>1087</v>
      </c>
      <c r="N256" s="1"/>
      <c r="W256" s="1"/>
    </row>
    <row r="257" spans="1:24" hidden="1">
      <c r="A257" t="str">
        <f>_xlfn.IFNA(VLOOKUP(D257,Spelerslijst!A:B,1,FALSE),FALSE)</f>
        <v>NMT44W0</v>
      </c>
      <c r="B257" t="b">
        <f>_xlfn.IFNA(VLOOKUP(D257,Spelerslijst!K:L,1,FALSE),FALSE)</f>
        <v>0</v>
      </c>
      <c r="C257" t="str">
        <f t="shared" si="3"/>
        <v/>
      </c>
      <c r="D257" t="s">
        <v>839</v>
      </c>
      <c r="E257" t="s">
        <v>840</v>
      </c>
      <c r="F257" t="s">
        <v>836</v>
      </c>
      <c r="G257" s="1">
        <v>40273</v>
      </c>
      <c r="H257" t="s">
        <v>1095</v>
      </c>
      <c r="I257" t="s">
        <v>1086</v>
      </c>
      <c r="J257" t="s">
        <v>1091</v>
      </c>
      <c r="N257" s="1"/>
      <c r="W257" s="1"/>
    </row>
    <row r="258" spans="1:24">
      <c r="A258" t="b">
        <f>_xlfn.IFNA(VLOOKUP(D258,Spelerslijst!A:B,1,FALSE),FALSE)</f>
        <v>0</v>
      </c>
      <c r="B258" t="str">
        <f>_xlfn.IFNA(VLOOKUP(D258,Spelerslijst!K:L,1,FALSE),FALSE)</f>
        <v>NMV01T2</v>
      </c>
      <c r="C258" t="str">
        <f t="shared" si="3"/>
        <v/>
      </c>
      <c r="D258" t="s">
        <v>662</v>
      </c>
      <c r="E258" t="s">
        <v>663</v>
      </c>
      <c r="F258" t="s">
        <v>664</v>
      </c>
      <c r="G258" s="1">
        <v>42156</v>
      </c>
      <c r="H258" t="s">
        <v>1096</v>
      </c>
      <c r="I258" t="s">
        <v>1086</v>
      </c>
      <c r="J258" t="s">
        <v>1087</v>
      </c>
      <c r="N258" s="1"/>
      <c r="W258" s="1"/>
    </row>
    <row r="259" spans="1:24">
      <c r="A259" t="b">
        <f>_xlfn.IFNA(VLOOKUP(D259,Spelerslijst!A:B,1,FALSE),FALSE)</f>
        <v>0</v>
      </c>
      <c r="B259" t="str">
        <f>_xlfn.IFNA(VLOOKUP(D259,Spelerslijst!K:L,1,FALSE),FALSE)</f>
        <v>NMV37K2</v>
      </c>
      <c r="C259" t="str">
        <f t="shared" ref="C259:C282" si="4">IF(AND(A259=FALSE,B259=FALSE),"Onbekend","")</f>
        <v/>
      </c>
      <c r="D259" t="s">
        <v>421</v>
      </c>
      <c r="E259" t="s">
        <v>422</v>
      </c>
      <c r="F259" t="s">
        <v>423</v>
      </c>
      <c r="G259" s="1">
        <v>40307</v>
      </c>
      <c r="H259" t="s">
        <v>1095</v>
      </c>
      <c r="I259" t="s">
        <v>1086</v>
      </c>
      <c r="J259" t="s">
        <v>1087</v>
      </c>
      <c r="N259" s="1"/>
      <c r="W259" s="1"/>
    </row>
    <row r="260" spans="1:24" hidden="1">
      <c r="A260" t="str">
        <f>_xlfn.IFNA(VLOOKUP(D260,Spelerslijst!A:B,1,FALSE),FALSE)</f>
        <v>NMV61M3</v>
      </c>
      <c r="B260" t="b">
        <f>_xlfn.IFNA(VLOOKUP(D260,Spelerslijst!K:L,1,FALSE),FALSE)</f>
        <v>0</v>
      </c>
      <c r="C260" t="str">
        <f t="shared" si="4"/>
        <v/>
      </c>
      <c r="D260" t="s">
        <v>71</v>
      </c>
      <c r="E260" t="s">
        <v>72</v>
      </c>
      <c r="F260" t="s">
        <v>73</v>
      </c>
      <c r="G260" s="1">
        <v>42919</v>
      </c>
      <c r="H260" t="s">
        <v>1096</v>
      </c>
      <c r="I260" t="s">
        <v>1086</v>
      </c>
      <c r="J260" t="s">
        <v>1091</v>
      </c>
      <c r="N260" s="1"/>
      <c r="W260" s="1"/>
    </row>
    <row r="261" spans="1:24">
      <c r="A261" t="b">
        <f>_xlfn.IFNA(VLOOKUP(D261,Spelerslijst!A:B,1,FALSE),FALSE)</f>
        <v>0</v>
      </c>
      <c r="B261" t="str">
        <f>_xlfn.IFNA(VLOOKUP(D261,Spelerslijst!K:L,1,FALSE),FALSE)</f>
        <v>NMV70H0</v>
      </c>
      <c r="C261" t="str">
        <f t="shared" si="4"/>
        <v/>
      </c>
      <c r="D261" t="s">
        <v>837</v>
      </c>
      <c r="E261" t="s">
        <v>838</v>
      </c>
      <c r="F261" t="s">
        <v>833</v>
      </c>
      <c r="G261" s="1">
        <v>42324</v>
      </c>
      <c r="H261" t="s">
        <v>1096</v>
      </c>
      <c r="I261" t="s">
        <v>1086</v>
      </c>
      <c r="J261" t="s">
        <v>1087</v>
      </c>
      <c r="N261" s="1"/>
      <c r="W261" s="1"/>
    </row>
    <row r="262" spans="1:24">
      <c r="A262" t="b">
        <f>_xlfn.IFNA(VLOOKUP(D262,Spelerslijst!A:B,1,FALSE),FALSE)</f>
        <v>0</v>
      </c>
      <c r="B262" t="str">
        <f>_xlfn.IFNA(VLOOKUP(D262,Spelerslijst!K:L,1,FALSE),FALSE)</f>
        <v>NMV71X5</v>
      </c>
      <c r="C262" t="str">
        <f t="shared" si="4"/>
        <v/>
      </c>
      <c r="D262" t="s">
        <v>68</v>
      </c>
      <c r="E262" t="s">
        <v>69</v>
      </c>
      <c r="F262" t="s">
        <v>70</v>
      </c>
      <c r="G262" s="1">
        <v>42901</v>
      </c>
      <c r="H262" t="s">
        <v>1096</v>
      </c>
      <c r="I262" t="s">
        <v>1086</v>
      </c>
      <c r="J262" t="s">
        <v>1087</v>
      </c>
      <c r="N262" s="1"/>
      <c r="W262" s="1"/>
    </row>
    <row r="263" spans="1:24" hidden="1">
      <c r="A263" t="str">
        <f>_xlfn.IFNA(VLOOKUP(D263,Spelerslijst!A:B,1,FALSE),FALSE)</f>
        <v>NMV75Z1</v>
      </c>
      <c r="B263" t="b">
        <f>_xlfn.IFNA(VLOOKUP(D263,Spelerslijst!K:L,1,FALSE),FALSE)</f>
        <v>0</v>
      </c>
      <c r="C263" t="str">
        <f t="shared" si="4"/>
        <v/>
      </c>
      <c r="D263" t="s">
        <v>924</v>
      </c>
      <c r="E263" t="s">
        <v>925</v>
      </c>
      <c r="F263" t="s">
        <v>926</v>
      </c>
      <c r="G263" s="1">
        <v>42713</v>
      </c>
      <c r="H263" t="s">
        <v>1096</v>
      </c>
      <c r="I263" t="s">
        <v>1086</v>
      </c>
      <c r="J263" t="s">
        <v>1091</v>
      </c>
      <c r="N263" s="1"/>
      <c r="W263" s="1"/>
    </row>
    <row r="264" spans="1:24">
      <c r="A264" t="b">
        <f>_xlfn.IFNA(VLOOKUP(D264,Spelerslijst!A:B,1,FALSE),FALSE)</f>
        <v>0</v>
      </c>
      <c r="B264" t="str">
        <f>_xlfn.IFNA(VLOOKUP(D264,Spelerslijst!K:L,1,FALSE),FALSE)</f>
        <v>NMV76G1</v>
      </c>
      <c r="C264" t="str">
        <f t="shared" si="4"/>
        <v/>
      </c>
      <c r="D264" t="s">
        <v>86</v>
      </c>
      <c r="E264" t="s">
        <v>87</v>
      </c>
      <c r="F264" t="s">
        <v>88</v>
      </c>
      <c r="G264" s="1">
        <v>42955</v>
      </c>
      <c r="H264" t="s">
        <v>1096</v>
      </c>
      <c r="I264" t="s">
        <v>1086</v>
      </c>
      <c r="J264" t="s">
        <v>1087</v>
      </c>
      <c r="N264" s="1"/>
      <c r="W264" s="1"/>
    </row>
    <row r="265" spans="1:24" hidden="1">
      <c r="A265" t="str">
        <f>_xlfn.IFNA(VLOOKUP(D265,Spelerslijst!A:B,1,FALSE),FALSE)</f>
        <v>NMV77N3</v>
      </c>
      <c r="B265" t="b">
        <f>_xlfn.IFNA(VLOOKUP(D265,Spelerslijst!K:L,1,FALSE),FALSE)</f>
        <v>0</v>
      </c>
      <c r="C265" t="str">
        <f t="shared" si="4"/>
        <v/>
      </c>
      <c r="D265" t="s">
        <v>524</v>
      </c>
      <c r="E265" t="s">
        <v>525</v>
      </c>
      <c r="F265" t="s">
        <v>526</v>
      </c>
      <c r="G265" s="1">
        <v>43215</v>
      </c>
      <c r="H265" t="s">
        <v>1099</v>
      </c>
      <c r="I265" t="s">
        <v>1086</v>
      </c>
      <c r="J265" t="s">
        <v>1091</v>
      </c>
      <c r="N265" s="1"/>
      <c r="W265" s="1"/>
    </row>
    <row r="266" spans="1:24" hidden="1">
      <c r="A266" t="str">
        <f>_xlfn.IFNA(VLOOKUP(D266,Spelerslijst!A:B,1,FALSE),FALSE)</f>
        <v>NMV90Z6</v>
      </c>
      <c r="B266" t="b">
        <f>_xlfn.IFNA(VLOOKUP(D266,Spelerslijst!K:L,1,FALSE),FALSE)</f>
        <v>0</v>
      </c>
      <c r="C266" t="str">
        <f t="shared" si="4"/>
        <v/>
      </c>
      <c r="D266" t="s">
        <v>612</v>
      </c>
      <c r="E266" t="s">
        <v>613</v>
      </c>
      <c r="F266" t="s">
        <v>614</v>
      </c>
      <c r="G266" s="1">
        <v>42979</v>
      </c>
      <c r="H266" t="s">
        <v>1096</v>
      </c>
      <c r="I266" t="s">
        <v>1086</v>
      </c>
      <c r="J266" t="s">
        <v>1091</v>
      </c>
      <c r="N266" s="1"/>
      <c r="W266" s="1"/>
    </row>
    <row r="267" spans="1:24" hidden="1">
      <c r="A267" t="str">
        <f>_xlfn.IFNA(VLOOKUP(D267,Spelerslijst!A:B,1,FALSE),FALSE)</f>
        <v>NMW34Q6</v>
      </c>
      <c r="B267" t="b">
        <f>_xlfn.IFNA(VLOOKUP(D267,Spelerslijst!K:L,1,FALSE),FALSE)</f>
        <v>0</v>
      </c>
      <c r="C267" t="str">
        <f t="shared" si="4"/>
        <v/>
      </c>
      <c r="D267" t="s">
        <v>823</v>
      </c>
      <c r="E267" t="s">
        <v>824</v>
      </c>
      <c r="F267" t="s">
        <v>825</v>
      </c>
      <c r="G267" s="1">
        <v>41958</v>
      </c>
      <c r="H267" t="s">
        <v>1096</v>
      </c>
      <c r="I267" t="s">
        <v>1086</v>
      </c>
      <c r="J267" t="s">
        <v>1091</v>
      </c>
      <c r="N267" s="1"/>
      <c r="W267" s="1"/>
    </row>
    <row r="268" spans="1:24">
      <c r="A268" t="b">
        <f>_xlfn.IFNA(VLOOKUP(D268,Spelerslijst!A:B,1,FALSE),FALSE)</f>
        <v>0</v>
      </c>
      <c r="B268" t="str">
        <f>_xlfn.IFNA(VLOOKUP(D268,Spelerslijst!K:L,1,FALSE),FALSE)</f>
        <v>NMW39Y7</v>
      </c>
      <c r="C268" t="str">
        <f t="shared" si="4"/>
        <v/>
      </c>
      <c r="D268" t="s">
        <v>706</v>
      </c>
      <c r="E268" t="s">
        <v>707</v>
      </c>
      <c r="F268" t="s">
        <v>702</v>
      </c>
      <c r="G268" s="1">
        <v>43333</v>
      </c>
      <c r="H268" t="s">
        <v>1099</v>
      </c>
      <c r="I268" t="s">
        <v>1086</v>
      </c>
      <c r="J268" t="s">
        <v>1087</v>
      </c>
      <c r="N268" s="1"/>
      <c r="W268" s="1"/>
      <c r="X268" s="1"/>
    </row>
    <row r="269" spans="1:24">
      <c r="A269" t="b">
        <f>_xlfn.IFNA(VLOOKUP(D269,Spelerslijst!A:B,1,FALSE),FALSE)</f>
        <v>0</v>
      </c>
      <c r="B269" t="str">
        <f>_xlfn.IFNA(VLOOKUP(D269,Spelerslijst!K:L,1,FALSE),FALSE)</f>
        <v>NMW39Z4</v>
      </c>
      <c r="C269" t="str">
        <f t="shared" si="4"/>
        <v/>
      </c>
      <c r="D269" t="s">
        <v>274</v>
      </c>
      <c r="E269" t="s">
        <v>275</v>
      </c>
      <c r="F269" t="s">
        <v>276</v>
      </c>
      <c r="G269" s="1">
        <v>42011</v>
      </c>
      <c r="H269" t="s">
        <v>1096</v>
      </c>
      <c r="I269" t="s">
        <v>1086</v>
      </c>
      <c r="J269" t="s">
        <v>1087</v>
      </c>
      <c r="N269" s="1"/>
      <c r="W269" s="1"/>
    </row>
    <row r="270" spans="1:24" hidden="1">
      <c r="A270" t="str">
        <f>_xlfn.IFNA(VLOOKUP(D270,Spelerslijst!A:B,1,FALSE),FALSE)</f>
        <v>NMW65S8</v>
      </c>
      <c r="B270" t="b">
        <f>_xlfn.IFNA(VLOOKUP(D270,Spelerslijst!K:L,1,FALSE),FALSE)</f>
        <v>0</v>
      </c>
      <c r="C270" t="str">
        <f t="shared" si="4"/>
        <v/>
      </c>
      <c r="D270" t="s">
        <v>106</v>
      </c>
      <c r="E270" t="s">
        <v>107</v>
      </c>
      <c r="F270" t="s">
        <v>108</v>
      </c>
      <c r="G270" s="1">
        <v>36522</v>
      </c>
      <c r="H270" t="s">
        <v>1085</v>
      </c>
      <c r="I270" t="s">
        <v>1086</v>
      </c>
      <c r="J270" t="s">
        <v>1091</v>
      </c>
      <c r="N270" s="1"/>
      <c r="W270" s="1"/>
      <c r="X270" s="1"/>
    </row>
    <row r="271" spans="1:24" hidden="1">
      <c r="A271" t="str">
        <f>_xlfn.IFNA(VLOOKUP(D271,Spelerslijst!A:B,1,FALSE),FALSE)</f>
        <v>NMW80G9</v>
      </c>
      <c r="B271" t="b">
        <f>_xlfn.IFNA(VLOOKUP(D271,Spelerslijst!K:L,1,FALSE),FALSE)</f>
        <v>0</v>
      </c>
      <c r="C271" t="str">
        <f t="shared" si="4"/>
        <v/>
      </c>
      <c r="D271" t="s">
        <v>730</v>
      </c>
      <c r="E271" t="s">
        <v>731</v>
      </c>
      <c r="F271" t="s">
        <v>732</v>
      </c>
      <c r="G271" s="1">
        <v>42194</v>
      </c>
      <c r="H271" t="s">
        <v>1096</v>
      </c>
      <c r="I271" t="s">
        <v>1086</v>
      </c>
      <c r="J271" t="s">
        <v>1091</v>
      </c>
      <c r="N271" s="1"/>
      <c r="W271" s="1"/>
    </row>
    <row r="272" spans="1:24" hidden="1">
      <c r="A272" t="str">
        <f>_xlfn.IFNA(VLOOKUP(D272,Spelerslijst!A:B,1,FALSE),FALSE)</f>
        <v>NMW80H6</v>
      </c>
      <c r="B272" t="b">
        <f>_xlfn.IFNA(VLOOKUP(D272,Spelerslijst!K:L,1,FALSE),FALSE)</f>
        <v>0</v>
      </c>
      <c r="C272" t="str">
        <f t="shared" si="4"/>
        <v/>
      </c>
      <c r="D272" t="s">
        <v>759</v>
      </c>
      <c r="E272" t="s">
        <v>760</v>
      </c>
      <c r="F272" t="s">
        <v>761</v>
      </c>
      <c r="G272" s="1">
        <v>41430</v>
      </c>
      <c r="H272" t="s">
        <v>1096</v>
      </c>
      <c r="I272" t="s">
        <v>1086</v>
      </c>
      <c r="J272" t="s">
        <v>1091</v>
      </c>
      <c r="N272" s="1"/>
      <c r="W272" s="1"/>
    </row>
    <row r="273" spans="1:24" hidden="1">
      <c r="A273" t="str">
        <f>_xlfn.IFNA(VLOOKUP(D273,Spelerslijst!A:B,1,FALSE),FALSE)</f>
        <v>NMW83F1</v>
      </c>
      <c r="B273" t="b">
        <f>_xlfn.IFNA(VLOOKUP(D273,Spelerslijst!K:L,1,FALSE),FALSE)</f>
        <v>0</v>
      </c>
      <c r="C273" t="str">
        <f t="shared" si="4"/>
        <v/>
      </c>
      <c r="D273" t="s">
        <v>112</v>
      </c>
      <c r="E273" t="s">
        <v>113</v>
      </c>
      <c r="F273" t="s">
        <v>114</v>
      </c>
      <c r="G273" s="1">
        <v>40912</v>
      </c>
      <c r="H273" t="s">
        <v>1096</v>
      </c>
      <c r="I273" t="s">
        <v>1086</v>
      </c>
      <c r="J273" t="s">
        <v>1091</v>
      </c>
      <c r="N273" s="1"/>
      <c r="W273" s="1"/>
    </row>
    <row r="274" spans="1:24" hidden="1">
      <c r="A274" t="str">
        <f>_xlfn.IFNA(VLOOKUP(D274,Spelerslijst!A:B,1,FALSE),FALSE)</f>
        <v>NMW98N7</v>
      </c>
      <c r="B274" t="b">
        <f>_xlfn.IFNA(VLOOKUP(D274,Spelerslijst!K:L,1,FALSE),FALSE)</f>
        <v>0</v>
      </c>
      <c r="C274" t="str">
        <f t="shared" si="4"/>
        <v/>
      </c>
      <c r="D274" t="s">
        <v>725</v>
      </c>
      <c r="E274" t="s">
        <v>726</v>
      </c>
      <c r="F274" t="s">
        <v>727</v>
      </c>
      <c r="G274" s="1">
        <v>42259</v>
      </c>
      <c r="H274" t="s">
        <v>1096</v>
      </c>
      <c r="I274" t="s">
        <v>1086</v>
      </c>
      <c r="J274" t="s">
        <v>1091</v>
      </c>
      <c r="N274" s="1"/>
      <c r="W274" s="1"/>
    </row>
    <row r="275" spans="1:24" hidden="1">
      <c r="A275" t="str">
        <f>_xlfn.IFNA(VLOOKUP(D275,Spelerslijst!A:B,1,FALSE),FALSE)</f>
        <v>NMX01Q3</v>
      </c>
      <c r="B275" t="b">
        <f>_xlfn.IFNA(VLOOKUP(D275,Spelerslijst!K:L,1,FALSE),FALSE)</f>
        <v>0</v>
      </c>
      <c r="C275" t="str">
        <f t="shared" si="4"/>
        <v/>
      </c>
      <c r="D275" t="s">
        <v>266</v>
      </c>
      <c r="E275" t="s">
        <v>267</v>
      </c>
      <c r="F275" t="s">
        <v>268</v>
      </c>
      <c r="G275" s="1">
        <v>41223</v>
      </c>
      <c r="H275" t="s">
        <v>1096</v>
      </c>
      <c r="I275" t="s">
        <v>1086</v>
      </c>
      <c r="J275" t="s">
        <v>1091</v>
      </c>
      <c r="N275" s="1"/>
      <c r="W275" s="1"/>
    </row>
    <row r="276" spans="1:24">
      <c r="A276" t="b">
        <f>_xlfn.IFNA(VLOOKUP(D276,Spelerslijst!A:B,1,FALSE),FALSE)</f>
        <v>0</v>
      </c>
      <c r="B276" t="str">
        <f>_xlfn.IFNA(VLOOKUP(D276,Spelerslijst!K:L,1,FALSE),FALSE)</f>
        <v>NMX02T7</v>
      </c>
      <c r="C276" t="str">
        <f t="shared" si="4"/>
        <v/>
      </c>
      <c r="D276" t="s">
        <v>750</v>
      </c>
      <c r="E276" t="s">
        <v>751</v>
      </c>
      <c r="F276" t="s">
        <v>752</v>
      </c>
      <c r="G276" s="1">
        <v>43224</v>
      </c>
      <c r="H276" t="s">
        <v>1099</v>
      </c>
      <c r="I276" t="s">
        <v>1086</v>
      </c>
      <c r="J276" t="s">
        <v>1087</v>
      </c>
      <c r="N276" s="1"/>
      <c r="W276" s="1"/>
    </row>
    <row r="277" spans="1:24">
      <c r="A277" t="b">
        <f>_xlfn.IFNA(VLOOKUP(D277,Spelerslijst!A:B,1,FALSE),FALSE)</f>
        <v>0</v>
      </c>
      <c r="B277" t="str">
        <f>_xlfn.IFNA(VLOOKUP(D277,Spelerslijst!K:L,1,FALSE),FALSE)</f>
        <v>NMX21V8</v>
      </c>
      <c r="C277" t="str">
        <f t="shared" si="4"/>
        <v/>
      </c>
      <c r="D277" t="s">
        <v>162</v>
      </c>
      <c r="E277" t="s">
        <v>163</v>
      </c>
      <c r="F277" t="s">
        <v>164</v>
      </c>
      <c r="G277" s="1">
        <v>42507</v>
      </c>
      <c r="H277" t="s">
        <v>1096</v>
      </c>
      <c r="I277" t="s">
        <v>1086</v>
      </c>
      <c r="J277" t="s">
        <v>1087</v>
      </c>
      <c r="N277" s="1"/>
      <c r="W277" s="1"/>
    </row>
    <row r="278" spans="1:24">
      <c r="A278" t="b">
        <f>_xlfn.IFNA(VLOOKUP(D278,Spelerslijst!A:B,1,FALSE),FALSE)</f>
        <v>0</v>
      </c>
      <c r="B278" t="str">
        <f>_xlfn.IFNA(VLOOKUP(D278,Spelerslijst!K:L,1,FALSE),FALSE)</f>
        <v>NMX35P3</v>
      </c>
      <c r="C278" t="str">
        <f t="shared" si="4"/>
        <v/>
      </c>
      <c r="D278" t="s">
        <v>502</v>
      </c>
      <c r="E278" t="s">
        <v>503</v>
      </c>
      <c r="F278" t="s">
        <v>504</v>
      </c>
      <c r="G278" s="1">
        <v>41695</v>
      </c>
      <c r="H278" t="s">
        <v>1096</v>
      </c>
      <c r="I278" t="s">
        <v>1086</v>
      </c>
      <c r="J278" t="s">
        <v>1087</v>
      </c>
      <c r="N278" s="1"/>
      <c r="W278" s="1"/>
    </row>
    <row r="279" spans="1:24">
      <c r="A279" t="b">
        <f>_xlfn.IFNA(VLOOKUP(D279,Spelerslijst!A:B,1,FALSE),FALSE)</f>
        <v>0</v>
      </c>
      <c r="B279" t="str">
        <f>_xlfn.IFNA(VLOOKUP(D279,Spelerslijst!K:L,1,FALSE),FALSE)</f>
        <v>NMX53X3</v>
      </c>
      <c r="C279" t="str">
        <f t="shared" si="4"/>
        <v/>
      </c>
      <c r="D279" t="s">
        <v>168</v>
      </c>
      <c r="E279" t="s">
        <v>169</v>
      </c>
      <c r="F279" t="s">
        <v>170</v>
      </c>
      <c r="G279" s="1">
        <v>41735</v>
      </c>
      <c r="H279" t="s">
        <v>1096</v>
      </c>
      <c r="I279" t="s">
        <v>1086</v>
      </c>
      <c r="J279" t="s">
        <v>1087</v>
      </c>
      <c r="N279" s="1"/>
      <c r="W279" s="1"/>
    </row>
    <row r="280" spans="1:24" hidden="1">
      <c r="A280" t="str">
        <f>_xlfn.IFNA(VLOOKUP(D280,Spelerslijst!A:B,1,FALSE),FALSE)</f>
        <v>NMX55K8</v>
      </c>
      <c r="B280" t="b">
        <f>_xlfn.IFNA(VLOOKUP(D280,Spelerslijst!K:L,1,FALSE),FALSE)</f>
        <v>0</v>
      </c>
      <c r="C280" t="str">
        <f t="shared" si="4"/>
        <v/>
      </c>
      <c r="D280" t="s">
        <v>475</v>
      </c>
      <c r="E280" t="s">
        <v>476</v>
      </c>
      <c r="F280" t="s">
        <v>477</v>
      </c>
      <c r="G280" s="1">
        <v>42696</v>
      </c>
      <c r="H280" t="s">
        <v>1096</v>
      </c>
      <c r="I280" t="s">
        <v>1086</v>
      </c>
      <c r="J280" t="s">
        <v>1091</v>
      </c>
      <c r="N280" s="1"/>
      <c r="W280" s="1"/>
      <c r="X280" s="1"/>
    </row>
    <row r="281" spans="1:24" hidden="1">
      <c r="A281" t="str">
        <f>_xlfn.IFNA(VLOOKUP(D281,Spelerslijst!A:B,1,FALSE),FALSE)</f>
        <v>NMX62K4</v>
      </c>
      <c r="B281" t="b">
        <f>_xlfn.IFNA(VLOOKUP(D281,Spelerslijst!K:L,1,FALSE),FALSE)</f>
        <v>0</v>
      </c>
      <c r="C281" t="str">
        <f t="shared" si="4"/>
        <v/>
      </c>
      <c r="D281" t="s">
        <v>692</v>
      </c>
      <c r="E281" t="s">
        <v>693</v>
      </c>
      <c r="F281" t="s">
        <v>694</v>
      </c>
      <c r="G281" s="1">
        <v>41178</v>
      </c>
      <c r="H281" t="s">
        <v>1096</v>
      </c>
      <c r="I281" t="s">
        <v>1086</v>
      </c>
      <c r="J281" t="s">
        <v>1091</v>
      </c>
      <c r="N281" s="1"/>
      <c r="W281" s="1"/>
    </row>
    <row r="282" spans="1:24">
      <c r="A282" t="b">
        <f>_xlfn.IFNA(VLOOKUP(D282,Spelerslijst!A:B,1,FALSE),FALSE)</f>
        <v>0</v>
      </c>
      <c r="B282" t="str">
        <f>_xlfn.IFNA(VLOOKUP(D282,Spelerslijst!K:L,1,FALSE),FALSE)</f>
        <v>NMY03K8</v>
      </c>
      <c r="C282" t="str">
        <f t="shared" si="4"/>
        <v/>
      </c>
      <c r="D282" t="s">
        <v>615</v>
      </c>
      <c r="E282" t="s">
        <v>616</v>
      </c>
      <c r="F282" t="s">
        <v>617</v>
      </c>
      <c r="G282" s="1">
        <v>44190</v>
      </c>
      <c r="H282" t="s">
        <v>1099</v>
      </c>
      <c r="I282" t="s">
        <v>1086</v>
      </c>
      <c r="J282" t="s">
        <v>1087</v>
      </c>
      <c r="N282" s="1"/>
      <c r="W282" s="1"/>
    </row>
    <row r="283" spans="1:24">
      <c r="A283" t="b">
        <f>_xlfn.IFNA(VLOOKUP(D283,Spelerslijst!A:B,1,FALSE),FALSE)</f>
        <v>0</v>
      </c>
      <c r="B283" t="str">
        <f>_xlfn.IFNA(VLOOKUP(D283,Spelerslijst!K:L,1,FALSE),FALSE)</f>
        <v>NMY03L5</v>
      </c>
      <c r="C283" t="str">
        <f t="shared" ref="C283" si="5">IF(AND(A283=FALSE,B283=FALSE),"Onbekend","")</f>
        <v/>
      </c>
      <c r="D283" t="s">
        <v>768</v>
      </c>
      <c r="E283" t="s">
        <v>769</v>
      </c>
      <c r="F283" t="s">
        <v>770</v>
      </c>
      <c r="G283" s="1">
        <v>45182</v>
      </c>
      <c r="H283" t="s">
        <v>1099</v>
      </c>
      <c r="I283" t="s">
        <v>1086</v>
      </c>
      <c r="J283" t="s">
        <v>1087</v>
      </c>
      <c r="N283" s="1"/>
      <c r="W283" s="1"/>
    </row>
    <row r="284" spans="1:24">
      <c r="R284" s="1"/>
    </row>
    <row r="285" spans="1:24">
      <c r="R285" s="1"/>
      <c r="S285" s="1"/>
    </row>
    <row r="286" spans="1:24">
      <c r="R286" s="1"/>
    </row>
    <row r="287" spans="1:24">
      <c r="R287" s="1"/>
    </row>
    <row r="288" spans="1:24">
      <c r="R288" s="1"/>
    </row>
    <row r="289" spans="18:19">
      <c r="R289" s="1"/>
    </row>
    <row r="290" spans="18:19">
      <c r="R290" s="1"/>
    </row>
    <row r="291" spans="18:19">
      <c r="R291" s="1"/>
    </row>
    <row r="292" spans="18:19">
      <c r="R292" s="1"/>
    </row>
    <row r="293" spans="18:19">
      <c r="R293" s="1"/>
    </row>
    <row r="294" spans="18:19">
      <c r="R294" s="1"/>
    </row>
    <row r="295" spans="18:19">
      <c r="R295" s="1"/>
    </row>
    <row r="296" spans="18:19">
      <c r="R296" s="1"/>
    </row>
    <row r="297" spans="18:19">
      <c r="R297" s="1"/>
    </row>
    <row r="298" spans="18:19">
      <c r="R298" s="1"/>
    </row>
    <row r="299" spans="18:19">
      <c r="R299" s="1"/>
    </row>
    <row r="300" spans="18:19">
      <c r="R300" s="1"/>
    </row>
    <row r="301" spans="18:19">
      <c r="R301" s="1"/>
    </row>
    <row r="302" spans="18:19">
      <c r="R302" s="1"/>
    </row>
    <row r="303" spans="18:19">
      <c r="R303" s="1"/>
      <c r="S303" s="1"/>
    </row>
    <row r="304" spans="18:19">
      <c r="R304" s="1"/>
    </row>
    <row r="305" spans="18:19">
      <c r="R305" s="1"/>
    </row>
    <row r="306" spans="18:19">
      <c r="R306" s="1"/>
    </row>
    <row r="307" spans="18:19">
      <c r="R307" s="1"/>
    </row>
    <row r="308" spans="18:19">
      <c r="R308" s="1"/>
    </row>
    <row r="309" spans="18:19">
      <c r="R309" s="1"/>
    </row>
    <row r="310" spans="18:19">
      <c r="R310" s="1"/>
    </row>
    <row r="311" spans="18:19">
      <c r="R311" s="1"/>
    </row>
    <row r="312" spans="18:19">
      <c r="R312" s="1"/>
    </row>
    <row r="313" spans="18:19">
      <c r="R313" s="1"/>
    </row>
    <row r="314" spans="18:19">
      <c r="R314" s="1"/>
    </row>
    <row r="315" spans="18:19">
      <c r="R315" s="1"/>
    </row>
    <row r="316" spans="18:19">
      <c r="R316" s="1"/>
    </row>
    <row r="317" spans="18:19">
      <c r="R317" s="1"/>
      <c r="S317" s="1"/>
    </row>
    <row r="318" spans="18:19">
      <c r="R318" s="1"/>
    </row>
    <row r="319" spans="18:19">
      <c r="R319" s="1"/>
    </row>
    <row r="320" spans="18:19">
      <c r="R320" s="1"/>
    </row>
    <row r="321" spans="18:18">
      <c r="R321" s="1"/>
    </row>
    <row r="322" spans="18:18">
      <c r="R322" s="1"/>
    </row>
    <row r="323" spans="18:18">
      <c r="R323" s="1"/>
    </row>
    <row r="324" spans="18:18">
      <c r="R324" s="1"/>
    </row>
    <row r="325" spans="18:18">
      <c r="R325" s="1"/>
    </row>
    <row r="326" spans="18:18">
      <c r="R326" s="1"/>
    </row>
    <row r="327" spans="18:18">
      <c r="R327" s="1"/>
    </row>
    <row r="328" spans="18:18">
      <c r="R328" s="1"/>
    </row>
    <row r="329" spans="18:18">
      <c r="R329" s="1"/>
    </row>
    <row r="330" spans="18:18">
      <c r="R330" s="1"/>
    </row>
    <row r="331" spans="18:18">
      <c r="R331" s="1"/>
    </row>
    <row r="332" spans="18:18">
      <c r="R332" s="1"/>
    </row>
    <row r="333" spans="18:18">
      <c r="R333" s="1"/>
    </row>
    <row r="334" spans="18:18">
      <c r="R334" s="1"/>
    </row>
    <row r="335" spans="18:18">
      <c r="R335" s="1"/>
    </row>
    <row r="336" spans="18:18">
      <c r="R336" s="1"/>
    </row>
    <row r="337" spans="18:18">
      <c r="R337" s="1"/>
    </row>
    <row r="338" spans="18:18">
      <c r="R338" s="1"/>
    </row>
    <row r="339" spans="18:18">
      <c r="R339" s="1"/>
    </row>
    <row r="340" spans="18:18">
      <c r="R340" s="1"/>
    </row>
    <row r="341" spans="18:18">
      <c r="R341" s="1"/>
    </row>
    <row r="342" spans="18:18">
      <c r="R342" s="1"/>
    </row>
    <row r="343" spans="18:18">
      <c r="R343" s="1"/>
    </row>
    <row r="344" spans="18:18">
      <c r="R344" s="1"/>
    </row>
    <row r="345" spans="18:18">
      <c r="R345" s="1"/>
    </row>
    <row r="346" spans="18:18">
      <c r="R346" s="1"/>
    </row>
    <row r="347" spans="18:18">
      <c r="R347" s="1"/>
    </row>
    <row r="348" spans="18:18">
      <c r="R348" s="1"/>
    </row>
    <row r="349" spans="18:18">
      <c r="R349" s="1"/>
    </row>
    <row r="350" spans="18:18">
      <c r="R350" s="1"/>
    </row>
    <row r="351" spans="18:18">
      <c r="R351" s="1"/>
    </row>
    <row r="352" spans="18:18">
      <c r="R352" s="1"/>
    </row>
    <row r="353" spans="18:19">
      <c r="R353" s="1"/>
    </row>
    <row r="354" spans="18:19">
      <c r="R354" s="1"/>
    </row>
    <row r="355" spans="18:19">
      <c r="R355" s="1"/>
    </row>
    <row r="356" spans="18:19">
      <c r="R356" s="1"/>
    </row>
    <row r="357" spans="18:19">
      <c r="R357" s="1"/>
    </row>
    <row r="358" spans="18:19">
      <c r="R358" s="1"/>
    </row>
    <row r="359" spans="18:19">
      <c r="R359" s="1"/>
    </row>
    <row r="360" spans="18:19">
      <c r="R360" s="1"/>
    </row>
    <row r="361" spans="18:19">
      <c r="R361" s="1"/>
    </row>
    <row r="362" spans="18:19">
      <c r="R362" s="1"/>
    </row>
    <row r="363" spans="18:19">
      <c r="R363" s="1"/>
    </row>
    <row r="364" spans="18:19">
      <c r="R364" s="1"/>
      <c r="S364" s="1"/>
    </row>
    <row r="365" spans="18:19">
      <c r="R365" s="1"/>
    </row>
    <row r="366" spans="18:19">
      <c r="R366" s="1"/>
    </row>
    <row r="367" spans="18:19">
      <c r="R367" s="1"/>
    </row>
    <row r="368" spans="18:19">
      <c r="R368" s="1"/>
    </row>
    <row r="369" spans="18:19">
      <c r="R369" s="1"/>
    </row>
    <row r="370" spans="18:19">
      <c r="R370" s="1"/>
    </row>
    <row r="371" spans="18:19">
      <c r="R371" s="1"/>
    </row>
    <row r="372" spans="18:19">
      <c r="R372" s="1"/>
    </row>
    <row r="373" spans="18:19">
      <c r="R373" s="1"/>
    </row>
    <row r="374" spans="18:19">
      <c r="R374" s="1"/>
    </row>
    <row r="375" spans="18:19">
      <c r="R375" s="1"/>
    </row>
    <row r="376" spans="18:19">
      <c r="R376" s="1"/>
    </row>
    <row r="377" spans="18:19">
      <c r="R377" s="1"/>
    </row>
    <row r="378" spans="18:19">
      <c r="R378" s="1"/>
    </row>
    <row r="379" spans="18:19">
      <c r="R379" s="1"/>
    </row>
    <row r="380" spans="18:19">
      <c r="R380" s="1"/>
    </row>
    <row r="381" spans="18:19">
      <c r="R381" s="1"/>
      <c r="S381" s="1"/>
    </row>
    <row r="382" spans="18:19">
      <c r="R382" s="1"/>
    </row>
    <row r="383" spans="18:19">
      <c r="R383" s="1"/>
    </row>
    <row r="384" spans="18:19">
      <c r="R384" s="1"/>
    </row>
    <row r="385" spans="18:19">
      <c r="R385" s="1"/>
    </row>
    <row r="386" spans="18:19">
      <c r="R386" s="1"/>
    </row>
    <row r="387" spans="18:19">
      <c r="R387" s="1"/>
    </row>
    <row r="388" spans="18:19">
      <c r="R388" s="1"/>
    </row>
    <row r="389" spans="18:19">
      <c r="R389" s="1"/>
      <c r="S389" s="1"/>
    </row>
    <row r="390" spans="18:19">
      <c r="R390" s="1"/>
    </row>
    <row r="391" spans="18:19">
      <c r="R391" s="1"/>
    </row>
    <row r="392" spans="18:19">
      <c r="R392" s="1"/>
    </row>
    <row r="393" spans="18:19">
      <c r="R393" s="1"/>
    </row>
    <row r="394" spans="18:19">
      <c r="R394" s="1"/>
    </row>
    <row r="395" spans="18:19">
      <c r="R395" s="1"/>
    </row>
    <row r="396" spans="18:19">
      <c r="R396" s="1"/>
    </row>
    <row r="397" spans="18:19">
      <c r="R397" s="1"/>
    </row>
    <row r="398" spans="18:19">
      <c r="R398" s="1"/>
    </row>
    <row r="399" spans="18:19">
      <c r="R399" s="1"/>
    </row>
    <row r="400" spans="18:19">
      <c r="R400" s="1"/>
    </row>
    <row r="401" spans="18:19">
      <c r="R401" s="1"/>
    </row>
    <row r="402" spans="18:19">
      <c r="R402" s="1"/>
    </row>
    <row r="403" spans="18:19">
      <c r="R403" s="1"/>
    </row>
    <row r="404" spans="18:19">
      <c r="R404" s="1"/>
    </row>
    <row r="405" spans="18:19">
      <c r="R405" s="1"/>
    </row>
    <row r="406" spans="18:19">
      <c r="R406" s="1"/>
    </row>
    <row r="407" spans="18:19">
      <c r="R407" s="1"/>
      <c r="S407" s="1"/>
    </row>
    <row r="408" spans="18:19">
      <c r="R408" s="1"/>
    </row>
    <row r="409" spans="18:19">
      <c r="R409" s="1"/>
    </row>
    <row r="410" spans="18:19">
      <c r="R410" s="1"/>
    </row>
    <row r="411" spans="18:19">
      <c r="R411" s="1"/>
    </row>
    <row r="412" spans="18:19">
      <c r="R412" s="1"/>
    </row>
    <row r="413" spans="18:19">
      <c r="R413" s="1"/>
    </row>
    <row r="414" spans="18:19">
      <c r="R414" s="1"/>
    </row>
    <row r="415" spans="18:19">
      <c r="R415" s="1"/>
    </row>
    <row r="416" spans="18:19">
      <c r="R416" s="1"/>
    </row>
    <row r="417" spans="18:18">
      <c r="R417" s="1"/>
    </row>
    <row r="418" spans="18:18">
      <c r="R418" s="1"/>
    </row>
    <row r="419" spans="18:18">
      <c r="R419" s="1"/>
    </row>
    <row r="420" spans="18:18">
      <c r="R420" s="1"/>
    </row>
    <row r="421" spans="18:18">
      <c r="R421" s="1"/>
    </row>
    <row r="422" spans="18:18">
      <c r="R422" s="1"/>
    </row>
    <row r="423" spans="18:18">
      <c r="R423" s="1"/>
    </row>
    <row r="424" spans="18:18">
      <c r="R424" s="1"/>
    </row>
    <row r="425" spans="18:18">
      <c r="R425" s="1"/>
    </row>
    <row r="426" spans="18:18">
      <c r="R426" s="1"/>
    </row>
    <row r="427" spans="18:18">
      <c r="R427" s="1"/>
    </row>
    <row r="428" spans="18:18">
      <c r="R428" s="1"/>
    </row>
    <row r="429" spans="18:18">
      <c r="R429" s="1"/>
    </row>
    <row r="430" spans="18:18">
      <c r="R430" s="1"/>
    </row>
    <row r="431" spans="18:18">
      <c r="R431" s="1"/>
    </row>
    <row r="432" spans="18:18">
      <c r="R432" s="1"/>
    </row>
    <row r="433" spans="18:19">
      <c r="R433" s="1"/>
    </row>
    <row r="434" spans="18:19">
      <c r="R434" s="1"/>
      <c r="S434" s="1"/>
    </row>
    <row r="435" spans="18:19">
      <c r="R435" s="1"/>
    </row>
    <row r="436" spans="18:19">
      <c r="R436" s="1"/>
    </row>
    <row r="437" spans="18:19">
      <c r="R437" s="1"/>
      <c r="S437" s="1"/>
    </row>
    <row r="438" spans="18:19">
      <c r="R438" s="1"/>
    </row>
    <row r="439" spans="18:19">
      <c r="R439" s="1"/>
    </row>
    <row r="440" spans="18:19">
      <c r="R440" s="1"/>
    </row>
    <row r="441" spans="18:19">
      <c r="R441" s="1"/>
    </row>
    <row r="442" spans="18:19">
      <c r="R442" s="1"/>
    </row>
    <row r="443" spans="18:19">
      <c r="R443" s="1"/>
      <c r="S443" s="1"/>
    </row>
    <row r="444" spans="18:19">
      <c r="R444" s="1"/>
    </row>
    <row r="445" spans="18:19">
      <c r="R445" s="1"/>
    </row>
    <row r="446" spans="18:19">
      <c r="R446" s="1"/>
    </row>
    <row r="447" spans="18:19">
      <c r="R447" s="1"/>
    </row>
    <row r="448" spans="18:19">
      <c r="R448" s="1"/>
    </row>
    <row r="449" spans="18:19">
      <c r="R449" s="1"/>
    </row>
    <row r="450" spans="18:19">
      <c r="R450" s="1"/>
    </row>
    <row r="451" spans="18:19">
      <c r="R451" s="1"/>
    </row>
    <row r="452" spans="18:19">
      <c r="R452" s="1"/>
    </row>
    <row r="453" spans="18:19">
      <c r="R453" s="1"/>
    </row>
    <row r="454" spans="18:19">
      <c r="R454" s="1"/>
    </row>
    <row r="455" spans="18:19">
      <c r="R455" s="1"/>
    </row>
    <row r="456" spans="18:19">
      <c r="R456" s="1"/>
    </row>
    <row r="457" spans="18:19">
      <c r="R457" s="1"/>
    </row>
    <row r="458" spans="18:19">
      <c r="R458" s="1"/>
    </row>
    <row r="459" spans="18:19">
      <c r="R459" s="1"/>
      <c r="S459" s="1"/>
    </row>
    <row r="460" spans="18:19">
      <c r="R460" s="1"/>
    </row>
    <row r="461" spans="18:19">
      <c r="R461" s="1"/>
    </row>
    <row r="462" spans="18:19">
      <c r="R462" s="1"/>
    </row>
    <row r="463" spans="18:19">
      <c r="R463" s="1"/>
    </row>
    <row r="464" spans="18:19">
      <c r="R464" s="1"/>
    </row>
    <row r="465" spans="18:18">
      <c r="R465" s="1"/>
    </row>
    <row r="466" spans="18:18">
      <c r="R466" s="1"/>
    </row>
    <row r="467" spans="18:18">
      <c r="R467" s="1"/>
    </row>
    <row r="468" spans="18:18">
      <c r="R468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1AFB-D683-4E27-9C9D-8DF2AAFFDC19}">
  <dimension ref="A1:G481"/>
  <sheetViews>
    <sheetView tabSelected="1" topLeftCell="A266" zoomScale="175" zoomScaleNormal="175" workbookViewId="0"/>
  </sheetViews>
  <sheetFormatPr defaultColWidth="8.7109375" defaultRowHeight="15"/>
  <cols>
    <col min="1" max="1" width="13" bestFit="1" customWidth="1"/>
    <col min="2" max="2" width="25.42578125" bestFit="1" customWidth="1"/>
    <col min="3" max="3" width="12.28515625" bestFit="1" customWidth="1"/>
    <col min="4" max="4" width="16.7109375" bestFit="1" customWidth="1"/>
    <col min="5" max="5" width="19.140625" bestFit="1" customWidth="1"/>
    <col min="6" max="6" width="11.28515625" bestFit="1" customWidth="1"/>
    <col min="7" max="7" width="10.28515625" bestFit="1" customWidth="1"/>
  </cols>
  <sheetData>
    <row r="1" spans="1:7">
      <c r="A1" t="s">
        <v>1080</v>
      </c>
      <c r="B1" t="s">
        <v>1081</v>
      </c>
      <c r="C1" t="s">
        <v>56</v>
      </c>
      <c r="D1" t="s">
        <v>1082</v>
      </c>
      <c r="E1" t="s">
        <v>1083</v>
      </c>
      <c r="F1" t="s">
        <v>1036</v>
      </c>
      <c r="G1" t="s">
        <v>1084</v>
      </c>
    </row>
    <row r="2" spans="1:7">
      <c r="A2" t="s">
        <v>65</v>
      </c>
      <c r="B2" t="s">
        <v>66</v>
      </c>
      <c r="C2" t="s">
        <v>67</v>
      </c>
      <c r="D2" s="1">
        <v>41668</v>
      </c>
      <c r="E2" t="s">
        <v>1096</v>
      </c>
      <c r="F2" t="s">
        <v>1086</v>
      </c>
      <c r="G2" t="s">
        <v>1087</v>
      </c>
    </row>
    <row r="3" spans="1:7">
      <c r="A3" t="s">
        <v>71</v>
      </c>
      <c r="B3" t="s">
        <v>72</v>
      </c>
      <c r="C3" t="s">
        <v>73</v>
      </c>
      <c r="D3" s="1">
        <v>42919</v>
      </c>
      <c r="E3" t="s">
        <v>1096</v>
      </c>
      <c r="F3" t="s">
        <v>1086</v>
      </c>
      <c r="G3" t="s">
        <v>1091</v>
      </c>
    </row>
    <row r="4" spans="1:7">
      <c r="A4" t="s">
        <v>77</v>
      </c>
      <c r="B4" t="s">
        <v>78</v>
      </c>
      <c r="C4" t="s">
        <v>79</v>
      </c>
      <c r="D4" s="1">
        <v>38480</v>
      </c>
      <c r="E4" t="s">
        <v>1093</v>
      </c>
      <c r="F4" t="s">
        <v>1086</v>
      </c>
      <c r="G4" t="s">
        <v>1091</v>
      </c>
    </row>
    <row r="5" spans="1:7">
      <c r="A5" t="s">
        <v>84</v>
      </c>
      <c r="B5" t="s">
        <v>85</v>
      </c>
      <c r="C5" t="s">
        <v>79</v>
      </c>
      <c r="D5" s="1">
        <v>39114</v>
      </c>
      <c r="E5" t="s">
        <v>1093</v>
      </c>
      <c r="F5" t="s">
        <v>1086</v>
      </c>
      <c r="G5" t="s">
        <v>1091</v>
      </c>
    </row>
    <row r="6" spans="1:7">
      <c r="A6" t="s">
        <v>68</v>
      </c>
      <c r="B6" t="s">
        <v>69</v>
      </c>
      <c r="C6" t="s">
        <v>70</v>
      </c>
      <c r="D6" s="1">
        <v>42901</v>
      </c>
      <c r="E6" t="s">
        <v>1096</v>
      </c>
      <c r="F6" t="s">
        <v>1086</v>
      </c>
      <c r="G6" t="s">
        <v>1087</v>
      </c>
    </row>
    <row r="7" spans="1:7">
      <c r="A7" t="s">
        <v>89</v>
      </c>
      <c r="B7" t="s">
        <v>90</v>
      </c>
      <c r="C7" t="s">
        <v>91</v>
      </c>
      <c r="D7" s="1">
        <v>37541</v>
      </c>
      <c r="E7" t="s">
        <v>1085</v>
      </c>
      <c r="F7" t="s">
        <v>1086</v>
      </c>
      <c r="G7" t="s">
        <v>1091</v>
      </c>
    </row>
    <row r="8" spans="1:7">
      <c r="A8" t="s">
        <v>95</v>
      </c>
      <c r="B8" t="s">
        <v>96</v>
      </c>
      <c r="C8" t="s">
        <v>97</v>
      </c>
      <c r="D8" s="1">
        <v>42308</v>
      </c>
      <c r="E8" t="s">
        <v>1096</v>
      </c>
      <c r="F8" t="s">
        <v>1086</v>
      </c>
      <c r="G8" t="s">
        <v>1091</v>
      </c>
    </row>
    <row r="9" spans="1:7">
      <c r="A9" t="s">
        <v>101</v>
      </c>
      <c r="B9" t="s">
        <v>102</v>
      </c>
      <c r="C9" t="s">
        <v>103</v>
      </c>
      <c r="D9" s="1">
        <v>36727</v>
      </c>
      <c r="E9" t="s">
        <v>1089</v>
      </c>
      <c r="F9" t="s">
        <v>1086</v>
      </c>
      <c r="G9" t="s">
        <v>1091</v>
      </c>
    </row>
    <row r="10" spans="1:7">
      <c r="A10" t="s">
        <v>106</v>
      </c>
      <c r="B10" t="s">
        <v>107</v>
      </c>
      <c r="C10" t="s">
        <v>108</v>
      </c>
      <c r="D10" s="1">
        <v>36522</v>
      </c>
      <c r="E10" t="s">
        <v>1085</v>
      </c>
      <c r="F10" t="s">
        <v>1086</v>
      </c>
      <c r="G10" t="s">
        <v>1091</v>
      </c>
    </row>
    <row r="11" spans="1:7">
      <c r="A11" t="s">
        <v>112</v>
      </c>
      <c r="B11" t="s">
        <v>113</v>
      </c>
      <c r="C11" t="s">
        <v>114</v>
      </c>
      <c r="D11" s="1">
        <v>40912</v>
      </c>
      <c r="E11" t="s">
        <v>1096</v>
      </c>
      <c r="F11" t="s">
        <v>1086</v>
      </c>
      <c r="G11" t="s">
        <v>1091</v>
      </c>
    </row>
    <row r="12" spans="1:7">
      <c r="A12" t="s">
        <v>118</v>
      </c>
      <c r="B12" t="s">
        <v>119</v>
      </c>
      <c r="C12" t="s">
        <v>120</v>
      </c>
      <c r="D12" s="1">
        <v>37324</v>
      </c>
      <c r="E12" t="s">
        <v>1085</v>
      </c>
      <c r="F12" t="s">
        <v>1086</v>
      </c>
      <c r="G12" t="s">
        <v>1091</v>
      </c>
    </row>
    <row r="13" spans="1:7">
      <c r="A13" t="s">
        <v>124</v>
      </c>
      <c r="B13" t="s">
        <v>125</v>
      </c>
      <c r="C13" t="s">
        <v>126</v>
      </c>
      <c r="D13" s="1">
        <v>41214</v>
      </c>
      <c r="E13" t="s">
        <v>1096</v>
      </c>
      <c r="F13" t="s">
        <v>1086</v>
      </c>
      <c r="G13" t="s">
        <v>1091</v>
      </c>
    </row>
    <row r="14" spans="1:7">
      <c r="A14" t="s">
        <v>130</v>
      </c>
      <c r="B14" t="s">
        <v>131</v>
      </c>
      <c r="C14" t="s">
        <v>126</v>
      </c>
      <c r="D14" s="1">
        <v>38597</v>
      </c>
      <c r="E14" t="s">
        <v>1093</v>
      </c>
      <c r="F14" t="s">
        <v>1086</v>
      </c>
      <c r="G14" t="s">
        <v>1091</v>
      </c>
    </row>
    <row r="15" spans="1:7">
      <c r="A15" t="s">
        <v>74</v>
      </c>
      <c r="B15" t="s">
        <v>75</v>
      </c>
      <c r="C15" t="s">
        <v>76</v>
      </c>
      <c r="D15" s="1">
        <v>29340</v>
      </c>
      <c r="E15" t="s">
        <v>1085</v>
      </c>
      <c r="F15" t="s">
        <v>1086</v>
      </c>
      <c r="G15" t="s">
        <v>1087</v>
      </c>
    </row>
    <row r="16" spans="1:7">
      <c r="A16" t="s">
        <v>80</v>
      </c>
      <c r="B16" t="s">
        <v>81</v>
      </c>
      <c r="C16" t="s">
        <v>82</v>
      </c>
      <c r="D16" s="1">
        <v>29523</v>
      </c>
      <c r="E16" t="s">
        <v>1085</v>
      </c>
      <c r="F16" t="s">
        <v>1086</v>
      </c>
      <c r="G16" t="s">
        <v>1087</v>
      </c>
    </row>
    <row r="17" spans="1:7">
      <c r="A17" t="s">
        <v>86</v>
      </c>
      <c r="B17" t="s">
        <v>87</v>
      </c>
      <c r="C17" t="s">
        <v>88</v>
      </c>
      <c r="D17" s="1">
        <v>42955</v>
      </c>
      <c r="E17" t="s">
        <v>1096</v>
      </c>
      <c r="F17" t="s">
        <v>1086</v>
      </c>
      <c r="G17" t="s">
        <v>1087</v>
      </c>
    </row>
    <row r="18" spans="1:7">
      <c r="A18" t="s">
        <v>92</v>
      </c>
      <c r="B18" t="s">
        <v>93</v>
      </c>
      <c r="C18" t="s">
        <v>94</v>
      </c>
      <c r="D18" s="1">
        <v>41706</v>
      </c>
      <c r="E18" t="s">
        <v>1096</v>
      </c>
      <c r="F18" t="s">
        <v>1086</v>
      </c>
      <c r="G18" t="s">
        <v>1087</v>
      </c>
    </row>
    <row r="19" spans="1:7">
      <c r="A19" t="s">
        <v>136</v>
      </c>
      <c r="B19" t="s">
        <v>137</v>
      </c>
      <c r="C19" t="s">
        <v>138</v>
      </c>
      <c r="D19" s="1">
        <v>29885</v>
      </c>
      <c r="E19" t="s">
        <v>1089</v>
      </c>
      <c r="F19" t="s">
        <v>1086</v>
      </c>
      <c r="G19" t="s">
        <v>1091</v>
      </c>
    </row>
    <row r="20" spans="1:7">
      <c r="A20" t="s">
        <v>98</v>
      </c>
      <c r="B20" t="s">
        <v>99</v>
      </c>
      <c r="C20" t="s">
        <v>100</v>
      </c>
      <c r="D20" s="1">
        <v>29031</v>
      </c>
      <c r="E20" t="s">
        <v>1085</v>
      </c>
      <c r="F20" t="s">
        <v>1086</v>
      </c>
      <c r="G20" t="s">
        <v>1087</v>
      </c>
    </row>
    <row r="21" spans="1:7">
      <c r="A21" t="s">
        <v>104</v>
      </c>
      <c r="B21" t="s">
        <v>105</v>
      </c>
      <c r="C21" t="s">
        <v>100</v>
      </c>
      <c r="D21" s="1">
        <v>36077</v>
      </c>
      <c r="E21" t="s">
        <v>1085</v>
      </c>
      <c r="F21" t="s">
        <v>1086</v>
      </c>
      <c r="G21" t="s">
        <v>1087</v>
      </c>
    </row>
    <row r="22" spans="1:7">
      <c r="A22" t="s">
        <v>110</v>
      </c>
      <c r="B22" t="s">
        <v>111</v>
      </c>
      <c r="C22" t="s">
        <v>100</v>
      </c>
      <c r="D22" s="1">
        <v>34900</v>
      </c>
      <c r="E22" t="s">
        <v>1089</v>
      </c>
      <c r="F22" t="s">
        <v>1086</v>
      </c>
      <c r="G22" t="s">
        <v>1087</v>
      </c>
    </row>
    <row r="23" spans="1:7">
      <c r="A23" t="s">
        <v>115</v>
      </c>
      <c r="B23" t="s">
        <v>116</v>
      </c>
      <c r="C23" t="s">
        <v>117</v>
      </c>
      <c r="D23" s="1">
        <v>33019</v>
      </c>
      <c r="E23" t="s">
        <v>1085</v>
      </c>
      <c r="F23" t="s">
        <v>1086</v>
      </c>
      <c r="G23" t="s">
        <v>1087</v>
      </c>
    </row>
    <row r="24" spans="1:7">
      <c r="A24" t="s">
        <v>142</v>
      </c>
      <c r="B24" t="s">
        <v>143</v>
      </c>
      <c r="C24" t="s">
        <v>144</v>
      </c>
      <c r="D24" s="1">
        <v>38928</v>
      </c>
      <c r="E24" t="s">
        <v>1093</v>
      </c>
      <c r="F24" t="s">
        <v>1086</v>
      </c>
      <c r="G24" t="s">
        <v>1091</v>
      </c>
    </row>
    <row r="25" spans="1:7">
      <c r="A25" t="s">
        <v>147</v>
      </c>
      <c r="B25" t="s">
        <v>148</v>
      </c>
      <c r="C25" t="s">
        <v>149</v>
      </c>
      <c r="D25" s="1">
        <v>39629</v>
      </c>
      <c r="E25" t="s">
        <v>1095</v>
      </c>
      <c r="F25" t="s">
        <v>1086</v>
      </c>
      <c r="G25" t="s">
        <v>1091</v>
      </c>
    </row>
    <row r="26" spans="1:7">
      <c r="A26" t="s">
        <v>127</v>
      </c>
      <c r="B26" t="s">
        <v>128</v>
      </c>
      <c r="C26" t="s">
        <v>129</v>
      </c>
      <c r="D26" s="1">
        <v>35372</v>
      </c>
      <c r="E26" t="s">
        <v>1085</v>
      </c>
      <c r="F26" t="s">
        <v>1086</v>
      </c>
      <c r="G26" t="s">
        <v>1087</v>
      </c>
    </row>
    <row r="27" spans="1:7">
      <c r="A27" t="s">
        <v>159</v>
      </c>
      <c r="B27" t="s">
        <v>160</v>
      </c>
      <c r="C27" t="s">
        <v>161</v>
      </c>
      <c r="D27" s="1">
        <v>37771</v>
      </c>
      <c r="E27" t="s">
        <v>1085</v>
      </c>
      <c r="F27" t="s">
        <v>1086</v>
      </c>
      <c r="G27" t="s">
        <v>1091</v>
      </c>
    </row>
    <row r="28" spans="1:7">
      <c r="A28" t="s">
        <v>165</v>
      </c>
      <c r="B28" t="s">
        <v>166</v>
      </c>
      <c r="C28" t="s">
        <v>167</v>
      </c>
      <c r="D28" s="1">
        <v>40373</v>
      </c>
      <c r="E28" t="s">
        <v>1095</v>
      </c>
      <c r="F28" t="s">
        <v>1086</v>
      </c>
      <c r="G28" t="s">
        <v>1091</v>
      </c>
    </row>
    <row r="29" spans="1:7">
      <c r="A29" t="s">
        <v>171</v>
      </c>
      <c r="B29" t="s">
        <v>172</v>
      </c>
      <c r="C29" t="s">
        <v>173</v>
      </c>
      <c r="D29" s="1">
        <v>38267</v>
      </c>
      <c r="E29" t="s">
        <v>1085</v>
      </c>
      <c r="F29" t="s">
        <v>1086</v>
      </c>
      <c r="G29" t="s">
        <v>1091</v>
      </c>
    </row>
    <row r="30" spans="1:7">
      <c r="A30" t="s">
        <v>176</v>
      </c>
      <c r="B30" t="s">
        <v>177</v>
      </c>
      <c r="C30" t="s">
        <v>178</v>
      </c>
      <c r="D30" s="1">
        <v>39760</v>
      </c>
      <c r="E30" t="s">
        <v>1095</v>
      </c>
      <c r="F30" t="s">
        <v>1086</v>
      </c>
      <c r="G30" t="s">
        <v>1091</v>
      </c>
    </row>
    <row r="31" spans="1:7">
      <c r="A31" t="s">
        <v>139</v>
      </c>
      <c r="B31" t="s">
        <v>140</v>
      </c>
      <c r="C31" t="s">
        <v>141</v>
      </c>
      <c r="D31" s="1">
        <v>38220</v>
      </c>
      <c r="E31" t="s">
        <v>1085</v>
      </c>
      <c r="F31" t="s">
        <v>1086</v>
      </c>
      <c r="G31" t="s">
        <v>1087</v>
      </c>
    </row>
    <row r="32" spans="1:7">
      <c r="A32" t="s">
        <v>145</v>
      </c>
      <c r="B32" t="s">
        <v>146</v>
      </c>
      <c r="C32" t="s">
        <v>141</v>
      </c>
      <c r="D32" s="1">
        <v>41278</v>
      </c>
      <c r="E32" t="s">
        <v>1096</v>
      </c>
      <c r="F32" t="s">
        <v>1086</v>
      </c>
      <c r="G32" t="s">
        <v>1087</v>
      </c>
    </row>
    <row r="33" spans="1:7">
      <c r="A33" t="s">
        <v>150</v>
      </c>
      <c r="B33" t="s">
        <v>151</v>
      </c>
      <c r="C33" t="s">
        <v>152</v>
      </c>
      <c r="D33" s="1">
        <v>39676</v>
      </c>
      <c r="E33" t="s">
        <v>1095</v>
      </c>
      <c r="F33" t="s">
        <v>1086</v>
      </c>
      <c r="G33" t="s">
        <v>1087</v>
      </c>
    </row>
    <row r="34" spans="1:7">
      <c r="A34" t="s">
        <v>156</v>
      </c>
      <c r="B34" t="s">
        <v>157</v>
      </c>
      <c r="C34" t="s">
        <v>158</v>
      </c>
      <c r="D34" s="1">
        <v>37566</v>
      </c>
      <c r="E34" t="s">
        <v>1085</v>
      </c>
      <c r="F34" t="s">
        <v>1086</v>
      </c>
      <c r="G34" t="s">
        <v>1087</v>
      </c>
    </row>
    <row r="35" spans="1:7">
      <c r="A35" t="s">
        <v>162</v>
      </c>
      <c r="B35" t="s">
        <v>163</v>
      </c>
      <c r="C35" t="s">
        <v>164</v>
      </c>
      <c r="D35" s="1">
        <v>42507</v>
      </c>
      <c r="E35" t="s">
        <v>1096</v>
      </c>
      <c r="F35" t="s">
        <v>1086</v>
      </c>
      <c r="G35" t="s">
        <v>1087</v>
      </c>
    </row>
    <row r="36" spans="1:7">
      <c r="A36" t="s">
        <v>168</v>
      </c>
      <c r="B36" t="s">
        <v>169</v>
      </c>
      <c r="C36" t="s">
        <v>170</v>
      </c>
      <c r="D36" s="1">
        <v>41735</v>
      </c>
      <c r="E36" t="s">
        <v>1096</v>
      </c>
      <c r="F36" t="s">
        <v>1086</v>
      </c>
      <c r="G36" t="s">
        <v>1087</v>
      </c>
    </row>
    <row r="37" spans="1:7">
      <c r="A37" t="s">
        <v>182</v>
      </c>
      <c r="B37" t="s">
        <v>183</v>
      </c>
      <c r="C37" t="s">
        <v>184</v>
      </c>
      <c r="D37" s="1">
        <v>28948</v>
      </c>
      <c r="E37" t="s">
        <v>1089</v>
      </c>
      <c r="F37" t="s">
        <v>1086</v>
      </c>
      <c r="G37" t="s">
        <v>1091</v>
      </c>
    </row>
    <row r="38" spans="1:7">
      <c r="A38" t="s">
        <v>179</v>
      </c>
      <c r="B38" t="s">
        <v>180</v>
      </c>
      <c r="C38" t="s">
        <v>181</v>
      </c>
      <c r="D38" s="1">
        <v>39753</v>
      </c>
      <c r="E38" t="s">
        <v>1095</v>
      </c>
      <c r="F38" t="s">
        <v>1086</v>
      </c>
      <c r="G38" t="s">
        <v>1087</v>
      </c>
    </row>
    <row r="39" spans="1:7">
      <c r="A39" t="s">
        <v>185</v>
      </c>
      <c r="B39" t="s">
        <v>186</v>
      </c>
      <c r="C39" t="s">
        <v>187</v>
      </c>
      <c r="D39" s="1">
        <v>37832</v>
      </c>
      <c r="E39" t="s">
        <v>1085</v>
      </c>
      <c r="F39" t="s">
        <v>1086</v>
      </c>
      <c r="G39" t="s">
        <v>1087</v>
      </c>
    </row>
    <row r="40" spans="1:7">
      <c r="A40" t="s">
        <v>188</v>
      </c>
      <c r="B40" t="s">
        <v>189</v>
      </c>
      <c r="C40" t="s">
        <v>190</v>
      </c>
      <c r="D40" s="1">
        <v>40239</v>
      </c>
      <c r="E40" t="s">
        <v>1095</v>
      </c>
      <c r="F40" t="s">
        <v>1086</v>
      </c>
      <c r="G40" t="s">
        <v>1091</v>
      </c>
    </row>
    <row r="41" spans="1:7">
      <c r="A41" t="s">
        <v>194</v>
      </c>
      <c r="B41" t="s">
        <v>195</v>
      </c>
      <c r="C41" t="s">
        <v>190</v>
      </c>
      <c r="D41" s="1">
        <v>40538</v>
      </c>
      <c r="E41" t="s">
        <v>1095</v>
      </c>
      <c r="F41" t="s">
        <v>1086</v>
      </c>
      <c r="G41" t="s">
        <v>1091</v>
      </c>
    </row>
    <row r="42" spans="1:7">
      <c r="A42" t="s">
        <v>191</v>
      </c>
      <c r="B42" t="s">
        <v>192</v>
      </c>
      <c r="C42" t="s">
        <v>193</v>
      </c>
      <c r="D42" s="1">
        <v>37971</v>
      </c>
      <c r="E42" t="s">
        <v>1085</v>
      </c>
      <c r="F42" t="s">
        <v>1086</v>
      </c>
      <c r="G42" t="s">
        <v>1087</v>
      </c>
    </row>
    <row r="43" spans="1:7">
      <c r="A43" t="s">
        <v>199</v>
      </c>
      <c r="B43" t="s">
        <v>200</v>
      </c>
      <c r="C43" t="s">
        <v>201</v>
      </c>
      <c r="D43" s="1">
        <v>41398</v>
      </c>
      <c r="E43" t="s">
        <v>1096</v>
      </c>
      <c r="F43" t="s">
        <v>1086</v>
      </c>
      <c r="G43" t="s">
        <v>1091</v>
      </c>
    </row>
    <row r="44" spans="1:7">
      <c r="A44" t="s">
        <v>205</v>
      </c>
      <c r="B44" t="s">
        <v>1090</v>
      </c>
      <c r="C44" t="s">
        <v>207</v>
      </c>
      <c r="D44" s="1">
        <v>28329</v>
      </c>
      <c r="E44" t="s">
        <v>1089</v>
      </c>
      <c r="F44" t="s">
        <v>1086</v>
      </c>
      <c r="G44" t="s">
        <v>1091</v>
      </c>
    </row>
    <row r="45" spans="1:7">
      <c r="A45" t="s">
        <v>212</v>
      </c>
      <c r="B45" t="s">
        <v>213</v>
      </c>
      <c r="C45" t="s">
        <v>214</v>
      </c>
      <c r="D45" s="1">
        <v>40327</v>
      </c>
      <c r="E45" t="s">
        <v>1095</v>
      </c>
      <c r="F45" t="s">
        <v>1086</v>
      </c>
      <c r="G45" t="s">
        <v>1091</v>
      </c>
    </row>
    <row r="46" spans="1:7">
      <c r="A46" t="s">
        <v>218</v>
      </c>
      <c r="B46" t="s">
        <v>219</v>
      </c>
      <c r="C46" t="s">
        <v>214</v>
      </c>
      <c r="D46" s="1">
        <v>40189</v>
      </c>
      <c r="E46" t="s">
        <v>1095</v>
      </c>
      <c r="F46" t="s">
        <v>1086</v>
      </c>
      <c r="G46" t="s">
        <v>1091</v>
      </c>
    </row>
    <row r="47" spans="1:7">
      <c r="A47" t="s">
        <v>223</v>
      </c>
      <c r="B47" t="s">
        <v>224</v>
      </c>
      <c r="C47" t="s">
        <v>214</v>
      </c>
      <c r="D47" s="1">
        <v>36938</v>
      </c>
      <c r="E47" t="s">
        <v>1085</v>
      </c>
      <c r="F47" t="s">
        <v>1086</v>
      </c>
      <c r="G47" t="s">
        <v>1091</v>
      </c>
    </row>
    <row r="48" spans="1:7">
      <c r="A48" t="s">
        <v>229</v>
      </c>
      <c r="B48" t="s">
        <v>230</v>
      </c>
      <c r="C48" t="s">
        <v>231</v>
      </c>
      <c r="D48" s="1">
        <v>33777</v>
      </c>
      <c r="E48" t="s">
        <v>1089</v>
      </c>
      <c r="F48" t="s">
        <v>1086</v>
      </c>
      <c r="G48" t="s">
        <v>1091</v>
      </c>
    </row>
    <row r="49" spans="1:7">
      <c r="A49" t="s">
        <v>196</v>
      </c>
      <c r="B49" t="s">
        <v>197</v>
      </c>
      <c r="C49" t="s">
        <v>198</v>
      </c>
      <c r="D49" s="1">
        <v>40112</v>
      </c>
      <c r="E49" t="s">
        <v>1095</v>
      </c>
      <c r="F49" t="s">
        <v>1086</v>
      </c>
      <c r="G49" t="s">
        <v>1087</v>
      </c>
    </row>
    <row r="50" spans="1:7">
      <c r="A50" t="s">
        <v>202</v>
      </c>
      <c r="B50" t="s">
        <v>203</v>
      </c>
      <c r="C50" t="s">
        <v>204</v>
      </c>
      <c r="D50" s="1">
        <v>40253</v>
      </c>
      <c r="E50" t="s">
        <v>1095</v>
      </c>
      <c r="F50" t="s">
        <v>1086</v>
      </c>
      <c r="G50" t="s">
        <v>1087</v>
      </c>
    </row>
    <row r="51" spans="1:7">
      <c r="A51" t="s">
        <v>245</v>
      </c>
      <c r="B51" t="s">
        <v>246</v>
      </c>
      <c r="C51" t="s">
        <v>247</v>
      </c>
      <c r="D51" s="1">
        <v>39751</v>
      </c>
      <c r="E51" t="s">
        <v>1095</v>
      </c>
      <c r="F51" t="s">
        <v>1086</v>
      </c>
      <c r="G51" t="s">
        <v>1091</v>
      </c>
    </row>
    <row r="52" spans="1:7">
      <c r="A52" t="s">
        <v>250</v>
      </c>
      <c r="B52" t="s">
        <v>251</v>
      </c>
      <c r="C52" t="s">
        <v>252</v>
      </c>
      <c r="D52" s="1">
        <v>31086</v>
      </c>
      <c r="E52" t="s">
        <v>1088</v>
      </c>
      <c r="F52" t="s">
        <v>1086</v>
      </c>
      <c r="G52" t="s">
        <v>1091</v>
      </c>
    </row>
    <row r="53" spans="1:7">
      <c r="A53" t="s">
        <v>209</v>
      </c>
      <c r="B53" t="s">
        <v>210</v>
      </c>
      <c r="C53" t="s">
        <v>211</v>
      </c>
      <c r="D53" s="1">
        <v>29725</v>
      </c>
      <c r="E53" t="s">
        <v>1085</v>
      </c>
      <c r="F53" t="s">
        <v>1086</v>
      </c>
      <c r="G53" t="s">
        <v>1087</v>
      </c>
    </row>
    <row r="54" spans="1:7">
      <c r="A54" t="s">
        <v>256</v>
      </c>
      <c r="B54" t="s">
        <v>257</v>
      </c>
      <c r="C54" t="s">
        <v>258</v>
      </c>
      <c r="D54" s="1">
        <v>38509</v>
      </c>
      <c r="E54" t="s">
        <v>1093</v>
      </c>
      <c r="F54" t="s">
        <v>1086</v>
      </c>
      <c r="G54" t="s">
        <v>1091</v>
      </c>
    </row>
    <row r="55" spans="1:7">
      <c r="A55" t="s">
        <v>261</v>
      </c>
      <c r="B55" t="s">
        <v>262</v>
      </c>
      <c r="C55" t="s">
        <v>263</v>
      </c>
      <c r="D55" s="1">
        <v>40075</v>
      </c>
      <c r="E55" t="s">
        <v>1095</v>
      </c>
      <c r="F55" t="s">
        <v>1086</v>
      </c>
      <c r="G55" t="s">
        <v>1091</v>
      </c>
    </row>
    <row r="56" spans="1:7">
      <c r="A56" t="s">
        <v>266</v>
      </c>
      <c r="B56" t="s">
        <v>267</v>
      </c>
      <c r="C56" t="s">
        <v>268</v>
      </c>
      <c r="D56" s="1">
        <v>41223</v>
      </c>
      <c r="E56" t="s">
        <v>1096</v>
      </c>
      <c r="F56" t="s">
        <v>1086</v>
      </c>
      <c r="G56" t="s">
        <v>1091</v>
      </c>
    </row>
    <row r="57" spans="1:7">
      <c r="A57" t="s">
        <v>272</v>
      </c>
      <c r="B57" t="s">
        <v>273</v>
      </c>
      <c r="C57" t="s">
        <v>268</v>
      </c>
      <c r="D57" s="1">
        <v>39804</v>
      </c>
      <c r="E57" t="s">
        <v>1095</v>
      </c>
      <c r="F57" t="s">
        <v>1086</v>
      </c>
      <c r="G57" t="s">
        <v>1091</v>
      </c>
    </row>
    <row r="58" spans="1:7">
      <c r="A58" t="s">
        <v>220</v>
      </c>
      <c r="B58" t="s">
        <v>221</v>
      </c>
      <c r="C58" t="s">
        <v>222</v>
      </c>
      <c r="D58" s="1">
        <v>34464</v>
      </c>
      <c r="E58" t="s">
        <v>1085</v>
      </c>
      <c r="F58" t="s">
        <v>1086</v>
      </c>
      <c r="G58" t="s">
        <v>1087</v>
      </c>
    </row>
    <row r="59" spans="1:7">
      <c r="A59" t="s">
        <v>283</v>
      </c>
      <c r="B59" t="s">
        <v>284</v>
      </c>
      <c r="C59" t="s">
        <v>285</v>
      </c>
      <c r="D59" s="1">
        <v>41586</v>
      </c>
      <c r="E59" t="s">
        <v>1096</v>
      </c>
      <c r="F59" t="s">
        <v>1086</v>
      </c>
      <c r="G59" t="s">
        <v>1091</v>
      </c>
    </row>
    <row r="60" spans="1:7">
      <c r="A60" t="s">
        <v>287</v>
      </c>
      <c r="B60" t="s">
        <v>288</v>
      </c>
      <c r="C60" t="s">
        <v>289</v>
      </c>
      <c r="D60" s="1">
        <v>40512</v>
      </c>
      <c r="E60" t="s">
        <v>1095</v>
      </c>
      <c r="F60" t="s">
        <v>1086</v>
      </c>
      <c r="G60" t="s">
        <v>1091</v>
      </c>
    </row>
    <row r="61" spans="1:7">
      <c r="A61" t="s">
        <v>290</v>
      </c>
      <c r="B61" t="s">
        <v>291</v>
      </c>
      <c r="C61" t="s">
        <v>292</v>
      </c>
      <c r="D61" s="1">
        <v>40328</v>
      </c>
      <c r="E61" t="s">
        <v>1095</v>
      </c>
      <c r="F61" t="s">
        <v>1086</v>
      </c>
      <c r="G61" t="s">
        <v>1091</v>
      </c>
    </row>
    <row r="62" spans="1:7">
      <c r="A62" t="s">
        <v>296</v>
      </c>
      <c r="B62" t="s">
        <v>297</v>
      </c>
      <c r="C62" t="s">
        <v>298</v>
      </c>
      <c r="D62" s="1">
        <v>35337</v>
      </c>
      <c r="E62" t="s">
        <v>1085</v>
      </c>
      <c r="F62" t="s">
        <v>1086</v>
      </c>
      <c r="G62" t="s">
        <v>1091</v>
      </c>
    </row>
    <row r="63" spans="1:7">
      <c r="A63" t="s">
        <v>302</v>
      </c>
      <c r="B63" t="s">
        <v>303</v>
      </c>
      <c r="C63" t="s">
        <v>298</v>
      </c>
      <c r="D63" s="1">
        <v>41323</v>
      </c>
      <c r="E63" t="s">
        <v>1096</v>
      </c>
      <c r="F63" t="s">
        <v>1086</v>
      </c>
      <c r="G63" t="s">
        <v>1091</v>
      </c>
    </row>
    <row r="64" spans="1:7">
      <c r="A64" t="s">
        <v>307</v>
      </c>
      <c r="B64" t="s">
        <v>308</v>
      </c>
      <c r="C64" t="s">
        <v>298</v>
      </c>
      <c r="D64" s="1">
        <v>33690</v>
      </c>
      <c r="E64" t="s">
        <v>1085</v>
      </c>
      <c r="F64" t="s">
        <v>1086</v>
      </c>
      <c r="G64" t="s">
        <v>1091</v>
      </c>
    </row>
    <row r="65" spans="1:7">
      <c r="A65" t="s">
        <v>312</v>
      </c>
      <c r="B65" t="s">
        <v>313</v>
      </c>
      <c r="C65" t="s">
        <v>314</v>
      </c>
      <c r="D65" s="1">
        <v>41014</v>
      </c>
      <c r="E65" t="s">
        <v>1096</v>
      </c>
      <c r="F65" t="s">
        <v>1086</v>
      </c>
      <c r="G65" t="s">
        <v>1091</v>
      </c>
    </row>
    <row r="66" spans="1:7">
      <c r="A66" t="s">
        <v>318</v>
      </c>
      <c r="B66" t="s">
        <v>319</v>
      </c>
      <c r="C66" t="s">
        <v>314</v>
      </c>
      <c r="D66" s="1">
        <v>37551</v>
      </c>
      <c r="E66" t="s">
        <v>1085</v>
      </c>
      <c r="F66" t="s">
        <v>1086</v>
      </c>
      <c r="G66" t="s">
        <v>1091</v>
      </c>
    </row>
    <row r="67" spans="1:7">
      <c r="A67" t="s">
        <v>322</v>
      </c>
      <c r="B67" t="s">
        <v>323</v>
      </c>
      <c r="C67" t="s">
        <v>314</v>
      </c>
      <c r="D67" s="1">
        <v>41167</v>
      </c>
      <c r="E67" t="s">
        <v>1096</v>
      </c>
      <c r="F67" t="s">
        <v>1086</v>
      </c>
      <c r="G67" t="s">
        <v>1091</v>
      </c>
    </row>
    <row r="68" spans="1:7">
      <c r="A68" t="s">
        <v>327</v>
      </c>
      <c r="B68" t="s">
        <v>328</v>
      </c>
      <c r="C68" t="s">
        <v>329</v>
      </c>
      <c r="D68" s="1">
        <v>41407</v>
      </c>
      <c r="E68" t="s">
        <v>1096</v>
      </c>
      <c r="F68" t="s">
        <v>1086</v>
      </c>
      <c r="G68" t="s">
        <v>1091</v>
      </c>
    </row>
    <row r="69" spans="1:7">
      <c r="A69" t="s">
        <v>332</v>
      </c>
      <c r="B69" t="s">
        <v>333</v>
      </c>
      <c r="C69" t="s">
        <v>334</v>
      </c>
      <c r="D69" s="1">
        <v>40329</v>
      </c>
      <c r="E69" t="s">
        <v>1095</v>
      </c>
      <c r="F69" t="s">
        <v>1086</v>
      </c>
      <c r="G69" t="s">
        <v>1091</v>
      </c>
    </row>
    <row r="70" spans="1:7">
      <c r="A70" t="s">
        <v>232</v>
      </c>
      <c r="B70" t="s">
        <v>233</v>
      </c>
      <c r="C70" t="s">
        <v>234</v>
      </c>
      <c r="D70" s="1">
        <v>41299</v>
      </c>
      <c r="E70" t="s">
        <v>1096</v>
      </c>
      <c r="F70" t="s">
        <v>1086</v>
      </c>
      <c r="G70" t="s">
        <v>1087</v>
      </c>
    </row>
    <row r="71" spans="1:7">
      <c r="A71" t="s">
        <v>338</v>
      </c>
      <c r="B71" t="s">
        <v>339</v>
      </c>
      <c r="C71" t="s">
        <v>340</v>
      </c>
      <c r="D71" s="1">
        <v>40722</v>
      </c>
      <c r="E71" t="s">
        <v>1096</v>
      </c>
      <c r="F71" t="s">
        <v>1086</v>
      </c>
      <c r="G71" t="s">
        <v>1091</v>
      </c>
    </row>
    <row r="72" spans="1:7">
      <c r="A72" t="s">
        <v>343</v>
      </c>
      <c r="B72" t="s">
        <v>344</v>
      </c>
      <c r="C72" t="s">
        <v>345</v>
      </c>
      <c r="D72" s="1">
        <v>41477</v>
      </c>
      <c r="E72" t="s">
        <v>1096</v>
      </c>
      <c r="F72" t="s">
        <v>1086</v>
      </c>
      <c r="G72" t="s">
        <v>1091</v>
      </c>
    </row>
    <row r="73" spans="1:7">
      <c r="A73" t="s">
        <v>349</v>
      </c>
      <c r="B73" t="s">
        <v>350</v>
      </c>
      <c r="C73" t="s">
        <v>351</v>
      </c>
      <c r="D73" s="1">
        <v>41159</v>
      </c>
      <c r="E73" t="s">
        <v>1096</v>
      </c>
      <c r="F73" t="s">
        <v>1086</v>
      </c>
      <c r="G73" t="s">
        <v>1091</v>
      </c>
    </row>
    <row r="74" spans="1:7">
      <c r="A74" t="s">
        <v>355</v>
      </c>
      <c r="B74" t="s">
        <v>356</v>
      </c>
      <c r="C74" t="s">
        <v>351</v>
      </c>
      <c r="D74" s="1">
        <v>40429</v>
      </c>
      <c r="E74" t="s">
        <v>1095</v>
      </c>
      <c r="F74" t="s">
        <v>1086</v>
      </c>
      <c r="G74" t="s">
        <v>1091</v>
      </c>
    </row>
    <row r="75" spans="1:7">
      <c r="A75" t="s">
        <v>366</v>
      </c>
      <c r="B75" t="s">
        <v>367</v>
      </c>
      <c r="C75" t="s">
        <v>368</v>
      </c>
      <c r="D75" s="1">
        <v>40344</v>
      </c>
      <c r="E75" t="s">
        <v>1095</v>
      </c>
      <c r="F75" t="s">
        <v>1086</v>
      </c>
      <c r="G75" t="s">
        <v>1091</v>
      </c>
    </row>
    <row r="76" spans="1:7">
      <c r="A76" t="s">
        <v>371</v>
      </c>
      <c r="B76" t="s">
        <v>372</v>
      </c>
      <c r="C76" t="s">
        <v>373</v>
      </c>
      <c r="D76" s="1">
        <v>41068</v>
      </c>
      <c r="E76" t="s">
        <v>1096</v>
      </c>
      <c r="F76" t="s">
        <v>1086</v>
      </c>
      <c r="G76" t="s">
        <v>1091</v>
      </c>
    </row>
    <row r="77" spans="1:7">
      <c r="A77" t="s">
        <v>248</v>
      </c>
      <c r="B77" t="s">
        <v>249</v>
      </c>
      <c r="C77" t="s">
        <v>239</v>
      </c>
      <c r="D77" s="1">
        <v>40974</v>
      </c>
      <c r="E77" t="s">
        <v>1096</v>
      </c>
      <c r="F77" t="s">
        <v>1086</v>
      </c>
      <c r="G77" t="s">
        <v>1087</v>
      </c>
    </row>
    <row r="78" spans="1:7">
      <c r="A78" t="s">
        <v>377</v>
      </c>
      <c r="B78" t="s">
        <v>378</v>
      </c>
      <c r="C78" t="s">
        <v>379</v>
      </c>
      <c r="D78" s="1">
        <v>39878</v>
      </c>
      <c r="E78" t="s">
        <v>1095</v>
      </c>
      <c r="F78" t="s">
        <v>1086</v>
      </c>
      <c r="G78" t="s">
        <v>1091</v>
      </c>
    </row>
    <row r="79" spans="1:7">
      <c r="A79" t="s">
        <v>388</v>
      </c>
      <c r="B79" t="s">
        <v>389</v>
      </c>
      <c r="C79" t="s">
        <v>390</v>
      </c>
      <c r="D79" s="1">
        <v>40243</v>
      </c>
      <c r="E79" t="s">
        <v>1095</v>
      </c>
      <c r="F79" t="s">
        <v>1086</v>
      </c>
      <c r="G79" t="s">
        <v>1091</v>
      </c>
    </row>
    <row r="80" spans="1:7">
      <c r="A80" t="s">
        <v>394</v>
      </c>
      <c r="B80" t="s">
        <v>395</v>
      </c>
      <c r="C80" t="s">
        <v>396</v>
      </c>
      <c r="D80" s="1">
        <v>38263</v>
      </c>
      <c r="E80" t="s">
        <v>1085</v>
      </c>
      <c r="F80" t="s">
        <v>1086</v>
      </c>
      <c r="G80" t="s">
        <v>1091</v>
      </c>
    </row>
    <row r="81" spans="1:7">
      <c r="A81" t="s">
        <v>253</v>
      </c>
      <c r="B81" t="s">
        <v>254</v>
      </c>
      <c r="C81" t="s">
        <v>255</v>
      </c>
      <c r="D81" s="1">
        <v>35270</v>
      </c>
      <c r="E81" t="s">
        <v>1089</v>
      </c>
      <c r="F81" t="s">
        <v>1086</v>
      </c>
      <c r="G81" t="s">
        <v>1087</v>
      </c>
    </row>
    <row r="82" spans="1:7">
      <c r="A82" t="s">
        <v>259</v>
      </c>
      <c r="B82" t="s">
        <v>260</v>
      </c>
      <c r="C82" t="s">
        <v>255</v>
      </c>
      <c r="D82" s="1">
        <v>41044</v>
      </c>
      <c r="E82" t="s">
        <v>1096</v>
      </c>
      <c r="F82" t="s">
        <v>1086</v>
      </c>
      <c r="G82" t="s">
        <v>1087</v>
      </c>
    </row>
    <row r="83" spans="1:7">
      <c r="A83" t="s">
        <v>264</v>
      </c>
      <c r="B83" t="s">
        <v>265</v>
      </c>
      <c r="C83" t="s">
        <v>255</v>
      </c>
      <c r="D83" s="1">
        <v>39196</v>
      </c>
      <c r="E83" t="s">
        <v>1093</v>
      </c>
      <c r="F83" t="s">
        <v>1086</v>
      </c>
      <c r="G83" t="s">
        <v>1087</v>
      </c>
    </row>
    <row r="84" spans="1:7">
      <c r="A84" t="s">
        <v>269</v>
      </c>
      <c r="B84" t="s">
        <v>270</v>
      </c>
      <c r="C84" t="s">
        <v>271</v>
      </c>
      <c r="D84" s="1">
        <v>41375</v>
      </c>
      <c r="E84" t="s">
        <v>1096</v>
      </c>
      <c r="F84" t="s">
        <v>1086</v>
      </c>
      <c r="G84" t="s">
        <v>1087</v>
      </c>
    </row>
    <row r="85" spans="1:7">
      <c r="A85" t="s">
        <v>274</v>
      </c>
      <c r="B85" t="s">
        <v>275</v>
      </c>
      <c r="C85" t="s">
        <v>276</v>
      </c>
      <c r="D85" s="1">
        <v>42011</v>
      </c>
      <c r="E85" t="s">
        <v>1096</v>
      </c>
      <c r="F85" t="s">
        <v>1086</v>
      </c>
      <c r="G85" t="s">
        <v>1087</v>
      </c>
    </row>
    <row r="86" spans="1:7">
      <c r="A86" t="s">
        <v>400</v>
      </c>
      <c r="B86" t="s">
        <v>401</v>
      </c>
      <c r="C86" t="s">
        <v>402</v>
      </c>
      <c r="D86" s="1">
        <v>40169</v>
      </c>
      <c r="E86" t="s">
        <v>1095</v>
      </c>
      <c r="F86" t="s">
        <v>1086</v>
      </c>
      <c r="G86" t="s">
        <v>1091</v>
      </c>
    </row>
    <row r="87" spans="1:7">
      <c r="A87" t="s">
        <v>280</v>
      </c>
      <c r="B87" t="s">
        <v>281</v>
      </c>
      <c r="C87" t="s">
        <v>282</v>
      </c>
      <c r="D87" s="1">
        <v>32170</v>
      </c>
      <c r="E87" t="s">
        <v>1088</v>
      </c>
      <c r="F87" t="s">
        <v>1086</v>
      </c>
      <c r="G87" t="s">
        <v>1087</v>
      </c>
    </row>
    <row r="88" spans="1:7">
      <c r="A88" t="s">
        <v>412</v>
      </c>
      <c r="B88" t="s">
        <v>413</v>
      </c>
      <c r="C88" t="s">
        <v>414</v>
      </c>
      <c r="D88" s="1">
        <v>33146</v>
      </c>
      <c r="E88" t="s">
        <v>1089</v>
      </c>
      <c r="F88" t="s">
        <v>1086</v>
      </c>
      <c r="G88" t="s">
        <v>1091</v>
      </c>
    </row>
    <row r="89" spans="1:7">
      <c r="A89" t="s">
        <v>418</v>
      </c>
      <c r="B89" t="s">
        <v>419</v>
      </c>
      <c r="C89" t="s">
        <v>420</v>
      </c>
      <c r="D89" s="1">
        <v>41303</v>
      </c>
      <c r="E89" t="s">
        <v>1096</v>
      </c>
      <c r="F89" t="s">
        <v>1086</v>
      </c>
      <c r="G89" t="s">
        <v>1091</v>
      </c>
    </row>
    <row r="90" spans="1:7">
      <c r="A90" t="s">
        <v>424</v>
      </c>
      <c r="B90" t="s">
        <v>425</v>
      </c>
      <c r="C90" t="s">
        <v>426</v>
      </c>
      <c r="D90" s="1">
        <v>42481</v>
      </c>
      <c r="E90" t="s">
        <v>1096</v>
      </c>
      <c r="F90" t="s">
        <v>1086</v>
      </c>
      <c r="G90" t="s">
        <v>1091</v>
      </c>
    </row>
    <row r="91" spans="1:7">
      <c r="A91" t="s">
        <v>430</v>
      </c>
      <c r="B91" t="s">
        <v>431</v>
      </c>
      <c r="C91" t="s">
        <v>432</v>
      </c>
      <c r="D91" s="1">
        <v>39328</v>
      </c>
      <c r="E91" t="s">
        <v>1093</v>
      </c>
      <c r="F91" t="s">
        <v>1086</v>
      </c>
      <c r="G91" t="s">
        <v>1091</v>
      </c>
    </row>
    <row r="92" spans="1:7">
      <c r="A92" t="s">
        <v>436</v>
      </c>
      <c r="B92" t="s">
        <v>437</v>
      </c>
      <c r="C92" t="s">
        <v>438</v>
      </c>
      <c r="D92" s="1">
        <v>41662</v>
      </c>
      <c r="E92" t="s">
        <v>1096</v>
      </c>
      <c r="F92" t="s">
        <v>1086</v>
      </c>
      <c r="G92" t="s">
        <v>1091</v>
      </c>
    </row>
    <row r="93" spans="1:7">
      <c r="A93" t="s">
        <v>293</v>
      </c>
      <c r="B93" t="s">
        <v>294</v>
      </c>
      <c r="C93" t="s">
        <v>295</v>
      </c>
      <c r="D93" s="1">
        <v>39356</v>
      </c>
      <c r="E93" t="s">
        <v>1093</v>
      </c>
      <c r="F93" t="s">
        <v>1086</v>
      </c>
      <c r="G93" t="s">
        <v>1087</v>
      </c>
    </row>
    <row r="94" spans="1:7">
      <c r="A94" t="s">
        <v>299</v>
      </c>
      <c r="B94" t="s">
        <v>300</v>
      </c>
      <c r="C94" t="s">
        <v>301</v>
      </c>
      <c r="D94" s="1">
        <v>35451</v>
      </c>
      <c r="E94" t="s">
        <v>1085</v>
      </c>
      <c r="F94" t="s">
        <v>1086</v>
      </c>
      <c r="G94" t="s">
        <v>1087</v>
      </c>
    </row>
    <row r="95" spans="1:7">
      <c r="A95" t="s">
        <v>304</v>
      </c>
      <c r="B95" t="s">
        <v>305</v>
      </c>
      <c r="C95" t="s">
        <v>306</v>
      </c>
      <c r="D95" s="1">
        <v>33100</v>
      </c>
      <c r="E95" t="s">
        <v>1085</v>
      </c>
      <c r="F95" t="s">
        <v>1086</v>
      </c>
      <c r="G95" t="s">
        <v>1087</v>
      </c>
    </row>
    <row r="96" spans="1:7">
      <c r="A96" t="s">
        <v>309</v>
      </c>
      <c r="B96" t="s">
        <v>310</v>
      </c>
      <c r="C96" t="s">
        <v>311</v>
      </c>
      <c r="D96" s="1">
        <v>25273</v>
      </c>
      <c r="E96" t="s">
        <v>1089</v>
      </c>
      <c r="F96" t="s">
        <v>1086</v>
      </c>
      <c r="G96" t="s">
        <v>1087</v>
      </c>
    </row>
    <row r="97" spans="1:7">
      <c r="A97" t="s">
        <v>442</v>
      </c>
      <c r="B97" t="s">
        <v>443</v>
      </c>
      <c r="C97" t="s">
        <v>444</v>
      </c>
      <c r="D97" s="1">
        <v>36013</v>
      </c>
      <c r="E97" t="s">
        <v>1085</v>
      </c>
      <c r="F97" t="s">
        <v>1086</v>
      </c>
      <c r="G97" t="s">
        <v>1091</v>
      </c>
    </row>
    <row r="98" spans="1:7">
      <c r="A98" t="s">
        <v>315</v>
      </c>
      <c r="B98" t="s">
        <v>316</v>
      </c>
      <c r="C98" t="s">
        <v>317</v>
      </c>
      <c r="D98" s="1">
        <v>40169</v>
      </c>
      <c r="E98" t="s">
        <v>1095</v>
      </c>
      <c r="F98" t="s">
        <v>1086</v>
      </c>
      <c r="G98" t="s">
        <v>1087</v>
      </c>
    </row>
    <row r="99" spans="1:7">
      <c r="A99" t="s">
        <v>320</v>
      </c>
      <c r="B99" t="s">
        <v>321</v>
      </c>
      <c r="C99" t="s">
        <v>317</v>
      </c>
      <c r="D99" s="1">
        <v>39367</v>
      </c>
      <c r="E99" t="s">
        <v>1093</v>
      </c>
      <c r="F99" t="s">
        <v>1086</v>
      </c>
      <c r="G99" t="s">
        <v>1087</v>
      </c>
    </row>
    <row r="100" spans="1:7">
      <c r="A100" t="s">
        <v>324</v>
      </c>
      <c r="B100" t="s">
        <v>325</v>
      </c>
      <c r="C100" t="s">
        <v>326</v>
      </c>
      <c r="D100" s="1">
        <v>31083</v>
      </c>
      <c r="E100" t="s">
        <v>1089</v>
      </c>
      <c r="F100" t="s">
        <v>1086</v>
      </c>
      <c r="G100" t="s">
        <v>1087</v>
      </c>
    </row>
    <row r="101" spans="1:7">
      <c r="A101" t="s">
        <v>330</v>
      </c>
      <c r="B101" t="s">
        <v>331</v>
      </c>
      <c r="C101" t="s">
        <v>326</v>
      </c>
      <c r="D101" s="1">
        <v>40100</v>
      </c>
      <c r="E101" t="s">
        <v>1095</v>
      </c>
      <c r="F101" t="s">
        <v>1086</v>
      </c>
      <c r="G101" t="s">
        <v>1087</v>
      </c>
    </row>
    <row r="102" spans="1:7">
      <c r="A102" t="s">
        <v>452</v>
      </c>
      <c r="B102" t="s">
        <v>453</v>
      </c>
      <c r="C102" t="s">
        <v>454</v>
      </c>
      <c r="D102" s="1">
        <v>41108</v>
      </c>
      <c r="E102" t="s">
        <v>1096</v>
      </c>
      <c r="F102" t="s">
        <v>1086</v>
      </c>
      <c r="G102" t="s">
        <v>1091</v>
      </c>
    </row>
    <row r="103" spans="1:7">
      <c r="A103" t="s">
        <v>457</v>
      </c>
      <c r="B103" t="s">
        <v>458</v>
      </c>
      <c r="C103" t="s">
        <v>459</v>
      </c>
      <c r="D103" s="1">
        <v>37807</v>
      </c>
      <c r="E103" t="s">
        <v>1085</v>
      </c>
      <c r="F103" t="s">
        <v>1086</v>
      </c>
      <c r="G103" t="s">
        <v>1091</v>
      </c>
    </row>
    <row r="104" spans="1:7">
      <c r="A104" t="s">
        <v>335</v>
      </c>
      <c r="B104" t="s">
        <v>336</v>
      </c>
      <c r="C104" t="s">
        <v>337</v>
      </c>
      <c r="D104" s="1">
        <v>37974</v>
      </c>
      <c r="E104" t="s">
        <v>1085</v>
      </c>
      <c r="F104" t="s">
        <v>1086</v>
      </c>
      <c r="G104" t="s">
        <v>1087</v>
      </c>
    </row>
    <row r="105" spans="1:7">
      <c r="A105" t="s">
        <v>341</v>
      </c>
      <c r="B105" t="s">
        <v>342</v>
      </c>
      <c r="C105" t="s">
        <v>337</v>
      </c>
      <c r="D105" s="1">
        <v>38578</v>
      </c>
      <c r="E105" t="s">
        <v>1093</v>
      </c>
      <c r="F105" t="s">
        <v>1086</v>
      </c>
      <c r="G105" t="s">
        <v>1087</v>
      </c>
    </row>
    <row r="106" spans="1:7">
      <c r="A106" t="s">
        <v>346</v>
      </c>
      <c r="B106" t="s">
        <v>347</v>
      </c>
      <c r="C106" t="s">
        <v>348</v>
      </c>
      <c r="D106" s="1">
        <v>35145</v>
      </c>
      <c r="E106" t="s">
        <v>1089</v>
      </c>
      <c r="F106" t="s">
        <v>1086</v>
      </c>
      <c r="G106" t="s">
        <v>1087</v>
      </c>
    </row>
    <row r="107" spans="1:7">
      <c r="A107" t="s">
        <v>463</v>
      </c>
      <c r="B107" t="s">
        <v>464</v>
      </c>
      <c r="C107" t="s">
        <v>465</v>
      </c>
      <c r="D107" s="1">
        <v>41692</v>
      </c>
      <c r="E107" t="s">
        <v>1096</v>
      </c>
      <c r="F107" t="s">
        <v>1086</v>
      </c>
      <c r="G107" t="s">
        <v>1091</v>
      </c>
    </row>
    <row r="108" spans="1:7">
      <c r="A108" t="s">
        <v>352</v>
      </c>
      <c r="B108" t="s">
        <v>353</v>
      </c>
      <c r="C108" t="s">
        <v>354</v>
      </c>
      <c r="D108" s="1">
        <v>40309</v>
      </c>
      <c r="E108" t="s">
        <v>1095</v>
      </c>
      <c r="F108" t="s">
        <v>1086</v>
      </c>
      <c r="G108" t="s">
        <v>1087</v>
      </c>
    </row>
    <row r="109" spans="1:7">
      <c r="A109" t="s">
        <v>357</v>
      </c>
      <c r="B109" t="s">
        <v>358</v>
      </c>
      <c r="C109" t="s">
        <v>359</v>
      </c>
      <c r="D109" s="1">
        <v>38502</v>
      </c>
      <c r="E109" t="s">
        <v>1093</v>
      </c>
      <c r="F109" t="s">
        <v>1086</v>
      </c>
      <c r="G109" t="s">
        <v>1087</v>
      </c>
    </row>
    <row r="110" spans="1:7">
      <c r="A110" t="s">
        <v>363</v>
      </c>
      <c r="B110" t="s">
        <v>364</v>
      </c>
      <c r="C110" t="s">
        <v>365</v>
      </c>
      <c r="D110" s="1">
        <v>41760</v>
      </c>
      <c r="E110" t="s">
        <v>1096</v>
      </c>
      <c r="F110" t="s">
        <v>1086</v>
      </c>
      <c r="G110" t="s">
        <v>1087</v>
      </c>
    </row>
    <row r="111" spans="1:7">
      <c r="A111" t="s">
        <v>369</v>
      </c>
      <c r="B111" t="s">
        <v>370</v>
      </c>
      <c r="C111" t="s">
        <v>365</v>
      </c>
      <c r="D111" s="1">
        <v>40929</v>
      </c>
      <c r="E111" t="s">
        <v>1096</v>
      </c>
      <c r="F111" t="s">
        <v>1086</v>
      </c>
      <c r="G111" t="s">
        <v>1087</v>
      </c>
    </row>
    <row r="112" spans="1:7">
      <c r="A112" t="s">
        <v>374</v>
      </c>
      <c r="B112" t="s">
        <v>375</v>
      </c>
      <c r="C112" t="s">
        <v>376</v>
      </c>
      <c r="D112" s="1">
        <v>35873</v>
      </c>
      <c r="E112" t="s">
        <v>1085</v>
      </c>
      <c r="F112" t="s">
        <v>1086</v>
      </c>
      <c r="G112" t="s">
        <v>1087</v>
      </c>
    </row>
    <row r="113" spans="1:7">
      <c r="A113" t="s">
        <v>380</v>
      </c>
      <c r="B113" t="s">
        <v>381</v>
      </c>
      <c r="C113" t="s">
        <v>382</v>
      </c>
      <c r="D113" s="1">
        <v>24003</v>
      </c>
      <c r="E113" t="s">
        <v>1089</v>
      </c>
      <c r="F113" t="s">
        <v>1086</v>
      </c>
      <c r="G113" t="s">
        <v>1087</v>
      </c>
    </row>
    <row r="114" spans="1:7">
      <c r="A114" t="s">
        <v>469</v>
      </c>
      <c r="B114" t="s">
        <v>470</v>
      </c>
      <c r="C114" t="s">
        <v>471</v>
      </c>
      <c r="D114" s="1">
        <v>41569</v>
      </c>
      <c r="E114" t="s">
        <v>1096</v>
      </c>
      <c r="F114" t="s">
        <v>1086</v>
      </c>
      <c r="G114" t="s">
        <v>1091</v>
      </c>
    </row>
    <row r="115" spans="1:7">
      <c r="A115" t="s">
        <v>385</v>
      </c>
      <c r="B115" t="s">
        <v>386</v>
      </c>
      <c r="C115" t="s">
        <v>387</v>
      </c>
      <c r="D115" s="1">
        <v>40413</v>
      </c>
      <c r="E115" t="s">
        <v>1095</v>
      </c>
      <c r="F115" t="s">
        <v>1086</v>
      </c>
      <c r="G115" t="s">
        <v>1087</v>
      </c>
    </row>
    <row r="116" spans="1:7">
      <c r="A116" t="s">
        <v>391</v>
      </c>
      <c r="B116" t="s">
        <v>392</v>
      </c>
      <c r="C116" t="s">
        <v>393</v>
      </c>
      <c r="D116" s="1">
        <v>36465</v>
      </c>
      <c r="E116" t="s">
        <v>1085</v>
      </c>
      <c r="F116" t="s">
        <v>1086</v>
      </c>
      <c r="G116" t="s">
        <v>1087</v>
      </c>
    </row>
    <row r="117" spans="1:7">
      <c r="A117" t="s">
        <v>397</v>
      </c>
      <c r="B117" t="s">
        <v>398</v>
      </c>
      <c r="C117" t="s">
        <v>399</v>
      </c>
      <c r="D117" s="1">
        <v>38010</v>
      </c>
      <c r="E117" t="s">
        <v>1085</v>
      </c>
      <c r="F117" t="s">
        <v>1086</v>
      </c>
      <c r="G117" t="s">
        <v>1087</v>
      </c>
    </row>
    <row r="118" spans="1:7">
      <c r="A118" t="s">
        <v>403</v>
      </c>
      <c r="B118" t="s">
        <v>404</v>
      </c>
      <c r="C118" t="s">
        <v>405</v>
      </c>
      <c r="D118" s="1">
        <v>39069</v>
      </c>
      <c r="E118" t="s">
        <v>1093</v>
      </c>
      <c r="F118" t="s">
        <v>1086</v>
      </c>
      <c r="G118" t="s">
        <v>1087</v>
      </c>
    </row>
    <row r="119" spans="1:7">
      <c r="A119" t="s">
        <v>409</v>
      </c>
      <c r="B119" t="s">
        <v>410</v>
      </c>
      <c r="C119" t="s">
        <v>411</v>
      </c>
      <c r="D119" s="1">
        <v>41867</v>
      </c>
      <c r="E119" t="s">
        <v>1096</v>
      </c>
      <c r="F119" t="s">
        <v>1086</v>
      </c>
      <c r="G119" t="s">
        <v>1087</v>
      </c>
    </row>
    <row r="120" spans="1:7">
      <c r="A120" t="s">
        <v>415</v>
      </c>
      <c r="B120" t="s">
        <v>416</v>
      </c>
      <c r="C120" t="s">
        <v>417</v>
      </c>
      <c r="D120" s="1">
        <v>41121</v>
      </c>
      <c r="E120" t="s">
        <v>1096</v>
      </c>
      <c r="F120" t="s">
        <v>1086</v>
      </c>
      <c r="G120" t="s">
        <v>1087</v>
      </c>
    </row>
    <row r="121" spans="1:7">
      <c r="A121" t="s">
        <v>475</v>
      </c>
      <c r="B121" t="s">
        <v>476</v>
      </c>
      <c r="C121" t="s">
        <v>477</v>
      </c>
      <c r="D121" s="1">
        <v>42696</v>
      </c>
      <c r="E121" t="s">
        <v>1096</v>
      </c>
      <c r="F121" t="s">
        <v>1086</v>
      </c>
      <c r="G121" t="s">
        <v>1091</v>
      </c>
    </row>
    <row r="122" spans="1:7">
      <c r="A122" t="s">
        <v>480</v>
      </c>
      <c r="B122" t="s">
        <v>481</v>
      </c>
      <c r="C122" t="s">
        <v>477</v>
      </c>
      <c r="D122" s="1">
        <v>39274</v>
      </c>
      <c r="E122" t="s">
        <v>1093</v>
      </c>
      <c r="F122" t="s">
        <v>1086</v>
      </c>
      <c r="G122" t="s">
        <v>1091</v>
      </c>
    </row>
    <row r="123" spans="1:7">
      <c r="A123" t="s">
        <v>485</v>
      </c>
      <c r="B123" t="s">
        <v>486</v>
      </c>
      <c r="C123" t="s">
        <v>477</v>
      </c>
      <c r="D123" s="1">
        <v>40446</v>
      </c>
      <c r="E123" t="s">
        <v>1095</v>
      </c>
      <c r="F123" t="s">
        <v>1086</v>
      </c>
      <c r="G123" t="s">
        <v>1091</v>
      </c>
    </row>
    <row r="124" spans="1:7">
      <c r="A124" t="s">
        <v>489</v>
      </c>
      <c r="B124" t="s">
        <v>490</v>
      </c>
      <c r="C124" t="s">
        <v>477</v>
      </c>
      <c r="D124" s="1">
        <v>42234</v>
      </c>
      <c r="E124" t="s">
        <v>1096</v>
      </c>
      <c r="F124" t="s">
        <v>1086</v>
      </c>
      <c r="G124" t="s">
        <v>1091</v>
      </c>
    </row>
    <row r="125" spans="1:7">
      <c r="A125" t="s">
        <v>421</v>
      </c>
      <c r="B125" t="s">
        <v>422</v>
      </c>
      <c r="C125" t="s">
        <v>423</v>
      </c>
      <c r="D125" s="1">
        <v>40307</v>
      </c>
      <c r="E125" t="s">
        <v>1095</v>
      </c>
      <c r="F125" t="s">
        <v>1086</v>
      </c>
      <c r="G125" t="s">
        <v>1087</v>
      </c>
    </row>
    <row r="126" spans="1:7">
      <c r="A126" t="s">
        <v>427</v>
      </c>
      <c r="B126" t="s">
        <v>428</v>
      </c>
      <c r="C126" t="s">
        <v>429</v>
      </c>
      <c r="D126" s="1">
        <v>39829</v>
      </c>
      <c r="E126" t="s">
        <v>1095</v>
      </c>
      <c r="F126" t="s">
        <v>1086</v>
      </c>
      <c r="G126" t="s">
        <v>1087</v>
      </c>
    </row>
    <row r="127" spans="1:7">
      <c r="A127" t="s">
        <v>494</v>
      </c>
      <c r="B127" t="s">
        <v>495</v>
      </c>
      <c r="C127" t="s">
        <v>496</v>
      </c>
      <c r="D127" s="1">
        <v>42549</v>
      </c>
      <c r="E127" t="s">
        <v>1096</v>
      </c>
      <c r="F127" t="s">
        <v>1086</v>
      </c>
      <c r="G127" t="s">
        <v>1091</v>
      </c>
    </row>
    <row r="128" spans="1:7">
      <c r="A128" t="s">
        <v>433</v>
      </c>
      <c r="B128" t="s">
        <v>434</v>
      </c>
      <c r="C128" t="s">
        <v>435</v>
      </c>
      <c r="D128" s="1">
        <v>40058</v>
      </c>
      <c r="E128" t="s">
        <v>1095</v>
      </c>
      <c r="F128" t="s">
        <v>1086</v>
      </c>
      <c r="G128" t="s">
        <v>1087</v>
      </c>
    </row>
    <row r="129" spans="1:7">
      <c r="A129" t="s">
        <v>505</v>
      </c>
      <c r="B129" t="s">
        <v>506</v>
      </c>
      <c r="C129" t="s">
        <v>507</v>
      </c>
      <c r="D129" s="1">
        <v>36993</v>
      </c>
      <c r="E129" t="s">
        <v>1085</v>
      </c>
      <c r="F129" t="s">
        <v>1086</v>
      </c>
      <c r="G129" t="s">
        <v>1091</v>
      </c>
    </row>
    <row r="130" spans="1:7">
      <c r="A130" t="s">
        <v>511</v>
      </c>
      <c r="B130" t="s">
        <v>512</v>
      </c>
      <c r="C130" t="s">
        <v>507</v>
      </c>
      <c r="D130" s="1">
        <v>31792</v>
      </c>
      <c r="E130" t="s">
        <v>1088</v>
      </c>
      <c r="F130" t="s">
        <v>1086</v>
      </c>
      <c r="G130" t="s">
        <v>1091</v>
      </c>
    </row>
    <row r="131" spans="1:7">
      <c r="A131" t="s">
        <v>514</v>
      </c>
      <c r="B131" t="s">
        <v>515</v>
      </c>
      <c r="C131" t="s">
        <v>507</v>
      </c>
      <c r="D131" s="1">
        <v>32843</v>
      </c>
      <c r="E131" t="s">
        <v>1088</v>
      </c>
      <c r="F131" t="s">
        <v>1086</v>
      </c>
      <c r="G131" t="s">
        <v>1091</v>
      </c>
    </row>
    <row r="132" spans="1:7">
      <c r="A132" t="s">
        <v>519</v>
      </c>
      <c r="B132" t="s">
        <v>520</v>
      </c>
      <c r="C132" t="s">
        <v>521</v>
      </c>
      <c r="D132" s="1">
        <v>38163</v>
      </c>
      <c r="E132" t="s">
        <v>1092</v>
      </c>
      <c r="F132" t="s">
        <v>1086</v>
      </c>
      <c r="G132" t="s">
        <v>1091</v>
      </c>
    </row>
    <row r="133" spans="1:7">
      <c r="A133" t="s">
        <v>439</v>
      </c>
      <c r="B133" t="s">
        <v>440</v>
      </c>
      <c r="C133" t="s">
        <v>441</v>
      </c>
      <c r="D133" s="1">
        <v>42040</v>
      </c>
      <c r="E133" t="s">
        <v>1096</v>
      </c>
      <c r="F133" t="s">
        <v>1086</v>
      </c>
      <c r="G133" t="s">
        <v>1087</v>
      </c>
    </row>
    <row r="134" spans="1:7">
      <c r="A134" t="s">
        <v>524</v>
      </c>
      <c r="B134" t="s">
        <v>525</v>
      </c>
      <c r="C134" t="s">
        <v>526</v>
      </c>
      <c r="D134" s="1">
        <v>43215</v>
      </c>
      <c r="E134" t="s">
        <v>1099</v>
      </c>
      <c r="F134" t="s">
        <v>1086</v>
      </c>
      <c r="G134" t="s">
        <v>1091</v>
      </c>
    </row>
    <row r="135" spans="1:7">
      <c r="A135" t="s">
        <v>530</v>
      </c>
      <c r="B135" t="s">
        <v>531</v>
      </c>
      <c r="C135" t="s">
        <v>526</v>
      </c>
      <c r="D135" s="1">
        <v>36887</v>
      </c>
      <c r="E135" t="s">
        <v>1092</v>
      </c>
      <c r="F135" t="s">
        <v>1086</v>
      </c>
      <c r="G135" t="s">
        <v>1091</v>
      </c>
    </row>
    <row r="136" spans="1:7">
      <c r="A136" t="s">
        <v>445</v>
      </c>
      <c r="B136" t="s">
        <v>446</v>
      </c>
      <c r="C136" t="s">
        <v>447</v>
      </c>
      <c r="D136" s="1">
        <v>35330</v>
      </c>
      <c r="E136" t="s">
        <v>1089</v>
      </c>
      <c r="F136" t="s">
        <v>1086</v>
      </c>
      <c r="G136" t="s">
        <v>1087</v>
      </c>
    </row>
    <row r="137" spans="1:7">
      <c r="A137" t="s">
        <v>450</v>
      </c>
      <c r="B137" t="s">
        <v>451</v>
      </c>
      <c r="C137" t="s">
        <v>447</v>
      </c>
      <c r="D137" s="1">
        <v>39539</v>
      </c>
      <c r="E137" t="s">
        <v>1095</v>
      </c>
      <c r="F137" t="s">
        <v>1086</v>
      </c>
      <c r="G137" t="s">
        <v>1087</v>
      </c>
    </row>
    <row r="138" spans="1:7">
      <c r="A138" t="s">
        <v>455</v>
      </c>
      <c r="B138" t="s">
        <v>456</v>
      </c>
      <c r="C138" t="s">
        <v>447</v>
      </c>
      <c r="D138" s="1">
        <v>41686</v>
      </c>
      <c r="E138" t="s">
        <v>1096</v>
      </c>
      <c r="F138" t="s">
        <v>1086</v>
      </c>
      <c r="G138" t="s">
        <v>1087</v>
      </c>
    </row>
    <row r="139" spans="1:7">
      <c r="A139" t="s">
        <v>535</v>
      </c>
      <c r="B139" t="s">
        <v>536</v>
      </c>
      <c r="C139" t="s">
        <v>537</v>
      </c>
      <c r="D139" s="1">
        <v>41047</v>
      </c>
      <c r="E139" t="s">
        <v>1096</v>
      </c>
      <c r="F139" t="s">
        <v>1086</v>
      </c>
      <c r="G139" t="s">
        <v>1091</v>
      </c>
    </row>
    <row r="140" spans="1:7">
      <c r="A140" t="s">
        <v>541</v>
      </c>
      <c r="B140" t="s">
        <v>542</v>
      </c>
      <c r="C140" t="s">
        <v>537</v>
      </c>
      <c r="D140" s="1">
        <v>37269</v>
      </c>
      <c r="E140" t="s">
        <v>1092</v>
      </c>
      <c r="F140" t="s">
        <v>1086</v>
      </c>
      <c r="G140" t="s">
        <v>1091</v>
      </c>
    </row>
    <row r="141" spans="1:7">
      <c r="A141" t="s">
        <v>460</v>
      </c>
      <c r="B141" t="s">
        <v>461</v>
      </c>
      <c r="C141" t="s">
        <v>462</v>
      </c>
      <c r="D141" s="1">
        <v>38090</v>
      </c>
      <c r="E141" t="s">
        <v>1085</v>
      </c>
      <c r="F141" t="s">
        <v>1086</v>
      </c>
      <c r="G141" t="s">
        <v>1087</v>
      </c>
    </row>
    <row r="142" spans="1:7">
      <c r="A142" t="s">
        <v>550</v>
      </c>
      <c r="B142" t="s">
        <v>551</v>
      </c>
      <c r="C142" t="s">
        <v>552</v>
      </c>
      <c r="D142" s="1">
        <v>41474</v>
      </c>
      <c r="E142" t="s">
        <v>1096</v>
      </c>
      <c r="F142" t="s">
        <v>1086</v>
      </c>
      <c r="G142" t="s">
        <v>1091</v>
      </c>
    </row>
    <row r="143" spans="1:7">
      <c r="A143" t="s">
        <v>466</v>
      </c>
      <c r="B143" t="s">
        <v>467</v>
      </c>
      <c r="C143" t="s">
        <v>468</v>
      </c>
      <c r="D143" s="1">
        <v>40557</v>
      </c>
      <c r="E143" t="s">
        <v>1095</v>
      </c>
      <c r="F143" t="s">
        <v>1086</v>
      </c>
      <c r="G143" t="s">
        <v>1087</v>
      </c>
    </row>
    <row r="144" spans="1:7">
      <c r="A144" t="s">
        <v>555</v>
      </c>
      <c r="B144" t="s">
        <v>556</v>
      </c>
      <c r="C144" t="s">
        <v>557</v>
      </c>
      <c r="D144" s="1">
        <v>41557</v>
      </c>
      <c r="E144" t="s">
        <v>1096</v>
      </c>
      <c r="F144" t="s">
        <v>1086</v>
      </c>
      <c r="G144" t="s">
        <v>1091</v>
      </c>
    </row>
    <row r="145" spans="1:7">
      <c r="A145" t="s">
        <v>472</v>
      </c>
      <c r="B145" t="s">
        <v>473</v>
      </c>
      <c r="C145" t="s">
        <v>474</v>
      </c>
      <c r="D145" s="1">
        <v>41832</v>
      </c>
      <c r="E145" t="s">
        <v>1096</v>
      </c>
      <c r="F145" t="s">
        <v>1086</v>
      </c>
      <c r="G145" t="s">
        <v>1087</v>
      </c>
    </row>
    <row r="146" spans="1:7">
      <c r="A146" t="s">
        <v>478</v>
      </c>
      <c r="B146" t="s">
        <v>479</v>
      </c>
      <c r="C146" t="s">
        <v>474</v>
      </c>
      <c r="D146" s="1">
        <v>40741</v>
      </c>
      <c r="E146" t="s">
        <v>1095</v>
      </c>
      <c r="F146" t="s">
        <v>1086</v>
      </c>
      <c r="G146" t="s">
        <v>1087</v>
      </c>
    </row>
    <row r="147" spans="1:7">
      <c r="A147" t="s">
        <v>482</v>
      </c>
      <c r="B147" t="s">
        <v>483</v>
      </c>
      <c r="C147" t="s">
        <v>484</v>
      </c>
      <c r="D147" s="1">
        <v>24583</v>
      </c>
      <c r="E147" t="s">
        <v>1089</v>
      </c>
      <c r="F147" t="s">
        <v>1086</v>
      </c>
      <c r="G147" t="s">
        <v>1087</v>
      </c>
    </row>
    <row r="148" spans="1:7">
      <c r="A148" t="s">
        <v>487</v>
      </c>
      <c r="B148" t="s">
        <v>488</v>
      </c>
      <c r="C148" t="s">
        <v>484</v>
      </c>
      <c r="D148" s="1">
        <v>34711</v>
      </c>
      <c r="E148" t="s">
        <v>1085</v>
      </c>
      <c r="F148" t="s">
        <v>1086</v>
      </c>
      <c r="G148" t="s">
        <v>1087</v>
      </c>
    </row>
    <row r="149" spans="1:7">
      <c r="A149" t="s">
        <v>560</v>
      </c>
      <c r="B149" t="s">
        <v>561</v>
      </c>
      <c r="C149" t="s">
        <v>562</v>
      </c>
      <c r="D149" s="1">
        <v>39199</v>
      </c>
      <c r="E149" t="s">
        <v>1093</v>
      </c>
      <c r="F149" t="s">
        <v>1086</v>
      </c>
      <c r="G149" t="s">
        <v>1091</v>
      </c>
    </row>
    <row r="150" spans="1:7">
      <c r="A150" t="s">
        <v>566</v>
      </c>
      <c r="B150" t="s">
        <v>567</v>
      </c>
      <c r="C150" t="s">
        <v>568</v>
      </c>
      <c r="D150" s="1">
        <v>31732</v>
      </c>
      <c r="E150" t="s">
        <v>1085</v>
      </c>
      <c r="F150" t="s">
        <v>1086</v>
      </c>
      <c r="G150" t="s">
        <v>1091</v>
      </c>
    </row>
    <row r="151" spans="1:7">
      <c r="A151" t="s">
        <v>572</v>
      </c>
      <c r="B151" t="s">
        <v>573</v>
      </c>
      <c r="C151" t="s">
        <v>574</v>
      </c>
      <c r="D151" s="1">
        <v>33086</v>
      </c>
      <c r="E151" t="s">
        <v>1088</v>
      </c>
      <c r="F151" t="s">
        <v>1086</v>
      </c>
      <c r="G151" t="s">
        <v>1091</v>
      </c>
    </row>
    <row r="152" spans="1:7">
      <c r="A152" t="s">
        <v>578</v>
      </c>
      <c r="B152" t="s">
        <v>579</v>
      </c>
      <c r="C152" t="s">
        <v>580</v>
      </c>
      <c r="D152" s="1">
        <v>33696</v>
      </c>
      <c r="E152" t="s">
        <v>1085</v>
      </c>
      <c r="F152" t="s">
        <v>1086</v>
      </c>
      <c r="G152" t="s">
        <v>1091</v>
      </c>
    </row>
    <row r="153" spans="1:7">
      <c r="A153" t="s">
        <v>584</v>
      </c>
      <c r="B153" t="s">
        <v>585</v>
      </c>
      <c r="C153" t="s">
        <v>586</v>
      </c>
      <c r="D153" s="1">
        <v>38656</v>
      </c>
      <c r="E153" t="s">
        <v>1093</v>
      </c>
      <c r="F153" t="s">
        <v>1086</v>
      </c>
      <c r="G153" t="s">
        <v>1091</v>
      </c>
    </row>
    <row r="154" spans="1:7">
      <c r="A154" t="s">
        <v>590</v>
      </c>
      <c r="B154" t="s">
        <v>591</v>
      </c>
      <c r="C154" t="s">
        <v>592</v>
      </c>
      <c r="D154" s="1">
        <v>41807</v>
      </c>
      <c r="E154" t="s">
        <v>1096</v>
      </c>
      <c r="F154" t="s">
        <v>1086</v>
      </c>
      <c r="G154" t="s">
        <v>1091</v>
      </c>
    </row>
    <row r="155" spans="1:7">
      <c r="A155" t="s">
        <v>596</v>
      </c>
      <c r="B155" t="s">
        <v>597</v>
      </c>
      <c r="C155" t="s">
        <v>592</v>
      </c>
      <c r="D155" s="1">
        <v>39993</v>
      </c>
      <c r="E155" t="s">
        <v>1095</v>
      </c>
      <c r="F155" t="s">
        <v>1086</v>
      </c>
      <c r="G155" t="s">
        <v>1091</v>
      </c>
    </row>
    <row r="156" spans="1:7">
      <c r="A156" t="s">
        <v>601</v>
      </c>
      <c r="B156" t="s">
        <v>602</v>
      </c>
      <c r="C156" t="s">
        <v>603</v>
      </c>
      <c r="D156" s="1">
        <v>41149</v>
      </c>
      <c r="E156" t="s">
        <v>1096</v>
      </c>
      <c r="F156" t="s">
        <v>1086</v>
      </c>
      <c r="G156" t="s">
        <v>1091</v>
      </c>
    </row>
    <row r="157" spans="1:7">
      <c r="A157" t="s">
        <v>606</v>
      </c>
      <c r="B157" t="s">
        <v>607</v>
      </c>
      <c r="C157" t="s">
        <v>608</v>
      </c>
      <c r="D157" s="1">
        <v>30573</v>
      </c>
      <c r="E157" t="s">
        <v>1089</v>
      </c>
      <c r="F157" t="s">
        <v>1086</v>
      </c>
      <c r="G157" t="s">
        <v>1091</v>
      </c>
    </row>
    <row r="158" spans="1:7">
      <c r="A158" t="s">
        <v>612</v>
      </c>
      <c r="B158" t="s">
        <v>613</v>
      </c>
      <c r="C158" t="s">
        <v>614</v>
      </c>
      <c r="D158" s="1">
        <v>42979</v>
      </c>
      <c r="E158" t="s">
        <v>1096</v>
      </c>
      <c r="F158" t="s">
        <v>1086</v>
      </c>
      <c r="G158" t="s">
        <v>1091</v>
      </c>
    </row>
    <row r="159" spans="1:7">
      <c r="A159" t="s">
        <v>618</v>
      </c>
      <c r="B159" t="s">
        <v>619</v>
      </c>
      <c r="C159" t="s">
        <v>620</v>
      </c>
      <c r="D159" s="1">
        <v>37684</v>
      </c>
      <c r="E159" t="s">
        <v>1085</v>
      </c>
      <c r="F159" t="s">
        <v>1086</v>
      </c>
      <c r="G159" t="s">
        <v>1091</v>
      </c>
    </row>
    <row r="160" spans="1:7">
      <c r="A160" t="s">
        <v>491</v>
      </c>
      <c r="B160" t="s">
        <v>492</v>
      </c>
      <c r="C160" t="s">
        <v>493</v>
      </c>
      <c r="D160" s="1">
        <v>41662</v>
      </c>
      <c r="E160" t="s">
        <v>1096</v>
      </c>
      <c r="F160" t="s">
        <v>1086</v>
      </c>
      <c r="G160" t="s">
        <v>1087</v>
      </c>
    </row>
    <row r="161" spans="1:7">
      <c r="A161" t="s">
        <v>502</v>
      </c>
      <c r="B161" t="s">
        <v>503</v>
      </c>
      <c r="C161" t="s">
        <v>504</v>
      </c>
      <c r="D161" s="1">
        <v>41695</v>
      </c>
      <c r="E161" t="s">
        <v>1096</v>
      </c>
      <c r="F161" t="s">
        <v>1086</v>
      </c>
      <c r="G161" t="s">
        <v>1087</v>
      </c>
    </row>
    <row r="162" spans="1:7">
      <c r="A162" t="s">
        <v>508</v>
      </c>
      <c r="B162" t="s">
        <v>509</v>
      </c>
      <c r="C162" t="s">
        <v>510</v>
      </c>
      <c r="D162" s="1">
        <v>36929</v>
      </c>
      <c r="E162" t="s">
        <v>1085</v>
      </c>
      <c r="F162" t="s">
        <v>1086</v>
      </c>
      <c r="G162" t="s">
        <v>1087</v>
      </c>
    </row>
    <row r="163" spans="1:7">
      <c r="A163" t="s">
        <v>516</v>
      </c>
      <c r="B163" t="s">
        <v>517</v>
      </c>
      <c r="C163" t="s">
        <v>518</v>
      </c>
      <c r="D163" s="1">
        <v>40227</v>
      </c>
      <c r="E163" t="s">
        <v>1095</v>
      </c>
      <c r="F163" t="s">
        <v>1086</v>
      </c>
      <c r="G163" t="s">
        <v>1087</v>
      </c>
    </row>
    <row r="164" spans="1:7">
      <c r="A164" t="s">
        <v>522</v>
      </c>
      <c r="B164" t="s">
        <v>523</v>
      </c>
      <c r="C164" t="s">
        <v>518</v>
      </c>
      <c r="D164" s="1">
        <v>39686</v>
      </c>
      <c r="E164" t="s">
        <v>1095</v>
      </c>
      <c r="F164" t="s">
        <v>1086</v>
      </c>
      <c r="G164" t="s">
        <v>1087</v>
      </c>
    </row>
    <row r="165" spans="1:7">
      <c r="A165" t="s">
        <v>624</v>
      </c>
      <c r="B165" t="s">
        <v>625</v>
      </c>
      <c r="C165" t="s">
        <v>626</v>
      </c>
      <c r="D165" s="1">
        <v>42058</v>
      </c>
      <c r="E165" t="s">
        <v>1096</v>
      </c>
      <c r="F165" t="s">
        <v>1086</v>
      </c>
      <c r="G165" t="s">
        <v>1091</v>
      </c>
    </row>
    <row r="166" spans="1:7">
      <c r="A166" t="s">
        <v>630</v>
      </c>
      <c r="B166" t="s">
        <v>631</v>
      </c>
      <c r="C166" t="s">
        <v>632</v>
      </c>
      <c r="D166" s="1">
        <v>40143</v>
      </c>
      <c r="E166" t="s">
        <v>1095</v>
      </c>
      <c r="F166" t="s">
        <v>1086</v>
      </c>
      <c r="G166" t="s">
        <v>1091</v>
      </c>
    </row>
    <row r="167" spans="1:7">
      <c r="A167" t="s">
        <v>636</v>
      </c>
      <c r="B167" t="s">
        <v>637</v>
      </c>
      <c r="C167" t="s">
        <v>638</v>
      </c>
      <c r="D167" s="1">
        <v>40637</v>
      </c>
      <c r="E167" t="s">
        <v>1095</v>
      </c>
      <c r="F167" t="s">
        <v>1086</v>
      </c>
      <c r="G167" t="s">
        <v>1091</v>
      </c>
    </row>
    <row r="168" spans="1:7">
      <c r="A168" t="s">
        <v>527</v>
      </c>
      <c r="B168" t="s">
        <v>528</v>
      </c>
      <c r="C168" t="s">
        <v>529</v>
      </c>
      <c r="D168" s="1">
        <v>25227</v>
      </c>
      <c r="E168" t="s">
        <v>1088</v>
      </c>
      <c r="F168" t="s">
        <v>1086</v>
      </c>
      <c r="G168" t="s">
        <v>1087</v>
      </c>
    </row>
    <row r="169" spans="1:7">
      <c r="A169" t="s">
        <v>532</v>
      </c>
      <c r="B169" t="s">
        <v>533</v>
      </c>
      <c r="C169" t="s">
        <v>534</v>
      </c>
      <c r="D169" s="1">
        <v>35550</v>
      </c>
      <c r="E169" t="s">
        <v>1085</v>
      </c>
      <c r="F169" t="s">
        <v>1086</v>
      </c>
      <c r="G169" t="s">
        <v>1087</v>
      </c>
    </row>
    <row r="170" spans="1:7">
      <c r="A170" t="s">
        <v>641</v>
      </c>
      <c r="B170" t="s">
        <v>642</v>
      </c>
      <c r="C170" t="s">
        <v>643</v>
      </c>
      <c r="D170" s="1">
        <v>40541</v>
      </c>
      <c r="E170" t="s">
        <v>1095</v>
      </c>
      <c r="F170" t="s">
        <v>1086</v>
      </c>
      <c r="G170" t="s">
        <v>1091</v>
      </c>
    </row>
    <row r="171" spans="1:7">
      <c r="A171" t="s">
        <v>538</v>
      </c>
      <c r="B171" t="s">
        <v>539</v>
      </c>
      <c r="C171" t="s">
        <v>540</v>
      </c>
      <c r="D171" s="1">
        <v>36308</v>
      </c>
      <c r="E171" t="s">
        <v>1085</v>
      </c>
      <c r="F171" t="s">
        <v>1086</v>
      </c>
      <c r="G171" t="s">
        <v>1087</v>
      </c>
    </row>
    <row r="172" spans="1:7">
      <c r="A172" t="s">
        <v>647</v>
      </c>
      <c r="B172" t="s">
        <v>648</v>
      </c>
      <c r="C172" t="s">
        <v>649</v>
      </c>
      <c r="D172" s="1">
        <v>37702</v>
      </c>
      <c r="E172" t="s">
        <v>1085</v>
      </c>
      <c r="F172" t="s">
        <v>1086</v>
      </c>
      <c r="G172" t="s">
        <v>1091</v>
      </c>
    </row>
    <row r="173" spans="1:7">
      <c r="A173" t="s">
        <v>543</v>
      </c>
      <c r="B173" t="s">
        <v>544</v>
      </c>
      <c r="C173" t="s">
        <v>545</v>
      </c>
      <c r="D173" s="1">
        <v>41611</v>
      </c>
      <c r="E173" t="s">
        <v>1096</v>
      </c>
      <c r="F173" t="s">
        <v>1086</v>
      </c>
      <c r="G173" t="s">
        <v>1087</v>
      </c>
    </row>
    <row r="174" spans="1:7">
      <c r="A174" t="s">
        <v>547</v>
      </c>
      <c r="B174" t="s">
        <v>548</v>
      </c>
      <c r="C174" t="s">
        <v>549</v>
      </c>
      <c r="D174" s="1">
        <v>39363</v>
      </c>
      <c r="E174" t="s">
        <v>1093</v>
      </c>
      <c r="F174" t="s">
        <v>1086</v>
      </c>
      <c r="G174" t="s">
        <v>1087</v>
      </c>
    </row>
    <row r="175" spans="1:7">
      <c r="A175" t="s">
        <v>553</v>
      </c>
      <c r="B175" t="s">
        <v>554</v>
      </c>
      <c r="C175" t="s">
        <v>549</v>
      </c>
      <c r="D175" s="1">
        <v>40848</v>
      </c>
      <c r="E175" t="s">
        <v>1095</v>
      </c>
      <c r="F175" t="s">
        <v>1086</v>
      </c>
      <c r="G175" t="s">
        <v>1087</v>
      </c>
    </row>
    <row r="176" spans="1:7">
      <c r="A176" t="s">
        <v>653</v>
      </c>
      <c r="B176" t="s">
        <v>654</v>
      </c>
      <c r="C176" t="s">
        <v>655</v>
      </c>
      <c r="D176" s="1">
        <v>38451</v>
      </c>
      <c r="E176" t="s">
        <v>1093</v>
      </c>
      <c r="F176" t="s">
        <v>1086</v>
      </c>
      <c r="G176" t="s">
        <v>1091</v>
      </c>
    </row>
    <row r="177" spans="1:7">
      <c r="A177" t="s">
        <v>665</v>
      </c>
      <c r="B177" t="s">
        <v>666</v>
      </c>
      <c r="C177" t="s">
        <v>667</v>
      </c>
      <c r="D177" s="1">
        <v>38011</v>
      </c>
      <c r="E177" t="s">
        <v>1085</v>
      </c>
      <c r="F177" t="s">
        <v>1086</v>
      </c>
      <c r="G177" t="s">
        <v>1091</v>
      </c>
    </row>
    <row r="178" spans="1:7">
      <c r="A178" t="s">
        <v>563</v>
      </c>
      <c r="B178" t="s">
        <v>564</v>
      </c>
      <c r="C178" t="s">
        <v>565</v>
      </c>
      <c r="D178" s="1">
        <v>39187</v>
      </c>
      <c r="E178" t="s">
        <v>1093</v>
      </c>
      <c r="F178" t="s">
        <v>1086</v>
      </c>
      <c r="G178" t="s">
        <v>1087</v>
      </c>
    </row>
    <row r="179" spans="1:7">
      <c r="A179" t="s">
        <v>670</v>
      </c>
      <c r="B179" t="s">
        <v>671</v>
      </c>
      <c r="C179" t="s">
        <v>672</v>
      </c>
      <c r="D179" s="1">
        <v>39324</v>
      </c>
      <c r="E179" t="s">
        <v>1093</v>
      </c>
      <c r="F179" t="s">
        <v>1086</v>
      </c>
      <c r="G179" t="s">
        <v>1091</v>
      </c>
    </row>
    <row r="180" spans="1:7">
      <c r="A180" t="s">
        <v>676</v>
      </c>
      <c r="B180" t="s">
        <v>677</v>
      </c>
      <c r="C180" t="s">
        <v>672</v>
      </c>
      <c r="D180" s="1">
        <v>36432</v>
      </c>
      <c r="E180" t="s">
        <v>1089</v>
      </c>
      <c r="F180" t="s">
        <v>1086</v>
      </c>
      <c r="G180" t="s">
        <v>1091</v>
      </c>
    </row>
    <row r="181" spans="1:7">
      <c r="A181" t="s">
        <v>681</v>
      </c>
      <c r="B181" t="s">
        <v>682</v>
      </c>
      <c r="C181" t="s">
        <v>672</v>
      </c>
      <c r="D181" s="1">
        <v>33828</v>
      </c>
      <c r="E181" t="s">
        <v>1085</v>
      </c>
      <c r="F181" t="s">
        <v>1086</v>
      </c>
      <c r="G181" t="s">
        <v>1091</v>
      </c>
    </row>
    <row r="182" spans="1:7">
      <c r="A182" t="s">
        <v>569</v>
      </c>
      <c r="B182" t="s">
        <v>1098</v>
      </c>
      <c r="C182" t="s">
        <v>571</v>
      </c>
      <c r="D182" s="1">
        <v>41801</v>
      </c>
      <c r="E182" t="s">
        <v>1096</v>
      </c>
      <c r="F182" t="s">
        <v>1086</v>
      </c>
      <c r="G182" t="s">
        <v>1087</v>
      </c>
    </row>
    <row r="183" spans="1:7">
      <c r="A183" t="s">
        <v>575</v>
      </c>
      <c r="B183" t="s">
        <v>576</v>
      </c>
      <c r="C183" t="s">
        <v>577</v>
      </c>
      <c r="D183" s="1">
        <v>29718</v>
      </c>
      <c r="E183" t="s">
        <v>1088</v>
      </c>
      <c r="F183" t="s">
        <v>1086</v>
      </c>
      <c r="G183" t="s">
        <v>1087</v>
      </c>
    </row>
    <row r="184" spans="1:7">
      <c r="A184" t="s">
        <v>581</v>
      </c>
      <c r="B184" t="s">
        <v>582</v>
      </c>
      <c r="C184" t="s">
        <v>583</v>
      </c>
      <c r="D184" s="1">
        <v>40547</v>
      </c>
      <c r="E184" t="s">
        <v>1095</v>
      </c>
      <c r="F184" t="s">
        <v>1086</v>
      </c>
      <c r="G184" t="s">
        <v>1087</v>
      </c>
    </row>
    <row r="185" spans="1:7">
      <c r="A185" t="s">
        <v>686</v>
      </c>
      <c r="B185" t="s">
        <v>687</v>
      </c>
      <c r="C185" t="s">
        <v>688</v>
      </c>
      <c r="D185" s="1">
        <v>39433</v>
      </c>
      <c r="E185" t="s">
        <v>1093</v>
      </c>
      <c r="F185" t="s">
        <v>1086</v>
      </c>
      <c r="G185" t="s">
        <v>1091</v>
      </c>
    </row>
    <row r="186" spans="1:7">
      <c r="A186" t="s">
        <v>692</v>
      </c>
      <c r="B186" t="s">
        <v>693</v>
      </c>
      <c r="C186" t="s">
        <v>694</v>
      </c>
      <c r="D186" s="1">
        <v>41178</v>
      </c>
      <c r="E186" t="s">
        <v>1096</v>
      </c>
      <c r="F186" t="s">
        <v>1086</v>
      </c>
      <c r="G186" t="s">
        <v>1091</v>
      </c>
    </row>
    <row r="187" spans="1:7">
      <c r="A187" t="s">
        <v>698</v>
      </c>
      <c r="B187" t="s">
        <v>699</v>
      </c>
      <c r="C187" t="s">
        <v>694</v>
      </c>
      <c r="D187" s="1">
        <v>37307</v>
      </c>
      <c r="E187" t="s">
        <v>1085</v>
      </c>
      <c r="F187" t="s">
        <v>1086</v>
      </c>
      <c r="G187" t="s">
        <v>1091</v>
      </c>
    </row>
    <row r="188" spans="1:7">
      <c r="A188" t="s">
        <v>703</v>
      </c>
      <c r="B188" t="s">
        <v>704</v>
      </c>
      <c r="C188" t="s">
        <v>705</v>
      </c>
      <c r="D188" s="1">
        <v>29257</v>
      </c>
      <c r="E188" t="s">
        <v>1088</v>
      </c>
      <c r="F188" t="s">
        <v>1086</v>
      </c>
      <c r="G188" t="s">
        <v>1091</v>
      </c>
    </row>
    <row r="189" spans="1:7">
      <c r="A189" t="s">
        <v>587</v>
      </c>
      <c r="B189" t="s">
        <v>588</v>
      </c>
      <c r="C189" t="s">
        <v>589</v>
      </c>
      <c r="D189" s="1">
        <v>41780</v>
      </c>
      <c r="E189" t="s">
        <v>1096</v>
      </c>
      <c r="F189" t="s">
        <v>1086</v>
      </c>
      <c r="G189" t="s">
        <v>1087</v>
      </c>
    </row>
    <row r="190" spans="1:7">
      <c r="A190" t="s">
        <v>719</v>
      </c>
      <c r="B190" t="s">
        <v>720</v>
      </c>
      <c r="C190" t="s">
        <v>721</v>
      </c>
      <c r="D190" s="1">
        <v>37104</v>
      </c>
      <c r="E190" t="s">
        <v>1092</v>
      </c>
      <c r="F190" t="s">
        <v>1086</v>
      </c>
      <c r="G190" t="s">
        <v>1091</v>
      </c>
    </row>
    <row r="191" spans="1:7">
      <c r="A191" t="s">
        <v>593</v>
      </c>
      <c r="B191" t="s">
        <v>594</v>
      </c>
      <c r="C191" t="s">
        <v>595</v>
      </c>
      <c r="D191" s="1">
        <v>41282</v>
      </c>
      <c r="E191" t="s">
        <v>1096</v>
      </c>
      <c r="F191" t="s">
        <v>1086</v>
      </c>
      <c r="G191" t="s">
        <v>1087</v>
      </c>
    </row>
    <row r="192" spans="1:7">
      <c r="A192" t="s">
        <v>725</v>
      </c>
      <c r="B192" t="s">
        <v>726</v>
      </c>
      <c r="C192" t="s">
        <v>727</v>
      </c>
      <c r="D192" s="1">
        <v>42259</v>
      </c>
      <c r="E192" t="s">
        <v>1096</v>
      </c>
      <c r="F192" t="s">
        <v>1086</v>
      </c>
      <c r="G192" t="s">
        <v>1091</v>
      </c>
    </row>
    <row r="193" spans="1:7">
      <c r="A193" t="s">
        <v>730</v>
      </c>
      <c r="B193" t="s">
        <v>731</v>
      </c>
      <c r="C193" t="s">
        <v>732</v>
      </c>
      <c r="D193" s="1">
        <v>42194</v>
      </c>
      <c r="E193" t="s">
        <v>1096</v>
      </c>
      <c r="F193" t="s">
        <v>1086</v>
      </c>
      <c r="G193" t="s">
        <v>1091</v>
      </c>
    </row>
    <row r="194" spans="1:7">
      <c r="A194" t="s">
        <v>598</v>
      </c>
      <c r="B194" t="s">
        <v>599</v>
      </c>
      <c r="C194" t="s">
        <v>600</v>
      </c>
      <c r="D194" s="1">
        <v>39655</v>
      </c>
      <c r="E194" t="s">
        <v>1095</v>
      </c>
      <c r="F194" t="s">
        <v>1086</v>
      </c>
      <c r="G194" t="s">
        <v>1087</v>
      </c>
    </row>
    <row r="195" spans="1:7">
      <c r="A195" t="s">
        <v>604</v>
      </c>
      <c r="B195" t="s">
        <v>605</v>
      </c>
      <c r="C195" t="s">
        <v>600</v>
      </c>
      <c r="D195" s="1">
        <v>40381</v>
      </c>
      <c r="E195" t="s">
        <v>1095</v>
      </c>
      <c r="F195" t="s">
        <v>1086</v>
      </c>
      <c r="G195" t="s">
        <v>1087</v>
      </c>
    </row>
    <row r="196" spans="1:7">
      <c r="A196" t="s">
        <v>735</v>
      </c>
      <c r="B196" t="s">
        <v>736</v>
      </c>
      <c r="C196" t="s">
        <v>737</v>
      </c>
      <c r="D196" s="1">
        <v>40498</v>
      </c>
      <c r="E196" t="s">
        <v>1095</v>
      </c>
      <c r="F196" t="s">
        <v>1086</v>
      </c>
      <c r="G196" t="s">
        <v>1091</v>
      </c>
    </row>
    <row r="197" spans="1:7">
      <c r="A197" t="s">
        <v>741</v>
      </c>
      <c r="B197" t="s">
        <v>742</v>
      </c>
      <c r="C197" t="s">
        <v>743</v>
      </c>
      <c r="D197" s="1">
        <v>40439</v>
      </c>
      <c r="E197" t="s">
        <v>1095</v>
      </c>
      <c r="F197" t="s">
        <v>1086</v>
      </c>
      <c r="G197" t="s">
        <v>1091</v>
      </c>
    </row>
    <row r="198" spans="1:7">
      <c r="A198" t="s">
        <v>747</v>
      </c>
      <c r="B198" t="s">
        <v>748</v>
      </c>
      <c r="C198" t="s">
        <v>749</v>
      </c>
      <c r="D198" s="1">
        <v>41574</v>
      </c>
      <c r="E198" t="s">
        <v>1096</v>
      </c>
      <c r="F198" t="s">
        <v>1086</v>
      </c>
      <c r="G198" t="s">
        <v>1091</v>
      </c>
    </row>
    <row r="199" spans="1:7">
      <c r="A199" t="s">
        <v>753</v>
      </c>
      <c r="B199" t="s">
        <v>754</v>
      </c>
      <c r="C199" t="s">
        <v>755</v>
      </c>
      <c r="D199" s="1">
        <v>40226</v>
      </c>
      <c r="E199" t="s">
        <v>1095</v>
      </c>
      <c r="F199" t="s">
        <v>1086</v>
      </c>
      <c r="G199" t="s">
        <v>1091</v>
      </c>
    </row>
    <row r="200" spans="1:7">
      <c r="A200" t="s">
        <v>759</v>
      </c>
      <c r="B200" t="s">
        <v>760</v>
      </c>
      <c r="C200" t="s">
        <v>761</v>
      </c>
      <c r="D200" s="1">
        <v>41430</v>
      </c>
      <c r="E200" t="s">
        <v>1096</v>
      </c>
      <c r="F200" t="s">
        <v>1086</v>
      </c>
      <c r="G200" t="s">
        <v>1091</v>
      </c>
    </row>
    <row r="201" spans="1:7">
      <c r="A201" t="s">
        <v>765</v>
      </c>
      <c r="B201" t="s">
        <v>766</v>
      </c>
      <c r="C201" t="s">
        <v>767</v>
      </c>
      <c r="D201" s="1">
        <v>40937</v>
      </c>
      <c r="E201" t="s">
        <v>1096</v>
      </c>
      <c r="F201" t="s">
        <v>1086</v>
      </c>
      <c r="G201" t="s">
        <v>1091</v>
      </c>
    </row>
    <row r="202" spans="1:7">
      <c r="A202" t="s">
        <v>609</v>
      </c>
      <c r="B202" t="s">
        <v>610</v>
      </c>
      <c r="C202" t="s">
        <v>611</v>
      </c>
      <c r="D202" s="1">
        <v>36143</v>
      </c>
      <c r="E202" t="s">
        <v>1085</v>
      </c>
      <c r="F202" t="s">
        <v>1086</v>
      </c>
      <c r="G202" t="s">
        <v>1087</v>
      </c>
    </row>
    <row r="203" spans="1:7">
      <c r="A203" t="s">
        <v>615</v>
      </c>
      <c r="B203" t="s">
        <v>616</v>
      </c>
      <c r="C203" t="s">
        <v>617</v>
      </c>
      <c r="D203" s="1">
        <v>44190</v>
      </c>
      <c r="E203" t="s">
        <v>1099</v>
      </c>
      <c r="F203" t="s">
        <v>1086</v>
      </c>
      <c r="G203" t="s">
        <v>1087</v>
      </c>
    </row>
    <row r="204" spans="1:7">
      <c r="A204" t="s">
        <v>621</v>
      </c>
      <c r="B204" t="s">
        <v>622</v>
      </c>
      <c r="C204" t="s">
        <v>623</v>
      </c>
      <c r="D204" s="1">
        <v>39623</v>
      </c>
      <c r="E204" t="s">
        <v>1095</v>
      </c>
      <c r="F204" t="s">
        <v>1086</v>
      </c>
      <c r="G204" t="s">
        <v>1087</v>
      </c>
    </row>
    <row r="205" spans="1:7">
      <c r="A205" t="s">
        <v>627</v>
      </c>
      <c r="B205" t="s">
        <v>628</v>
      </c>
      <c r="C205" t="s">
        <v>629</v>
      </c>
      <c r="D205" s="1">
        <v>40093</v>
      </c>
      <c r="E205" t="s">
        <v>1095</v>
      </c>
      <c r="F205" t="s">
        <v>1086</v>
      </c>
      <c r="G205" t="s">
        <v>1087</v>
      </c>
    </row>
    <row r="206" spans="1:7">
      <c r="A206" t="s">
        <v>633</v>
      </c>
      <c r="B206" t="s">
        <v>634</v>
      </c>
      <c r="C206" t="s">
        <v>635</v>
      </c>
      <c r="D206" s="1">
        <v>30083</v>
      </c>
      <c r="E206" t="s">
        <v>1088</v>
      </c>
      <c r="F206" t="s">
        <v>1086</v>
      </c>
      <c r="G206" t="s">
        <v>1087</v>
      </c>
    </row>
    <row r="207" spans="1:7">
      <c r="A207" t="s">
        <v>771</v>
      </c>
      <c r="B207" t="s">
        <v>772</v>
      </c>
      <c r="C207" t="s">
        <v>773</v>
      </c>
      <c r="D207" s="1">
        <v>27135</v>
      </c>
      <c r="E207" t="s">
        <v>1088</v>
      </c>
      <c r="F207" t="s">
        <v>1086</v>
      </c>
      <c r="G207" t="s">
        <v>1091</v>
      </c>
    </row>
    <row r="208" spans="1:7">
      <c r="A208" t="s">
        <v>777</v>
      </c>
      <c r="B208" t="s">
        <v>778</v>
      </c>
      <c r="C208" t="s">
        <v>779</v>
      </c>
      <c r="D208" s="1">
        <v>41901</v>
      </c>
      <c r="E208" t="s">
        <v>1096</v>
      </c>
      <c r="F208" t="s">
        <v>1086</v>
      </c>
      <c r="G208" t="s">
        <v>1091</v>
      </c>
    </row>
    <row r="209" spans="1:7">
      <c r="A209" t="s">
        <v>782</v>
      </c>
      <c r="B209" t="s">
        <v>783</v>
      </c>
      <c r="C209" t="s">
        <v>784</v>
      </c>
      <c r="D209" s="1">
        <v>40796</v>
      </c>
      <c r="E209" t="s">
        <v>1095</v>
      </c>
      <c r="F209" t="s">
        <v>1086</v>
      </c>
      <c r="G209" t="s">
        <v>1091</v>
      </c>
    </row>
    <row r="210" spans="1:7">
      <c r="A210" t="s">
        <v>644</v>
      </c>
      <c r="B210" t="s">
        <v>645</v>
      </c>
      <c r="C210" t="s">
        <v>646</v>
      </c>
      <c r="D210" s="1">
        <v>36666</v>
      </c>
      <c r="E210" t="s">
        <v>1085</v>
      </c>
      <c r="F210" t="s">
        <v>1086</v>
      </c>
      <c r="G210" t="s">
        <v>1087</v>
      </c>
    </row>
    <row r="211" spans="1:7">
      <c r="A211" t="s">
        <v>650</v>
      </c>
      <c r="B211" t="s">
        <v>651</v>
      </c>
      <c r="C211" t="s">
        <v>652</v>
      </c>
      <c r="D211" s="1">
        <v>41722</v>
      </c>
      <c r="E211" t="s">
        <v>1096</v>
      </c>
      <c r="F211" t="s">
        <v>1086</v>
      </c>
      <c r="G211" t="s">
        <v>1087</v>
      </c>
    </row>
    <row r="212" spans="1:7">
      <c r="A212" t="s">
        <v>656</v>
      </c>
      <c r="B212" t="s">
        <v>657</v>
      </c>
      <c r="C212" t="s">
        <v>658</v>
      </c>
      <c r="D212" s="1">
        <v>39629</v>
      </c>
      <c r="E212" t="s">
        <v>1095</v>
      </c>
      <c r="F212" t="s">
        <v>1086</v>
      </c>
      <c r="G212" t="s">
        <v>1087</v>
      </c>
    </row>
    <row r="213" spans="1:7">
      <c r="A213" t="s">
        <v>662</v>
      </c>
      <c r="B213" t="s">
        <v>663</v>
      </c>
      <c r="C213" t="s">
        <v>664</v>
      </c>
      <c r="D213" s="1">
        <v>42156</v>
      </c>
      <c r="E213" t="s">
        <v>1096</v>
      </c>
      <c r="F213" t="s">
        <v>1086</v>
      </c>
      <c r="G213" t="s">
        <v>1087</v>
      </c>
    </row>
    <row r="214" spans="1:7">
      <c r="A214" t="s">
        <v>668</v>
      </c>
      <c r="B214" t="s">
        <v>669</v>
      </c>
      <c r="C214" t="s">
        <v>664</v>
      </c>
      <c r="D214" s="1">
        <v>33211</v>
      </c>
      <c r="E214" t="s">
        <v>1089</v>
      </c>
      <c r="F214" t="s">
        <v>1086</v>
      </c>
      <c r="G214" t="s">
        <v>1087</v>
      </c>
    </row>
    <row r="215" spans="1:7">
      <c r="A215" t="s">
        <v>788</v>
      </c>
      <c r="B215" t="s">
        <v>789</v>
      </c>
      <c r="C215" t="s">
        <v>790</v>
      </c>
      <c r="D215" s="1">
        <v>36011</v>
      </c>
      <c r="E215" t="s">
        <v>1085</v>
      </c>
      <c r="F215" t="s">
        <v>1086</v>
      </c>
      <c r="G215" t="s">
        <v>1091</v>
      </c>
    </row>
    <row r="216" spans="1:7">
      <c r="A216" t="s">
        <v>673</v>
      </c>
      <c r="B216" t="s">
        <v>674</v>
      </c>
      <c r="C216" t="s">
        <v>675</v>
      </c>
      <c r="D216" s="1">
        <v>37909</v>
      </c>
      <c r="E216" t="s">
        <v>1085</v>
      </c>
      <c r="F216" t="s">
        <v>1086</v>
      </c>
      <c r="G216" t="s">
        <v>1087</v>
      </c>
    </row>
    <row r="217" spans="1:7">
      <c r="A217" t="s">
        <v>678</v>
      </c>
      <c r="B217" t="s">
        <v>679</v>
      </c>
      <c r="C217" t="s">
        <v>680</v>
      </c>
      <c r="D217" s="1">
        <v>32911</v>
      </c>
      <c r="E217" t="s">
        <v>1089</v>
      </c>
      <c r="F217" t="s">
        <v>1086</v>
      </c>
      <c r="G217" t="s">
        <v>1087</v>
      </c>
    </row>
    <row r="218" spans="1:7">
      <c r="A218" t="s">
        <v>798</v>
      </c>
      <c r="B218" t="s">
        <v>799</v>
      </c>
      <c r="C218" t="s">
        <v>685</v>
      </c>
      <c r="D218" s="1">
        <v>35195</v>
      </c>
      <c r="E218" t="s">
        <v>1085</v>
      </c>
      <c r="F218" t="s">
        <v>1086</v>
      </c>
      <c r="G218" t="s">
        <v>1091</v>
      </c>
    </row>
    <row r="219" spans="1:7">
      <c r="A219" t="s">
        <v>803</v>
      </c>
      <c r="B219" t="s">
        <v>804</v>
      </c>
      <c r="C219" t="s">
        <v>685</v>
      </c>
      <c r="D219" s="1">
        <v>42249</v>
      </c>
      <c r="E219" t="s">
        <v>1096</v>
      </c>
      <c r="F219" t="s">
        <v>1086</v>
      </c>
      <c r="G219" t="s">
        <v>1091</v>
      </c>
    </row>
    <row r="220" spans="1:7">
      <c r="A220" t="s">
        <v>683</v>
      </c>
      <c r="B220" t="s">
        <v>684</v>
      </c>
      <c r="C220" t="s">
        <v>685</v>
      </c>
      <c r="D220" s="1">
        <v>35246</v>
      </c>
      <c r="E220" t="s">
        <v>1085</v>
      </c>
      <c r="F220" t="s">
        <v>1086</v>
      </c>
      <c r="G220" t="s">
        <v>1087</v>
      </c>
    </row>
    <row r="221" spans="1:7">
      <c r="A221" t="s">
        <v>808</v>
      </c>
      <c r="B221" t="s">
        <v>809</v>
      </c>
      <c r="C221" t="s">
        <v>685</v>
      </c>
      <c r="D221" s="1">
        <v>40097</v>
      </c>
      <c r="E221" t="s">
        <v>1095</v>
      </c>
      <c r="F221" t="s">
        <v>1086</v>
      </c>
      <c r="G221" t="s">
        <v>1091</v>
      </c>
    </row>
    <row r="222" spans="1:7">
      <c r="A222" t="s">
        <v>689</v>
      </c>
      <c r="B222" t="s">
        <v>690</v>
      </c>
      <c r="C222" t="s">
        <v>691</v>
      </c>
      <c r="D222" s="1">
        <v>30397</v>
      </c>
      <c r="E222" t="s">
        <v>1088</v>
      </c>
      <c r="F222" t="s">
        <v>1086</v>
      </c>
      <c r="G222" t="s">
        <v>1087</v>
      </c>
    </row>
    <row r="223" spans="1:7">
      <c r="A223" t="s">
        <v>812</v>
      </c>
      <c r="B223" t="s">
        <v>813</v>
      </c>
      <c r="C223" t="s">
        <v>814</v>
      </c>
      <c r="D223" s="1">
        <v>38432</v>
      </c>
      <c r="E223" t="s">
        <v>1093</v>
      </c>
      <c r="F223" t="s">
        <v>1086</v>
      </c>
      <c r="G223" t="s">
        <v>1091</v>
      </c>
    </row>
    <row r="224" spans="1:7">
      <c r="A224" t="s">
        <v>695</v>
      </c>
      <c r="B224" t="s">
        <v>696</v>
      </c>
      <c r="C224" t="s">
        <v>697</v>
      </c>
      <c r="D224" s="1">
        <v>30994</v>
      </c>
      <c r="E224" t="s">
        <v>1085</v>
      </c>
      <c r="F224" t="s">
        <v>1086</v>
      </c>
      <c r="G224" t="s">
        <v>1087</v>
      </c>
    </row>
    <row r="225" spans="1:7">
      <c r="A225" t="s">
        <v>700</v>
      </c>
      <c r="B225" t="s">
        <v>701</v>
      </c>
      <c r="C225" t="s">
        <v>702</v>
      </c>
      <c r="D225" s="1">
        <v>36865</v>
      </c>
      <c r="E225" t="s">
        <v>1085</v>
      </c>
      <c r="F225" t="s">
        <v>1086</v>
      </c>
      <c r="G225" t="s">
        <v>1087</v>
      </c>
    </row>
    <row r="226" spans="1:7">
      <c r="A226" t="s">
        <v>706</v>
      </c>
      <c r="B226" t="s">
        <v>707</v>
      </c>
      <c r="C226" t="s">
        <v>702</v>
      </c>
      <c r="D226" s="1">
        <v>43333</v>
      </c>
      <c r="E226" t="s">
        <v>1099</v>
      </c>
      <c r="F226" t="s">
        <v>1086</v>
      </c>
      <c r="G226" t="s">
        <v>1087</v>
      </c>
    </row>
    <row r="227" spans="1:7">
      <c r="A227" t="s">
        <v>818</v>
      </c>
      <c r="B227" t="s">
        <v>819</v>
      </c>
      <c r="C227" t="s">
        <v>820</v>
      </c>
      <c r="D227" s="1">
        <v>40786</v>
      </c>
      <c r="E227" t="s">
        <v>1095</v>
      </c>
      <c r="F227" t="s">
        <v>1086</v>
      </c>
      <c r="G227" t="s">
        <v>1091</v>
      </c>
    </row>
    <row r="228" spans="1:7">
      <c r="A228" t="s">
        <v>823</v>
      </c>
      <c r="B228" t="s">
        <v>824</v>
      </c>
      <c r="C228" t="s">
        <v>825</v>
      </c>
      <c r="D228" s="1">
        <v>41958</v>
      </c>
      <c r="E228" t="s">
        <v>1096</v>
      </c>
      <c r="F228" t="s">
        <v>1086</v>
      </c>
      <c r="G228" t="s">
        <v>1091</v>
      </c>
    </row>
    <row r="229" spans="1:7">
      <c r="A229" t="s">
        <v>710</v>
      </c>
      <c r="B229" t="s">
        <v>1097</v>
      </c>
      <c r="C229" t="s">
        <v>712</v>
      </c>
      <c r="D229" s="1">
        <v>40806</v>
      </c>
      <c r="E229" t="s">
        <v>1095</v>
      </c>
      <c r="F229" t="s">
        <v>1086</v>
      </c>
      <c r="G229" t="s">
        <v>1087</v>
      </c>
    </row>
    <row r="230" spans="1:7">
      <c r="A230" t="s">
        <v>828</v>
      </c>
      <c r="B230" t="s">
        <v>829</v>
      </c>
      <c r="C230" t="s">
        <v>830</v>
      </c>
      <c r="D230" s="1">
        <v>43006</v>
      </c>
      <c r="E230" t="s">
        <v>1096</v>
      </c>
      <c r="F230" t="s">
        <v>1086</v>
      </c>
      <c r="G230" t="s">
        <v>1091</v>
      </c>
    </row>
    <row r="231" spans="1:7">
      <c r="A231" t="s">
        <v>834</v>
      </c>
      <c r="B231" t="s">
        <v>835</v>
      </c>
      <c r="C231" t="s">
        <v>836</v>
      </c>
      <c r="D231" s="1">
        <v>37295</v>
      </c>
      <c r="E231" t="s">
        <v>1085</v>
      </c>
      <c r="F231" t="s">
        <v>1086</v>
      </c>
      <c r="G231" t="s">
        <v>1091</v>
      </c>
    </row>
    <row r="232" spans="1:7">
      <c r="A232" t="s">
        <v>839</v>
      </c>
      <c r="B232" t="s">
        <v>840</v>
      </c>
      <c r="C232" t="s">
        <v>836</v>
      </c>
      <c r="D232" s="1">
        <v>40273</v>
      </c>
      <c r="E232" t="s">
        <v>1095</v>
      </c>
      <c r="F232" t="s">
        <v>1086</v>
      </c>
      <c r="G232" t="s">
        <v>1091</v>
      </c>
    </row>
    <row r="233" spans="1:7">
      <c r="A233" t="s">
        <v>844</v>
      </c>
      <c r="B233" t="s">
        <v>845</v>
      </c>
      <c r="C233" t="s">
        <v>836</v>
      </c>
      <c r="D233" s="1">
        <v>33211</v>
      </c>
      <c r="E233" t="s">
        <v>1088</v>
      </c>
      <c r="F233" t="s">
        <v>1086</v>
      </c>
      <c r="G233" t="s">
        <v>1091</v>
      </c>
    </row>
    <row r="234" spans="1:7">
      <c r="A234" t="s">
        <v>849</v>
      </c>
      <c r="B234" t="s">
        <v>850</v>
      </c>
      <c r="C234" t="s">
        <v>836</v>
      </c>
      <c r="D234" s="1">
        <v>40700</v>
      </c>
      <c r="E234" t="s">
        <v>1095</v>
      </c>
      <c r="F234" t="s">
        <v>1086</v>
      </c>
      <c r="G234" t="s">
        <v>1091</v>
      </c>
    </row>
    <row r="235" spans="1:7">
      <c r="A235" t="s">
        <v>853</v>
      </c>
      <c r="B235" t="s">
        <v>854</v>
      </c>
      <c r="C235" t="s">
        <v>855</v>
      </c>
      <c r="D235" s="1">
        <v>38635</v>
      </c>
      <c r="E235" t="s">
        <v>1093</v>
      </c>
      <c r="F235" t="s">
        <v>1086</v>
      </c>
      <c r="G235" t="s">
        <v>1091</v>
      </c>
    </row>
    <row r="236" spans="1:7">
      <c r="A236" t="s">
        <v>722</v>
      </c>
      <c r="B236" t="s">
        <v>723</v>
      </c>
      <c r="C236" t="s">
        <v>724</v>
      </c>
      <c r="D236" s="1">
        <v>38657</v>
      </c>
      <c r="E236" t="s">
        <v>1093</v>
      </c>
      <c r="F236" t="s">
        <v>1086</v>
      </c>
      <c r="G236" t="s">
        <v>1087</v>
      </c>
    </row>
    <row r="237" spans="1:7">
      <c r="A237" t="s">
        <v>733</v>
      </c>
      <c r="B237" t="s">
        <v>734</v>
      </c>
      <c r="C237" t="s">
        <v>729</v>
      </c>
      <c r="D237" s="1">
        <v>41760</v>
      </c>
      <c r="E237" t="s">
        <v>1096</v>
      </c>
      <c r="F237" t="s">
        <v>1086</v>
      </c>
      <c r="G237" t="s">
        <v>1087</v>
      </c>
    </row>
    <row r="238" spans="1:7">
      <c r="A238" t="s">
        <v>738</v>
      </c>
      <c r="B238" t="s">
        <v>739</v>
      </c>
      <c r="C238" t="s">
        <v>740</v>
      </c>
      <c r="D238" s="1">
        <v>39018</v>
      </c>
      <c r="E238" t="s">
        <v>1093</v>
      </c>
      <c r="F238" t="s">
        <v>1086</v>
      </c>
      <c r="G238" t="s">
        <v>1087</v>
      </c>
    </row>
    <row r="239" spans="1:7">
      <c r="A239" t="s">
        <v>859</v>
      </c>
      <c r="B239" t="s">
        <v>860</v>
      </c>
      <c r="C239" t="s">
        <v>861</v>
      </c>
      <c r="D239" s="1">
        <v>34635</v>
      </c>
      <c r="E239" t="s">
        <v>1085</v>
      </c>
      <c r="F239" t="s">
        <v>1086</v>
      </c>
      <c r="G239" t="s">
        <v>1091</v>
      </c>
    </row>
    <row r="240" spans="1:7">
      <c r="A240" t="s">
        <v>865</v>
      </c>
      <c r="B240" t="s">
        <v>866</v>
      </c>
      <c r="C240" t="s">
        <v>867</v>
      </c>
      <c r="D240" s="1">
        <v>42096</v>
      </c>
      <c r="E240" t="s">
        <v>1096</v>
      </c>
      <c r="F240" t="s">
        <v>1086</v>
      </c>
      <c r="G240" t="s">
        <v>1091</v>
      </c>
    </row>
    <row r="241" spans="1:7">
      <c r="A241" t="s">
        <v>871</v>
      </c>
      <c r="B241" t="s">
        <v>872</v>
      </c>
      <c r="C241" t="s">
        <v>873</v>
      </c>
      <c r="D241" s="1">
        <v>39538</v>
      </c>
      <c r="E241" t="s">
        <v>1095</v>
      </c>
      <c r="F241" t="s">
        <v>1086</v>
      </c>
      <c r="G241" t="s">
        <v>1091</v>
      </c>
    </row>
    <row r="242" spans="1:7">
      <c r="A242" t="s">
        <v>744</v>
      </c>
      <c r="B242" t="s">
        <v>745</v>
      </c>
      <c r="C242" t="s">
        <v>746</v>
      </c>
      <c r="D242" s="1">
        <v>33241</v>
      </c>
      <c r="E242" t="s">
        <v>1085</v>
      </c>
      <c r="F242" t="s">
        <v>1086</v>
      </c>
      <c r="G242" t="s">
        <v>1087</v>
      </c>
    </row>
    <row r="243" spans="1:7">
      <c r="A243" t="s">
        <v>877</v>
      </c>
      <c r="B243" t="s">
        <v>878</v>
      </c>
      <c r="C243" t="s">
        <v>879</v>
      </c>
      <c r="D243" s="1">
        <v>39562</v>
      </c>
      <c r="E243" t="s">
        <v>1095</v>
      </c>
      <c r="F243" t="s">
        <v>1086</v>
      </c>
      <c r="G243" t="s">
        <v>1091</v>
      </c>
    </row>
    <row r="244" spans="1:7">
      <c r="A244" t="s">
        <v>750</v>
      </c>
      <c r="B244" t="s">
        <v>751</v>
      </c>
      <c r="C244" t="s">
        <v>752</v>
      </c>
      <c r="D244" s="1">
        <v>43224</v>
      </c>
      <c r="E244" t="s">
        <v>1099</v>
      </c>
      <c r="F244" t="s">
        <v>1086</v>
      </c>
      <c r="G244" t="s">
        <v>1087</v>
      </c>
    </row>
    <row r="245" spans="1:7">
      <c r="A245" t="s">
        <v>756</v>
      </c>
      <c r="B245" t="s">
        <v>757</v>
      </c>
      <c r="C245" t="s">
        <v>758</v>
      </c>
      <c r="D245" s="1">
        <v>39878</v>
      </c>
      <c r="E245" t="s">
        <v>1095</v>
      </c>
      <c r="F245" t="s">
        <v>1086</v>
      </c>
      <c r="G245" t="s">
        <v>1087</v>
      </c>
    </row>
    <row r="246" spans="1:7">
      <c r="A246" t="s">
        <v>762</v>
      </c>
      <c r="B246" t="s">
        <v>763</v>
      </c>
      <c r="C246" t="s">
        <v>764</v>
      </c>
      <c r="D246" s="1">
        <v>33058</v>
      </c>
      <c r="E246" t="s">
        <v>1085</v>
      </c>
      <c r="F246" t="s">
        <v>1086</v>
      </c>
      <c r="G246" t="s">
        <v>1087</v>
      </c>
    </row>
    <row r="247" spans="1:7">
      <c r="A247" t="s">
        <v>883</v>
      </c>
      <c r="B247" t="s">
        <v>884</v>
      </c>
      <c r="C247" t="s">
        <v>885</v>
      </c>
      <c r="D247" s="1">
        <v>42188</v>
      </c>
      <c r="E247" t="s">
        <v>1096</v>
      </c>
      <c r="F247" t="s">
        <v>1086</v>
      </c>
      <c r="G247" t="s">
        <v>1091</v>
      </c>
    </row>
    <row r="248" spans="1:7">
      <c r="A248" t="s">
        <v>889</v>
      </c>
      <c r="B248" t="s">
        <v>890</v>
      </c>
      <c r="C248" t="s">
        <v>891</v>
      </c>
      <c r="D248" s="1">
        <v>37104</v>
      </c>
      <c r="E248" t="s">
        <v>1092</v>
      </c>
      <c r="F248" t="s">
        <v>1086</v>
      </c>
      <c r="G248" t="s">
        <v>1091</v>
      </c>
    </row>
    <row r="249" spans="1:7">
      <c r="A249" t="s">
        <v>895</v>
      </c>
      <c r="B249" t="s">
        <v>896</v>
      </c>
      <c r="C249" t="s">
        <v>897</v>
      </c>
      <c r="D249" s="1">
        <v>32197</v>
      </c>
      <c r="E249" t="s">
        <v>1088</v>
      </c>
      <c r="F249" t="s">
        <v>1086</v>
      </c>
      <c r="G249" t="s">
        <v>1091</v>
      </c>
    </row>
    <row r="250" spans="1:7">
      <c r="A250" t="s">
        <v>768</v>
      </c>
      <c r="B250" t="s">
        <v>769</v>
      </c>
      <c r="C250" t="s">
        <v>770</v>
      </c>
      <c r="D250" s="1">
        <v>45182</v>
      </c>
      <c r="E250" t="s">
        <v>1099</v>
      </c>
      <c r="F250" t="s">
        <v>1086</v>
      </c>
      <c r="G250" t="s">
        <v>1087</v>
      </c>
    </row>
    <row r="251" spans="1:7">
      <c r="A251" t="s">
        <v>898</v>
      </c>
      <c r="B251" t="s">
        <v>899</v>
      </c>
      <c r="C251" t="s">
        <v>900</v>
      </c>
      <c r="D251" s="1">
        <v>42111</v>
      </c>
      <c r="E251" t="s">
        <v>1096</v>
      </c>
      <c r="F251" t="s">
        <v>1086</v>
      </c>
      <c r="G251" t="s">
        <v>1091</v>
      </c>
    </row>
    <row r="252" spans="1:7">
      <c r="A252" t="s">
        <v>903</v>
      </c>
      <c r="B252" t="s">
        <v>904</v>
      </c>
      <c r="C252" t="s">
        <v>900</v>
      </c>
      <c r="D252" s="1">
        <v>41278</v>
      </c>
      <c r="E252" t="s">
        <v>1096</v>
      </c>
      <c r="F252" t="s">
        <v>1086</v>
      </c>
      <c r="G252" t="s">
        <v>1091</v>
      </c>
    </row>
    <row r="253" spans="1:7">
      <c r="A253" t="s">
        <v>905</v>
      </c>
      <c r="B253" t="s">
        <v>906</v>
      </c>
      <c r="C253" t="s">
        <v>900</v>
      </c>
      <c r="D253" s="1">
        <v>40227</v>
      </c>
      <c r="E253" t="s">
        <v>1095</v>
      </c>
      <c r="F253" t="s">
        <v>1086</v>
      </c>
      <c r="G253" t="s">
        <v>1091</v>
      </c>
    </row>
    <row r="254" spans="1:7">
      <c r="A254" t="s">
        <v>907</v>
      </c>
      <c r="B254" t="s">
        <v>908</v>
      </c>
      <c r="C254" t="s">
        <v>909</v>
      </c>
      <c r="D254" s="1">
        <v>36865</v>
      </c>
      <c r="E254" t="s">
        <v>1085</v>
      </c>
      <c r="F254" t="s">
        <v>1086</v>
      </c>
      <c r="G254" t="s">
        <v>1091</v>
      </c>
    </row>
    <row r="255" spans="1:7">
      <c r="A255" t="s">
        <v>910</v>
      </c>
      <c r="B255" t="s">
        <v>911</v>
      </c>
      <c r="C255" t="s">
        <v>909</v>
      </c>
      <c r="D255" s="1">
        <v>38900</v>
      </c>
      <c r="E255" t="s">
        <v>1093</v>
      </c>
      <c r="F255" t="s">
        <v>1086</v>
      </c>
      <c r="G255" t="s">
        <v>1091</v>
      </c>
    </row>
    <row r="256" spans="1:7">
      <c r="A256" t="s">
        <v>774</v>
      </c>
      <c r="B256" t="s">
        <v>775</v>
      </c>
      <c r="C256" t="s">
        <v>776</v>
      </c>
      <c r="D256" s="1">
        <v>37960</v>
      </c>
      <c r="E256" t="s">
        <v>1085</v>
      </c>
      <c r="F256" t="s">
        <v>1086</v>
      </c>
      <c r="G256" t="s">
        <v>1087</v>
      </c>
    </row>
    <row r="257" spans="1:7">
      <c r="A257" t="s">
        <v>780</v>
      </c>
      <c r="B257" t="s">
        <v>781</v>
      </c>
      <c r="C257" t="s">
        <v>776</v>
      </c>
      <c r="D257" s="1">
        <v>40790</v>
      </c>
      <c r="E257" t="s">
        <v>1095</v>
      </c>
      <c r="F257" t="s">
        <v>1086</v>
      </c>
      <c r="G257" t="s">
        <v>1087</v>
      </c>
    </row>
    <row r="258" spans="1:7">
      <c r="A258" t="s">
        <v>785</v>
      </c>
      <c r="B258" t="s">
        <v>786</v>
      </c>
      <c r="C258" t="s">
        <v>787</v>
      </c>
      <c r="D258" s="1">
        <v>32357</v>
      </c>
      <c r="E258" t="s">
        <v>1085</v>
      </c>
      <c r="F258" t="s">
        <v>1086</v>
      </c>
      <c r="G258" t="s">
        <v>1087</v>
      </c>
    </row>
    <row r="259" spans="1:7">
      <c r="A259" t="s">
        <v>791</v>
      </c>
      <c r="B259" t="s">
        <v>792</v>
      </c>
      <c r="C259" t="s">
        <v>787</v>
      </c>
      <c r="D259" s="1">
        <v>40446</v>
      </c>
      <c r="E259" t="s">
        <v>1095</v>
      </c>
      <c r="F259" t="s">
        <v>1086</v>
      </c>
      <c r="G259" t="s">
        <v>1087</v>
      </c>
    </row>
    <row r="260" spans="1:7">
      <c r="A260" t="s">
        <v>795</v>
      </c>
      <c r="B260" t="s">
        <v>796</v>
      </c>
      <c r="C260" t="s">
        <v>797</v>
      </c>
      <c r="D260" s="1">
        <v>40626</v>
      </c>
      <c r="E260" t="s">
        <v>1095</v>
      </c>
      <c r="F260" t="s">
        <v>1086</v>
      </c>
      <c r="G260" t="s">
        <v>1087</v>
      </c>
    </row>
    <row r="261" spans="1:7">
      <c r="A261" t="s">
        <v>800</v>
      </c>
      <c r="B261" t="s">
        <v>801</v>
      </c>
      <c r="C261" t="s">
        <v>802</v>
      </c>
      <c r="D261" s="1">
        <v>37810</v>
      </c>
      <c r="E261" t="s">
        <v>1085</v>
      </c>
      <c r="F261" t="s">
        <v>1086</v>
      </c>
      <c r="G261" t="s">
        <v>1087</v>
      </c>
    </row>
    <row r="262" spans="1:7">
      <c r="A262" t="s">
        <v>805</v>
      </c>
      <c r="B262" t="s">
        <v>806</v>
      </c>
      <c r="C262" t="s">
        <v>807</v>
      </c>
      <c r="D262" s="1">
        <v>39239</v>
      </c>
      <c r="E262" t="s">
        <v>1093</v>
      </c>
      <c r="F262" t="s">
        <v>1086</v>
      </c>
      <c r="G262" t="s">
        <v>1087</v>
      </c>
    </row>
    <row r="263" spans="1:7">
      <c r="A263" t="s">
        <v>810</v>
      </c>
      <c r="B263" t="s">
        <v>811</v>
      </c>
      <c r="C263" t="s">
        <v>807</v>
      </c>
      <c r="D263" s="1">
        <v>39744</v>
      </c>
      <c r="E263" t="s">
        <v>1095</v>
      </c>
      <c r="F263" t="s">
        <v>1086</v>
      </c>
      <c r="G263" t="s">
        <v>1087</v>
      </c>
    </row>
    <row r="264" spans="1:7">
      <c r="A264" t="s">
        <v>821</v>
      </c>
      <c r="B264" t="s">
        <v>822</v>
      </c>
      <c r="C264" t="s">
        <v>817</v>
      </c>
      <c r="D264" s="1">
        <v>37932</v>
      </c>
      <c r="E264" t="s">
        <v>1089</v>
      </c>
      <c r="F264" t="s">
        <v>1094</v>
      </c>
      <c r="G264" t="s">
        <v>1087</v>
      </c>
    </row>
    <row r="265" spans="1:7">
      <c r="A265" t="s">
        <v>826</v>
      </c>
      <c r="B265" t="s">
        <v>827</v>
      </c>
      <c r="C265" t="s">
        <v>817</v>
      </c>
      <c r="D265" s="1">
        <v>36567</v>
      </c>
      <c r="E265" t="s">
        <v>1085</v>
      </c>
      <c r="F265" t="s">
        <v>1086</v>
      </c>
      <c r="G265" t="s">
        <v>1087</v>
      </c>
    </row>
    <row r="266" spans="1:7">
      <c r="A266" t="s">
        <v>831</v>
      </c>
      <c r="B266" t="s">
        <v>832</v>
      </c>
      <c r="C266" t="s">
        <v>833</v>
      </c>
      <c r="D266" s="1">
        <v>39996</v>
      </c>
      <c r="E266" t="s">
        <v>1095</v>
      </c>
      <c r="F266" t="s">
        <v>1086</v>
      </c>
      <c r="G266" t="s">
        <v>1087</v>
      </c>
    </row>
    <row r="267" spans="1:7">
      <c r="A267" t="s">
        <v>837</v>
      </c>
      <c r="B267" t="s">
        <v>838</v>
      </c>
      <c r="C267" t="s">
        <v>833</v>
      </c>
      <c r="D267" s="1">
        <v>42324</v>
      </c>
      <c r="E267" t="s">
        <v>1096</v>
      </c>
      <c r="F267" t="s">
        <v>1086</v>
      </c>
      <c r="G267" t="s">
        <v>1087</v>
      </c>
    </row>
    <row r="268" spans="1:7">
      <c r="A268" t="s">
        <v>912</v>
      </c>
      <c r="B268" t="s">
        <v>913</v>
      </c>
      <c r="C268" t="s">
        <v>914</v>
      </c>
      <c r="D268" s="1">
        <v>35817</v>
      </c>
      <c r="E268" t="s">
        <v>1089</v>
      </c>
      <c r="F268" t="s">
        <v>1086</v>
      </c>
      <c r="G268" t="s">
        <v>1091</v>
      </c>
    </row>
    <row r="269" spans="1:7">
      <c r="A269" t="s">
        <v>841</v>
      </c>
      <c r="B269" t="s">
        <v>842</v>
      </c>
      <c r="C269" t="s">
        <v>843</v>
      </c>
      <c r="D269" s="1">
        <v>41737</v>
      </c>
      <c r="E269" t="s">
        <v>1096</v>
      </c>
      <c r="F269" t="s">
        <v>1086</v>
      </c>
      <c r="G269" t="s">
        <v>1087</v>
      </c>
    </row>
    <row r="270" spans="1:7">
      <c r="A270" t="s">
        <v>856</v>
      </c>
      <c r="B270" t="s">
        <v>857</v>
      </c>
      <c r="C270" t="s">
        <v>858</v>
      </c>
      <c r="D270" s="1">
        <v>39123</v>
      </c>
      <c r="E270" t="s">
        <v>1093</v>
      </c>
      <c r="F270" t="s">
        <v>1086</v>
      </c>
      <c r="G270" t="s">
        <v>1087</v>
      </c>
    </row>
    <row r="271" spans="1:7">
      <c r="A271" t="s">
        <v>862</v>
      </c>
      <c r="B271" t="s">
        <v>863</v>
      </c>
      <c r="C271" t="s">
        <v>864</v>
      </c>
      <c r="D271" s="1">
        <v>39346</v>
      </c>
      <c r="E271" t="s">
        <v>1093</v>
      </c>
      <c r="F271" t="s">
        <v>1086</v>
      </c>
      <c r="G271" t="s">
        <v>1087</v>
      </c>
    </row>
    <row r="272" spans="1:7">
      <c r="A272" t="s">
        <v>868</v>
      </c>
      <c r="B272" t="s">
        <v>869</v>
      </c>
      <c r="C272" t="s">
        <v>870</v>
      </c>
      <c r="D272" s="1">
        <v>41299</v>
      </c>
      <c r="E272" t="s">
        <v>1096</v>
      </c>
      <c r="F272" t="s">
        <v>1086</v>
      </c>
      <c r="G272" t="s">
        <v>1087</v>
      </c>
    </row>
    <row r="273" spans="1:7">
      <c r="A273" t="s">
        <v>915</v>
      </c>
      <c r="B273" t="s">
        <v>916</v>
      </c>
      <c r="C273" t="s">
        <v>917</v>
      </c>
      <c r="D273" s="1">
        <v>37410</v>
      </c>
      <c r="E273" t="s">
        <v>1085</v>
      </c>
      <c r="F273" t="s">
        <v>1086</v>
      </c>
      <c r="G273" t="s">
        <v>1091</v>
      </c>
    </row>
    <row r="274" spans="1:7">
      <c r="A274" t="s">
        <v>874</v>
      </c>
      <c r="B274" t="s">
        <v>875</v>
      </c>
      <c r="C274" t="s">
        <v>876</v>
      </c>
      <c r="D274" s="1">
        <v>41263</v>
      </c>
      <c r="E274" t="s">
        <v>1096</v>
      </c>
      <c r="F274" t="s">
        <v>1086</v>
      </c>
      <c r="G274" t="s">
        <v>1087</v>
      </c>
    </row>
    <row r="275" spans="1:7">
      <c r="A275" t="s">
        <v>918</v>
      </c>
      <c r="B275" t="s">
        <v>919</v>
      </c>
      <c r="C275" t="s">
        <v>920</v>
      </c>
      <c r="D275" s="1">
        <v>42788</v>
      </c>
      <c r="E275" t="s">
        <v>1096</v>
      </c>
      <c r="F275" t="s">
        <v>1086</v>
      </c>
      <c r="G275" t="s">
        <v>1091</v>
      </c>
    </row>
    <row r="276" spans="1:7">
      <c r="A276" t="s">
        <v>921</v>
      </c>
      <c r="B276" t="s">
        <v>922</v>
      </c>
      <c r="C276" t="s">
        <v>923</v>
      </c>
      <c r="D276" s="1">
        <v>38550</v>
      </c>
      <c r="E276" t="s">
        <v>1093</v>
      </c>
      <c r="F276" t="s">
        <v>1086</v>
      </c>
      <c r="G276" t="s">
        <v>1091</v>
      </c>
    </row>
    <row r="277" spans="1:7">
      <c r="A277" t="s">
        <v>924</v>
      </c>
      <c r="B277" t="s">
        <v>925</v>
      </c>
      <c r="C277" t="s">
        <v>926</v>
      </c>
      <c r="D277" s="1">
        <v>42713</v>
      </c>
      <c r="E277" t="s">
        <v>1096</v>
      </c>
      <c r="F277" t="s">
        <v>1086</v>
      </c>
      <c r="G277" t="s">
        <v>1091</v>
      </c>
    </row>
    <row r="278" spans="1:7">
      <c r="A278" t="s">
        <v>880</v>
      </c>
      <c r="B278" t="s">
        <v>881</v>
      </c>
      <c r="C278" t="s">
        <v>882</v>
      </c>
      <c r="D278" s="1">
        <v>27643</v>
      </c>
      <c r="E278" t="s">
        <v>1088</v>
      </c>
      <c r="F278" t="s">
        <v>1086</v>
      </c>
      <c r="G278" t="s">
        <v>1087</v>
      </c>
    </row>
    <row r="279" spans="1:7">
      <c r="A279" t="s">
        <v>886</v>
      </c>
      <c r="B279" t="s">
        <v>887</v>
      </c>
      <c r="C279" t="s">
        <v>888</v>
      </c>
      <c r="D279" s="1">
        <v>38517</v>
      </c>
      <c r="E279" t="s">
        <v>1093</v>
      </c>
      <c r="F279" t="s">
        <v>1086</v>
      </c>
      <c r="G279" t="s">
        <v>1087</v>
      </c>
    </row>
    <row r="280" spans="1:7">
      <c r="A280" t="s">
        <v>927</v>
      </c>
      <c r="B280" t="s">
        <v>928</v>
      </c>
      <c r="C280" t="s">
        <v>929</v>
      </c>
      <c r="D280" s="1">
        <v>34885</v>
      </c>
      <c r="E280" t="s">
        <v>1085</v>
      </c>
      <c r="F280" t="s">
        <v>1086</v>
      </c>
      <c r="G280" t="s">
        <v>1091</v>
      </c>
    </row>
    <row r="281" spans="1:7">
      <c r="A281" t="s">
        <v>892</v>
      </c>
      <c r="B281" t="s">
        <v>893</v>
      </c>
      <c r="C281" t="s">
        <v>894</v>
      </c>
      <c r="D281" s="1">
        <v>40750</v>
      </c>
      <c r="E281" t="s">
        <v>1095</v>
      </c>
      <c r="F281" t="s">
        <v>1086</v>
      </c>
      <c r="G281" t="s">
        <v>1087</v>
      </c>
    </row>
    <row r="282" spans="1:7">
      <c r="A282" t="s">
        <v>930</v>
      </c>
      <c r="B282" t="s">
        <v>931</v>
      </c>
      <c r="C282" t="s">
        <v>932</v>
      </c>
      <c r="D282" s="1">
        <v>41537</v>
      </c>
      <c r="E282" t="s">
        <v>1096</v>
      </c>
      <c r="F282" t="s">
        <v>1086</v>
      </c>
      <c r="G282" t="s">
        <v>1091</v>
      </c>
    </row>
    <row r="283" spans="1:7">
      <c r="A283" t="s">
        <v>933</v>
      </c>
      <c r="B283" t="s">
        <v>934</v>
      </c>
      <c r="C283" t="s">
        <v>935</v>
      </c>
      <c r="D283" s="1">
        <v>40015</v>
      </c>
      <c r="E283" t="s">
        <v>1095</v>
      </c>
      <c r="F283" t="s">
        <v>1086</v>
      </c>
      <c r="G283" t="s">
        <v>1091</v>
      </c>
    </row>
    <row r="284" spans="1:7">
      <c r="D284" s="1"/>
    </row>
    <row r="285" spans="1:7">
      <c r="D285" s="1"/>
    </row>
    <row r="286" spans="1:7">
      <c r="D286" s="1"/>
    </row>
    <row r="287" spans="1:7">
      <c r="D287" s="1"/>
    </row>
    <row r="288" spans="1:7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4FA6-AC0B-49CD-9A5C-0CA8FFF43FF5}">
  <sheetPr>
    <tabColor theme="7" tint="0.39997558519241921"/>
  </sheetPr>
  <dimension ref="A1:C76"/>
  <sheetViews>
    <sheetView workbookViewId="0">
      <selection activeCell="B3" sqref="B3"/>
    </sheetView>
  </sheetViews>
  <sheetFormatPr defaultColWidth="8.7109375" defaultRowHeight="15"/>
  <cols>
    <col min="2" max="2" width="10" customWidth="1"/>
    <col min="3" max="3" width="11.7109375" customWidth="1"/>
  </cols>
  <sheetData>
    <row r="1" spans="1:3">
      <c r="A1" t="s">
        <v>1100</v>
      </c>
      <c r="B1" t="s">
        <v>1101</v>
      </c>
    </row>
    <row r="2" spans="1:3">
      <c r="A2" t="s">
        <v>1102</v>
      </c>
      <c r="B2" t="s">
        <v>1103</v>
      </c>
      <c r="C2" t="s">
        <v>1030</v>
      </c>
    </row>
    <row r="3" spans="1:3">
      <c r="A3">
        <v>2023</v>
      </c>
      <c r="B3">
        <v>1</v>
      </c>
      <c r="C3" t="s">
        <v>53</v>
      </c>
    </row>
    <row r="4" spans="1:3">
      <c r="A4">
        <v>2022</v>
      </c>
      <c r="B4">
        <v>2</v>
      </c>
      <c r="C4" t="s">
        <v>53</v>
      </c>
    </row>
    <row r="5" spans="1:3">
      <c r="A5">
        <v>2021</v>
      </c>
      <c r="B5">
        <v>3</v>
      </c>
      <c r="C5" t="s">
        <v>53</v>
      </c>
    </row>
    <row r="6" spans="1:3">
      <c r="A6">
        <v>2020</v>
      </c>
      <c r="B6">
        <v>4</v>
      </c>
      <c r="C6" t="s">
        <v>53</v>
      </c>
    </row>
    <row r="7" spans="1:3">
      <c r="A7">
        <v>2019</v>
      </c>
      <c r="B7">
        <v>5</v>
      </c>
      <c r="C7" t="s">
        <v>53</v>
      </c>
    </row>
    <row r="8" spans="1:3">
      <c r="A8">
        <v>2018</v>
      </c>
      <c r="B8">
        <v>6</v>
      </c>
      <c r="C8" t="s">
        <v>1070</v>
      </c>
    </row>
    <row r="9" spans="1:3">
      <c r="A9">
        <v>2017</v>
      </c>
      <c r="B9">
        <v>7</v>
      </c>
      <c r="C9" t="s">
        <v>1070</v>
      </c>
    </row>
    <row r="10" spans="1:3">
      <c r="A10">
        <v>2016</v>
      </c>
      <c r="B10">
        <v>8</v>
      </c>
      <c r="C10" t="s">
        <v>1057</v>
      </c>
    </row>
    <row r="11" spans="1:3">
      <c r="A11">
        <v>2015</v>
      </c>
      <c r="B11">
        <v>9</v>
      </c>
      <c r="C11" t="s">
        <v>1057</v>
      </c>
    </row>
    <row r="12" spans="1:3">
      <c r="A12">
        <v>2014</v>
      </c>
      <c r="B12">
        <v>10</v>
      </c>
      <c r="C12" t="s">
        <v>1071</v>
      </c>
    </row>
    <row r="13" spans="1:3">
      <c r="A13">
        <v>2013</v>
      </c>
      <c r="B13">
        <v>11</v>
      </c>
      <c r="C13" t="s">
        <v>1071</v>
      </c>
    </row>
    <row r="14" spans="1:3">
      <c r="A14">
        <v>2012</v>
      </c>
      <c r="B14">
        <v>12</v>
      </c>
      <c r="C14" t="s">
        <v>1072</v>
      </c>
    </row>
    <row r="15" spans="1:3">
      <c r="A15">
        <v>2011</v>
      </c>
      <c r="B15">
        <v>13</v>
      </c>
      <c r="C15" t="s">
        <v>1072</v>
      </c>
    </row>
    <row r="16" spans="1:3">
      <c r="A16">
        <v>2010</v>
      </c>
      <c r="B16">
        <v>14</v>
      </c>
      <c r="C16" t="s">
        <v>1073</v>
      </c>
    </row>
    <row r="17" spans="1:3">
      <c r="A17">
        <v>2009</v>
      </c>
      <c r="B17">
        <v>15</v>
      </c>
      <c r="C17" t="s">
        <v>1073</v>
      </c>
    </row>
    <row r="18" spans="1:3">
      <c r="A18">
        <v>2008</v>
      </c>
      <c r="B18">
        <v>16</v>
      </c>
      <c r="C18" t="s">
        <v>1074</v>
      </c>
    </row>
    <row r="19" spans="1:3">
      <c r="A19">
        <v>2007</v>
      </c>
      <c r="B19">
        <v>17</v>
      </c>
      <c r="C19" t="s">
        <v>1074</v>
      </c>
    </row>
    <row r="20" spans="1:3">
      <c r="A20">
        <v>2006</v>
      </c>
      <c r="B20">
        <v>18</v>
      </c>
      <c r="C20" t="s">
        <v>1074</v>
      </c>
    </row>
    <row r="21" spans="1:3">
      <c r="A21">
        <v>2005</v>
      </c>
      <c r="B21">
        <v>19</v>
      </c>
      <c r="C21" t="s">
        <v>208</v>
      </c>
    </row>
    <row r="22" spans="1:3">
      <c r="A22">
        <v>2004</v>
      </c>
      <c r="B22">
        <v>20</v>
      </c>
      <c r="C22" t="s">
        <v>208</v>
      </c>
    </row>
    <row r="23" spans="1:3">
      <c r="A23">
        <v>2003</v>
      </c>
      <c r="B23">
        <v>21</v>
      </c>
      <c r="C23" t="s">
        <v>208</v>
      </c>
    </row>
    <row r="24" spans="1:3">
      <c r="A24">
        <v>2002</v>
      </c>
      <c r="B24">
        <v>22</v>
      </c>
      <c r="C24" t="s">
        <v>208</v>
      </c>
    </row>
    <row r="25" spans="1:3">
      <c r="A25">
        <v>2001</v>
      </c>
      <c r="B25">
        <v>23</v>
      </c>
      <c r="C25" t="s">
        <v>208</v>
      </c>
    </row>
    <row r="26" spans="1:3">
      <c r="A26">
        <v>2000</v>
      </c>
      <c r="B26">
        <v>24</v>
      </c>
      <c r="C26" t="s">
        <v>208</v>
      </c>
    </row>
    <row r="27" spans="1:3">
      <c r="A27">
        <v>1999</v>
      </c>
      <c r="B27">
        <v>25</v>
      </c>
      <c r="C27" t="s">
        <v>208</v>
      </c>
    </row>
    <row r="28" spans="1:3">
      <c r="A28">
        <v>1998</v>
      </c>
      <c r="B28">
        <v>26</v>
      </c>
      <c r="C28" t="s">
        <v>208</v>
      </c>
    </row>
    <row r="29" spans="1:3">
      <c r="A29">
        <v>1997</v>
      </c>
      <c r="B29">
        <v>27</v>
      </c>
      <c r="C29" t="s">
        <v>208</v>
      </c>
    </row>
    <row r="30" spans="1:3">
      <c r="A30">
        <v>1996</v>
      </c>
      <c r="B30">
        <v>28</v>
      </c>
      <c r="C30" t="s">
        <v>208</v>
      </c>
    </row>
    <row r="31" spans="1:3">
      <c r="A31">
        <v>1995</v>
      </c>
      <c r="B31">
        <v>29</v>
      </c>
      <c r="C31" t="s">
        <v>208</v>
      </c>
    </row>
    <row r="32" spans="1:3">
      <c r="A32">
        <v>1994</v>
      </c>
      <c r="B32">
        <v>30</v>
      </c>
      <c r="C32" t="s">
        <v>208</v>
      </c>
    </row>
    <row r="33" spans="1:3">
      <c r="A33">
        <v>1993</v>
      </c>
      <c r="B33">
        <v>31</v>
      </c>
      <c r="C33" t="s">
        <v>208</v>
      </c>
    </row>
    <row r="34" spans="1:3">
      <c r="A34">
        <v>1992</v>
      </c>
      <c r="B34">
        <v>32</v>
      </c>
      <c r="C34" t="s">
        <v>208</v>
      </c>
    </row>
    <row r="35" spans="1:3">
      <c r="A35">
        <v>1991</v>
      </c>
      <c r="B35">
        <v>33</v>
      </c>
      <c r="C35" t="s">
        <v>208</v>
      </c>
    </row>
    <row r="36" spans="1:3">
      <c r="A36">
        <v>1990</v>
      </c>
      <c r="B36">
        <v>34</v>
      </c>
      <c r="C36" t="s">
        <v>208</v>
      </c>
    </row>
    <row r="37" spans="1:3">
      <c r="A37">
        <v>1989</v>
      </c>
      <c r="B37">
        <v>35</v>
      </c>
      <c r="C37" t="s">
        <v>208</v>
      </c>
    </row>
    <row r="38" spans="1:3">
      <c r="A38">
        <v>1988</v>
      </c>
      <c r="B38">
        <v>36</v>
      </c>
      <c r="C38" t="s">
        <v>208</v>
      </c>
    </row>
    <row r="39" spans="1:3">
      <c r="A39">
        <v>1987</v>
      </c>
      <c r="B39">
        <v>37</v>
      </c>
      <c r="C39" t="s">
        <v>208</v>
      </c>
    </row>
    <row r="40" spans="1:3">
      <c r="A40">
        <v>1986</v>
      </c>
      <c r="B40">
        <v>38</v>
      </c>
      <c r="C40" t="s">
        <v>208</v>
      </c>
    </row>
    <row r="41" spans="1:3">
      <c r="A41">
        <v>1985</v>
      </c>
      <c r="B41">
        <v>39</v>
      </c>
      <c r="C41" t="s">
        <v>208</v>
      </c>
    </row>
    <row r="42" spans="1:3">
      <c r="A42">
        <v>1984</v>
      </c>
      <c r="B42">
        <v>40</v>
      </c>
      <c r="C42" t="s">
        <v>208</v>
      </c>
    </row>
    <row r="43" spans="1:3">
      <c r="A43">
        <v>1983</v>
      </c>
      <c r="B43">
        <v>41</v>
      </c>
      <c r="C43" t="s">
        <v>208</v>
      </c>
    </row>
    <row r="44" spans="1:3">
      <c r="A44">
        <v>1982</v>
      </c>
      <c r="B44">
        <v>42</v>
      </c>
      <c r="C44" t="s">
        <v>208</v>
      </c>
    </row>
    <row r="45" spans="1:3">
      <c r="A45">
        <v>1981</v>
      </c>
      <c r="B45">
        <v>43</v>
      </c>
      <c r="C45" t="s">
        <v>208</v>
      </c>
    </row>
    <row r="46" spans="1:3">
      <c r="A46">
        <v>1980</v>
      </c>
      <c r="B46">
        <v>44</v>
      </c>
      <c r="C46" t="s">
        <v>208</v>
      </c>
    </row>
    <row r="47" spans="1:3">
      <c r="A47">
        <v>1979</v>
      </c>
      <c r="B47">
        <v>45</v>
      </c>
      <c r="C47" t="s">
        <v>208</v>
      </c>
    </row>
    <row r="48" spans="1:3">
      <c r="A48">
        <v>1978</v>
      </c>
      <c r="B48">
        <v>46</v>
      </c>
      <c r="C48" t="s">
        <v>208</v>
      </c>
    </row>
    <row r="49" spans="1:3">
      <c r="A49">
        <v>1977</v>
      </c>
      <c r="B49">
        <v>47</v>
      </c>
      <c r="C49" t="s">
        <v>208</v>
      </c>
    </row>
    <row r="50" spans="1:3">
      <c r="A50">
        <v>1976</v>
      </c>
      <c r="B50">
        <v>48</v>
      </c>
      <c r="C50" t="s">
        <v>208</v>
      </c>
    </row>
    <row r="51" spans="1:3">
      <c r="A51">
        <v>1975</v>
      </c>
      <c r="B51">
        <v>49</v>
      </c>
      <c r="C51" t="s">
        <v>208</v>
      </c>
    </row>
    <row r="52" spans="1:3">
      <c r="A52">
        <v>1974</v>
      </c>
      <c r="B52">
        <v>50</v>
      </c>
      <c r="C52" t="s">
        <v>208</v>
      </c>
    </row>
    <row r="53" spans="1:3">
      <c r="A53">
        <v>1973</v>
      </c>
      <c r="B53">
        <v>51</v>
      </c>
      <c r="C53" t="s">
        <v>208</v>
      </c>
    </row>
    <row r="54" spans="1:3">
      <c r="A54">
        <v>1972</v>
      </c>
      <c r="B54">
        <v>52</v>
      </c>
      <c r="C54" t="s">
        <v>208</v>
      </c>
    </row>
    <row r="55" spans="1:3">
      <c r="A55">
        <v>1971</v>
      </c>
      <c r="B55">
        <v>53</v>
      </c>
      <c r="C55" t="s">
        <v>208</v>
      </c>
    </row>
    <row r="56" spans="1:3">
      <c r="A56">
        <v>1970</v>
      </c>
      <c r="B56">
        <v>54</v>
      </c>
      <c r="C56" t="s">
        <v>208</v>
      </c>
    </row>
    <row r="57" spans="1:3">
      <c r="A57">
        <v>1969</v>
      </c>
      <c r="B57">
        <v>55</v>
      </c>
      <c r="C57" t="s">
        <v>208</v>
      </c>
    </row>
    <row r="58" spans="1:3">
      <c r="A58">
        <v>1968</v>
      </c>
      <c r="B58">
        <v>56</v>
      </c>
      <c r="C58" t="s">
        <v>208</v>
      </c>
    </row>
    <row r="59" spans="1:3">
      <c r="A59">
        <v>1967</v>
      </c>
      <c r="B59">
        <v>57</v>
      </c>
      <c r="C59" t="s">
        <v>208</v>
      </c>
    </row>
    <row r="60" spans="1:3">
      <c r="A60">
        <v>1966</v>
      </c>
      <c r="B60">
        <v>58</v>
      </c>
      <c r="C60" t="s">
        <v>208</v>
      </c>
    </row>
    <row r="61" spans="1:3">
      <c r="A61">
        <v>1965</v>
      </c>
      <c r="B61">
        <v>59</v>
      </c>
      <c r="C61" t="s">
        <v>208</v>
      </c>
    </row>
    <row r="62" spans="1:3">
      <c r="A62">
        <v>1964</v>
      </c>
      <c r="B62">
        <v>60</v>
      </c>
      <c r="C62" t="s">
        <v>208</v>
      </c>
    </row>
    <row r="63" spans="1:3">
      <c r="A63">
        <v>1963</v>
      </c>
      <c r="B63">
        <v>61</v>
      </c>
      <c r="C63" t="s">
        <v>208</v>
      </c>
    </row>
    <row r="64" spans="1:3">
      <c r="A64">
        <v>1962</v>
      </c>
      <c r="B64">
        <v>62</v>
      </c>
      <c r="C64" t="s">
        <v>208</v>
      </c>
    </row>
    <row r="65" spans="1:3">
      <c r="A65">
        <v>1961</v>
      </c>
      <c r="B65">
        <v>63</v>
      </c>
      <c r="C65" t="s">
        <v>208</v>
      </c>
    </row>
    <row r="66" spans="1:3">
      <c r="A66">
        <v>1960</v>
      </c>
      <c r="B66">
        <v>64</v>
      </c>
      <c r="C66" t="s">
        <v>208</v>
      </c>
    </row>
    <row r="67" spans="1:3">
      <c r="A67">
        <v>1959</v>
      </c>
      <c r="B67">
        <v>65</v>
      </c>
      <c r="C67" t="s">
        <v>208</v>
      </c>
    </row>
    <row r="68" spans="1:3">
      <c r="A68">
        <v>1958</v>
      </c>
      <c r="B68">
        <v>66</v>
      </c>
      <c r="C68" t="s">
        <v>208</v>
      </c>
    </row>
    <row r="69" spans="1:3">
      <c r="A69">
        <v>1957</v>
      </c>
      <c r="B69">
        <v>67</v>
      </c>
      <c r="C69" t="s">
        <v>208</v>
      </c>
    </row>
    <row r="70" spans="1:3">
      <c r="A70">
        <v>1956</v>
      </c>
      <c r="B70">
        <v>68</v>
      </c>
      <c r="C70" t="s">
        <v>208</v>
      </c>
    </row>
    <row r="71" spans="1:3">
      <c r="A71">
        <v>1955</v>
      </c>
      <c r="B71">
        <v>69</v>
      </c>
      <c r="C71" t="s">
        <v>208</v>
      </c>
    </row>
    <row r="72" spans="1:3">
      <c r="A72">
        <v>1954</v>
      </c>
      <c r="B72">
        <v>70</v>
      </c>
      <c r="C72" t="s">
        <v>208</v>
      </c>
    </row>
    <row r="73" spans="1:3">
      <c r="A73">
        <v>1953</v>
      </c>
      <c r="B73">
        <v>71</v>
      </c>
      <c r="C73" t="s">
        <v>208</v>
      </c>
    </row>
    <row r="74" spans="1:3">
      <c r="A74">
        <v>1952</v>
      </c>
      <c r="B74">
        <v>72</v>
      </c>
      <c r="C74" t="s">
        <v>208</v>
      </c>
    </row>
    <row r="75" spans="1:3">
      <c r="A75">
        <v>1951</v>
      </c>
      <c r="B75">
        <v>73</v>
      </c>
      <c r="C75" t="s">
        <v>208</v>
      </c>
    </row>
    <row r="76" spans="1:3">
      <c r="A76">
        <v>1950</v>
      </c>
      <c r="B76">
        <v>74</v>
      </c>
      <c r="C76" t="s">
        <v>208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ddfc1-fee3-4cb4-a29f-5839980eeb96" xsi:nil="true"/>
    <lcf76f155ced4ddcb4097134ff3c332f xmlns="4aa677f6-df1a-4d33-8ba3-c60d8394789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16" ma:contentTypeDescription="Een nieuw document maken." ma:contentTypeScope="" ma:versionID="55e8cb14035ef33419b35a171ca9f8e9">
  <xsd:schema xmlns:xsd="http://www.w3.org/2001/XMLSchema" xmlns:xs="http://www.w3.org/2001/XMLSchema" xmlns:p="http://schemas.microsoft.com/office/2006/metadata/properties" xmlns:ns2="4aa677f6-df1a-4d33-8ba3-c60d83947899" xmlns:ns3="433ddfc1-fee3-4cb4-a29f-5839980eeb96" targetNamespace="http://schemas.microsoft.com/office/2006/metadata/properties" ma:root="true" ma:fieldsID="9fdd622b17f933c4a40a956b62ec81a7" ns2:_="" ns3:_="">
    <xsd:import namespace="4aa677f6-df1a-4d33-8ba3-c60d83947899"/>
    <xsd:import namespace="433ddfc1-fee3-4cb4-a29f-5839980ee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d7e1b26-e006-4bf5-9b62-aa4573f67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ddfc1-fee3-4cb4-a29f-5839980ee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a60a84-2273-4d3d-bb96-bc5c85cf82c6}" ma:internalName="TaxCatchAll" ma:showField="CatchAllData" ma:web="433ddfc1-fee3-4cb4-a29f-5839980ee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82670-F80A-47D7-BCF6-248327B451A3}"/>
</file>

<file path=customXml/itemProps2.xml><?xml version="1.0" encoding="utf-8"?>
<ds:datastoreItem xmlns:ds="http://schemas.openxmlformats.org/officeDocument/2006/customXml" ds:itemID="{B3F0B554-8EDA-451C-96AC-2FE3B557CBEE}"/>
</file>

<file path=customXml/itemProps3.xml><?xml version="1.0" encoding="utf-8"?>
<ds:datastoreItem xmlns:ds="http://schemas.openxmlformats.org/officeDocument/2006/customXml" ds:itemID="{5CA9BEB3-EDD3-4D80-AEAB-F38599CB37C2}"/>
</file>

<file path=customXml/itemProps4.xml><?xml version="1.0" encoding="utf-8"?>
<ds:datastoreItem xmlns:ds="http://schemas.openxmlformats.org/officeDocument/2006/customXml" ds:itemID="{AE2DE994-3C66-47D3-A41B-76464269C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Wolff</dc:creator>
  <cp:keywords/>
  <dc:description/>
  <cp:lastModifiedBy>Paul Wolff</cp:lastModifiedBy>
  <cp:revision/>
  <dcterms:created xsi:type="dcterms:W3CDTF">2021-04-25T08:32:35Z</dcterms:created>
  <dcterms:modified xsi:type="dcterms:W3CDTF">2024-08-24T08:08:48Z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  <property fmtid="{D5CDD505-2E9C-101B-9397-08002B2CF9AE}" pid="3" name="MediaServiceImageTags">
    <vt:lpwstr/>
  </property>
</Properties>
</file>