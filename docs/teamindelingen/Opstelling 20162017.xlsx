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Oranje Wit\docs\teamindelingen\"/>
    </mc:Choice>
  </mc:AlternateContent>
  <xr:revisionPtr revIDLastSave="0" documentId="13_ncr:1_{FF9E5C76-B63A-4D35-957C-F1E4F4D88003}" xr6:coauthVersionLast="47" xr6:coauthVersionMax="47" xr10:uidLastSave="{00000000-0000-0000-0000-000000000000}"/>
  <bookViews>
    <workbookView xWindow="-98" yWindow="-98" windowWidth="21795" windowHeight="11625" firstSheet="2" activeTab="6" xr2:uid="{00000000-000D-0000-FFFF-FFFF00000000}"/>
  </bookViews>
  <sheets>
    <sheet name="Team Sen" sheetId="7" r:id="rId1"/>
    <sheet name="Team A" sheetId="6" r:id="rId2"/>
    <sheet name="Team B" sheetId="1" r:id="rId3"/>
    <sheet name="Team C" sheetId="2" r:id="rId4"/>
    <sheet name="Team D" sheetId="3" r:id="rId5"/>
    <sheet name="Team E" sheetId="4" r:id="rId6"/>
    <sheet name="Team F" sheetId="5" r:id="rId7"/>
  </sheets>
  <externalReferences>
    <externalReference r:id="rId8"/>
  </externalReferences>
  <definedNames>
    <definedName name="_xlnm.Print_Area" localSheetId="2">'Team B'!$B$1:$G$46</definedName>
    <definedName name="_xlnm.Print_Area" localSheetId="3">'Team C'!$B$1:$G$62</definedName>
    <definedName name="_xlnm.Print_Area" localSheetId="4">'Team D'!$B$1:$G$51</definedName>
    <definedName name="_xlnm.Print_Area" localSheetId="5">'Team E'!$B$1:$G$37</definedName>
    <definedName name="_xlnm.Print_Area" localSheetId="6">'Team F'!$B$1:$G$36</definedName>
    <definedName name="_xlnm.Print_Area" localSheetId="0">'Team Sen'!$B$1:$G$116</definedName>
    <definedName name="Dames">[1]Leden!$A$2:INDEX([1]Leden!$H:$H,COUNTA([1]Leden!$A:$A))</definedName>
    <definedName name="Dameslijst">[1]Leden!$A$2:$E$305</definedName>
    <definedName name="Heren">[1]Leden!$J$2:INDEX([1]Leden!$Q:$Q,COUNTA([1]Leden!$J:$J))</definedName>
    <definedName name="Herenlijst">[1]Leden!$J$2:$N$303</definedName>
    <definedName name="Leeftijdscatogorie">[1]Hulplijst!$F$2:$I$7</definedName>
    <definedName name="Peildatum">[1]Leden!$S$2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1" l="1"/>
  <c r="K4" i="1" s="1"/>
  <c r="J11" i="1"/>
  <c r="K11" i="1" s="1"/>
  <c r="J19" i="1"/>
  <c r="K19" i="1" s="1"/>
  <c r="J29" i="1"/>
  <c r="K29" i="1" s="1"/>
  <c r="J41" i="1"/>
  <c r="K41" i="1" s="1"/>
  <c r="J30" i="1" l="1"/>
  <c r="J31" i="1" s="1"/>
  <c r="J32" i="1" s="1"/>
  <c r="J33" i="1" s="1"/>
  <c r="J34" i="1" s="1"/>
  <c r="J35" i="1" s="1"/>
  <c r="J36" i="1" s="1"/>
  <c r="J37" i="1" s="1"/>
  <c r="J38" i="1" s="1"/>
  <c r="K30" i="1"/>
  <c r="K31" i="1" s="1"/>
  <c r="K32" i="1" s="1"/>
  <c r="K33" i="1" s="1"/>
  <c r="K34" i="1" s="1"/>
  <c r="K35" i="1" s="1"/>
  <c r="K36" i="1" s="1"/>
  <c r="K37" i="1" s="1"/>
  <c r="K38" i="1" s="1"/>
  <c r="I30" i="1"/>
  <c r="K20" i="1"/>
  <c r="K21" i="1" s="1"/>
  <c r="K22" i="1" s="1"/>
  <c r="K23" i="1" s="1"/>
  <c r="K24" i="1" s="1"/>
  <c r="K25" i="1" s="1"/>
  <c r="K26" i="1" s="1"/>
  <c r="I20" i="1"/>
  <c r="J20" i="1"/>
  <c r="J21" i="1" s="1"/>
  <c r="J22" i="1" s="1"/>
  <c r="J23" i="1" s="1"/>
  <c r="J24" i="1" s="1"/>
  <c r="J25" i="1" s="1"/>
  <c r="J26" i="1" s="1"/>
  <c r="I12" i="1"/>
  <c r="J12" i="1"/>
  <c r="J13" i="1" s="1"/>
  <c r="J14" i="1" s="1"/>
  <c r="J15" i="1" s="1"/>
  <c r="J16" i="1" s="1"/>
  <c r="K12" i="1"/>
  <c r="K13" i="1" s="1"/>
  <c r="K14" i="1" s="1"/>
  <c r="K15" i="1" s="1"/>
  <c r="K16" i="1" s="1"/>
  <c r="K42" i="1"/>
  <c r="K43" i="1" s="1"/>
  <c r="K44" i="1" s="1"/>
  <c r="K45" i="1" s="1"/>
  <c r="K46" i="1" s="1"/>
  <c r="J42" i="1"/>
  <c r="J43" i="1" s="1"/>
  <c r="J44" i="1" s="1"/>
  <c r="J45" i="1" s="1"/>
  <c r="J46" i="1" s="1"/>
  <c r="I42" i="1"/>
  <c r="K5" i="1"/>
  <c r="K6" i="1" s="1"/>
  <c r="K7" i="1" s="1"/>
  <c r="K8" i="1" s="1"/>
  <c r="I5" i="1"/>
  <c r="J5" i="1"/>
  <c r="J6" i="1" s="1"/>
  <c r="J7" i="1" s="1"/>
  <c r="J8" i="1" s="1"/>
  <c r="C7" i="2"/>
  <c r="E7" i="2"/>
  <c r="C18" i="2"/>
  <c r="E17" i="2"/>
  <c r="C10" i="2"/>
  <c r="E15" i="2"/>
  <c r="C17" i="2"/>
  <c r="E13" i="2"/>
  <c r="E9" i="2"/>
  <c r="E14" i="2"/>
  <c r="E5" i="2"/>
  <c r="C11" i="2"/>
  <c r="E16" i="2"/>
  <c r="E12" i="2"/>
  <c r="C5" i="2"/>
  <c r="E6" i="2"/>
  <c r="E8" i="2"/>
  <c r="E18" i="2"/>
  <c r="C14" i="2"/>
  <c r="C9" i="2"/>
  <c r="C13" i="2"/>
  <c r="C8" i="2"/>
  <c r="C6" i="2"/>
  <c r="C12" i="2"/>
  <c r="E10" i="2"/>
  <c r="C16" i="2"/>
  <c r="E11" i="2"/>
  <c r="C15" i="2"/>
  <c r="F18" i="2" l="1"/>
</calcChain>
</file>

<file path=xl/sharedStrings.xml><?xml version="1.0" encoding="utf-8"?>
<sst xmlns="http://schemas.openxmlformats.org/spreadsheetml/2006/main" count="761" uniqueCount="501">
  <si>
    <t>Opstelling Sen - Teams 2016-2017</t>
  </si>
  <si>
    <t>S1/S2</t>
  </si>
  <si>
    <t>Dames</t>
  </si>
  <si>
    <t>Heren</t>
  </si>
  <si>
    <t>Trainers/Coach</t>
  </si>
  <si>
    <t>Naam</t>
  </si>
  <si>
    <t>Wouter Blok</t>
  </si>
  <si>
    <t>Ardon, E.(Esther)</t>
  </si>
  <si>
    <t>Donkervoort, M.E.(Max)</t>
  </si>
  <si>
    <t>Jan de Jager</t>
  </si>
  <si>
    <t>Ardon, K.(Kim)</t>
  </si>
  <si>
    <t>Gent, van L(Lex)</t>
  </si>
  <si>
    <t>Michel v/d Herik</t>
  </si>
  <si>
    <t>Ardon, L(Linda)</t>
  </si>
  <si>
    <t>Kalkeren, van R.(Robin)</t>
  </si>
  <si>
    <t>Team begeleiding</t>
  </si>
  <si>
    <t>Batenburg, H(Hanneke)</t>
  </si>
  <si>
    <t>Klink, M(Marijn)</t>
  </si>
  <si>
    <t>Ron Appelboom</t>
  </si>
  <si>
    <t>Bruin, de D.(Daphne)</t>
  </si>
  <si>
    <t>Kuperus, S.(Steven)</t>
  </si>
  <si>
    <t>Verzorging</t>
  </si>
  <si>
    <t>Dolderman, I.(Iris)</t>
  </si>
  <si>
    <t>Ooijen, van N.(Nando)</t>
  </si>
  <si>
    <t>Theo Androchte</t>
  </si>
  <si>
    <t>Drooge, van L.Z.E(Lieke)</t>
  </si>
  <si>
    <t>Peuter, de F.(Freek)</t>
  </si>
  <si>
    <t>Desire Schepers</t>
  </si>
  <si>
    <t>Gurp, van M(Merel)</t>
  </si>
  <si>
    <t>Ploeg, H(Henno)</t>
  </si>
  <si>
    <t>Fysio</t>
  </si>
  <si>
    <t>Klink, X(Xanne)</t>
  </si>
  <si>
    <t>Strijen, van L.A.(Lars)</t>
  </si>
  <si>
    <t>Ruben Kamerbeek</t>
  </si>
  <si>
    <t>Leijdsman, R.(Robin)</t>
  </si>
  <si>
    <t>Vlaming, de R.(Roy)</t>
  </si>
  <si>
    <t>Core Stability</t>
  </si>
  <si>
    <t>Verweij, M.(Mirthe)</t>
  </si>
  <si>
    <t>Patrick Zuiderwijk</t>
  </si>
  <si>
    <t>S3</t>
  </si>
  <si>
    <t>Trainers</t>
  </si>
  <si>
    <t>Jan Mol</t>
  </si>
  <si>
    <t>Kruithof, L. (Lisa)</t>
  </si>
  <si>
    <t>Brugge, van der B.R.(Bart)</t>
  </si>
  <si>
    <t>Visser, D.(Diana)</t>
  </si>
  <si>
    <t>Isarin, T.P. (Thomas)</t>
  </si>
  <si>
    <t>Visser, H.(Hilde)</t>
  </si>
  <si>
    <t>Mans, B.(Bob)</t>
  </si>
  <si>
    <t>Zuidgeest, A.(Astrid)</t>
  </si>
  <si>
    <t>Mol, T.(Thomas)</t>
  </si>
  <si>
    <t>Zwoll, van S.(Simone)</t>
  </si>
  <si>
    <t>Pierse, J.(Jorik)</t>
  </si>
  <si>
    <t>S4</t>
  </si>
  <si>
    <t>Assem, van den L.(Lisette)</t>
  </si>
  <si>
    <t>Belder, S.(Steven)</t>
  </si>
  <si>
    <t>Laban-Sinke, I.W.(Ingrid)</t>
  </si>
  <si>
    <t>Boshoven, D.(Davy)</t>
  </si>
  <si>
    <t>Nelemans, I.(Ingrid)</t>
  </si>
  <si>
    <t>Kalkeren, van M.(Marco)</t>
  </si>
  <si>
    <t>Noordam, M.(Mirjam)</t>
  </si>
  <si>
    <t>Laban, A.J.(Antjan)</t>
  </si>
  <si>
    <t>Wibbens, E.(Esther)</t>
  </si>
  <si>
    <t>Verwaal, J.P.(Jan-Peter)</t>
  </si>
  <si>
    <t>S5</t>
  </si>
  <si>
    <t>Carrousel</t>
  </si>
  <si>
    <t>Andel, van S.(Sanne)</t>
  </si>
  <si>
    <t>Ameijden, van M.(Marijn)</t>
  </si>
  <si>
    <t>Brand, L(Liesbeth)</t>
  </si>
  <si>
    <t>Scheurwater, T.(Tiemen)</t>
  </si>
  <si>
    <t>Oeveren, van K.(Kristel)</t>
  </si>
  <si>
    <t>Stehouwer, F.(Ferry)</t>
  </si>
  <si>
    <t>Slijkhuis, A.(Anne)</t>
  </si>
  <si>
    <t>Tol, van W A J(Wout)</t>
  </si>
  <si>
    <t>Starre, van der K.(Kim)</t>
  </si>
  <si>
    <t>S6</t>
  </si>
  <si>
    <t>Bezemer, K.(Karin)</t>
  </si>
  <si>
    <t>Haan, de A(Anne)</t>
  </si>
  <si>
    <t>Haan-van Dijk, de S(Suzan)</t>
  </si>
  <si>
    <t>Hendriks, T.(Tom)</t>
  </si>
  <si>
    <t>Schenau, L,(Laura)</t>
  </si>
  <si>
    <t>Tol, van R.J.P.(Rob)</t>
  </si>
  <si>
    <t>Talens, M.(Moniek)</t>
  </si>
  <si>
    <t>Ton, T.(Thomas)</t>
  </si>
  <si>
    <t>Woerkom, M.(Mandy)</t>
  </si>
  <si>
    <t>Witter, H(Herman)</t>
  </si>
  <si>
    <t>S7</t>
  </si>
  <si>
    <t>Trainers:</t>
  </si>
  <si>
    <t>Fruyt van Hertog, M.(Marjolein)</t>
  </si>
  <si>
    <t>Helmos, R.F.(Roy)</t>
  </si>
  <si>
    <t>Coach</t>
  </si>
  <si>
    <t>Grootenboer-Dijk, van M.(Mariette)</t>
  </si>
  <si>
    <t>Verstappen, P.(Philip)</t>
  </si>
  <si>
    <t>Samantha Boer</t>
  </si>
  <si>
    <t>Kuijper-Vanhooydonck, S.(Simone)</t>
  </si>
  <si>
    <t>Wiel, van der M.(Martijn)</t>
  </si>
  <si>
    <t>Petegem, J. (Johanna</t>
  </si>
  <si>
    <t>Veld, in 't D.(Dorien)</t>
  </si>
  <si>
    <t>Veld, in 't L.(Lisette)</t>
  </si>
  <si>
    <t>S8</t>
  </si>
  <si>
    <t>Bernaards, N.(Natascha)</t>
  </si>
  <si>
    <t>Ameijden, van R.(Robbert)</t>
  </si>
  <si>
    <t>Honschoten, van S.(Sylvia)</t>
  </si>
  <si>
    <t>Draaijer, R.(Rens)</t>
  </si>
  <si>
    <t>Verwaal, M.(Melanie)</t>
  </si>
  <si>
    <t>Hartman, V.J.W.A.D.(Victor)</t>
  </si>
  <si>
    <t>Vos, R.(Robin)</t>
  </si>
  <si>
    <t>Wondergem, M.(Mark-Jan)</t>
  </si>
  <si>
    <t>Welgraven, L.(Larissa)</t>
  </si>
  <si>
    <t>MW1</t>
  </si>
  <si>
    <t>Bakker-Verwaal, L.(Lieke)</t>
  </si>
  <si>
    <t>Belder, E.(Erwin)</t>
  </si>
  <si>
    <t>Quarré, M.(Martha)</t>
  </si>
  <si>
    <t>Boshoven, R.(Rik)</t>
  </si>
  <si>
    <t>Vliet-Koster, R.(Renate)</t>
  </si>
  <si>
    <t>Dongen, van J.(Jeroen)</t>
  </si>
  <si>
    <t>Meijer, K.H.J.(Koen)</t>
  </si>
  <si>
    <t>Vos, E.(Egbert)</t>
  </si>
  <si>
    <t>MW2</t>
  </si>
  <si>
    <t>Dreef, A.C.H.(Lia)</t>
  </si>
  <si>
    <t>Dalen, van A.T.M.(Lex)</t>
  </si>
  <si>
    <t>Fernhout, C.(Corine)</t>
  </si>
  <si>
    <t>Kooij, W.(Wilco)</t>
  </si>
  <si>
    <t>Mans, Y.(Yvonne)</t>
  </si>
  <si>
    <t>Schmidt, M.G.(Michael)</t>
  </si>
  <si>
    <t>Opstal-Haksteen, van T.K.(Tamara)</t>
  </si>
  <si>
    <t>Vaartmans, I.(Ingrid)</t>
  </si>
  <si>
    <t>Valk-Helsloot, G.(Gunilda)</t>
  </si>
  <si>
    <t>AR</t>
  </si>
  <si>
    <t>Broekema, J.(Juliska)</t>
  </si>
  <si>
    <t>Berendsen, P.(Peter)</t>
  </si>
  <si>
    <t>Camphens-Moerman, B.(Barbara)</t>
  </si>
  <si>
    <t>Blaay, de S.M.(Stefan)</t>
  </si>
  <si>
    <t>Fernhout, T.(Tirsa)</t>
  </si>
  <si>
    <t>Doolaard, C.(Christiaan)</t>
  </si>
  <si>
    <t>Klink, E(Ellen)</t>
  </si>
  <si>
    <t>Goudriaan, S(Stefan)</t>
  </si>
  <si>
    <t>Klink, V.A.(Vivianne)</t>
  </si>
  <si>
    <t>Isarin, T P(Thomas)</t>
  </si>
  <si>
    <t>Naaktgeboren, B.D.(Benthe)</t>
  </si>
  <si>
    <t>Jong, de B.(Bas)</t>
  </si>
  <si>
    <t>Ploeg, L(Lieke)</t>
  </si>
  <si>
    <t>Jonker, J.(Jeroen)</t>
  </si>
  <si>
    <t>Visser, R.(Renske)</t>
  </si>
  <si>
    <t>Kleingeld, J(Jasper)</t>
  </si>
  <si>
    <t>Zwanenburg-Moerman, D.(Debita)</t>
  </si>
  <si>
    <t>Noordam, A J(Jochem)</t>
  </si>
  <si>
    <t>Seevinck, S.L.(Bert)</t>
  </si>
  <si>
    <t>Steen Redeker, L.(Leon)</t>
  </si>
  <si>
    <t>Wall, van der J(Johan)</t>
  </si>
  <si>
    <t>Wolff, A.M.(Alexander)</t>
  </si>
  <si>
    <t>REC</t>
  </si>
  <si>
    <t>Keulen, van W.J.(Wilma)</t>
  </si>
  <si>
    <t>Dalen, van A.R.J.(Arjo)</t>
  </si>
  <si>
    <t>Koote, C.(Ciska)</t>
  </si>
  <si>
    <t>Kleingeld, C(Kees)</t>
  </si>
  <si>
    <t>Trooijen, van W.H.(Jet)</t>
  </si>
  <si>
    <t>Wolff, P.E.(Paul)</t>
  </si>
  <si>
    <t>Opstelling B - Teams 2016-2017</t>
  </si>
  <si>
    <t>A1</t>
  </si>
  <si>
    <t>Johan Dubbeldam</t>
  </si>
  <si>
    <t>Broere, D.(Dionne)</t>
  </si>
  <si>
    <t>Brouwer, J.(Jop)</t>
  </si>
  <si>
    <t>Henno Ploeg</t>
  </si>
  <si>
    <t>Dommisse, R.(Robin)</t>
  </si>
  <si>
    <t>Dijk, van J.(Joeri)</t>
  </si>
  <si>
    <t>Euser, S.M.M.(Susanne)</t>
  </si>
  <si>
    <t>Driesprong, B.(Bart)</t>
  </si>
  <si>
    <t>Henk ter Horst</t>
  </si>
  <si>
    <t>Schram, M.C.(Merel)</t>
  </si>
  <si>
    <t>Oppe, B.(Bo)</t>
  </si>
  <si>
    <t>Schild, S.Y.(Yannick)</t>
  </si>
  <si>
    <t>A2</t>
  </si>
  <si>
    <t>Fred Lichteveld</t>
  </si>
  <si>
    <t>Bax, E.S.(Erinn)</t>
  </si>
  <si>
    <t>Aanholt, van M.(Max)</t>
  </si>
  <si>
    <t>Blom, M.(Michelle)</t>
  </si>
  <si>
    <t>Gent, van T.(Tim)</t>
  </si>
  <si>
    <t>Driesprong, A.(Anne)</t>
  </si>
  <si>
    <t>Jager, de S.(Sam)</t>
  </si>
  <si>
    <t>Kraaij, C.(Channa)</t>
  </si>
  <si>
    <t>Klink, O.C.(Olivier)</t>
  </si>
  <si>
    <t>Morée, de J.(Jessica)</t>
  </si>
  <si>
    <t>Lichteveld, J.(Jarno)</t>
  </si>
  <si>
    <t>Nelemans, A.(Anouk)</t>
  </si>
  <si>
    <t>Schmidt, B.(Berend)</t>
  </si>
  <si>
    <t>A3</t>
  </si>
  <si>
    <t>Marco van Bezooijen</t>
  </si>
  <si>
    <t>Bezooijen, van D.(Danique)</t>
  </si>
  <si>
    <t>Friebel, L.(Luuk)</t>
  </si>
  <si>
    <t>Rick Goudriaan</t>
  </si>
  <si>
    <t>Hulsker, N.M.(Nina)</t>
  </si>
  <si>
    <t>Hofmeester, B.(Bob)</t>
  </si>
  <si>
    <t>Lacroes, M.J.(Jany)</t>
  </si>
  <si>
    <t>Jong, de I.J.(Jouke)</t>
  </si>
  <si>
    <t>Oord, van K.(Kim)</t>
  </si>
  <si>
    <t>Klijn, C.L.(Calvin)</t>
  </si>
  <si>
    <t>Zwets, L.M.E.(Lotte)</t>
  </si>
  <si>
    <t>Wall, van der J.(Jeffrey)</t>
  </si>
  <si>
    <t>A4</t>
  </si>
  <si>
    <t>Lex van Dalen</t>
  </si>
  <si>
    <t>Maas, M.H.(Mara)</t>
  </si>
  <si>
    <t>Appelboom, N.(Nigel)</t>
  </si>
  <si>
    <t>Robert van Ameijden</t>
  </si>
  <si>
    <t>Muehlhaus, B.(Babet)</t>
  </si>
  <si>
    <t>Flach, J.H.(Joram)</t>
  </si>
  <si>
    <t>Schröder, I.(Isabel)</t>
  </si>
  <si>
    <t>Schindler, M.(Mark)</t>
  </si>
  <si>
    <t>Vossepoel, M.S.(Marjoleine)</t>
  </si>
  <si>
    <t>Verwaal, S.(Stefan)</t>
  </si>
  <si>
    <t>B1</t>
  </si>
  <si>
    <t>Roy de Vlaming</t>
  </si>
  <si>
    <t>Dijk, van D.(Demi)</t>
  </si>
  <si>
    <t>Bras, N.J.(Niels)</t>
  </si>
  <si>
    <t>Lennart Mastijn</t>
  </si>
  <si>
    <t>Dommisse, K.(Kim)</t>
  </si>
  <si>
    <t>Groeneweg, T.D.(Tim)</t>
  </si>
  <si>
    <t>Seevinck, D.(Djuna)</t>
  </si>
  <si>
    <t>Hooijdonk, van S.(Siem)</t>
  </si>
  <si>
    <t>Zuijderwijk, I.D.(Ilse)</t>
  </si>
  <si>
    <t>Klink, S.(Stijn)</t>
  </si>
  <si>
    <t>B2</t>
  </si>
  <si>
    <t>Robin van Kalkeren</t>
  </si>
  <si>
    <t>Dubbeld, T.(Tessa)</t>
  </si>
  <si>
    <t>Driel, van Q.(Quinten)</t>
  </si>
  <si>
    <t>Bart van de Brugge</t>
  </si>
  <si>
    <t>Klaveren, van R.(Romy)</t>
  </si>
  <si>
    <t>Dubbeld, R.(Ruben)</t>
  </si>
  <si>
    <t>Oppe, M.(Milou)</t>
  </si>
  <si>
    <t>Jong, de D.A.(Erik)</t>
  </si>
  <si>
    <t>Rijsdijk, M.(Mirte)</t>
  </si>
  <si>
    <t>Teerds, N.J.(Nick)</t>
  </si>
  <si>
    <t>Schram, L.J.(Lara)</t>
  </si>
  <si>
    <t>B3</t>
  </si>
  <si>
    <t>Alexander Wolff</t>
  </si>
  <si>
    <t>Appelboom, L.(Logan)</t>
  </si>
  <si>
    <t>Baars, L.A.(Luuk)</t>
  </si>
  <si>
    <t>Paul Wolff</t>
  </si>
  <si>
    <t>Auerbach, F.(Femke)</t>
  </si>
  <si>
    <t>Dalen, van D.J.(Daan)</t>
  </si>
  <si>
    <t>Koote, L.D.(Laura)</t>
  </si>
  <si>
    <t>Fred Kooten</t>
  </si>
  <si>
    <t>Los, N.E.(Noa)</t>
  </si>
  <si>
    <t>Yvonne los</t>
  </si>
  <si>
    <t>Slotboom, A.(Amber)</t>
  </si>
  <si>
    <t>Wit, de N.M.T.(Nadia)</t>
  </si>
  <si>
    <t>Wit, de S.E.E.(Syrah)</t>
  </si>
  <si>
    <t>B4</t>
  </si>
  <si>
    <t>Amarenske Buizer</t>
  </si>
  <si>
    <t>Adriaansen, I.K.S.(Isis)</t>
  </si>
  <si>
    <t>Annemieke de Reus</t>
  </si>
  <si>
    <t>Kok, J.N.(Jente)</t>
  </si>
  <si>
    <t>Mol, I.(Iris)</t>
  </si>
  <si>
    <t>Oostlander, E.P.(Elise)</t>
  </si>
  <si>
    <t>Pierse, A.W.(Anniek)</t>
  </si>
  <si>
    <t>Reus, de A.M.(Anouk)</t>
  </si>
  <si>
    <t>Torn, E.(Esther)</t>
  </si>
  <si>
    <t>Wijngaarden, van D.N.(Dagmar)</t>
  </si>
  <si>
    <t>B5</t>
  </si>
  <si>
    <t>Lia Dreef</t>
  </si>
  <si>
    <t>Canli, D.(Dilan)</t>
  </si>
  <si>
    <t>Altena, J.D.(Jaron)</t>
  </si>
  <si>
    <t>Dubbeld, S.(Sanne)</t>
  </si>
  <si>
    <t>Dreef, M.G.(Merijn)</t>
  </si>
  <si>
    <t>Koornneef, C.J.(Lotte)</t>
  </si>
  <si>
    <t>Filius, D.(Dani)</t>
  </si>
  <si>
    <t>Verhagen, F.R.I.(Femke)</t>
  </si>
  <si>
    <t>Herbold, D.J.(Dylan)</t>
  </si>
  <si>
    <t>Opstelling C - Teams 2016-2017</t>
  </si>
  <si>
    <t>C1/C2</t>
  </si>
  <si>
    <t>Kees-Jan Oppe</t>
  </si>
  <si>
    <t>Monique Oppe</t>
  </si>
  <si>
    <t>Totaal</t>
  </si>
  <si>
    <t>C1</t>
  </si>
  <si>
    <t>Brouwer, N.(Nynke)</t>
  </si>
  <si>
    <t>Hoeve, ten M.(Milan)</t>
  </si>
  <si>
    <t>Driesprong, M.(Meike)</t>
  </si>
  <si>
    <t>Hooijdonk, van O.(Otte)</t>
  </si>
  <si>
    <t>Horst, ter B.A.(Bridget)</t>
  </si>
  <si>
    <t>Oppe, M.(Mees)</t>
  </si>
  <si>
    <t>Volker, L.A.(Lisa)</t>
  </si>
  <si>
    <t>Vinken, J.J.A.(Jesper)</t>
  </si>
  <si>
    <t>C2</t>
  </si>
  <si>
    <t>Robert Koster</t>
  </si>
  <si>
    <t>Dielessen, A.(Amy)</t>
  </si>
  <si>
    <t>Alberts, S.(Sem)</t>
  </si>
  <si>
    <t>Astrid Zuidgeest</t>
  </si>
  <si>
    <t>Fernhout, L.(Loïs)</t>
  </si>
  <si>
    <t>Dalen, van F.G.(Freek)</t>
  </si>
  <si>
    <t>Mol, L.N.A.(Laura)</t>
  </si>
  <si>
    <t>Seevinck, T.(Tim)</t>
  </si>
  <si>
    <t>Teerds, E.L.(Eva)</t>
  </si>
  <si>
    <t>Steen Redeker, D.(David)</t>
  </si>
  <si>
    <t>Verbeek, Y.(Yente)</t>
  </si>
  <si>
    <t>Uijl, den D.(Daniel)</t>
  </si>
  <si>
    <t>C3</t>
  </si>
  <si>
    <t>Gent, van E.(Elsemieke)</t>
  </si>
  <si>
    <t>Boon, T.(Thijs)</t>
  </si>
  <si>
    <t>Klink, S.L.(Suzanne)</t>
  </si>
  <si>
    <t>Dreef, N.J.(Norbert)</t>
  </si>
  <si>
    <t>Reus, de K.(Kim)</t>
  </si>
  <si>
    <t>Fasbender, T.(Tijmen)</t>
  </si>
  <si>
    <t>Seijner, F.C.(Fabiënne)</t>
  </si>
  <si>
    <t>Kuijper, D.V.(David)</t>
  </si>
  <si>
    <t>Spijk, van J.M.(Jikke)</t>
  </si>
  <si>
    <t/>
  </si>
  <si>
    <t>Steenhuis, T.(Tjarda)</t>
  </si>
  <si>
    <t>Valk, M.E.(Marlies)</t>
  </si>
  <si>
    <t>C4</t>
  </si>
  <si>
    <t>Wilma Dekker</t>
  </si>
  <si>
    <t>Ardon, S.A.(Annelie)</t>
  </si>
  <si>
    <t>Timmer, J.(Jordan)</t>
  </si>
  <si>
    <t>Mark Kuijper</t>
  </si>
  <si>
    <t>Dekker, D.(Daniëlle)</t>
  </si>
  <si>
    <t>Vlaming, de J.C.(Jens)</t>
  </si>
  <si>
    <t>Friebel, A.(Angela)</t>
  </si>
  <si>
    <t>Klerk, de A.M.L(Ayda)</t>
  </si>
  <si>
    <t>Kloot, E.I.(Elin)</t>
  </si>
  <si>
    <t>Spaanbroek, Y.H.D.W.(Yzan)</t>
  </si>
  <si>
    <t>C5</t>
  </si>
  <si>
    <t>Silvia v Honschoten</t>
  </si>
  <si>
    <t>Taal, L.(Lisa)</t>
  </si>
  <si>
    <t>Bantis, J.(Jorgos)</t>
  </si>
  <si>
    <t>Willigen, van D.J.(Danique)</t>
  </si>
  <si>
    <t>Barneveld, van R.(Rob)</t>
  </si>
  <si>
    <t>Lange, M.J.D.(Mathijs)</t>
  </si>
  <si>
    <t>Schindler, R.(Rick)</t>
  </si>
  <si>
    <t>Verhagen, L.A.J.(Laurens)</t>
  </si>
  <si>
    <t>Visser, R.J.(Robert)</t>
  </si>
  <si>
    <t>Wijgaart, van de R.L.H.(Rick)</t>
  </si>
  <si>
    <t>Opstelling D - Teams 2016-2017</t>
  </si>
  <si>
    <t>D1</t>
  </si>
  <si>
    <t>Jacqueline Dubbeldam</t>
  </si>
  <si>
    <t>Boshoven, S.A.E.(Sara)</t>
  </si>
  <si>
    <t>Koster, S.(Senne)</t>
  </si>
  <si>
    <t>Marcel Sint Nicolaas</t>
  </si>
  <si>
    <t>Lievaart, C.A.(Carlijn)</t>
  </si>
  <si>
    <t>Lohuis, J.A.(Jens)</t>
  </si>
  <si>
    <t>Uijl, den E.(Eva)</t>
  </si>
  <si>
    <t>Meijers, M.A.(Milo)</t>
  </si>
  <si>
    <t>Wensen, van M.(Maud)</t>
  </si>
  <si>
    <t>Minkelis, van de J.W.(Jonathan)</t>
  </si>
  <si>
    <t>Zuijderwijk, B.K.(Britt)</t>
  </si>
  <si>
    <t>D2</t>
  </si>
  <si>
    <t>Bäcker, S.M.F.(Sterre)</t>
  </si>
  <si>
    <t>Geffen, van A.(Arend)</t>
  </si>
  <si>
    <t>Simone van Haren</t>
  </si>
  <si>
    <t>Fasbender, L.(Lindi)</t>
  </si>
  <si>
    <t>Koornneef, W.J.(Wouter)</t>
  </si>
  <si>
    <t>Horst, ter R.N.(Renee)</t>
  </si>
  <si>
    <t>Vegt, van der L.(Laurens)</t>
  </si>
  <si>
    <t>Jongh, de A.(Anouk)</t>
  </si>
  <si>
    <t>Manduapessy, V.P.(Vera)</t>
  </si>
  <si>
    <t>Quarré, E.A.(Elena)</t>
  </si>
  <si>
    <t>Veen, van der B.(Bente)</t>
  </si>
  <si>
    <t>Wijngaarden, van B.D.(Bente)</t>
  </si>
  <si>
    <t>D3</t>
  </si>
  <si>
    <t>Tom Hendriks</t>
  </si>
  <si>
    <t>Don, E.J.(Emma)</t>
  </si>
  <si>
    <t>Jong, de M.R.(Micha)</t>
  </si>
  <si>
    <t>Filius, E.(Esmee)</t>
  </si>
  <si>
    <t>Meijer, J.H.(Joeke)</t>
  </si>
  <si>
    <t>Groeneweg, R.K.(Roos)</t>
  </si>
  <si>
    <t>Leen, van M.E.(Marit)</t>
  </si>
  <si>
    <t>Mert, R.(Rezzan)</t>
  </si>
  <si>
    <t>Nobel, M.H.M.(Merle)</t>
  </si>
  <si>
    <t>Rubio Cubillos, E.E.(Estelle)</t>
  </si>
  <si>
    <t>Volker, K.N.N.(Karlijn)</t>
  </si>
  <si>
    <t>D4</t>
  </si>
  <si>
    <t>Ilse Kloot</t>
  </si>
  <si>
    <t>Auerbach, L.(Lincy)</t>
  </si>
  <si>
    <t>Everaarts, J.D.(Jesse)</t>
  </si>
  <si>
    <t>Peter Berendsen</t>
  </si>
  <si>
    <t>Boeije, A.J.(Amber)</t>
  </si>
  <si>
    <t>IJben, C.(Chris)</t>
  </si>
  <si>
    <t>Everdingen, van T.(Tessa)</t>
  </si>
  <si>
    <t>Klein, D.H.(Daan)</t>
  </si>
  <si>
    <t>Prosman, A.S(Ann-Sophie)</t>
  </si>
  <si>
    <t>Wietses, J.(Joël)</t>
  </si>
  <si>
    <t>Steen Redeker, L.(Levina)</t>
  </si>
  <si>
    <t>D5</t>
  </si>
  <si>
    <t>Michael Schmidt</t>
  </si>
  <si>
    <t>Bonnier, F.H.(Fenna)</t>
  </si>
  <si>
    <t>Isabel Schröder</t>
  </si>
  <si>
    <t>De Geus, N.E.J.(Noa)</t>
  </si>
  <si>
    <t>Jonkers, S.N.(Syrah)</t>
  </si>
  <si>
    <t>Raab, I.A.S.(Ilse)</t>
  </si>
  <si>
    <t>Rijkers, I.B.(Ilse)</t>
  </si>
  <si>
    <t>Schröder, C.(Charlotte)</t>
  </si>
  <si>
    <t>Timmer, E.(Edith)</t>
  </si>
  <si>
    <t>Tun?yürek, S.(Süeda)</t>
  </si>
  <si>
    <t>Verkerke, J.D.(Julia)</t>
  </si>
  <si>
    <t>Opstelling E - Teams 2016-2017</t>
  </si>
  <si>
    <t>E1</t>
  </si>
  <si>
    <t>Bart Driesprong</t>
  </si>
  <si>
    <t>Driesprong, J.(Jana)</t>
  </si>
  <si>
    <t>Bäcker, C.J.(Tijn)</t>
  </si>
  <si>
    <t>Merel Schram</t>
  </si>
  <si>
    <t>Manduapessy, M.(Merel)</t>
  </si>
  <si>
    <t>Vaartmans, J.A.(Jordi)</t>
  </si>
  <si>
    <t>Valk, J.B.(Jarno)</t>
  </si>
  <si>
    <t>E2</t>
  </si>
  <si>
    <t>Bart de Wit</t>
  </si>
  <si>
    <t>Klooster, van der C.(Carmen)</t>
  </si>
  <si>
    <t>Boeije, T.P.(Thomas)</t>
  </si>
  <si>
    <t>Melanie Verwaal</t>
  </si>
  <si>
    <t>Wit, de M.(Mila)</t>
  </si>
  <si>
    <t>Zwanenburg, J.(Jack)</t>
  </si>
  <si>
    <t>Wolleswinkel, I.M.S.(Iza)</t>
  </si>
  <si>
    <t>E3</t>
  </si>
  <si>
    <t>Lisa Kruithof</t>
  </si>
  <si>
    <t>Aydin, R.A.S.(Rana)</t>
  </si>
  <si>
    <t>Dongen, van F.P.B.(Freek)</t>
  </si>
  <si>
    <t>Erin Bax</t>
  </si>
  <si>
    <t>Blankenstijn, N.(Naomi)</t>
  </si>
  <si>
    <t>Zijde, van der R.J.(Ruben)</t>
  </si>
  <si>
    <t>Verboom, S.(Stella)</t>
  </si>
  <si>
    <t>E4</t>
  </si>
  <si>
    <t>Jos Driesprong</t>
  </si>
  <si>
    <t>Linden, van der B.S.(Benthe)</t>
  </si>
  <si>
    <t>Burgt, van de S.(Seth)</t>
  </si>
  <si>
    <t>Rubio Cubillos, L.P.(Luana)</t>
  </si>
  <si>
    <t>Driesprong, N.(Niek)</t>
  </si>
  <si>
    <t>Sas, M.(Maarten)</t>
  </si>
  <si>
    <t>E5</t>
  </si>
  <si>
    <t>Barbara Camphens</t>
  </si>
  <si>
    <t>Bouwknegt, L.V.(Lianne)</t>
  </si>
  <si>
    <t>Camphens, T.(Tijn)</t>
  </si>
  <si>
    <t>Everaarts, A.E.(Anna)</t>
  </si>
  <si>
    <t>Mahabier, J.(Jeevan)</t>
  </si>
  <si>
    <t>Rijsdijk, B. (Bente)</t>
  </si>
  <si>
    <t>Pagter, de L.B.(Levi)</t>
  </si>
  <si>
    <t>E6</t>
  </si>
  <si>
    <t>Gunilda Valk</t>
  </si>
  <si>
    <t>Kilsdonk, S.A(Sophie)</t>
  </si>
  <si>
    <t>Dekker, den O.C.(Onno)</t>
  </si>
  <si>
    <t>Varik, van R.(Roos)</t>
  </si>
  <si>
    <t>Kuijper, R.A.(Raoul)</t>
  </si>
  <si>
    <t>Noa Los</t>
  </si>
  <si>
    <t>Pille, M.A.(Menno)</t>
  </si>
  <si>
    <t>Logan Appelboom</t>
  </si>
  <si>
    <t>E7</t>
  </si>
  <si>
    <t>Natasha Bernards</t>
  </si>
  <si>
    <t>Bozuwa, J.(Julia)</t>
  </si>
  <si>
    <t>Altena, E.K.(Evan)</t>
  </si>
  <si>
    <t>Joram Flach</t>
  </si>
  <si>
    <t>Oomens, H.(Hanna)</t>
  </si>
  <si>
    <t>Est, van K.H.T.(Koen)</t>
  </si>
  <si>
    <t>Iis</t>
  </si>
  <si>
    <t>Vliet, T.M.(Tycho)</t>
  </si>
  <si>
    <t>E8</t>
  </si>
  <si>
    <t>Ilonka Bouwknecht</t>
  </si>
  <si>
    <t>Folles, A.C.(Annelouise)</t>
  </si>
  <si>
    <t>Koornneef, T.J.(Tommie)</t>
  </si>
  <si>
    <t>Hage, Q.A.M.(Quindsey)</t>
  </si>
  <si>
    <t>Jet van Trooijen</t>
  </si>
  <si>
    <t>Steenis, van Y.R.K.(Yelena)</t>
  </si>
  <si>
    <t>Tun?yürek, S.(Sümeyra)</t>
  </si>
  <si>
    <t>Voorbij, D.M.(Doeska)</t>
  </si>
  <si>
    <t>Opstelling F - Teams 2016-2017</t>
  </si>
  <si>
    <t>F1</t>
  </si>
  <si>
    <t>Burgt, van de E.(Elize)</t>
  </si>
  <si>
    <t>Heersping, D.B.A.C.(Dani)</t>
  </si>
  <si>
    <t>Lohuis, F.A.C.(Floor)</t>
  </si>
  <si>
    <t>Sas, N.(Niek)</t>
  </si>
  <si>
    <t>Wit, de Y.(Yinthe)</t>
  </si>
  <si>
    <t>F2</t>
  </si>
  <si>
    <t>Lara Schram</t>
  </si>
  <si>
    <t>Dongen, van M.J.(Madelief)</t>
  </si>
  <si>
    <t>Quarre, S.M.(Stephan)</t>
  </si>
  <si>
    <t>Mirte Rijsdijk</t>
  </si>
  <si>
    <t>Reuvers, L.(Lisa)</t>
  </si>
  <si>
    <t>Verhoef, S.D.(Stefan)</t>
  </si>
  <si>
    <t>Zwanenburg, R.J.(Robin)</t>
  </si>
  <si>
    <t>Vliet, K.M.(Kian)</t>
  </si>
  <si>
    <t>Renate Koster</t>
  </si>
  <si>
    <t>F3</t>
  </si>
  <si>
    <t>Ingrid Vaartmans</t>
  </si>
  <si>
    <t>Baas, N.J.(Nikki)</t>
  </si>
  <si>
    <t>Bonnier, T.(Tijn)</t>
  </si>
  <si>
    <t>Tessa Dubbeld</t>
  </si>
  <si>
    <t>Bakker, F.(Femke)</t>
  </si>
  <si>
    <t>Bouwknegt, E.L.(Enora)</t>
  </si>
  <si>
    <t>Nijhoff, L.(Liv)</t>
  </si>
  <si>
    <t>Wiel, van der D.N.(Danique)</t>
  </si>
  <si>
    <t>F4</t>
  </si>
  <si>
    <t>Lianne Stomp</t>
  </si>
  <si>
    <t>Burgt, van de F.(Feline)</t>
  </si>
  <si>
    <t>Stomp, J.(Joshua)</t>
  </si>
  <si>
    <t>Kleingeld, J.N.(Julia)</t>
  </si>
  <si>
    <t>Stomp, N.(Noa)</t>
  </si>
  <si>
    <t>Vaartmans, B.(Britt)</t>
  </si>
  <si>
    <t>Verhoef, H.E.(Hanna)</t>
  </si>
  <si>
    <t>Volker, T.N.(Tess)</t>
  </si>
  <si>
    <t>KANG</t>
  </si>
  <si>
    <t>Mirjan de Wit</t>
  </si>
  <si>
    <t>Camphens, S.(Saar)</t>
  </si>
  <si>
    <t>Laban, F.(Freek)</t>
  </si>
  <si>
    <t>Anouk de Reus</t>
  </si>
  <si>
    <t>Grootenboer, T.L.(Tess)</t>
  </si>
  <si>
    <t>Heersping, S. (Sander)</t>
  </si>
  <si>
    <t>Voorbij, L. (Lova)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</si>
</sst>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0" borderId="7" xfId="0" applyBorder="1"/>
    <xf numFmtId="0" fontId="1" fillId="0" borderId="7" xfId="0" applyFont="1" applyBorder="1"/>
    <xf numFmtId="0" fontId="0" fillId="0" borderId="8" xfId="0" applyBorder="1"/>
    <xf numFmtId="0" fontId="0" fillId="2" borderId="11" xfId="0" applyFill="1" applyBorder="1"/>
    <xf numFmtId="0" fontId="0" fillId="2" borderId="8" xfId="0" applyFill="1" applyBorder="1"/>
    <xf numFmtId="0" fontId="0" fillId="0" borderId="8" xfId="0" applyBorder="1" applyAlignment="1">
      <alignment horizontal="center"/>
    </xf>
    <xf numFmtId="0" fontId="1" fillId="0" borderId="8" xfId="0" applyFont="1" applyBorder="1"/>
    <xf numFmtId="0" fontId="4" fillId="2" borderId="0" xfId="0" applyFont="1" applyFill="1"/>
    <xf numFmtId="0" fontId="4" fillId="0" borderId="7" xfId="0" applyFont="1" applyBorder="1"/>
    <xf numFmtId="0" fontId="4" fillId="0" borderId="0" xfId="0" applyFont="1"/>
    <xf numFmtId="0" fontId="5" fillId="0" borderId="8" xfId="0" applyFont="1" applyBorder="1"/>
    <xf numFmtId="0" fontId="4" fillId="2" borderId="8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Korfbal\Seizoen%202016-2017\OW%20seizoen%202016-2017%20v1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Sen"/>
      <sheetName val="Team A"/>
      <sheetName val="Team B"/>
      <sheetName val="Team C"/>
      <sheetName val="Team D"/>
      <sheetName val="Team E"/>
      <sheetName val="Team F"/>
      <sheetName val="Leden"/>
      <sheetName val="Hulplij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Dames</v>
          </cell>
          <cell r="H1" t="str">
            <v>Team       16-17</v>
          </cell>
          <cell r="J1" t="str">
            <v>Heren</v>
          </cell>
          <cell r="Q1" t="str">
            <v>Team       16-17</v>
          </cell>
        </row>
        <row r="2">
          <cell r="A2" t="str">
            <v>Broere, D.(Dionne)</v>
          </cell>
          <cell r="B2" t="str">
            <v>NKC46R0</v>
          </cell>
          <cell r="C2" t="str">
            <v>Broere, D.</v>
          </cell>
          <cell r="D2" t="str">
            <v>Dionne</v>
          </cell>
          <cell r="E2">
            <v>36460</v>
          </cell>
          <cell r="H2" t="str">
            <v>A1</v>
          </cell>
          <cell r="J2" t="str">
            <v>Brouwer, J.(Jop)</v>
          </cell>
          <cell r="K2" t="str">
            <v>NJT90M2</v>
          </cell>
          <cell r="L2" t="str">
            <v>Brouwer, J.</v>
          </cell>
          <cell r="M2" t="str">
            <v>Jop</v>
          </cell>
          <cell r="N2">
            <v>36429</v>
          </cell>
          <cell r="Q2" t="str">
            <v>A1</v>
          </cell>
          <cell r="S2">
            <v>43101</v>
          </cell>
        </row>
        <row r="3">
          <cell r="A3" t="str">
            <v>Euser, S.M.M.(Susanne)</v>
          </cell>
          <cell r="B3" t="str">
            <v>NJG60C4</v>
          </cell>
          <cell r="C3" t="str">
            <v>Euser, S.M.M.</v>
          </cell>
          <cell r="D3" t="str">
            <v>Susanne</v>
          </cell>
          <cell r="E3">
            <v>36429</v>
          </cell>
          <cell r="H3" t="str">
            <v>A1</v>
          </cell>
          <cell r="J3" t="str">
            <v>Oppe, B.(Bo)</v>
          </cell>
          <cell r="K3" t="str">
            <v>NJR12K2</v>
          </cell>
          <cell r="L3" t="str">
            <v>Oppe, B.</v>
          </cell>
          <cell r="M3" t="str">
            <v>Bo</v>
          </cell>
          <cell r="N3">
            <v>36432</v>
          </cell>
          <cell r="Q3" t="str">
            <v>A1</v>
          </cell>
        </row>
        <row r="4">
          <cell r="A4" t="str">
            <v>Schram, M.C.(Merel)</v>
          </cell>
          <cell r="B4" t="str">
            <v>NJW77M6</v>
          </cell>
          <cell r="C4" t="str">
            <v>Schram, M.C.</v>
          </cell>
          <cell r="D4" t="str">
            <v>Merel</v>
          </cell>
          <cell r="E4">
            <v>36432</v>
          </cell>
          <cell r="H4" t="str">
            <v>A1</v>
          </cell>
          <cell r="J4" t="str">
            <v>Schild, S.Y.(Yannick)</v>
          </cell>
          <cell r="K4" t="str">
            <v>NJR87G4</v>
          </cell>
          <cell r="L4" t="str">
            <v>Schild, S.Y.</v>
          </cell>
          <cell r="M4" t="str">
            <v>Yannick</v>
          </cell>
          <cell r="N4">
            <v>36272</v>
          </cell>
          <cell r="Q4" t="str">
            <v>A1</v>
          </cell>
        </row>
        <row r="5">
          <cell r="A5" t="str">
            <v>Driesprong, A.(Anne)</v>
          </cell>
          <cell r="B5" t="str">
            <v>NKD19X7</v>
          </cell>
          <cell r="C5" t="str">
            <v>Driesprong, A.</v>
          </cell>
          <cell r="D5" t="str">
            <v>Anne</v>
          </cell>
          <cell r="E5">
            <v>36727</v>
          </cell>
          <cell r="H5" t="str">
            <v>A2</v>
          </cell>
          <cell r="J5" t="str">
            <v>Gent, van T.(Tim)</v>
          </cell>
          <cell r="K5" t="str">
            <v>NJZ00W3</v>
          </cell>
          <cell r="L5" t="str">
            <v>Gent, van T.</v>
          </cell>
          <cell r="M5" t="str">
            <v>Tim</v>
          </cell>
          <cell r="N5">
            <v>36567</v>
          </cell>
          <cell r="Q5" t="str">
            <v>A2</v>
          </cell>
        </row>
        <row r="6">
          <cell r="A6" t="str">
            <v>Kraaij, C.(Channa)</v>
          </cell>
          <cell r="B6" t="str">
            <v>NKJ87Y9</v>
          </cell>
          <cell r="C6" t="str">
            <v>Kraaij, C.</v>
          </cell>
          <cell r="D6" t="str">
            <v>Channa</v>
          </cell>
          <cell r="E6">
            <v>36498</v>
          </cell>
          <cell r="H6" t="str">
            <v>A2</v>
          </cell>
          <cell r="J6" t="str">
            <v>Jager, de S.(Sam)</v>
          </cell>
          <cell r="K6" t="str">
            <v>NJZ00Y7</v>
          </cell>
          <cell r="L6" t="str">
            <v>Jager, de S.</v>
          </cell>
          <cell r="M6" t="str">
            <v>Sam</v>
          </cell>
          <cell r="N6">
            <v>36588</v>
          </cell>
          <cell r="Q6" t="str">
            <v>A2</v>
          </cell>
        </row>
        <row r="7">
          <cell r="A7" t="str">
            <v>Morée, de J.(Jessica)</v>
          </cell>
          <cell r="B7" t="str">
            <v>NKD16N8</v>
          </cell>
          <cell r="C7" t="str">
            <v>Morée, de J.</v>
          </cell>
          <cell r="D7" t="str">
            <v>Jessica</v>
          </cell>
          <cell r="E7">
            <v>36706</v>
          </cell>
          <cell r="H7" t="str">
            <v>A2</v>
          </cell>
          <cell r="J7" t="str">
            <v>Lichteveld, J.(Jarno)</v>
          </cell>
          <cell r="K7" t="str">
            <v>NJF62V2</v>
          </cell>
          <cell r="L7" t="str">
            <v>Lichteveld, J.</v>
          </cell>
          <cell r="M7" t="str">
            <v>Jarno</v>
          </cell>
          <cell r="N7">
            <v>36724</v>
          </cell>
          <cell r="Q7" t="str">
            <v>A2</v>
          </cell>
        </row>
        <row r="8">
          <cell r="A8" t="str">
            <v>Bezooijen, van D.(Danique)</v>
          </cell>
          <cell r="B8" t="str">
            <v>NJV63S0</v>
          </cell>
          <cell r="C8" t="str">
            <v>Bezooijen, van D.</v>
          </cell>
          <cell r="D8" t="str">
            <v>Danique</v>
          </cell>
          <cell r="E8">
            <v>36530</v>
          </cell>
          <cell r="H8" t="str">
            <v>A3</v>
          </cell>
          <cell r="J8" t="str">
            <v>Friebel, L.(Luuk)</v>
          </cell>
          <cell r="K8" t="str">
            <v>NLB70W8</v>
          </cell>
          <cell r="L8" t="str">
            <v>Friebel, L.</v>
          </cell>
          <cell r="M8" t="str">
            <v>Luuk</v>
          </cell>
          <cell r="N8">
            <v>36683</v>
          </cell>
          <cell r="Q8" t="str">
            <v>A3</v>
          </cell>
        </row>
        <row r="9">
          <cell r="A9" t="str">
            <v>Blom, M.(Michelle)</v>
          </cell>
          <cell r="B9" t="str">
            <v>NJQ72R0</v>
          </cell>
          <cell r="C9" t="str">
            <v>Blom, M.</v>
          </cell>
          <cell r="D9" t="str">
            <v>Michelle</v>
          </cell>
          <cell r="E9">
            <v>36479</v>
          </cell>
          <cell r="H9" t="str">
            <v>A2</v>
          </cell>
          <cell r="J9" t="str">
            <v>Hofmeester, B.(Bob)</v>
          </cell>
          <cell r="K9" t="str">
            <v>NJT90G0</v>
          </cell>
          <cell r="L9" t="str">
            <v>Hofmeester, B.</v>
          </cell>
          <cell r="M9" t="str">
            <v>Bob</v>
          </cell>
          <cell r="N9">
            <v>36391</v>
          </cell>
          <cell r="Q9" t="str">
            <v>A3</v>
          </cell>
        </row>
        <row r="10">
          <cell r="A10" t="str">
            <v>Hulsker, N.M.(Nina)</v>
          </cell>
          <cell r="B10" t="str">
            <v>NKB62K8</v>
          </cell>
          <cell r="C10" t="str">
            <v>Hulsker, N.M.</v>
          </cell>
          <cell r="D10" t="str">
            <v>Nina</v>
          </cell>
          <cell r="E10">
            <v>36385</v>
          </cell>
          <cell r="H10" t="str">
            <v>A3</v>
          </cell>
          <cell r="J10" t="str">
            <v>Klijn, C.L.(Calvin)</v>
          </cell>
          <cell r="K10" t="str">
            <v>NKQ70H1</v>
          </cell>
          <cell r="L10" t="str">
            <v>Klijn, C.L.</v>
          </cell>
          <cell r="M10" t="str">
            <v>Calvin</v>
          </cell>
          <cell r="N10">
            <v>36605</v>
          </cell>
          <cell r="Q10" t="str">
            <v>A3</v>
          </cell>
        </row>
        <row r="11">
          <cell r="A11" t="str">
            <v>Naaktgeboren, B.D.(Benthe)</v>
          </cell>
          <cell r="B11" t="str">
            <v>NJF95M3</v>
          </cell>
          <cell r="C11" t="str">
            <v>Naaktgeboren, B.D.</v>
          </cell>
          <cell r="D11" t="str">
            <v>Benthe</v>
          </cell>
          <cell r="E11">
            <v>36227</v>
          </cell>
          <cell r="H11" t="str">
            <v>AR</v>
          </cell>
          <cell r="J11" t="str">
            <v>Wall, van der J.(Jeffrey)</v>
          </cell>
          <cell r="K11" t="str">
            <v>NKC46P6</v>
          </cell>
          <cell r="L11" t="str">
            <v>Wall, van der J.</v>
          </cell>
          <cell r="M11" t="str">
            <v>Jeffrey</v>
          </cell>
          <cell r="N11">
            <v>36664</v>
          </cell>
          <cell r="Q11" t="str">
            <v>A3</v>
          </cell>
        </row>
        <row r="12">
          <cell r="A12" t="str">
            <v>Oord, van K.(Kim)</v>
          </cell>
          <cell r="B12" t="str">
            <v>NJQ72Q3</v>
          </cell>
          <cell r="C12" t="str">
            <v>Oord, van K.</v>
          </cell>
          <cell r="D12" t="str">
            <v>Kim</v>
          </cell>
          <cell r="E12">
            <v>36323</v>
          </cell>
          <cell r="H12" t="str">
            <v>A3</v>
          </cell>
          <cell r="J12" t="str">
            <v>Flach, J.H.(Joram)</v>
          </cell>
          <cell r="K12" t="str">
            <v>NKX56P2</v>
          </cell>
          <cell r="L12" t="str">
            <v>Flach, J.H.</v>
          </cell>
          <cell r="M12" t="str">
            <v>Joram</v>
          </cell>
          <cell r="N12">
            <v>36465</v>
          </cell>
          <cell r="Q12" t="str">
            <v>A5</v>
          </cell>
        </row>
        <row r="13">
          <cell r="A13" t="str">
            <v>Maas, M.H.(Mara)</v>
          </cell>
          <cell r="B13" t="str">
            <v>NKM80L0</v>
          </cell>
          <cell r="C13" t="str">
            <v>Maas, M.H.</v>
          </cell>
          <cell r="D13" t="str">
            <v>Mara</v>
          </cell>
          <cell r="E13">
            <v>36928</v>
          </cell>
          <cell r="H13" t="str">
            <v>A5</v>
          </cell>
          <cell r="J13" t="str">
            <v>Oostlander, J.(Jasper)</v>
          </cell>
          <cell r="K13" t="str">
            <v>NLL19Z6</v>
          </cell>
          <cell r="L13" t="str">
            <v>Oostlander, J.</v>
          </cell>
          <cell r="M13" t="str">
            <v>Jasper</v>
          </cell>
          <cell r="N13">
            <v>36283</v>
          </cell>
          <cell r="Q13" t="str">
            <v>Stopt</v>
          </cell>
        </row>
        <row r="14">
          <cell r="A14" t="str">
            <v>Schröder, I.(Isabel)</v>
          </cell>
          <cell r="B14" t="str">
            <v>NJH77J0</v>
          </cell>
          <cell r="C14" t="str">
            <v>Schröder, I.</v>
          </cell>
          <cell r="D14" t="str">
            <v>Isabel</v>
          </cell>
          <cell r="E14">
            <v>36755</v>
          </cell>
          <cell r="H14" t="str">
            <v>A5</v>
          </cell>
          <cell r="J14" t="str">
            <v>Schindler, M.(Mark)</v>
          </cell>
          <cell r="K14" t="str">
            <v>NKD39Q8</v>
          </cell>
          <cell r="L14" t="str">
            <v>Schindler, M.</v>
          </cell>
          <cell r="M14" t="str">
            <v>Mark</v>
          </cell>
          <cell r="N14">
            <v>36308</v>
          </cell>
          <cell r="Q14" t="str">
            <v>A5</v>
          </cell>
        </row>
        <row r="15">
          <cell r="A15" t="str">
            <v>Dijk, van D.(Demi)</v>
          </cell>
          <cell r="B15" t="str">
            <v>NKG59L6</v>
          </cell>
          <cell r="C15" t="str">
            <v>Dijk, van D.</v>
          </cell>
          <cell r="D15" t="str">
            <v>Demi</v>
          </cell>
          <cell r="E15">
            <v>36938</v>
          </cell>
          <cell r="H15" t="str">
            <v>B1</v>
          </cell>
          <cell r="J15" t="str">
            <v>Groeneweg, T.D.(Tim)</v>
          </cell>
          <cell r="K15" t="str">
            <v>NKG59J2</v>
          </cell>
          <cell r="L15" t="str">
            <v>Groeneweg, T.D.</v>
          </cell>
          <cell r="M15" t="str">
            <v>Tim</v>
          </cell>
          <cell r="N15">
            <v>37246</v>
          </cell>
          <cell r="Q15" t="str">
            <v>B1</v>
          </cell>
        </row>
        <row r="16">
          <cell r="A16" t="str">
            <v>Dommisse, K.(Kim)</v>
          </cell>
          <cell r="B16" t="str">
            <v>NKG59H8</v>
          </cell>
          <cell r="C16" t="str">
            <v>Dommisse, K.</v>
          </cell>
          <cell r="D16" t="str">
            <v>Kim</v>
          </cell>
          <cell r="E16">
            <v>36993</v>
          </cell>
          <cell r="H16" t="str">
            <v>B1</v>
          </cell>
          <cell r="J16" t="str">
            <v>Hooijdonk, van S.(Siem)</v>
          </cell>
          <cell r="K16" t="str">
            <v>NKW50T1</v>
          </cell>
          <cell r="L16" t="str">
            <v>Hooijdonk, van S.</v>
          </cell>
          <cell r="M16" t="str">
            <v>Siem</v>
          </cell>
          <cell r="N16">
            <v>37027</v>
          </cell>
          <cell r="Q16" t="str">
            <v>B1</v>
          </cell>
        </row>
        <row r="17">
          <cell r="A17" t="str">
            <v>Seevinck, D.(Djuna)</v>
          </cell>
          <cell r="B17" t="str">
            <v>NKR20L5</v>
          </cell>
          <cell r="C17" t="str">
            <v>Seevinck, D.</v>
          </cell>
          <cell r="D17" t="str">
            <v>Djuna</v>
          </cell>
          <cell r="E17">
            <v>37246</v>
          </cell>
          <cell r="H17" t="str">
            <v>B1</v>
          </cell>
          <cell r="J17" t="str">
            <v>Klink, S.(Stijn)</v>
          </cell>
          <cell r="K17" t="str">
            <v>NJX60W1</v>
          </cell>
          <cell r="L17" t="str">
            <v>Klink, S.</v>
          </cell>
          <cell r="M17" t="str">
            <v>Stijn</v>
          </cell>
          <cell r="N17">
            <v>36833</v>
          </cell>
          <cell r="Q17" t="str">
            <v>B1</v>
          </cell>
        </row>
        <row r="18">
          <cell r="A18" t="str">
            <v>Zuijderwijk, I.D.(Ilse)</v>
          </cell>
          <cell r="B18" t="str">
            <v>NKD20B1</v>
          </cell>
          <cell r="C18" t="str">
            <v>Zuijderwijk, I.D.</v>
          </cell>
          <cell r="D18" t="str">
            <v>Ilse</v>
          </cell>
          <cell r="E18">
            <v>37091</v>
          </cell>
          <cell r="H18" t="str">
            <v>B1</v>
          </cell>
          <cell r="J18" t="str">
            <v>Driel, van Q.(Quinten)</v>
          </cell>
          <cell r="K18" t="str">
            <v>NKT73W8</v>
          </cell>
          <cell r="L18" t="str">
            <v>Driel, van Q.</v>
          </cell>
          <cell r="M18" t="str">
            <v>Quinten</v>
          </cell>
          <cell r="N18">
            <v>36666</v>
          </cell>
          <cell r="Q18" t="str">
            <v>B2</v>
          </cell>
        </row>
        <row r="19">
          <cell r="A19" t="str">
            <v>Dubbeld, T.(Tessa)</v>
          </cell>
          <cell r="B19" t="str">
            <v>NJY82Z9</v>
          </cell>
          <cell r="C19" t="str">
            <v>Dubbeld, T.</v>
          </cell>
          <cell r="D19" t="str">
            <v>Tessa</v>
          </cell>
          <cell r="E19">
            <v>36865</v>
          </cell>
          <cell r="H19" t="str">
            <v>B2</v>
          </cell>
          <cell r="J19" t="str">
            <v>Dubbeld, R.(Ruben)</v>
          </cell>
          <cell r="K19" t="str">
            <v>NJY83B4</v>
          </cell>
          <cell r="L19" t="str">
            <v>Dubbeld, R.</v>
          </cell>
          <cell r="M19" t="str">
            <v>Ruben</v>
          </cell>
          <cell r="N19">
            <v>36865</v>
          </cell>
          <cell r="Q19" t="str">
            <v>B2</v>
          </cell>
        </row>
        <row r="20">
          <cell r="A20" t="str">
            <v>Rijsdijk, M.(Mirte)</v>
          </cell>
          <cell r="B20" t="str">
            <v>NKN65D0</v>
          </cell>
          <cell r="C20" t="str">
            <v>Rijsdijk, M.</v>
          </cell>
          <cell r="D20" t="str">
            <v>Mirte</v>
          </cell>
          <cell r="E20">
            <v>37193</v>
          </cell>
          <cell r="H20" t="str">
            <v>B2</v>
          </cell>
          <cell r="J20" t="str">
            <v>Jong, de D.A.(Erik)</v>
          </cell>
          <cell r="K20" t="str">
            <v>NKM14K0</v>
          </cell>
          <cell r="L20" t="str">
            <v>Jong, de D.A.</v>
          </cell>
          <cell r="M20" t="str">
            <v>Erik</v>
          </cell>
          <cell r="N20">
            <v>36843</v>
          </cell>
          <cell r="Q20" t="str">
            <v>B2</v>
          </cell>
        </row>
        <row r="21">
          <cell r="A21" t="str">
            <v>Schram, L.J.(Lara)</v>
          </cell>
          <cell r="B21" t="str">
            <v>NKC46S7</v>
          </cell>
          <cell r="C21" t="str">
            <v>Schram, L.J.</v>
          </cell>
          <cell r="D21" t="str">
            <v>Lara</v>
          </cell>
          <cell r="E21">
            <v>36887</v>
          </cell>
          <cell r="H21" t="str">
            <v>B2</v>
          </cell>
          <cell r="J21" t="str">
            <v>Teerds, N.J.(Nick)</v>
          </cell>
          <cell r="K21" t="str">
            <v>NKM09V7</v>
          </cell>
          <cell r="L21" t="str">
            <v>Teerds, N.J.</v>
          </cell>
          <cell r="M21" t="str">
            <v>Nick</v>
          </cell>
          <cell r="N21">
            <v>37039</v>
          </cell>
          <cell r="Q21" t="str">
            <v>B2</v>
          </cell>
        </row>
        <row r="22">
          <cell r="A22" t="str">
            <v>Appelboom, L.(Logan)</v>
          </cell>
          <cell r="B22" t="str">
            <v>NKM15X4</v>
          </cell>
          <cell r="C22" t="str">
            <v>Appelboom, L.</v>
          </cell>
          <cell r="D22" t="str">
            <v>Logan</v>
          </cell>
          <cell r="E22">
            <v>36758</v>
          </cell>
          <cell r="H22" t="str">
            <v>B3</v>
          </cell>
          <cell r="J22" t="str">
            <v>Baars, L.A.(Luuk)</v>
          </cell>
          <cell r="K22" t="str">
            <v>NKN65B6</v>
          </cell>
          <cell r="L22" t="str">
            <v>Baars, L.A.</v>
          </cell>
          <cell r="M22" t="str">
            <v>Luuk</v>
          </cell>
          <cell r="N22">
            <v>36929</v>
          </cell>
          <cell r="Q22" t="str">
            <v>B3</v>
          </cell>
        </row>
        <row r="23">
          <cell r="A23" t="str">
            <v>Slotboom, A.(Amber)</v>
          </cell>
          <cell r="B23" t="str">
            <v>NKK88P0</v>
          </cell>
          <cell r="C23" t="str">
            <v>Slotboom, A.</v>
          </cell>
          <cell r="D23" t="str">
            <v>Amber</v>
          </cell>
          <cell r="E23">
            <v>37224</v>
          </cell>
          <cell r="H23" t="str">
            <v>B3</v>
          </cell>
          <cell r="J23" t="str">
            <v>Altena, J.D.(Jaron)</v>
          </cell>
          <cell r="K23" t="str">
            <v>NLL19Y9</v>
          </cell>
          <cell r="L23" t="str">
            <v>Altena, J.D.</v>
          </cell>
          <cell r="M23" t="str">
            <v>Jaron</v>
          </cell>
          <cell r="N23">
            <v>37170</v>
          </cell>
          <cell r="Q23" t="str">
            <v>B5</v>
          </cell>
        </row>
        <row r="24">
          <cell r="A24" t="str">
            <v>Wit, de N.M.T.(Nadia)</v>
          </cell>
          <cell r="B24" t="str">
            <v>NKQ14R3</v>
          </cell>
          <cell r="C24" t="str">
            <v>Wit, de N.M.T.</v>
          </cell>
          <cell r="D24" t="str">
            <v>Nadia</v>
          </cell>
          <cell r="E24">
            <v>37104</v>
          </cell>
          <cell r="H24" t="str">
            <v>B3</v>
          </cell>
          <cell r="J24" t="str">
            <v>Filius, D.(Dani)</v>
          </cell>
          <cell r="K24" t="str">
            <v>NKB62H7</v>
          </cell>
          <cell r="L24" t="str">
            <v>Filius, D.</v>
          </cell>
          <cell r="M24" t="str">
            <v>Dani</v>
          </cell>
          <cell r="N24">
            <v>37199</v>
          </cell>
          <cell r="Q24" t="str">
            <v>B5</v>
          </cell>
        </row>
        <row r="25">
          <cell r="A25" t="str">
            <v>Wit, de S.E.E.(Syrah)</v>
          </cell>
          <cell r="B25" t="str">
            <v>NKQ13Q3</v>
          </cell>
          <cell r="C25" t="str">
            <v>Wit, de S.E.E.</v>
          </cell>
          <cell r="D25" t="str">
            <v>Syrah</v>
          </cell>
          <cell r="E25">
            <v>37104</v>
          </cell>
          <cell r="H25" t="str">
            <v>B3</v>
          </cell>
          <cell r="J25" t="str">
            <v>Hendriks, N.(Niek)</v>
          </cell>
          <cell r="K25" t="str">
            <v>NJV32Y4</v>
          </cell>
          <cell r="L25" t="str">
            <v>Hendriks, N.</v>
          </cell>
          <cell r="M25" t="str">
            <v>Niek</v>
          </cell>
          <cell r="N25">
            <v>36397</v>
          </cell>
          <cell r="Q25" t="str">
            <v>Stopt</v>
          </cell>
        </row>
        <row r="26">
          <cell r="A26" t="str">
            <v>Adriaansen, I.K.S.(Isis)</v>
          </cell>
          <cell r="B26" t="str">
            <v>NLC20R9</v>
          </cell>
          <cell r="C26" t="str">
            <v>Adriaansen, I.K.S.</v>
          </cell>
          <cell r="D26" t="str">
            <v>Isis</v>
          </cell>
          <cell r="E26">
            <v>36801</v>
          </cell>
          <cell r="H26" t="str">
            <v>B4</v>
          </cell>
          <cell r="J26" t="str">
            <v>Bras, M.(Martijn)</v>
          </cell>
          <cell r="K26" t="str">
            <v>NJT90H7</v>
          </cell>
          <cell r="L26" t="str">
            <v>Bras, M.</v>
          </cell>
          <cell r="M26" t="str">
            <v>Martijn</v>
          </cell>
          <cell r="N26">
            <v>36278</v>
          </cell>
          <cell r="Q26"/>
        </row>
        <row r="27">
          <cell r="A27" t="str">
            <v>Dalen, van J.M.(Mirte)</v>
          </cell>
          <cell r="B27" t="str">
            <v>NLH59F2</v>
          </cell>
          <cell r="C27" t="str">
            <v>Dalen, van J.M.</v>
          </cell>
          <cell r="D27" t="str">
            <v>Mirte</v>
          </cell>
          <cell r="E27">
            <v>36757</v>
          </cell>
          <cell r="H27" t="str">
            <v>B4</v>
          </cell>
          <cell r="J27" t="str">
            <v>Trooijen, van D.(Danny)</v>
          </cell>
          <cell r="K27" t="str">
            <v>NJZ80M3</v>
          </cell>
          <cell r="L27" t="str">
            <v>Trooijen, van D.</v>
          </cell>
          <cell r="M27" t="str">
            <v>Danny</v>
          </cell>
          <cell r="N27">
            <v>36572</v>
          </cell>
          <cell r="Q27"/>
        </row>
        <row r="28">
          <cell r="A28" t="str">
            <v>Torn, E.(Esther)</v>
          </cell>
          <cell r="B28" t="str">
            <v>NLG57J3</v>
          </cell>
          <cell r="C28" t="str">
            <v>Torn, E.</v>
          </cell>
          <cell r="D28" t="str">
            <v>Esther</v>
          </cell>
          <cell r="E28">
            <v>36969</v>
          </cell>
          <cell r="H28" t="str">
            <v>B4</v>
          </cell>
          <cell r="J28" t="str">
            <v>Bras, N.J.(Niels)</v>
          </cell>
          <cell r="K28" t="str">
            <v>NKG59M3</v>
          </cell>
          <cell r="L28" t="str">
            <v>Bras, N.J.</v>
          </cell>
          <cell r="M28" t="str">
            <v>Niels</v>
          </cell>
          <cell r="N28">
            <v>37292</v>
          </cell>
          <cell r="Q28" t="str">
            <v>B1</v>
          </cell>
        </row>
        <row r="29">
          <cell r="A29" t="str">
            <v>Wijngaarden, van D.N.(Dagmar)</v>
          </cell>
          <cell r="B29" t="str">
            <v>NKR24N1</v>
          </cell>
          <cell r="C29" t="str">
            <v>Wijngaarden, van D.N.</v>
          </cell>
          <cell r="D29" t="str">
            <v>Dagmar</v>
          </cell>
          <cell r="E29">
            <v>37177</v>
          </cell>
          <cell r="H29" t="str">
            <v>B4</v>
          </cell>
          <cell r="J29" t="str">
            <v>Dalen, van D.J.(Daan)</v>
          </cell>
          <cell r="K29" t="str">
            <v>NKG18P1</v>
          </cell>
          <cell r="L29" t="str">
            <v>Dalen, van D.J.</v>
          </cell>
          <cell r="M29" t="str">
            <v>Daan</v>
          </cell>
          <cell r="N29">
            <v>37432</v>
          </cell>
          <cell r="Q29" t="str">
            <v>B3</v>
          </cell>
        </row>
        <row r="30">
          <cell r="A30" t="str">
            <v>Vasiljev, A.(Aljona)</v>
          </cell>
          <cell r="B30" t="str">
            <v>NLD80Z6</v>
          </cell>
          <cell r="C30" t="str">
            <v>Vasiljev, A.</v>
          </cell>
          <cell r="D30" t="str">
            <v>Aljona</v>
          </cell>
          <cell r="E30">
            <v>37122</v>
          </cell>
          <cell r="H30" t="str">
            <v>B5</v>
          </cell>
          <cell r="J30" t="str">
            <v>Dreef, M.G.(Merijn)</v>
          </cell>
          <cell r="K30" t="str">
            <v>NLJ31L2</v>
          </cell>
          <cell r="L30" t="str">
            <v>Dreef, M.G.</v>
          </cell>
          <cell r="M30" t="str">
            <v>Merijn</v>
          </cell>
          <cell r="N30">
            <v>37498</v>
          </cell>
          <cell r="Q30" t="str">
            <v>B5</v>
          </cell>
        </row>
        <row r="31">
          <cell r="A31" t="str">
            <v>Hooijdonk, van J.(Jana)</v>
          </cell>
          <cell r="B31" t="str">
            <v>NKR17B1</v>
          </cell>
          <cell r="C31" t="str">
            <v>Hooijdonk, van J.</v>
          </cell>
          <cell r="D31" t="str">
            <v>Jana</v>
          </cell>
          <cell r="E31">
            <v>36397</v>
          </cell>
          <cell r="H31" t="str">
            <v>Stopt</v>
          </cell>
          <cell r="J31" t="str">
            <v>Herbold, D.J.(Dylan)</v>
          </cell>
          <cell r="K31" t="str">
            <v>NLD36N5</v>
          </cell>
          <cell r="L31" t="str">
            <v>Herbold, D.J.</v>
          </cell>
          <cell r="M31" t="str">
            <v>Dylan</v>
          </cell>
          <cell r="N31">
            <v>37524</v>
          </cell>
          <cell r="Q31" t="str">
            <v>B5</v>
          </cell>
        </row>
        <row r="32">
          <cell r="A32" t="str">
            <v>Klingens, I.(Iris)</v>
          </cell>
          <cell r="B32" t="str">
            <v>NKW50V5</v>
          </cell>
          <cell r="C32" t="str">
            <v>Klingens, I.</v>
          </cell>
          <cell r="D32" t="str">
            <v>Iris</v>
          </cell>
          <cell r="E32">
            <v>37176</v>
          </cell>
          <cell r="H32" t="str">
            <v>Stopt</v>
          </cell>
          <cell r="J32" t="str">
            <v>Hoeve, ten M.(Milan)</v>
          </cell>
          <cell r="K32" t="str">
            <v>NKR24P5</v>
          </cell>
          <cell r="L32" t="str">
            <v>Hoeve, ten M.</v>
          </cell>
          <cell r="M32" t="str">
            <v>Milan</v>
          </cell>
          <cell r="N32">
            <v>37897</v>
          </cell>
          <cell r="Q32" t="str">
            <v>C1</v>
          </cell>
        </row>
        <row r="33">
          <cell r="A33" t="str">
            <v>Rijn, van S.(Sheila)</v>
          </cell>
          <cell r="B33" t="str">
            <v>NLN68N6</v>
          </cell>
          <cell r="C33" t="str">
            <v>Rijn, van S.</v>
          </cell>
          <cell r="D33" t="str">
            <v>Sheila</v>
          </cell>
          <cell r="E33">
            <v>36709</v>
          </cell>
          <cell r="H33" t="str">
            <v>Stopt</v>
          </cell>
          <cell r="J33" t="str">
            <v>Hooijdonk, van O.(Otte)</v>
          </cell>
          <cell r="K33" t="str">
            <v>NKR57N5</v>
          </cell>
          <cell r="L33" t="str">
            <v>Hooijdonk, van O.</v>
          </cell>
          <cell r="M33" t="str">
            <v>Otte</v>
          </cell>
          <cell r="N33">
            <v>37715</v>
          </cell>
          <cell r="Q33" t="str">
            <v>C1</v>
          </cell>
        </row>
        <row r="34">
          <cell r="A34" t="str">
            <v>Veth, S.(Sanne)</v>
          </cell>
          <cell r="B34" t="str">
            <v>NKD67C9</v>
          </cell>
          <cell r="C34" t="str">
            <v>Veth, S.</v>
          </cell>
          <cell r="D34" t="str">
            <v>Sanne</v>
          </cell>
          <cell r="E34">
            <v>36405</v>
          </cell>
          <cell r="H34" t="str">
            <v>Stopt</v>
          </cell>
          <cell r="J34" t="str">
            <v>Oppe, M.(Mees)</v>
          </cell>
          <cell r="K34" t="str">
            <v>NKJ95G2</v>
          </cell>
          <cell r="L34" t="str">
            <v>Oppe, M.</v>
          </cell>
          <cell r="M34" t="str">
            <v>Mees</v>
          </cell>
          <cell r="N34">
            <v>37683</v>
          </cell>
          <cell r="Q34" t="str">
            <v>C1</v>
          </cell>
        </row>
        <row r="35">
          <cell r="A35" t="str">
            <v>Klaveren, van R.(Romy)</v>
          </cell>
          <cell r="B35" t="str">
            <v>NKP42S8</v>
          </cell>
          <cell r="C35" t="str">
            <v>Klaveren, van R.</v>
          </cell>
          <cell r="D35" t="str">
            <v>Romy</v>
          </cell>
          <cell r="E35">
            <v>37590</v>
          </cell>
          <cell r="H35" t="str">
            <v>B2</v>
          </cell>
          <cell r="J35" t="str">
            <v>Dalen, van F.G.(Freek)</v>
          </cell>
          <cell r="K35" t="str">
            <v>NKN65J2</v>
          </cell>
          <cell r="L35" t="str">
            <v>Dalen, van F.G.</v>
          </cell>
          <cell r="M35" t="str">
            <v>Freek</v>
          </cell>
          <cell r="N35">
            <v>37823</v>
          </cell>
          <cell r="Q35" t="str">
            <v>C2</v>
          </cell>
        </row>
        <row r="36">
          <cell r="A36" t="str">
            <v>Oppe, M.(Milou)</v>
          </cell>
          <cell r="B36" t="str">
            <v>NKJ95L7</v>
          </cell>
          <cell r="C36" t="str">
            <v>Oppe, M.</v>
          </cell>
          <cell r="D36" t="str">
            <v>Milou</v>
          </cell>
          <cell r="E36">
            <v>37307</v>
          </cell>
          <cell r="H36" t="str">
            <v>B2</v>
          </cell>
          <cell r="J36" t="str">
            <v>Seevinck, T.(Tim)</v>
          </cell>
          <cell r="K36" t="str">
            <v>NKR20M2</v>
          </cell>
          <cell r="L36" t="str">
            <v>Seevinck, T.</v>
          </cell>
          <cell r="M36" t="str">
            <v>Tim</v>
          </cell>
          <cell r="N36">
            <v>37932</v>
          </cell>
          <cell r="Q36" t="str">
            <v>C2</v>
          </cell>
        </row>
        <row r="37">
          <cell r="A37" t="str">
            <v>Auerbach, F.(Femke)</v>
          </cell>
          <cell r="B37" t="str">
            <v>NKJ95H9</v>
          </cell>
          <cell r="C37" t="str">
            <v>Auerbach, F.</v>
          </cell>
          <cell r="D37" t="str">
            <v>Femke</v>
          </cell>
          <cell r="E37">
            <v>37481</v>
          </cell>
          <cell r="H37" t="str">
            <v>B3</v>
          </cell>
          <cell r="J37" t="str">
            <v>Steen Redeker, D.(David)</v>
          </cell>
          <cell r="K37" t="str">
            <v>NLB77H4</v>
          </cell>
          <cell r="L37" t="str">
            <v>Steen Redeker, D.</v>
          </cell>
          <cell r="M37" t="str">
            <v>David</v>
          </cell>
          <cell r="N37">
            <v>37755</v>
          </cell>
          <cell r="Q37" t="str">
            <v>C2</v>
          </cell>
        </row>
        <row r="38">
          <cell r="A38" t="str">
            <v>Koote, L.D.(Laura)</v>
          </cell>
          <cell r="B38" t="str">
            <v>NKC46T4</v>
          </cell>
          <cell r="C38" t="str">
            <v>Koote, L.D.</v>
          </cell>
          <cell r="D38" t="str">
            <v>Laura</v>
          </cell>
          <cell r="E38">
            <v>37269</v>
          </cell>
          <cell r="H38" t="str">
            <v>B3</v>
          </cell>
          <cell r="J38" t="str">
            <v>Uijl, den D.(Daniel)</v>
          </cell>
          <cell r="K38" t="str">
            <v>NKY88T2</v>
          </cell>
          <cell r="L38" t="str">
            <v>Uijl, den D.</v>
          </cell>
          <cell r="M38" t="str">
            <v>Daniel</v>
          </cell>
          <cell r="N38">
            <v>37832</v>
          </cell>
          <cell r="Q38" t="str">
            <v>C2</v>
          </cell>
        </row>
        <row r="39">
          <cell r="A39" t="str">
            <v>Los, N.E.(Noa)</v>
          </cell>
          <cell r="B39" t="str">
            <v>NKJ95K0</v>
          </cell>
          <cell r="C39" t="str">
            <v>Los, N.E.</v>
          </cell>
          <cell r="D39" t="str">
            <v>Noa</v>
          </cell>
          <cell r="E39">
            <v>37323</v>
          </cell>
          <cell r="H39" t="str">
            <v>B3</v>
          </cell>
          <cell r="J39" t="str">
            <v>Boon, T.(Thijs)</v>
          </cell>
          <cell r="K39" t="str">
            <v>NKW50C2</v>
          </cell>
          <cell r="L39" t="str">
            <v>Boon, T.</v>
          </cell>
          <cell r="M39" t="str">
            <v>Thijs</v>
          </cell>
          <cell r="N39">
            <v>37960</v>
          </cell>
          <cell r="Q39" t="str">
            <v>C3</v>
          </cell>
        </row>
        <row r="40">
          <cell r="A40" t="str">
            <v>Kok, J.N.(Jente)</v>
          </cell>
          <cell r="B40" t="str">
            <v>NKL60L9</v>
          </cell>
          <cell r="C40" t="str">
            <v>Kok, J.N.</v>
          </cell>
          <cell r="D40" t="str">
            <v>Jente</v>
          </cell>
          <cell r="E40">
            <v>37387</v>
          </cell>
          <cell r="H40" t="str">
            <v>B4</v>
          </cell>
          <cell r="J40" t="str">
            <v>Fasbender, T.(Tijmen)</v>
          </cell>
          <cell r="K40" t="str">
            <v>NKV95Q4</v>
          </cell>
          <cell r="L40" t="str">
            <v>Fasbender, T.</v>
          </cell>
          <cell r="M40" t="str">
            <v>Tijmen</v>
          </cell>
          <cell r="N40">
            <v>37810</v>
          </cell>
          <cell r="Q40" t="str">
            <v>C3</v>
          </cell>
        </row>
        <row r="41">
          <cell r="A41" t="str">
            <v>Mol, I.(Iris)</v>
          </cell>
          <cell r="B41" t="str">
            <v>NKK27F7</v>
          </cell>
          <cell r="C41" t="str">
            <v>Mol, I.</v>
          </cell>
          <cell r="D41" t="str">
            <v>Iris</v>
          </cell>
          <cell r="E41">
            <v>37516</v>
          </cell>
          <cell r="H41" t="str">
            <v>B4</v>
          </cell>
          <cell r="J41" t="str">
            <v>Kuijper, D.V.(David)</v>
          </cell>
          <cell r="K41" t="str">
            <v>NKW21H5</v>
          </cell>
          <cell r="L41" t="str">
            <v>Kuijper, D.V.</v>
          </cell>
          <cell r="M41" t="str">
            <v>David</v>
          </cell>
          <cell r="N41">
            <v>37971</v>
          </cell>
          <cell r="Q41" t="str">
            <v>C3</v>
          </cell>
        </row>
        <row r="42">
          <cell r="A42" t="str">
            <v>Oostlander, E.P.(Elise)</v>
          </cell>
          <cell r="B42" t="str">
            <v>NKT05Q7</v>
          </cell>
          <cell r="C42" t="str">
            <v>Oostlander, E.P.</v>
          </cell>
          <cell r="D42" t="str">
            <v>Elise</v>
          </cell>
          <cell r="E42">
            <v>37494</v>
          </cell>
          <cell r="H42" t="str">
            <v>B4</v>
          </cell>
          <cell r="J42" t="str">
            <v>Vlaming, de J.C.(Jens)</v>
          </cell>
          <cell r="K42" t="str">
            <v>NKW30G0</v>
          </cell>
          <cell r="L42" t="str">
            <v>Vlaming, de J.C.</v>
          </cell>
          <cell r="M42" t="str">
            <v>Jens</v>
          </cell>
          <cell r="N42">
            <v>37974</v>
          </cell>
          <cell r="Q42" t="str">
            <v>C4</v>
          </cell>
        </row>
        <row r="43">
          <cell r="A43" t="str">
            <v>Pierse, A.W.(Anniek)</v>
          </cell>
          <cell r="B43" t="str">
            <v>NKJ29C1</v>
          </cell>
          <cell r="C43" t="str">
            <v>Pierse, A.W.</v>
          </cell>
          <cell r="D43" t="str">
            <v>Anniek</v>
          </cell>
          <cell r="E43">
            <v>37324</v>
          </cell>
          <cell r="H43" t="str">
            <v>B4</v>
          </cell>
          <cell r="J43" t="str">
            <v>Schindler, R.(Rick)</v>
          </cell>
          <cell r="K43" t="str">
            <v>NKV67F8</v>
          </cell>
          <cell r="L43" t="str">
            <v>Schindler, R.</v>
          </cell>
          <cell r="M43" t="str">
            <v>Rick</v>
          </cell>
          <cell r="N43">
            <v>37453</v>
          </cell>
          <cell r="Q43" t="str">
            <v>C5</v>
          </cell>
        </row>
        <row r="44">
          <cell r="A44" t="str">
            <v>Reus, de A.M.(Anouk)</v>
          </cell>
          <cell r="B44" t="str">
            <v>NKG18Q8</v>
          </cell>
          <cell r="C44" t="str">
            <v>Reus, de A.M.</v>
          </cell>
          <cell r="D44" t="str">
            <v>Anouk</v>
          </cell>
          <cell r="E44">
            <v>37466</v>
          </cell>
          <cell r="H44" t="str">
            <v>B4</v>
          </cell>
          <cell r="J44" t="str">
            <v>Wijgaart, van de R.L.H.(Rick)</v>
          </cell>
          <cell r="K44" t="str">
            <v>NLR23F9</v>
          </cell>
          <cell r="L44" t="str">
            <v>Wijgaart, van de R.L.H.</v>
          </cell>
          <cell r="M44" t="str">
            <v>Rick</v>
          </cell>
          <cell r="N44">
            <v>37909</v>
          </cell>
          <cell r="Q44" t="str">
            <v>C5</v>
          </cell>
        </row>
        <row r="45">
          <cell r="A45" t="str">
            <v>Wesenick, L.(Luca)</v>
          </cell>
          <cell r="B45" t="str">
            <v>NKG59P4</v>
          </cell>
          <cell r="C45" t="str">
            <v>Wesenick, L.</v>
          </cell>
          <cell r="D45" t="str">
            <v>Luca</v>
          </cell>
          <cell r="E45">
            <v>37337</v>
          </cell>
          <cell r="H45" t="str">
            <v>Stopt</v>
          </cell>
          <cell r="J45" t="str">
            <v>Jong, de J.J.(Joël)</v>
          </cell>
          <cell r="K45" t="str">
            <v>NKV48H5</v>
          </cell>
          <cell r="L45" t="str">
            <v>Jong, de J.J.</v>
          </cell>
          <cell r="M45" t="str">
            <v>Joël</v>
          </cell>
          <cell r="N45">
            <v>37973</v>
          </cell>
          <cell r="Q45" t="str">
            <v>Stopt</v>
          </cell>
        </row>
        <row r="46">
          <cell r="A46" t="str">
            <v>Canli, D.(Dilan)</v>
          </cell>
          <cell r="B46" t="str">
            <v>NLN68P0</v>
          </cell>
          <cell r="C46" t="str">
            <v>Canli, D.</v>
          </cell>
          <cell r="D46" t="str">
            <v>Dilan</v>
          </cell>
          <cell r="E46">
            <v>37333</v>
          </cell>
          <cell r="H46" t="str">
            <v>B5</v>
          </cell>
          <cell r="J46" t="str">
            <v>Vasiljev, V.(Viktor)</v>
          </cell>
          <cell r="K46" t="str">
            <v>NLM86W2</v>
          </cell>
          <cell r="L46" t="str">
            <v>Vasiljev, V.</v>
          </cell>
          <cell r="M46" t="str">
            <v>Viktor</v>
          </cell>
          <cell r="N46">
            <v>37849</v>
          </cell>
          <cell r="Q46" t="str">
            <v>Stopt</v>
          </cell>
        </row>
        <row r="47">
          <cell r="A47" t="str">
            <v>Dubbeld, S.(Sanne)</v>
          </cell>
          <cell r="B47" t="str">
            <v>NLS08G2</v>
          </cell>
          <cell r="C47" t="str">
            <v>Dubbeld, S.</v>
          </cell>
          <cell r="D47" t="str">
            <v>Sanne</v>
          </cell>
          <cell r="E47">
            <v>37295</v>
          </cell>
          <cell r="H47" t="str">
            <v>B5</v>
          </cell>
          <cell r="J47" t="str">
            <v>Trooijen, van D.(Damien)</v>
          </cell>
          <cell r="K47" t="str">
            <v>NJZ80J2</v>
          </cell>
          <cell r="L47" t="str">
            <v>Trooijen, van D.</v>
          </cell>
          <cell r="M47" t="str">
            <v>Damien</v>
          </cell>
          <cell r="N47">
            <v>37267</v>
          </cell>
          <cell r="Q47"/>
        </row>
        <row r="48">
          <cell r="A48" t="str">
            <v>Koornneef, C.J.(Lotte)</v>
          </cell>
          <cell r="B48" t="str">
            <v>NKN64T9</v>
          </cell>
          <cell r="C48" t="str">
            <v>Koornneef, C.J.</v>
          </cell>
          <cell r="D48" t="str">
            <v>Lotte</v>
          </cell>
          <cell r="E48">
            <v>37673</v>
          </cell>
          <cell r="H48" t="str">
            <v>B5</v>
          </cell>
          <cell r="J48" t="str">
            <v>Vinken, J.J.A.(Jesper)</v>
          </cell>
          <cell r="K48" t="str">
            <v>NKG15N8</v>
          </cell>
          <cell r="L48" t="str">
            <v>Vinken, J.J.A.</v>
          </cell>
          <cell r="M48" t="str">
            <v>Jesper</v>
          </cell>
          <cell r="N48">
            <v>38128</v>
          </cell>
          <cell r="Q48" t="str">
            <v>C1</v>
          </cell>
        </row>
        <row r="49">
          <cell r="A49" t="str">
            <v>Verhagen, F.R.I.(Femke)</v>
          </cell>
          <cell r="B49" t="str">
            <v>NKX56V4</v>
          </cell>
          <cell r="C49" t="str">
            <v>Verhagen, F.R.I.</v>
          </cell>
          <cell r="D49" t="str">
            <v>Femke</v>
          </cell>
          <cell r="E49">
            <v>37292</v>
          </cell>
          <cell r="H49" t="str">
            <v>B5</v>
          </cell>
          <cell r="J49" t="str">
            <v>Alberts, S.(Sem)</v>
          </cell>
          <cell r="K49" t="str">
            <v>NKT15G2</v>
          </cell>
          <cell r="L49" t="str">
            <v>Alberts, S.</v>
          </cell>
          <cell r="M49" t="str">
            <v>Sem</v>
          </cell>
          <cell r="N49">
            <v>38150</v>
          </cell>
          <cell r="Q49" t="str">
            <v>C2</v>
          </cell>
        </row>
        <row r="50">
          <cell r="A50" t="str">
            <v>Brouwer, N.(Nynke)</v>
          </cell>
          <cell r="B50" t="str">
            <v>NKJ95M4</v>
          </cell>
          <cell r="C50" t="str">
            <v>Brouwer, N.</v>
          </cell>
          <cell r="D50" t="str">
            <v>Nynke</v>
          </cell>
          <cell r="E50">
            <v>37624</v>
          </cell>
          <cell r="H50" t="str">
            <v>C1</v>
          </cell>
          <cell r="J50" t="str">
            <v>Dreef, N.J.(Norbert)</v>
          </cell>
          <cell r="K50" t="str">
            <v>NKW24B2</v>
          </cell>
          <cell r="L50" t="str">
            <v>Dreef, N.J.</v>
          </cell>
          <cell r="M50" t="str">
            <v>Norbert</v>
          </cell>
          <cell r="N50">
            <v>38034</v>
          </cell>
          <cell r="Q50" t="str">
            <v>C3</v>
          </cell>
        </row>
        <row r="51">
          <cell r="A51" t="str">
            <v>Horst, ter B.A.(Bridget)</v>
          </cell>
          <cell r="B51" t="str">
            <v>NKR88F7</v>
          </cell>
          <cell r="C51" t="str">
            <v>Horst, ter B.A.</v>
          </cell>
          <cell r="D51" t="str">
            <v>Bridget</v>
          </cell>
          <cell r="E51">
            <v>37771</v>
          </cell>
          <cell r="H51" t="str">
            <v>C1</v>
          </cell>
          <cell r="J51" t="str">
            <v>Timmer, J.(Jordan)</v>
          </cell>
          <cell r="K51" t="str">
            <v>NLL37Q7</v>
          </cell>
          <cell r="L51" t="str">
            <v>Timmer, J.</v>
          </cell>
          <cell r="M51" t="str">
            <v>Jordan</v>
          </cell>
          <cell r="N51">
            <v>38010</v>
          </cell>
          <cell r="Q51" t="str">
            <v>C4</v>
          </cell>
        </row>
        <row r="52">
          <cell r="A52" t="str">
            <v>Volker, L.A.(Lisa)</v>
          </cell>
          <cell r="B52" t="str">
            <v>NKW49Y8</v>
          </cell>
          <cell r="C52" t="str">
            <v>Volker, L.A.</v>
          </cell>
          <cell r="D52" t="str">
            <v>Lisa</v>
          </cell>
          <cell r="E52">
            <v>37712</v>
          </cell>
          <cell r="H52" t="str">
            <v>C1</v>
          </cell>
          <cell r="J52" t="str">
            <v>Bantis, J.(Jorgos)</v>
          </cell>
          <cell r="K52" t="str">
            <v>NKX06P7</v>
          </cell>
          <cell r="L52" t="str">
            <v>Bantis, J.</v>
          </cell>
          <cell r="M52" t="str">
            <v>Jorgos</v>
          </cell>
          <cell r="N52">
            <v>38257</v>
          </cell>
          <cell r="Q52" t="str">
            <v>C5</v>
          </cell>
        </row>
        <row r="53">
          <cell r="A53" t="str">
            <v>Dielessen, A.(Amy)</v>
          </cell>
          <cell r="B53" t="str">
            <v>NKW21K6</v>
          </cell>
          <cell r="C53" t="str">
            <v>Dielessen, A.</v>
          </cell>
          <cell r="D53" t="str">
            <v>Amy</v>
          </cell>
          <cell r="E53">
            <v>37858</v>
          </cell>
          <cell r="H53" t="str">
            <v>C2</v>
          </cell>
          <cell r="J53" t="str">
            <v>Barneveld, van R.(Rob)</v>
          </cell>
          <cell r="K53" t="str">
            <v>NLG57K0</v>
          </cell>
          <cell r="L53" t="str">
            <v>Barneveld, van R.</v>
          </cell>
          <cell r="M53" t="str">
            <v>Rob</v>
          </cell>
          <cell r="N53">
            <v>37992</v>
          </cell>
          <cell r="Q53" t="str">
            <v>C5</v>
          </cell>
        </row>
        <row r="54">
          <cell r="A54" t="str">
            <v>Fernhout, L.(Loïs)</v>
          </cell>
          <cell r="B54" t="str">
            <v>NKK27B9</v>
          </cell>
          <cell r="C54" t="str">
            <v>Fernhout, L.</v>
          </cell>
          <cell r="D54" t="str">
            <v>Loïs</v>
          </cell>
          <cell r="E54">
            <v>37684</v>
          </cell>
          <cell r="H54" t="str">
            <v>C2</v>
          </cell>
          <cell r="J54" t="str">
            <v>Lange, M.J.D.(Mathijs)</v>
          </cell>
          <cell r="K54" t="str">
            <v>NKW50D9</v>
          </cell>
          <cell r="L54" t="str">
            <v>Lange, M.J.D.</v>
          </cell>
          <cell r="M54" t="str">
            <v>Mathijs</v>
          </cell>
          <cell r="N54">
            <v>38169</v>
          </cell>
          <cell r="Q54" t="str">
            <v>C5</v>
          </cell>
        </row>
        <row r="55">
          <cell r="A55" t="str">
            <v>Teerds, E.L.(Eva)</v>
          </cell>
          <cell r="B55" t="str">
            <v>NKG18N7</v>
          </cell>
          <cell r="C55" t="str">
            <v>Teerds, E.L.</v>
          </cell>
          <cell r="D55" t="str">
            <v>Eva</v>
          </cell>
          <cell r="E55">
            <v>37551</v>
          </cell>
          <cell r="H55" t="str">
            <v>C2</v>
          </cell>
          <cell r="J55" t="str">
            <v>Verhagen, L.A.J.(Laurens)</v>
          </cell>
          <cell r="K55" t="str">
            <v>NKX56T0</v>
          </cell>
          <cell r="L55" t="str">
            <v>Verhagen, L.A.J.</v>
          </cell>
          <cell r="M55" t="str">
            <v>Laurens</v>
          </cell>
          <cell r="N55">
            <v>38090</v>
          </cell>
          <cell r="Q55" t="str">
            <v>C5</v>
          </cell>
        </row>
        <row r="56">
          <cell r="A56" t="str">
            <v>Klink, S.L.(Suzanne)</v>
          </cell>
          <cell r="B56" t="str">
            <v>NKR09G7</v>
          </cell>
          <cell r="C56" t="str">
            <v>Klink, S.L.</v>
          </cell>
          <cell r="D56" t="str">
            <v>Suzanne</v>
          </cell>
          <cell r="E56">
            <v>37801</v>
          </cell>
          <cell r="H56" t="str">
            <v>C3</v>
          </cell>
          <cell r="J56" t="str">
            <v>Visser, R.J.(Robert)</v>
          </cell>
          <cell r="K56" t="str">
            <v>NLS37J5</v>
          </cell>
          <cell r="L56" t="str">
            <v>Visser, R.J.</v>
          </cell>
          <cell r="M56" t="str">
            <v>Robert</v>
          </cell>
          <cell r="N56">
            <v>38135</v>
          </cell>
          <cell r="Q56" t="str">
            <v>C5</v>
          </cell>
        </row>
        <row r="57">
          <cell r="A57" t="str">
            <v>Seijner, F.C.(Fabiënne)</v>
          </cell>
          <cell r="B57" t="str">
            <v>NKS62Q7</v>
          </cell>
          <cell r="C57" t="str">
            <v>Seijner, F.C.</v>
          </cell>
          <cell r="D57" t="str">
            <v>Fabiënne</v>
          </cell>
          <cell r="E57">
            <v>37673</v>
          </cell>
          <cell r="H57" t="str">
            <v>C3</v>
          </cell>
          <cell r="J57" t="str">
            <v>Koster, S.(Senne)</v>
          </cell>
          <cell r="K57" t="str">
            <v>NLG59G8</v>
          </cell>
          <cell r="L57" t="str">
            <v>Koster, S.</v>
          </cell>
          <cell r="M57" t="str">
            <v>Senne</v>
          </cell>
          <cell r="N57">
            <v>38657</v>
          </cell>
          <cell r="Q57" t="str">
            <v>D1</v>
          </cell>
        </row>
        <row r="58">
          <cell r="A58" t="str">
            <v>Spijk, van J.M.(Jikke)</v>
          </cell>
          <cell r="B58" t="str">
            <v>NKR57P9</v>
          </cell>
          <cell r="C58" t="str">
            <v>Spijk, van J.M.</v>
          </cell>
          <cell r="D58" t="str">
            <v>Jikke</v>
          </cell>
          <cell r="E58">
            <v>37868</v>
          </cell>
          <cell r="H58" t="str">
            <v>C3</v>
          </cell>
          <cell r="J58" t="str">
            <v>Lohuis, J.A.(Jens)</v>
          </cell>
          <cell r="K58" t="str">
            <v>NLG59F1</v>
          </cell>
          <cell r="L58" t="str">
            <v>Lohuis, J.A.</v>
          </cell>
          <cell r="M58" t="str">
            <v>Jens</v>
          </cell>
          <cell r="N58">
            <v>38578</v>
          </cell>
          <cell r="Q58" t="str">
            <v>D1</v>
          </cell>
        </row>
        <row r="59">
          <cell r="A59" t="str">
            <v>Steenhuis, T.(Tjarda)</v>
          </cell>
          <cell r="B59" t="str">
            <v>NKZ72Z2</v>
          </cell>
          <cell r="C59" t="str">
            <v>Steenhuis, T.</v>
          </cell>
          <cell r="D59" t="str">
            <v>Tjarda</v>
          </cell>
          <cell r="E59">
            <v>37743</v>
          </cell>
          <cell r="H59" t="str">
            <v>C3</v>
          </cell>
          <cell r="J59" t="str">
            <v>Minkelis, van de J.W.(Jonathan)</v>
          </cell>
          <cell r="K59" t="str">
            <v>NKW21L3</v>
          </cell>
          <cell r="L59" t="str">
            <v>Minkelis, van de J.W.</v>
          </cell>
          <cell r="M59" t="str">
            <v>Jonathan</v>
          </cell>
          <cell r="N59">
            <v>38317</v>
          </cell>
          <cell r="Q59" t="str">
            <v>D1</v>
          </cell>
        </row>
        <row r="60">
          <cell r="A60" t="str">
            <v>Valk, M.E.(Marlies)</v>
          </cell>
          <cell r="B60" t="str">
            <v>NKK27G4</v>
          </cell>
          <cell r="C60" t="str">
            <v>Valk, M.E.</v>
          </cell>
          <cell r="D60" t="str">
            <v>Marlies</v>
          </cell>
          <cell r="E60">
            <v>37702</v>
          </cell>
          <cell r="H60" t="str">
            <v>C3</v>
          </cell>
          <cell r="J60" t="str">
            <v>Koornneef, W.J.(Wouter)</v>
          </cell>
          <cell r="K60" t="str">
            <v>NLB71F2</v>
          </cell>
          <cell r="L60" t="str">
            <v>Koornneef, W.J.</v>
          </cell>
          <cell r="M60" t="str">
            <v>Wouter</v>
          </cell>
          <cell r="N60">
            <v>38517</v>
          </cell>
          <cell r="Q60" t="str">
            <v>D2</v>
          </cell>
        </row>
        <row r="61">
          <cell r="A61" t="str">
            <v>Ardon, S.A.(Annelie)</v>
          </cell>
          <cell r="B61" t="str">
            <v>NKX97P5</v>
          </cell>
          <cell r="C61" t="str">
            <v>Ardon, S.A.</v>
          </cell>
          <cell r="D61" t="str">
            <v>Annelie</v>
          </cell>
          <cell r="E61">
            <v>37669</v>
          </cell>
          <cell r="H61" t="str">
            <v>C4</v>
          </cell>
          <cell r="J61" t="str">
            <v>Vegt, van der L.(Laurens)</v>
          </cell>
          <cell r="K61" t="str">
            <v>NLM94J0</v>
          </cell>
          <cell r="L61" t="str">
            <v>Vegt, van der L.</v>
          </cell>
          <cell r="M61" t="str">
            <v>Laurens</v>
          </cell>
          <cell r="N61">
            <v>38716</v>
          </cell>
          <cell r="Q61" t="str">
            <v>D2</v>
          </cell>
        </row>
        <row r="62">
          <cell r="A62" t="str">
            <v>Friebel, A.(Angela)</v>
          </cell>
          <cell r="B62" t="str">
            <v>NLB70X5</v>
          </cell>
          <cell r="C62" t="str">
            <v>Friebel, A.</v>
          </cell>
          <cell r="D62" t="str">
            <v>Angela</v>
          </cell>
          <cell r="E62">
            <v>37541</v>
          </cell>
          <cell r="H62" t="str">
            <v>C4</v>
          </cell>
          <cell r="J62" t="str">
            <v>Geffen, van A.(Arend)</v>
          </cell>
          <cell r="K62" t="str">
            <v>NKW50B5</v>
          </cell>
          <cell r="L62" t="str">
            <v>Geffen, van A.</v>
          </cell>
          <cell r="M62" t="str">
            <v>Arend</v>
          </cell>
          <cell r="N62">
            <v>38487</v>
          </cell>
          <cell r="Q62" t="str">
            <v>D3</v>
          </cell>
        </row>
        <row r="63">
          <cell r="A63" t="str">
            <v>Klerk, de A.M.L(Ayda)</v>
          </cell>
          <cell r="B63" t="str">
            <v>NLD55M5</v>
          </cell>
          <cell r="C63" t="str">
            <v>Klerk, de A.M.L</v>
          </cell>
          <cell r="D63" t="str">
            <v>Ayda</v>
          </cell>
          <cell r="E63">
            <v>37720</v>
          </cell>
          <cell r="H63" t="str">
            <v>C4</v>
          </cell>
          <cell r="J63" t="str">
            <v>Meijer, J.H.(Joeke)</v>
          </cell>
          <cell r="K63" t="str">
            <v>NLB70Y2</v>
          </cell>
          <cell r="L63" t="str">
            <v>Meijer, J.H.</v>
          </cell>
          <cell r="M63" t="str">
            <v>Joeke</v>
          </cell>
          <cell r="N63">
            <v>38617</v>
          </cell>
          <cell r="Q63" t="str">
            <v>D3</v>
          </cell>
        </row>
        <row r="64">
          <cell r="A64" t="str">
            <v>Kloot, E.I.(Elin)</v>
          </cell>
          <cell r="B64" t="str">
            <v>NKW49Z5</v>
          </cell>
          <cell r="C64" t="str">
            <v>Kloot, E.I.</v>
          </cell>
          <cell r="D64" t="str">
            <v>Elin</v>
          </cell>
          <cell r="E64">
            <v>37956</v>
          </cell>
          <cell r="H64" t="str">
            <v>C4</v>
          </cell>
          <cell r="J64" t="str">
            <v>Everaarts, J.D.(Jesse)</v>
          </cell>
          <cell r="K64" t="str">
            <v>NLC07T4</v>
          </cell>
          <cell r="L64" t="str">
            <v>Everaarts, J.D.</v>
          </cell>
          <cell r="M64" t="str">
            <v>Jesse</v>
          </cell>
          <cell r="N64">
            <v>38346</v>
          </cell>
          <cell r="Q64" t="str">
            <v>D4</v>
          </cell>
        </row>
        <row r="65">
          <cell r="A65" t="str">
            <v>Taal, L.(Lisa)</v>
          </cell>
          <cell r="B65" t="str">
            <v>NLD26P4</v>
          </cell>
          <cell r="C65" t="str">
            <v>Taal, L.</v>
          </cell>
          <cell r="D65" t="str">
            <v>Lisa</v>
          </cell>
          <cell r="E65">
            <v>37931</v>
          </cell>
          <cell r="H65" t="str">
            <v>C5</v>
          </cell>
          <cell r="J65" t="str">
            <v>IJben, C.(Chris)</v>
          </cell>
          <cell r="K65" t="str">
            <v>NLJ47N9</v>
          </cell>
          <cell r="L65" t="str">
            <v>IJben, C.</v>
          </cell>
          <cell r="M65" t="str">
            <v>Chris</v>
          </cell>
          <cell r="N65">
            <v>38519</v>
          </cell>
          <cell r="Q65" t="str">
            <v>D4</v>
          </cell>
        </row>
        <row r="66">
          <cell r="A66" t="str">
            <v>Oppe, C.L.(Carmen)</v>
          </cell>
          <cell r="B66" t="str">
            <v>NKJ95J3</v>
          </cell>
          <cell r="C66" t="str">
            <v>Oppe, C.L.</v>
          </cell>
          <cell r="D66" t="str">
            <v>Carmen</v>
          </cell>
          <cell r="E66">
            <v>37279</v>
          </cell>
          <cell r="H66" t="str">
            <v>Stopt</v>
          </cell>
          <cell r="J66" t="str">
            <v>Klein, D.H.(Daan)</v>
          </cell>
          <cell r="K66" t="str">
            <v>NLP77Y7</v>
          </cell>
          <cell r="L66" t="str">
            <v>Klein, D.H.</v>
          </cell>
          <cell r="M66" t="str">
            <v>Daan</v>
          </cell>
          <cell r="N66">
            <v>38667</v>
          </cell>
          <cell r="Q66" t="str">
            <v>D4</v>
          </cell>
        </row>
        <row r="67">
          <cell r="A67" t="str">
            <v>Driesprong, M.(Meike)</v>
          </cell>
          <cell r="B67" t="str">
            <v>NKQ40Q9</v>
          </cell>
          <cell r="C67" t="str">
            <v>Driesprong, M.</v>
          </cell>
          <cell r="D67" t="str">
            <v>Meike</v>
          </cell>
          <cell r="E67">
            <v>38011</v>
          </cell>
          <cell r="H67" t="str">
            <v>C1</v>
          </cell>
          <cell r="J67" t="str">
            <v>Wietses, J.(Joël)</v>
          </cell>
          <cell r="K67" t="str">
            <v>NKX66T5</v>
          </cell>
          <cell r="L67" t="str">
            <v>Wietses, J.</v>
          </cell>
          <cell r="M67" t="str">
            <v>Joël</v>
          </cell>
          <cell r="N67">
            <v>38502</v>
          </cell>
          <cell r="Q67" t="str">
            <v>D4</v>
          </cell>
        </row>
        <row r="68">
          <cell r="A68" t="str">
            <v>Mol, L.N.A.(Laura)</v>
          </cell>
          <cell r="B68" t="str">
            <v>NKK48D6</v>
          </cell>
          <cell r="C68" t="str">
            <v>Mol, L.N.A.</v>
          </cell>
          <cell r="D68" t="str">
            <v>Laura</v>
          </cell>
          <cell r="E68">
            <v>38079</v>
          </cell>
          <cell r="H68" t="str">
            <v>C2</v>
          </cell>
          <cell r="J68" t="str">
            <v>Meijers, M.A.(Milo)</v>
          </cell>
          <cell r="K68" t="str">
            <v>NLG93G0</v>
          </cell>
          <cell r="L68" t="str">
            <v>Meijers, M.A.</v>
          </cell>
          <cell r="M68" t="str">
            <v>Milo</v>
          </cell>
          <cell r="N68">
            <v>38984</v>
          </cell>
          <cell r="Q68" t="str">
            <v>D1</v>
          </cell>
        </row>
        <row r="69">
          <cell r="A69" t="str">
            <v>Verbeek, Y.(Yente)</v>
          </cell>
          <cell r="B69" t="str">
            <v>NKS24M5</v>
          </cell>
          <cell r="C69" t="str">
            <v>Verbeek, Y.</v>
          </cell>
          <cell r="D69" t="str">
            <v>Yente</v>
          </cell>
          <cell r="E69">
            <v>38012</v>
          </cell>
          <cell r="H69" t="str">
            <v>C2</v>
          </cell>
          <cell r="J69" t="str">
            <v>Bäcker, C.J.(Tijn)</v>
          </cell>
          <cell r="K69" t="str">
            <v>NLG57P5</v>
          </cell>
          <cell r="L69" t="str">
            <v>Bäcker, C.J.</v>
          </cell>
          <cell r="M69" t="str">
            <v>Tijn</v>
          </cell>
          <cell r="N69">
            <v>39239</v>
          </cell>
          <cell r="Q69" t="str">
            <v>E1</v>
          </cell>
        </row>
        <row r="70">
          <cell r="A70" t="str">
            <v>Gent, van E.(Elsemieke)</v>
          </cell>
          <cell r="B70" t="str">
            <v>NKP41W3</v>
          </cell>
          <cell r="C70" t="str">
            <v>Gent, van E.</v>
          </cell>
          <cell r="D70" t="str">
            <v>Elsemieke</v>
          </cell>
          <cell r="E70">
            <v>38113</v>
          </cell>
          <cell r="H70" t="str">
            <v>C3</v>
          </cell>
          <cell r="J70" t="str">
            <v>Vaartmans, J.A.(Jordi)</v>
          </cell>
          <cell r="K70" t="str">
            <v>NLG58W7</v>
          </cell>
          <cell r="L70" t="str">
            <v>Vaartmans, J.A.</v>
          </cell>
          <cell r="M70" t="str">
            <v>Jordi</v>
          </cell>
          <cell r="N70">
            <v>39069</v>
          </cell>
          <cell r="Q70" t="str">
            <v>E1</v>
          </cell>
        </row>
        <row r="71">
          <cell r="A71" t="str">
            <v>Reus, de K.(Kim)</v>
          </cell>
          <cell r="B71" t="str">
            <v>NKL60P7</v>
          </cell>
          <cell r="C71" t="str">
            <v>Reus, de K.</v>
          </cell>
          <cell r="D71" t="str">
            <v>Kim</v>
          </cell>
          <cell r="E71">
            <v>38159</v>
          </cell>
          <cell r="H71" t="str">
            <v>C3</v>
          </cell>
          <cell r="J71" t="str">
            <v>Valk, J.B.(Jarno)</v>
          </cell>
          <cell r="K71" t="str">
            <v>NLG57L7</v>
          </cell>
          <cell r="L71" t="str">
            <v>Valk, J.B.</v>
          </cell>
          <cell r="M71" t="str">
            <v>Jarno</v>
          </cell>
          <cell r="N71">
            <v>39367</v>
          </cell>
          <cell r="Q71" t="str">
            <v>E1</v>
          </cell>
        </row>
        <row r="72">
          <cell r="A72" t="str">
            <v>Dekker, D.(Daniëlle)</v>
          </cell>
          <cell r="B72" t="str">
            <v>NKR62S0</v>
          </cell>
          <cell r="C72" t="str">
            <v>Dekker, D.</v>
          </cell>
          <cell r="D72" t="str">
            <v>Daniëlle</v>
          </cell>
          <cell r="E72">
            <v>38035</v>
          </cell>
          <cell r="H72" t="str">
            <v>C4</v>
          </cell>
          <cell r="J72" t="str">
            <v>Boeije, T.P.(Thomas)</v>
          </cell>
          <cell r="K72" t="str">
            <v>NLP77V6</v>
          </cell>
          <cell r="L72" t="str">
            <v>Boeije, T.P.</v>
          </cell>
          <cell r="M72" t="str">
            <v>Thomas</v>
          </cell>
          <cell r="N72">
            <v>39425</v>
          </cell>
          <cell r="Q72" t="str">
            <v>E2</v>
          </cell>
        </row>
        <row r="73">
          <cell r="A73" t="str">
            <v>Spaanbroek, Y.H.D.W.(Yzan)</v>
          </cell>
          <cell r="B73" t="str">
            <v>NLG15C8</v>
          </cell>
          <cell r="C73" t="str">
            <v>Spaanbroek, Y.H.D.W.</v>
          </cell>
          <cell r="D73" t="str">
            <v>Yzan</v>
          </cell>
          <cell r="E73">
            <v>38000</v>
          </cell>
          <cell r="H73" t="str">
            <v>C4</v>
          </cell>
          <cell r="J73" t="str">
            <v>Jong, de M.R.(Micha)</v>
          </cell>
          <cell r="K73" t="str">
            <v>NLC24S8</v>
          </cell>
          <cell r="L73" t="str">
            <v>Jong, de M.R.</v>
          </cell>
          <cell r="M73" t="str">
            <v>Micha</v>
          </cell>
          <cell r="N73">
            <v>39061</v>
          </cell>
          <cell r="Q73" t="str">
            <v>E2</v>
          </cell>
        </row>
        <row r="74">
          <cell r="A74" t="str">
            <v>Willigen, van D.J.(Danique)</v>
          </cell>
          <cell r="B74" t="str">
            <v>NLL37R4</v>
          </cell>
          <cell r="C74" t="str">
            <v>Willigen, van D.J.</v>
          </cell>
          <cell r="D74" t="str">
            <v>Danique</v>
          </cell>
          <cell r="E74">
            <v>38240</v>
          </cell>
          <cell r="H74" t="str">
            <v>C5</v>
          </cell>
          <cell r="J74" t="str">
            <v>Zwanenburg, J.(Jack)</v>
          </cell>
          <cell r="K74" t="str">
            <v>NLL19V8</v>
          </cell>
          <cell r="L74" t="str">
            <v>Zwanenburg, J.</v>
          </cell>
          <cell r="M74" t="str">
            <v>Jack</v>
          </cell>
          <cell r="N74">
            <v>39356</v>
          </cell>
          <cell r="Q74" t="str">
            <v>E2</v>
          </cell>
        </row>
        <row r="75">
          <cell r="A75" t="str">
            <v>Boshoven, S.A.E.(Sara)</v>
          </cell>
          <cell r="B75" t="str">
            <v>NLB71D8</v>
          </cell>
          <cell r="C75" t="str">
            <v>Boshoven, S.A.E.</v>
          </cell>
          <cell r="D75" t="str">
            <v>Sara</v>
          </cell>
          <cell r="E75">
            <v>38635</v>
          </cell>
          <cell r="H75" t="str">
            <v>D1</v>
          </cell>
          <cell r="J75" t="str">
            <v>Dongen, van F.P.B.(Freek)</v>
          </cell>
          <cell r="K75" t="str">
            <v>NLG58X4</v>
          </cell>
          <cell r="L75" t="str">
            <v>Dongen, van F.P.B.</v>
          </cell>
          <cell r="M75" t="str">
            <v>Freek</v>
          </cell>
          <cell r="N75">
            <v>39196</v>
          </cell>
          <cell r="Q75" t="str">
            <v>E3</v>
          </cell>
        </row>
        <row r="76">
          <cell r="A76" t="str">
            <v>Lievaart, C.A.(Carlijn)</v>
          </cell>
          <cell r="B76" t="str">
            <v>NLB70Z9</v>
          </cell>
          <cell r="C76" t="str">
            <v>Lievaart, C.A.</v>
          </cell>
          <cell r="D76" t="str">
            <v>Carlijn</v>
          </cell>
          <cell r="E76">
            <v>38267</v>
          </cell>
          <cell r="H76" t="str">
            <v>D1</v>
          </cell>
          <cell r="J76" t="str">
            <v>Zijde, van der R.J.(Ruben)</v>
          </cell>
          <cell r="K76" t="str">
            <v>NLL20C3</v>
          </cell>
          <cell r="L76" t="str">
            <v>Zijde, van der R.J.</v>
          </cell>
          <cell r="M76" t="str">
            <v>Ruben</v>
          </cell>
          <cell r="N76">
            <v>39054</v>
          </cell>
          <cell r="Q76" t="str">
            <v>E3</v>
          </cell>
        </row>
        <row r="77">
          <cell r="A77" t="str">
            <v>Uijl, den E.(Eva)</v>
          </cell>
          <cell r="B77" t="str">
            <v>NLC20P5</v>
          </cell>
          <cell r="C77" t="str">
            <v>Uijl, den E.</v>
          </cell>
          <cell r="D77" t="str">
            <v>Eva</v>
          </cell>
          <cell r="E77">
            <v>38650</v>
          </cell>
          <cell r="H77" t="str">
            <v>D1</v>
          </cell>
          <cell r="J77" t="str">
            <v>Burgt, van de S.(Seth)</v>
          </cell>
          <cell r="K77" t="str">
            <v>NLL20F4</v>
          </cell>
          <cell r="L77" t="str">
            <v>Burgt, van de S.</v>
          </cell>
          <cell r="M77" t="str">
            <v>Seth</v>
          </cell>
          <cell r="N77">
            <v>39018</v>
          </cell>
          <cell r="Q77" t="str">
            <v>E4</v>
          </cell>
        </row>
        <row r="78">
          <cell r="A78" t="str">
            <v>Wensen, van M.(Maud)</v>
          </cell>
          <cell r="B78" t="str">
            <v>NLL20B6</v>
          </cell>
          <cell r="C78" t="str">
            <v>Wensen, van M.</v>
          </cell>
          <cell r="D78" t="str">
            <v>Maud</v>
          </cell>
          <cell r="E78">
            <v>38451</v>
          </cell>
          <cell r="H78" t="str">
            <v>D1</v>
          </cell>
          <cell r="J78" t="str">
            <v>Pagter, de L.B.(Levi)</v>
          </cell>
          <cell r="K78" t="str">
            <v>NLS07T0</v>
          </cell>
          <cell r="L78" t="str">
            <v>Pagter, de L.B.</v>
          </cell>
          <cell r="M78" t="str">
            <v>Levi</v>
          </cell>
          <cell r="N78">
            <v>39335</v>
          </cell>
          <cell r="Q78" t="str">
            <v>E5</v>
          </cell>
        </row>
        <row r="79">
          <cell r="A79" t="str">
            <v>Zuijderwijk, B.K.(Britt)</v>
          </cell>
          <cell r="B79" t="str">
            <v>NKV67G5</v>
          </cell>
          <cell r="C79" t="str">
            <v>Zuijderwijk, B.K.</v>
          </cell>
          <cell r="D79" t="str">
            <v>Britt</v>
          </cell>
          <cell r="E79">
            <v>38401</v>
          </cell>
          <cell r="H79" t="str">
            <v>D1</v>
          </cell>
          <cell r="J79" t="str">
            <v>Pille, M.A.(Menno)</v>
          </cell>
          <cell r="K79" t="str">
            <v>NLR06X4</v>
          </cell>
          <cell r="L79" t="str">
            <v>Pille, M.A.</v>
          </cell>
          <cell r="M79" t="str">
            <v>Menno</v>
          </cell>
          <cell r="N79">
            <v>39187</v>
          </cell>
          <cell r="Q79" t="str">
            <v>E6</v>
          </cell>
        </row>
        <row r="80">
          <cell r="A80" t="str">
            <v>Bäcker, S.M.F.(Sterre)</v>
          </cell>
          <cell r="B80" t="str">
            <v>NKX66W6</v>
          </cell>
          <cell r="C80" t="str">
            <v>Bäcker, S.M.F.</v>
          </cell>
          <cell r="D80" t="str">
            <v>Sterre</v>
          </cell>
          <cell r="E80">
            <v>38342</v>
          </cell>
          <cell r="H80" t="str">
            <v>D2</v>
          </cell>
          <cell r="J80" t="str">
            <v>Altena, E.K.(Evan)</v>
          </cell>
          <cell r="K80" t="str">
            <v>NLL19X2</v>
          </cell>
          <cell r="L80" t="str">
            <v>Altena, E.K.</v>
          </cell>
          <cell r="M80" t="str">
            <v>Evan</v>
          </cell>
          <cell r="N80">
            <v>39100</v>
          </cell>
          <cell r="Q80" t="str">
            <v>E7</v>
          </cell>
        </row>
        <row r="81">
          <cell r="A81" t="str">
            <v>Fasbender, L.(Lindi)</v>
          </cell>
          <cell r="B81" t="str">
            <v>NLF50K8</v>
          </cell>
          <cell r="C81" t="str">
            <v>Fasbender, L.</v>
          </cell>
          <cell r="D81" t="str">
            <v>Lindi</v>
          </cell>
          <cell r="E81">
            <v>38656</v>
          </cell>
          <cell r="H81" t="str">
            <v>D2</v>
          </cell>
          <cell r="J81" t="str">
            <v>Vliet, T.M.(Tycho)</v>
          </cell>
          <cell r="K81" t="str">
            <v>NLM05B2</v>
          </cell>
          <cell r="L81" t="str">
            <v>Vliet, T.M.</v>
          </cell>
          <cell r="M81" t="str">
            <v>Tycho</v>
          </cell>
          <cell r="N81">
            <v>39346</v>
          </cell>
          <cell r="Q81" t="str">
            <v>E7</v>
          </cell>
        </row>
        <row r="82">
          <cell r="A82" t="str">
            <v>Horst, ter R.N.(Renee)</v>
          </cell>
          <cell r="B82" t="str">
            <v>NKR88D3</v>
          </cell>
          <cell r="C82" t="str">
            <v>Horst, ter R.N.</v>
          </cell>
          <cell r="D82" t="str">
            <v>Renee</v>
          </cell>
          <cell r="E82">
            <v>38630</v>
          </cell>
          <cell r="H82" t="str">
            <v>D2</v>
          </cell>
          <cell r="J82" t="str">
            <v>Koornneef, T.J.(Tommie)</v>
          </cell>
          <cell r="K82" t="str">
            <v>NLB71B4</v>
          </cell>
          <cell r="L82" t="str">
            <v>Koornneef, T.J.</v>
          </cell>
          <cell r="M82" t="str">
            <v>Tommie</v>
          </cell>
          <cell r="N82">
            <v>39123</v>
          </cell>
          <cell r="Q82" t="str">
            <v>E8</v>
          </cell>
        </row>
        <row r="83">
          <cell r="A83" t="str">
            <v>Jongh, de A.(Anouk)</v>
          </cell>
          <cell r="B83" t="str">
            <v>NKT92K1</v>
          </cell>
          <cell r="C83" t="str">
            <v>Jongh, de A.</v>
          </cell>
          <cell r="D83" t="str">
            <v>Anouk</v>
          </cell>
          <cell r="E83">
            <v>38597</v>
          </cell>
          <cell r="H83" t="str">
            <v>D2</v>
          </cell>
          <cell r="J83" t="str">
            <v>Vegt, van der W.(Wesley)</v>
          </cell>
          <cell r="K83" t="str">
            <v>NLM94K7</v>
          </cell>
          <cell r="L83" t="str">
            <v>Vegt, van der W.</v>
          </cell>
          <cell r="M83" t="str">
            <v>Wesley</v>
          </cell>
          <cell r="N83">
            <v>39211</v>
          </cell>
          <cell r="Q83" t="str">
            <v>Stopt</v>
          </cell>
        </row>
        <row r="84">
          <cell r="A84" t="str">
            <v>Manduapessy, V.P.(Vera)</v>
          </cell>
          <cell r="B84" t="str">
            <v>NKW30H7</v>
          </cell>
          <cell r="C84" t="str">
            <v>Manduapessy, V.P.</v>
          </cell>
          <cell r="D84" t="str">
            <v>Vera</v>
          </cell>
          <cell r="E84">
            <v>38303</v>
          </cell>
          <cell r="H84" t="str">
            <v>D2</v>
          </cell>
          <cell r="J84" t="str">
            <v>Driesprong, N.(Niek)</v>
          </cell>
          <cell r="K84" t="str">
            <v>NLD36P9</v>
          </cell>
          <cell r="L84" t="str">
            <v>Driesprong, N.</v>
          </cell>
          <cell r="M84" t="str">
            <v>Niek</v>
          </cell>
          <cell r="N84">
            <v>39655</v>
          </cell>
          <cell r="Q84" t="str">
            <v>E4</v>
          </cell>
        </row>
        <row r="85">
          <cell r="A85" t="str">
            <v>Quarré, E.A.(Elena)</v>
          </cell>
          <cell r="B85" t="str">
            <v>NLB70S0</v>
          </cell>
          <cell r="C85" t="str">
            <v>Quarré, E.A.</v>
          </cell>
          <cell r="D85" t="str">
            <v>Elena</v>
          </cell>
          <cell r="E85">
            <v>38509</v>
          </cell>
          <cell r="H85" t="str">
            <v>D2</v>
          </cell>
          <cell r="J85" t="str">
            <v>Sas, M.(Maarten)</v>
          </cell>
          <cell r="K85" t="str">
            <v>NLP78Q4</v>
          </cell>
          <cell r="L85" t="str">
            <v>Sas, M.</v>
          </cell>
          <cell r="M85" t="str">
            <v>Maarten</v>
          </cell>
          <cell r="N85">
            <v>39686</v>
          </cell>
          <cell r="Q85" t="str">
            <v>E4</v>
          </cell>
        </row>
        <row r="86">
          <cell r="A86" t="str">
            <v>Veen, van der B.(Bente)</v>
          </cell>
          <cell r="B86" t="str">
            <v>NLL49V3</v>
          </cell>
          <cell r="C86" t="str">
            <v>Veen, van der B.</v>
          </cell>
          <cell r="D86" t="str">
            <v>Bente</v>
          </cell>
          <cell r="E86">
            <v>38275</v>
          </cell>
          <cell r="H86" t="str">
            <v>D2</v>
          </cell>
          <cell r="J86" t="str">
            <v>Camphens, T.(Tijn)</v>
          </cell>
          <cell r="K86" t="str">
            <v>NLL37S1</v>
          </cell>
          <cell r="L86" t="str">
            <v>Camphens, T.</v>
          </cell>
          <cell r="M86" t="str">
            <v>Tijn</v>
          </cell>
          <cell r="N86">
            <v>39744</v>
          </cell>
          <cell r="Q86" t="str">
            <v>E5</v>
          </cell>
        </row>
        <row r="87">
          <cell r="A87" t="str">
            <v>Don, E.J.(Emma)</v>
          </cell>
          <cell r="B87" t="str">
            <v>NKQ46X6</v>
          </cell>
          <cell r="C87" t="str">
            <v>Don, E.J.</v>
          </cell>
          <cell r="D87" t="str">
            <v>Emma</v>
          </cell>
          <cell r="E87">
            <v>38555</v>
          </cell>
          <cell r="H87" t="str">
            <v>D3</v>
          </cell>
          <cell r="J87" t="str">
            <v>Mahabier, J.(Jeevan)</v>
          </cell>
          <cell r="K87" t="str">
            <v>NLL49T9</v>
          </cell>
          <cell r="L87" t="str">
            <v>Mahabier, J.</v>
          </cell>
          <cell r="M87" t="str">
            <v>Jeevan</v>
          </cell>
          <cell r="N87">
            <v>39646</v>
          </cell>
          <cell r="Q87" t="str">
            <v>E5</v>
          </cell>
        </row>
        <row r="88">
          <cell r="A88" t="str">
            <v>Filius, E.(Esmee)</v>
          </cell>
          <cell r="B88" t="str">
            <v>NKR09B2</v>
          </cell>
          <cell r="C88" t="str">
            <v>Filius, E.</v>
          </cell>
          <cell r="D88" t="str">
            <v>Esmee</v>
          </cell>
          <cell r="E88">
            <v>38614</v>
          </cell>
          <cell r="H88" t="str">
            <v>D3</v>
          </cell>
          <cell r="J88" t="str">
            <v>Dekker, den O.C.(Onno)</v>
          </cell>
          <cell r="K88" t="str">
            <v>NLS85H0</v>
          </cell>
          <cell r="L88" t="str">
            <v>Dekker, den O.C.</v>
          </cell>
          <cell r="M88" t="str">
            <v>Onno</v>
          </cell>
          <cell r="N88">
            <v>39623</v>
          </cell>
          <cell r="Q88" t="str">
            <v>E6</v>
          </cell>
        </row>
        <row r="89">
          <cell r="A89" t="str">
            <v>Groeneweg, R.K.(Roos)</v>
          </cell>
          <cell r="B89" t="str">
            <v>NKY17P6</v>
          </cell>
          <cell r="C89" t="str">
            <v>Groeneweg, R.K.</v>
          </cell>
          <cell r="D89" t="str">
            <v>Roos</v>
          </cell>
          <cell r="E89">
            <v>38432</v>
          </cell>
          <cell r="H89" t="str">
            <v>D3</v>
          </cell>
          <cell r="J89" t="str">
            <v>Kuijper, R.A.(Raoul)</v>
          </cell>
          <cell r="K89" t="str">
            <v>NLN28Y3</v>
          </cell>
          <cell r="L89" t="str">
            <v>Kuijper, R.A.</v>
          </cell>
          <cell r="M89" t="str">
            <v>Raoul</v>
          </cell>
          <cell r="N89">
            <v>39629</v>
          </cell>
          <cell r="Q89" t="str">
            <v>E6</v>
          </cell>
        </row>
        <row r="90">
          <cell r="A90" t="str">
            <v>Leen, van M.E.(Marit)</v>
          </cell>
          <cell r="B90" t="str">
            <v>NLG59D7</v>
          </cell>
          <cell r="C90" t="str">
            <v>Leen, van M.E.</v>
          </cell>
          <cell r="D90" t="str">
            <v>Marit</v>
          </cell>
          <cell r="E90">
            <v>38634</v>
          </cell>
          <cell r="H90" t="str">
            <v>D3</v>
          </cell>
          <cell r="J90" t="str">
            <v>Est, van K.H.T.(Koen)</v>
          </cell>
          <cell r="K90" t="str">
            <v>NLH06P8</v>
          </cell>
          <cell r="L90" t="str">
            <v>Est, van K.H.T.</v>
          </cell>
          <cell r="M90" t="str">
            <v>Koen</v>
          </cell>
          <cell r="N90">
            <v>39693</v>
          </cell>
          <cell r="Q90" t="str">
            <v>E7</v>
          </cell>
        </row>
        <row r="91">
          <cell r="A91" t="str">
            <v>Rubio Cubillos, E.E.(Estelle)</v>
          </cell>
          <cell r="B91" t="str">
            <v>NLG58Y1</v>
          </cell>
          <cell r="C91" t="str">
            <v>Rubio Cubillos, E.E.</v>
          </cell>
          <cell r="D91" t="str">
            <v>Estelle</v>
          </cell>
          <cell r="E91">
            <v>38648</v>
          </cell>
          <cell r="H91" t="str">
            <v>D3</v>
          </cell>
          <cell r="J91" t="str">
            <v>Heersping, D.B.A.C.(Dani)</v>
          </cell>
          <cell r="K91" t="str">
            <v>NLS75Y4</v>
          </cell>
          <cell r="L91" t="str">
            <v>Heersping, D.B.A.C.</v>
          </cell>
          <cell r="M91" t="str">
            <v>Dani</v>
          </cell>
          <cell r="N91">
            <v>39753</v>
          </cell>
          <cell r="Q91" t="str">
            <v>F1</v>
          </cell>
        </row>
        <row r="92">
          <cell r="A92" t="str">
            <v>Volker, K.N.N.(Karlijn)</v>
          </cell>
          <cell r="B92" t="str">
            <v>NLB70G6</v>
          </cell>
          <cell r="C92" t="str">
            <v>Volker, K.N.N.</v>
          </cell>
          <cell r="D92" t="str">
            <v>Karlijn</v>
          </cell>
          <cell r="E92">
            <v>38417</v>
          </cell>
          <cell r="H92" t="str">
            <v>D3</v>
          </cell>
          <cell r="J92" t="str">
            <v>Verhoef, S.D.(Stefan)</v>
          </cell>
          <cell r="K92" t="str">
            <v>NLS75Z1</v>
          </cell>
          <cell r="L92" t="str">
            <v>Verhoef, S.D.</v>
          </cell>
          <cell r="M92" t="str">
            <v>Stefan</v>
          </cell>
          <cell r="N92">
            <v>39810</v>
          </cell>
          <cell r="Q92" t="str">
            <v>F2</v>
          </cell>
        </row>
        <row r="93">
          <cell r="A93" t="str">
            <v>Auerbach, L.(Lincy)</v>
          </cell>
          <cell r="B93" t="str">
            <v>NLB70F9</v>
          </cell>
          <cell r="C93" t="str">
            <v>Auerbach, L.</v>
          </cell>
          <cell r="D93" t="str">
            <v>Lincy</v>
          </cell>
          <cell r="E93">
            <v>38693</v>
          </cell>
          <cell r="H93" t="str">
            <v>D4</v>
          </cell>
          <cell r="J93" t="str">
            <v>Vliet, K.M.(Kian)</v>
          </cell>
          <cell r="K93" t="str">
            <v>NLS85J4</v>
          </cell>
          <cell r="L93" t="str">
            <v>Vliet, K.M.</v>
          </cell>
          <cell r="M93" t="str">
            <v>Kian</v>
          </cell>
          <cell r="N93">
            <v>40058</v>
          </cell>
          <cell r="Q93" t="str">
            <v>F2</v>
          </cell>
        </row>
        <row r="94">
          <cell r="A94" t="str">
            <v>Boeije, A.J.(Amber)</v>
          </cell>
          <cell r="B94" t="str">
            <v>NLB70T7</v>
          </cell>
          <cell r="C94" t="str">
            <v>Boeije, A.J.</v>
          </cell>
          <cell r="D94" t="str">
            <v>Amber</v>
          </cell>
          <cell r="E94">
            <v>38480</v>
          </cell>
          <cell r="H94" t="str">
            <v>D4</v>
          </cell>
          <cell r="J94" t="str">
            <v>Zijde, van der T.(Thomas)</v>
          </cell>
          <cell r="K94" t="str">
            <v>NLQ70D0</v>
          </cell>
          <cell r="L94" t="str">
            <v>Zijde, van der T.</v>
          </cell>
          <cell r="M94" t="str">
            <v>Thomas</v>
          </cell>
          <cell r="N94">
            <v>39730</v>
          </cell>
          <cell r="Q94" t="str">
            <v>Stopt</v>
          </cell>
        </row>
        <row r="95">
          <cell r="A95" t="str">
            <v>Steen Redeker, L.(Levina)</v>
          </cell>
          <cell r="B95" t="str">
            <v>NLC93N5</v>
          </cell>
          <cell r="C95" t="str">
            <v>Steen Redeker, L.</v>
          </cell>
          <cell r="D95" t="str">
            <v>Levina</v>
          </cell>
          <cell r="E95">
            <v>38391</v>
          </cell>
          <cell r="H95" t="str">
            <v>D4</v>
          </cell>
          <cell r="J95" t="str">
            <v>Sas, N.(Niek)</v>
          </cell>
          <cell r="K95" t="str">
            <v>NLP78P7</v>
          </cell>
          <cell r="L95" t="str">
            <v>Sas, N.</v>
          </cell>
          <cell r="M95" t="str">
            <v>Niek</v>
          </cell>
          <cell r="N95">
            <v>40381</v>
          </cell>
          <cell r="Q95" t="str">
            <v>F1</v>
          </cell>
        </row>
        <row r="96">
          <cell r="A96" t="str">
            <v>Jonkers, S.N.(Syrah)</v>
          </cell>
          <cell r="B96" t="str">
            <v>NLJ96J3</v>
          </cell>
          <cell r="C96" t="str">
            <v>Jonkers, S.N.</v>
          </cell>
          <cell r="D96" t="str">
            <v>Syrah</v>
          </cell>
          <cell r="E96">
            <v>38702</v>
          </cell>
          <cell r="H96" t="str">
            <v>D5</v>
          </cell>
          <cell r="J96" t="str">
            <v>Dijk, van J.(Joeri)</v>
          </cell>
          <cell r="K96" t="str">
            <v>NJD65S8</v>
          </cell>
          <cell r="L96" t="str">
            <v>Dijk, van J.</v>
          </cell>
          <cell r="M96" t="str">
            <v>Joeri</v>
          </cell>
          <cell r="N96">
            <v>35873</v>
          </cell>
          <cell r="Q96" t="str">
            <v>A1</v>
          </cell>
        </row>
        <row r="97">
          <cell r="A97" t="str">
            <v>Raab, I.A.S.(Ilse)</v>
          </cell>
          <cell r="B97" t="str">
            <v>NLG57S6</v>
          </cell>
          <cell r="C97" t="str">
            <v>Raab, I.A.S.</v>
          </cell>
          <cell r="D97" t="str">
            <v>Ilse</v>
          </cell>
          <cell r="E97">
            <v>38506</v>
          </cell>
          <cell r="H97" t="str">
            <v>D5</v>
          </cell>
          <cell r="J97" t="str">
            <v>Driesprong, B.(Bart)</v>
          </cell>
          <cell r="K97" t="str">
            <v>NKD19Y4</v>
          </cell>
          <cell r="L97" t="str">
            <v>Driesprong, B.</v>
          </cell>
          <cell r="M97" t="str">
            <v>Bart</v>
          </cell>
          <cell r="N97">
            <v>36077</v>
          </cell>
          <cell r="Q97" t="str">
            <v>A1</v>
          </cell>
        </row>
        <row r="98">
          <cell r="A98" t="str">
            <v>Schröder, C.(Charlotte)</v>
          </cell>
          <cell r="B98" t="str">
            <v>NKN22H9</v>
          </cell>
          <cell r="C98" t="str">
            <v>Schröder, C.</v>
          </cell>
          <cell r="D98" t="str">
            <v>Charlotte</v>
          </cell>
          <cell r="E98">
            <v>38565</v>
          </cell>
          <cell r="H98" t="str">
            <v>D5</v>
          </cell>
          <cell r="J98" t="str">
            <v>Aanholt, van M.(Max)</v>
          </cell>
          <cell r="K98" t="str">
            <v>NJW77N3</v>
          </cell>
          <cell r="L98" t="str">
            <v>Aanholt, van M.</v>
          </cell>
          <cell r="M98" t="str">
            <v>Max</v>
          </cell>
          <cell r="N98">
            <v>35875</v>
          </cell>
          <cell r="Q98" t="str">
            <v>A2</v>
          </cell>
        </row>
        <row r="99">
          <cell r="A99" t="str">
            <v>Tun?yürek, S.(Süeda)</v>
          </cell>
          <cell r="B99" t="str">
            <v>NLR80P0</v>
          </cell>
          <cell r="C99" t="str">
            <v>Tun?yürek, S.</v>
          </cell>
          <cell r="D99" t="str">
            <v>Süeda</v>
          </cell>
          <cell r="E99">
            <v>38618</v>
          </cell>
          <cell r="H99" t="str">
            <v>D5</v>
          </cell>
          <cell r="J99" t="str">
            <v>Klink, O.C.(Olivier)</v>
          </cell>
          <cell r="K99" t="str">
            <v>NJH76N5</v>
          </cell>
          <cell r="L99" t="str">
            <v>Klink, O.C.</v>
          </cell>
          <cell r="M99" t="str">
            <v>Olivier</v>
          </cell>
          <cell r="N99">
            <v>36143</v>
          </cell>
          <cell r="Q99" t="str">
            <v>A2</v>
          </cell>
        </row>
        <row r="100">
          <cell r="A100" t="str">
            <v>Louwman, S.(Serena)</v>
          </cell>
          <cell r="B100" t="str">
            <v>NKV67D4</v>
          </cell>
          <cell r="C100" t="str">
            <v>Louwman, S.</v>
          </cell>
          <cell r="D100" t="str">
            <v>Serena</v>
          </cell>
          <cell r="E100">
            <v>38181</v>
          </cell>
          <cell r="H100" t="str">
            <v>Stopt</v>
          </cell>
          <cell r="J100" t="str">
            <v>Schmidt, B.(Berend)</v>
          </cell>
          <cell r="K100" t="str">
            <v>NJT90K8</v>
          </cell>
          <cell r="L100" t="str">
            <v>Schmidt, B.</v>
          </cell>
          <cell r="M100" t="str">
            <v>Berend</v>
          </cell>
          <cell r="N100">
            <v>35963</v>
          </cell>
          <cell r="Q100" t="str">
            <v>A2</v>
          </cell>
        </row>
        <row r="101">
          <cell r="A101" t="str">
            <v>Struik, J.E.(Jessy)</v>
          </cell>
          <cell r="B101" t="str">
            <v>NKW50S4</v>
          </cell>
          <cell r="C101" t="str">
            <v>Struik, J.E.</v>
          </cell>
          <cell r="D101" t="str">
            <v>Jessy</v>
          </cell>
          <cell r="E101">
            <v>38041</v>
          </cell>
          <cell r="H101" t="str">
            <v>Stopt</v>
          </cell>
          <cell r="J101" t="str">
            <v>Jong, de I.J.(Jouke)</v>
          </cell>
          <cell r="K101" t="str">
            <v>NKH35N9</v>
          </cell>
          <cell r="L101" t="str">
            <v>Jong, de I.J.</v>
          </cell>
          <cell r="M101" t="str">
            <v>Jouke</v>
          </cell>
          <cell r="N101">
            <v>35797</v>
          </cell>
          <cell r="Q101" t="str">
            <v>A3</v>
          </cell>
        </row>
        <row r="102">
          <cell r="A102" t="str">
            <v>Wijngaarden, van B.D.(Bente)</v>
          </cell>
          <cell r="B102" t="str">
            <v>NKS24S7</v>
          </cell>
          <cell r="C102" t="str">
            <v>Wijngaarden, van B.D.</v>
          </cell>
          <cell r="D102" t="str">
            <v>Bente</v>
          </cell>
          <cell r="E102">
            <v>38928</v>
          </cell>
          <cell r="H102" t="str">
            <v>D2</v>
          </cell>
          <cell r="J102" t="str">
            <v>Appelboom, N.(Nigel)</v>
          </cell>
          <cell r="K102" t="str">
            <v>NKB10W1</v>
          </cell>
          <cell r="L102" t="str">
            <v>Appelboom, N.</v>
          </cell>
          <cell r="M102" t="str">
            <v>Nigel</v>
          </cell>
          <cell r="N102">
            <v>36158</v>
          </cell>
          <cell r="Q102" t="str">
            <v>A5</v>
          </cell>
        </row>
        <row r="103">
          <cell r="A103" t="str">
            <v>Mert, R.(Rezzan)</v>
          </cell>
          <cell r="B103" t="str">
            <v>NLP77W3</v>
          </cell>
          <cell r="C103" t="str">
            <v>Mert, R.</v>
          </cell>
          <cell r="D103" t="str">
            <v>Rezzan</v>
          </cell>
          <cell r="E103">
            <v>38848</v>
          </cell>
          <cell r="H103" t="str">
            <v>D3</v>
          </cell>
          <cell r="J103" t="str">
            <v>Verwaal, S.(Stefan)</v>
          </cell>
          <cell r="K103" t="str">
            <v>NJF06N8</v>
          </cell>
          <cell r="L103" t="str">
            <v>Verwaal, S.</v>
          </cell>
          <cell r="M103" t="str">
            <v>Stefan</v>
          </cell>
          <cell r="N103">
            <v>35564</v>
          </cell>
          <cell r="Q103" t="str">
            <v>A5</v>
          </cell>
        </row>
        <row r="104">
          <cell r="A104" t="str">
            <v>Nobel, M.H.M.(Merle)</v>
          </cell>
          <cell r="B104" t="str">
            <v>NLG58Z8</v>
          </cell>
          <cell r="C104" t="str">
            <v>Nobel, M.H.M.</v>
          </cell>
          <cell r="D104" t="str">
            <v>Merle</v>
          </cell>
          <cell r="E104">
            <v>38847</v>
          </cell>
          <cell r="H104" t="str">
            <v>D3</v>
          </cell>
          <cell r="J104" t="str">
            <v>Berendsen, P.(Peter)</v>
          </cell>
          <cell r="K104" t="str">
            <v>NJH51W3</v>
          </cell>
          <cell r="L104" t="str">
            <v>Berendsen, P.</v>
          </cell>
          <cell r="M104" t="str">
            <v>Peter</v>
          </cell>
          <cell r="N104">
            <v>35488</v>
          </cell>
          <cell r="Q104" t="str">
            <v>AR</v>
          </cell>
        </row>
        <row r="105">
          <cell r="A105" t="str">
            <v>Everdingen, van T.(Tessa)</v>
          </cell>
          <cell r="B105" t="str">
            <v>NLJ47P3</v>
          </cell>
          <cell r="C105" t="str">
            <v>Everdingen, van T.</v>
          </cell>
          <cell r="D105" t="str">
            <v>Tessa</v>
          </cell>
          <cell r="E105">
            <v>38900</v>
          </cell>
          <cell r="H105" t="str">
            <v>D4</v>
          </cell>
          <cell r="J105" t="str">
            <v>Doolaard, C.(Christiaan)</v>
          </cell>
          <cell r="K105" t="str">
            <v>NJB81P3</v>
          </cell>
          <cell r="L105" t="str">
            <v>Doolaard, C.</v>
          </cell>
          <cell r="M105" t="str">
            <v>Christiaan</v>
          </cell>
          <cell r="N105">
            <v>33402</v>
          </cell>
          <cell r="Q105" t="str">
            <v>AR</v>
          </cell>
        </row>
        <row r="106">
          <cell r="A106" t="str">
            <v>Prosman, A.S(Ann-Sophie)</v>
          </cell>
          <cell r="B106" t="str">
            <v>NLF26P6</v>
          </cell>
          <cell r="C106" t="str">
            <v>Prosman, A.S</v>
          </cell>
          <cell r="D106" t="str">
            <v>Ann-Sophie</v>
          </cell>
          <cell r="E106">
            <v>38811</v>
          </cell>
          <cell r="H106" t="str">
            <v>D4</v>
          </cell>
          <cell r="J106" t="str">
            <v>Goudriaan, S(Stefan)</v>
          </cell>
          <cell r="K106" t="str">
            <v>NJK05M3</v>
          </cell>
          <cell r="L106" t="str">
            <v>Goudriaan, S</v>
          </cell>
          <cell r="M106" t="str">
            <v>Stefan</v>
          </cell>
          <cell r="N106">
            <v>34255</v>
          </cell>
          <cell r="Q106" t="str">
            <v>AR</v>
          </cell>
        </row>
        <row r="107">
          <cell r="A107" t="str">
            <v>Bonnier, F.H.(Fenna)</v>
          </cell>
          <cell r="B107" t="str">
            <v>NLR59C1</v>
          </cell>
          <cell r="C107" t="str">
            <v>Bonnier, F.H.</v>
          </cell>
          <cell r="D107" t="str">
            <v>Fenna</v>
          </cell>
          <cell r="E107">
            <v>38778</v>
          </cell>
          <cell r="H107" t="str">
            <v>D5</v>
          </cell>
          <cell r="J107" t="str">
            <v>Jong, de B.(Bas)</v>
          </cell>
          <cell r="K107" t="str">
            <v>NGW10M4</v>
          </cell>
          <cell r="L107" t="str">
            <v>Jong, de B.</v>
          </cell>
          <cell r="M107" t="str">
            <v>Bas</v>
          </cell>
          <cell r="N107">
            <v>33019</v>
          </cell>
          <cell r="Q107" t="str">
            <v>AR</v>
          </cell>
        </row>
        <row r="108">
          <cell r="A108" t="str">
            <v>De Geus, N.E.J.(Noa)</v>
          </cell>
          <cell r="B108" t="str">
            <v>NLS45P6</v>
          </cell>
          <cell r="C108" t="str">
            <v>De Geus, N.E.J.</v>
          </cell>
          <cell r="D108" t="str">
            <v>Noa</v>
          </cell>
          <cell r="E108">
            <v>38733</v>
          </cell>
          <cell r="H108" t="str">
            <v>D5</v>
          </cell>
          <cell r="J108" t="str">
            <v>Jonker, J.(Jeroen)</v>
          </cell>
          <cell r="K108" t="str">
            <v>NFW42Y2</v>
          </cell>
          <cell r="L108" t="str">
            <v>Jonker, J.</v>
          </cell>
          <cell r="M108" t="str">
            <v>Jeroen</v>
          </cell>
          <cell r="N108">
            <v>29216</v>
          </cell>
          <cell r="Q108" t="str">
            <v>AR</v>
          </cell>
        </row>
        <row r="109">
          <cell r="A109" t="str">
            <v>Rijkers, I.B.(Ilse)</v>
          </cell>
          <cell r="B109" t="str">
            <v>NLP78J5</v>
          </cell>
          <cell r="C109" t="str">
            <v>Rijkers, I.B.</v>
          </cell>
          <cell r="D109" t="str">
            <v>Ilse</v>
          </cell>
          <cell r="E109">
            <v>38820</v>
          </cell>
          <cell r="H109" t="str">
            <v>D5</v>
          </cell>
          <cell r="J109" t="str">
            <v>Kuijper, I.C.W.(Ivar)</v>
          </cell>
          <cell r="K109" t="str">
            <v>NGJ79J7</v>
          </cell>
          <cell r="L109" t="str">
            <v>Kuijper, I.C.W.</v>
          </cell>
          <cell r="M109" t="str">
            <v>Ivar</v>
          </cell>
          <cell r="N109">
            <v>30061</v>
          </cell>
          <cell r="Q109" t="str">
            <v>AR</v>
          </cell>
        </row>
        <row r="110">
          <cell r="A110" t="str">
            <v>Timmer, E.(Edith)</v>
          </cell>
          <cell r="B110" t="str">
            <v>NLP78K2</v>
          </cell>
          <cell r="C110" t="str">
            <v>Timmer, E.</v>
          </cell>
          <cell r="D110" t="str">
            <v>Edith</v>
          </cell>
          <cell r="E110">
            <v>38929</v>
          </cell>
          <cell r="H110" t="str">
            <v>D5</v>
          </cell>
          <cell r="J110" t="str">
            <v>Steen Redeker, L.(Leon)</v>
          </cell>
          <cell r="K110" t="str">
            <v>NGZ13W6</v>
          </cell>
          <cell r="L110" t="str">
            <v>Steen Redeker, L.</v>
          </cell>
          <cell r="M110" t="str">
            <v>Leon</v>
          </cell>
          <cell r="N110">
            <v>33408</v>
          </cell>
          <cell r="Q110" t="str">
            <v>AR</v>
          </cell>
        </row>
        <row r="111">
          <cell r="A111" t="str">
            <v>Verkerke, J.D.(Julia)</v>
          </cell>
          <cell r="B111" t="str">
            <v>NLP78B9</v>
          </cell>
          <cell r="C111" t="str">
            <v>Verkerke, J.D.</v>
          </cell>
          <cell r="D111" t="str">
            <v>Julia</v>
          </cell>
          <cell r="E111">
            <v>39044</v>
          </cell>
          <cell r="H111" t="str">
            <v>D5</v>
          </cell>
          <cell r="J111" t="str">
            <v>Wolff, A.M.(Alexander)</v>
          </cell>
          <cell r="K111" t="str">
            <v>NKH56N2</v>
          </cell>
          <cell r="L111" t="str">
            <v>Wolff, A.M.</v>
          </cell>
          <cell r="M111" t="str">
            <v>Alexander</v>
          </cell>
          <cell r="N111">
            <v>35231</v>
          </cell>
          <cell r="Q111" t="str">
            <v>AR</v>
          </cell>
        </row>
        <row r="112">
          <cell r="A112" t="str">
            <v>Driesprong, J.(Jana)</v>
          </cell>
          <cell r="B112" t="str">
            <v>NKW52X5</v>
          </cell>
          <cell r="C112" t="str">
            <v>Driesprong, J.</v>
          </cell>
          <cell r="D112" t="str">
            <v>Jana</v>
          </cell>
          <cell r="E112">
            <v>39205</v>
          </cell>
          <cell r="H112" t="str">
            <v>E1</v>
          </cell>
          <cell r="J112" t="str">
            <v>Belder, E.(Erwin)</v>
          </cell>
          <cell r="K112" t="str">
            <v>NFW40B5</v>
          </cell>
          <cell r="L112" t="str">
            <v>Belder, E.</v>
          </cell>
          <cell r="M112" t="str">
            <v>Erwin</v>
          </cell>
          <cell r="N112">
            <v>28259</v>
          </cell>
          <cell r="Q112" t="str">
            <v>MW1</v>
          </cell>
        </row>
        <row r="113">
          <cell r="A113" t="str">
            <v>Manduapessy, M.(Merel)</v>
          </cell>
          <cell r="B113" t="str">
            <v>NLL81G4</v>
          </cell>
          <cell r="C113" t="str">
            <v>Manduapessy, M.</v>
          </cell>
          <cell r="D113" t="str">
            <v>Merel</v>
          </cell>
          <cell r="E113">
            <v>39324</v>
          </cell>
          <cell r="H113" t="str">
            <v>E1</v>
          </cell>
          <cell r="J113" t="str">
            <v>Boshoven, R(Rik)</v>
          </cell>
          <cell r="K113" t="str">
            <v>NFW40F3</v>
          </cell>
          <cell r="L113" t="str">
            <v>Boshoven, R</v>
          </cell>
          <cell r="M113" t="str">
            <v>Rik</v>
          </cell>
          <cell r="N113">
            <v>28760</v>
          </cell>
          <cell r="Q113" t="str">
            <v>MW1</v>
          </cell>
        </row>
        <row r="114">
          <cell r="A114" t="str">
            <v>Wit, de M.(Mila)</v>
          </cell>
          <cell r="B114" t="str">
            <v>NLL19T4</v>
          </cell>
          <cell r="C114" t="str">
            <v>Wit, de M.</v>
          </cell>
          <cell r="D114" t="str">
            <v>Mila</v>
          </cell>
          <cell r="E114">
            <v>39433</v>
          </cell>
          <cell r="H114" t="str">
            <v>E2</v>
          </cell>
          <cell r="J114" t="str">
            <v>Dongen, van J.(Jeroen)</v>
          </cell>
          <cell r="K114" t="str">
            <v>NFY07H0</v>
          </cell>
          <cell r="L114" t="str">
            <v>Dongen, van J.</v>
          </cell>
          <cell r="M114" t="str">
            <v>Jeroen</v>
          </cell>
          <cell r="N114">
            <v>28828</v>
          </cell>
          <cell r="Q114" t="str">
            <v>MW1</v>
          </cell>
        </row>
        <row r="115">
          <cell r="A115" t="str">
            <v>Wolleswinkel, I.M.S.(Iza)</v>
          </cell>
          <cell r="B115" t="str">
            <v>NLP78N3</v>
          </cell>
          <cell r="C115" t="str">
            <v>Wolleswinkel, I.M.S.</v>
          </cell>
          <cell r="D115" t="str">
            <v>Iza</v>
          </cell>
          <cell r="E115">
            <v>39328</v>
          </cell>
          <cell r="H115" t="str">
            <v>E2</v>
          </cell>
          <cell r="J115" t="str">
            <v>Meijer, K.H.J.(Koen)</v>
          </cell>
          <cell r="K115" t="str">
            <v>NJJ38C6</v>
          </cell>
          <cell r="L115" t="str">
            <v>Meijer, K.H.J.</v>
          </cell>
          <cell r="M115" t="str">
            <v>Koen</v>
          </cell>
          <cell r="N115">
            <v>32931</v>
          </cell>
          <cell r="Q115" t="str">
            <v>MW1</v>
          </cell>
        </row>
        <row r="116">
          <cell r="A116" t="str">
            <v>Aydin, R.A.S.(Rana)</v>
          </cell>
          <cell r="B116" t="str">
            <v>NLP78F7</v>
          </cell>
          <cell r="C116" t="str">
            <v>Aydin, R.A.S.</v>
          </cell>
          <cell r="D116" t="str">
            <v>Rana</v>
          </cell>
          <cell r="E116">
            <v>39026</v>
          </cell>
          <cell r="H116" t="str">
            <v>E3</v>
          </cell>
          <cell r="J116" t="str">
            <v>Vos, E.(Egbert)</v>
          </cell>
          <cell r="K116" t="str">
            <v>NFW26Q8</v>
          </cell>
          <cell r="L116" t="str">
            <v>Vos, E.</v>
          </cell>
          <cell r="M116" t="str">
            <v>Egbert</v>
          </cell>
          <cell r="N116">
            <v>29725</v>
          </cell>
          <cell r="Q116" t="str">
            <v>MW1</v>
          </cell>
        </row>
        <row r="117">
          <cell r="A117" t="str">
            <v>Blankenstijn, N.(Naomi)</v>
          </cell>
          <cell r="B117" t="str">
            <v>NLM86T1</v>
          </cell>
          <cell r="C117" t="str">
            <v>Blankenstijn, N.</v>
          </cell>
          <cell r="D117" t="str">
            <v>Naomi</v>
          </cell>
          <cell r="E117">
            <v>39220</v>
          </cell>
          <cell r="H117" t="str">
            <v>E3</v>
          </cell>
          <cell r="J117" t="str">
            <v>Dalen, van A.T.M.(Lex)</v>
          </cell>
          <cell r="K117" t="str">
            <v>NFX11D8</v>
          </cell>
          <cell r="L117" t="str">
            <v>Dalen, van A.T.M.</v>
          </cell>
          <cell r="M117" t="str">
            <v>Lex</v>
          </cell>
          <cell r="N117">
            <v>24583</v>
          </cell>
          <cell r="Q117" t="str">
            <v>MW2</v>
          </cell>
        </row>
        <row r="118">
          <cell r="A118" t="str">
            <v>Rubio Cubillos, L.P.(Luana)</v>
          </cell>
          <cell r="B118" t="str">
            <v>NLJ05D3</v>
          </cell>
          <cell r="C118" t="str">
            <v>Rubio Cubillos, L.P.</v>
          </cell>
          <cell r="D118" t="str">
            <v>Luana</v>
          </cell>
          <cell r="E118">
            <v>39411</v>
          </cell>
          <cell r="H118" t="str">
            <v>E4</v>
          </cell>
          <cell r="J118" t="str">
            <v>Kooij, C.W.(Wilco)</v>
          </cell>
          <cell r="K118" t="str">
            <v>NKH71P1</v>
          </cell>
          <cell r="L118" t="str">
            <v>Kooij, C.W.</v>
          </cell>
          <cell r="M118" t="str">
            <v>Wilco</v>
          </cell>
          <cell r="N118">
            <v>27643</v>
          </cell>
          <cell r="Q118" t="str">
            <v>MW2</v>
          </cell>
        </row>
        <row r="119">
          <cell r="A119" t="str">
            <v>Bouwknegt, L.V.(Lianne)</v>
          </cell>
          <cell r="B119" t="str">
            <v>NKY54N3</v>
          </cell>
          <cell r="C119" t="str">
            <v>Bouwknegt, L.V.</v>
          </cell>
          <cell r="D119" t="str">
            <v>Lianne</v>
          </cell>
          <cell r="E119">
            <v>39199</v>
          </cell>
          <cell r="H119" t="str">
            <v>E5</v>
          </cell>
          <cell r="J119" t="str">
            <v>Schmidt, M.G.(Michael)</v>
          </cell>
          <cell r="K119" t="str">
            <v>NJY57Y2</v>
          </cell>
          <cell r="L119" t="str">
            <v>Schmidt, M.G.</v>
          </cell>
          <cell r="M119" t="str">
            <v>Michael</v>
          </cell>
          <cell r="N119">
            <v>21227</v>
          </cell>
          <cell r="Q119" t="str">
            <v>MW2</v>
          </cell>
        </row>
        <row r="120">
          <cell r="A120" t="str">
            <v>Varik, van R.(Roos)</v>
          </cell>
          <cell r="B120" t="str">
            <v>NLL19W5</v>
          </cell>
          <cell r="C120" t="str">
            <v>Varik, van R.</v>
          </cell>
          <cell r="D120" t="str">
            <v>Roos</v>
          </cell>
          <cell r="E120">
            <v>39236</v>
          </cell>
          <cell r="H120" t="str">
            <v>E6</v>
          </cell>
          <cell r="J120" t="str">
            <v>Ullmann, M.(Mor)</v>
          </cell>
          <cell r="K120" t="str">
            <v>NJD38S2</v>
          </cell>
          <cell r="L120" t="str">
            <v>Ullmann, M.</v>
          </cell>
          <cell r="M120" t="str">
            <v>Mor</v>
          </cell>
          <cell r="N120">
            <v>30136</v>
          </cell>
          <cell r="Q120" t="str">
            <v>MW2</v>
          </cell>
        </row>
        <row r="121">
          <cell r="A121" t="str">
            <v>Bozuwa, J.(Julia)</v>
          </cell>
          <cell r="B121" t="str">
            <v>NLP78G4</v>
          </cell>
          <cell r="C121" t="str">
            <v>Bozuwa, J.</v>
          </cell>
          <cell r="D121" t="str">
            <v>Julia</v>
          </cell>
          <cell r="E121">
            <v>39274</v>
          </cell>
          <cell r="H121" t="str">
            <v>E7</v>
          </cell>
          <cell r="J121" t="str">
            <v>Dalen, van A.R.J.(Arjo)</v>
          </cell>
          <cell r="K121" t="str">
            <v>NKQ46S1</v>
          </cell>
          <cell r="L121" t="str">
            <v>Dalen, van A.R.J.</v>
          </cell>
          <cell r="M121" t="str">
            <v>Arjo</v>
          </cell>
          <cell r="N121">
            <v>26213</v>
          </cell>
          <cell r="Q121" t="str">
            <v>REC</v>
          </cell>
        </row>
        <row r="122">
          <cell r="A122" t="str">
            <v>Claessen, E.S.(Lisa)</v>
          </cell>
          <cell r="B122" t="str">
            <v>NLR59B4</v>
          </cell>
          <cell r="C122" t="str">
            <v>Claessen, E.S.</v>
          </cell>
          <cell r="D122" t="str">
            <v>Lisa</v>
          </cell>
          <cell r="E122">
            <v>38984</v>
          </cell>
          <cell r="H122" t="str">
            <v>E7</v>
          </cell>
          <cell r="J122" t="str">
            <v>Kleingeld, C(Kees)</v>
          </cell>
          <cell r="K122" t="str">
            <v>NFY84P7</v>
          </cell>
          <cell r="L122" t="str">
            <v>Kleingeld, C</v>
          </cell>
          <cell r="M122" t="str">
            <v>Kees</v>
          </cell>
          <cell r="N122">
            <v>20984</v>
          </cell>
          <cell r="Q122" t="str">
            <v>REC</v>
          </cell>
        </row>
        <row r="123">
          <cell r="A123" t="str">
            <v>Folles, A.C.(Annelouise)</v>
          </cell>
          <cell r="B123" t="str">
            <v>NLS27Q9</v>
          </cell>
          <cell r="C123" t="str">
            <v>Folles, A.C.</v>
          </cell>
          <cell r="D123" t="str">
            <v>Annelouise</v>
          </cell>
          <cell r="E123">
            <v>39420</v>
          </cell>
          <cell r="H123" t="str">
            <v>E8</v>
          </cell>
          <cell r="J123" t="str">
            <v>Wolff, P.E.(Paul)</v>
          </cell>
          <cell r="K123" t="str">
            <v>NFX10D5</v>
          </cell>
          <cell r="L123" t="str">
            <v>Wolff, P.E.</v>
          </cell>
          <cell r="M123" t="str">
            <v>Paul</v>
          </cell>
          <cell r="N123">
            <v>21292</v>
          </cell>
          <cell r="Q123" t="str">
            <v>REC</v>
          </cell>
        </row>
        <row r="124">
          <cell r="A124" t="str">
            <v>Hage, Q.A.M.(Quindsey)</v>
          </cell>
          <cell r="B124" t="str">
            <v>NLP77X0</v>
          </cell>
          <cell r="C124" t="str">
            <v>Hage, Q.A.M.</v>
          </cell>
          <cell r="D124" t="str">
            <v>Quindsey</v>
          </cell>
          <cell r="E124">
            <v>39361</v>
          </cell>
          <cell r="H124" t="str">
            <v>E8</v>
          </cell>
          <cell r="J124" t="str">
            <v>Donkervoort, M.E.(Max)</v>
          </cell>
          <cell r="K124" t="str">
            <v>NJF43V5</v>
          </cell>
          <cell r="L124" t="str">
            <v>Donkervoort, M.E.</v>
          </cell>
          <cell r="M124" t="str">
            <v>Max</v>
          </cell>
          <cell r="N124">
            <v>34896</v>
          </cell>
          <cell r="Q124" t="str">
            <v>S1/S2</v>
          </cell>
        </row>
        <row r="125">
          <cell r="A125" t="str">
            <v>Steenis, van Y.(Yelena)</v>
          </cell>
          <cell r="B125" t="str">
            <v>NLT04D0</v>
          </cell>
          <cell r="C125" t="str">
            <v>Steenis, van Y.</v>
          </cell>
          <cell r="D125" t="str">
            <v>Yelena</v>
          </cell>
          <cell r="E125">
            <v>39444</v>
          </cell>
          <cell r="H125" t="str">
            <v>E8</v>
          </cell>
          <cell r="J125" t="str">
            <v>Gent, van L(Lex)</v>
          </cell>
          <cell r="K125" t="str">
            <v>NJC17J5</v>
          </cell>
          <cell r="L125" t="str">
            <v>Gent, van L</v>
          </cell>
          <cell r="M125" t="str">
            <v>Lex</v>
          </cell>
          <cell r="N125">
            <v>34711</v>
          </cell>
          <cell r="Q125" t="str">
            <v>S1/S2</v>
          </cell>
        </row>
        <row r="126">
          <cell r="A126" t="str">
            <v>Tun?yürek, S.(Sümeyra)</v>
          </cell>
          <cell r="B126" t="str">
            <v>NLR80N6</v>
          </cell>
          <cell r="C126" t="str">
            <v>Tun?yürek, S.</v>
          </cell>
          <cell r="D126" t="str">
            <v>Sümeyra</v>
          </cell>
          <cell r="E126">
            <v>39167</v>
          </cell>
          <cell r="H126" t="str">
            <v>E8</v>
          </cell>
          <cell r="J126" t="str">
            <v>Kalkeren, van R.(Robin)</v>
          </cell>
          <cell r="K126" t="str">
            <v>NJF24X2</v>
          </cell>
          <cell r="L126" t="str">
            <v>Kalkeren, van R.</v>
          </cell>
          <cell r="M126" t="str">
            <v>Robin</v>
          </cell>
          <cell r="N126">
            <v>35246</v>
          </cell>
          <cell r="Q126" t="str">
            <v>S1/S2</v>
          </cell>
        </row>
        <row r="127">
          <cell r="A127" t="str">
            <v>Gökgün, D.H.(Dilara)</v>
          </cell>
          <cell r="B127" t="str">
            <v>NLM40H9</v>
          </cell>
          <cell r="C127" t="str">
            <v>Gökgün, D.H.</v>
          </cell>
          <cell r="D127" t="str">
            <v>Dilara</v>
          </cell>
          <cell r="E127">
            <v>39055</v>
          </cell>
          <cell r="H127" t="str">
            <v>Stopt</v>
          </cell>
          <cell r="J127" t="str">
            <v>Klink, M(Marijn)</v>
          </cell>
          <cell r="K127" t="str">
            <v>NJF77Y3</v>
          </cell>
          <cell r="L127" t="str">
            <v>Klink, M</v>
          </cell>
          <cell r="M127" t="str">
            <v>Marijn</v>
          </cell>
          <cell r="N127">
            <v>35550</v>
          </cell>
          <cell r="Q127" t="str">
            <v>S1/S2</v>
          </cell>
        </row>
        <row r="128">
          <cell r="A128" t="str">
            <v>Gundogdu, I.(Irmak)</v>
          </cell>
          <cell r="B128" t="str">
            <v>NLN28Z0</v>
          </cell>
          <cell r="C128" t="str">
            <v>Gundogdu, I.</v>
          </cell>
          <cell r="D128" t="str">
            <v>Irmak</v>
          </cell>
          <cell r="E128">
            <v>38931</v>
          </cell>
          <cell r="H128" t="str">
            <v>Stopt</v>
          </cell>
          <cell r="J128" t="str">
            <v>Kuperus, S.(Steven)</v>
          </cell>
          <cell r="K128" t="str">
            <v>NGT92Q5</v>
          </cell>
          <cell r="L128" t="str">
            <v>Kuperus, S.</v>
          </cell>
          <cell r="M128" t="str">
            <v>Steven</v>
          </cell>
          <cell r="N128">
            <v>33058</v>
          </cell>
          <cell r="Q128" t="str">
            <v>S1/S2</v>
          </cell>
        </row>
        <row r="129">
          <cell r="A129" t="str">
            <v>Peenstra, I.N.(Iris)</v>
          </cell>
          <cell r="B129" t="str">
            <v>NLG79Z1</v>
          </cell>
          <cell r="C129" t="str">
            <v>Peenstra, I.N.</v>
          </cell>
          <cell r="D129" t="str">
            <v>Iris</v>
          </cell>
          <cell r="E129">
            <v>38728</v>
          </cell>
          <cell r="H129" t="str">
            <v>Stopt</v>
          </cell>
          <cell r="J129" t="str">
            <v>Naaktgeboren, S.(Stefan)</v>
          </cell>
          <cell r="K129" t="str">
            <v>NGT16K5</v>
          </cell>
          <cell r="L129" t="str">
            <v>Naaktgeboren, S.</v>
          </cell>
          <cell r="M129" t="str">
            <v>Stefan</v>
          </cell>
          <cell r="N129">
            <v>33241</v>
          </cell>
          <cell r="Q129" t="str">
            <v>S1/S2</v>
          </cell>
        </row>
        <row r="130">
          <cell r="A130" t="str">
            <v>Willigen, van E.M.(Evy)</v>
          </cell>
          <cell r="B130" t="str">
            <v>NLK34W9</v>
          </cell>
          <cell r="C130" t="str">
            <v>Willigen, van E.M.</v>
          </cell>
          <cell r="D130" t="str">
            <v>Evy</v>
          </cell>
          <cell r="E130">
            <v>39007</v>
          </cell>
          <cell r="H130" t="str">
            <v>Stopt</v>
          </cell>
          <cell r="J130" t="str">
            <v>Ooijen, van N.(Nando)</v>
          </cell>
          <cell r="K130" t="str">
            <v>NJT89Y8</v>
          </cell>
          <cell r="L130" t="str">
            <v>Ooijen, van N.</v>
          </cell>
          <cell r="M130" t="str">
            <v>Nando</v>
          </cell>
          <cell r="N130">
            <v>33898</v>
          </cell>
          <cell r="Q130" t="str">
            <v>S1/S2</v>
          </cell>
        </row>
        <row r="131">
          <cell r="A131" t="str">
            <v>Klooster, van der C.(Carmen)</v>
          </cell>
          <cell r="B131" t="str">
            <v>NLN05N7</v>
          </cell>
          <cell r="C131" t="str">
            <v>Klooster, van der C.</v>
          </cell>
          <cell r="D131" t="str">
            <v>Carmen</v>
          </cell>
          <cell r="E131">
            <v>39760</v>
          </cell>
          <cell r="H131" t="str">
            <v>E2</v>
          </cell>
          <cell r="J131" t="str">
            <v>Peuter, de F.(Freek)</v>
          </cell>
          <cell r="K131" t="str">
            <v>NJG52P6</v>
          </cell>
          <cell r="L131" t="str">
            <v>Peuter, de F.</v>
          </cell>
          <cell r="M131" t="str">
            <v>Freek</v>
          </cell>
          <cell r="N131">
            <v>35270</v>
          </cell>
          <cell r="Q131" t="str">
            <v>S1/S2</v>
          </cell>
        </row>
        <row r="132">
          <cell r="A132" t="str">
            <v>Verboom, S.(Stella)</v>
          </cell>
          <cell r="B132" t="str">
            <v>NLP78C6</v>
          </cell>
          <cell r="C132" t="str">
            <v>Verboom, S.</v>
          </cell>
          <cell r="D132" t="str">
            <v>Stella</v>
          </cell>
          <cell r="E132">
            <v>39562</v>
          </cell>
          <cell r="H132" t="str">
            <v>E3</v>
          </cell>
          <cell r="J132" t="str">
            <v>Ploeg, H(Henno)</v>
          </cell>
          <cell r="K132" t="str">
            <v>NFW29N6</v>
          </cell>
          <cell r="L132" t="str">
            <v>Ploeg, H</v>
          </cell>
          <cell r="M132" t="str">
            <v>Henno</v>
          </cell>
          <cell r="N132">
            <v>31501</v>
          </cell>
          <cell r="Q132" t="str">
            <v>S1/S2</v>
          </cell>
        </row>
        <row r="133">
          <cell r="A133" t="str">
            <v>Linden, van der B.S.(Benthe)</v>
          </cell>
          <cell r="B133" t="str">
            <v>NLP78D3</v>
          </cell>
          <cell r="C133" t="str">
            <v>Linden, van der B.S.</v>
          </cell>
          <cell r="D133" t="str">
            <v>Benthe</v>
          </cell>
          <cell r="E133">
            <v>39629</v>
          </cell>
          <cell r="H133" t="str">
            <v>E4</v>
          </cell>
          <cell r="J133" t="str">
            <v>Strijen, van L.A.(Lars)</v>
          </cell>
          <cell r="K133" t="str">
            <v>NJF53H2</v>
          </cell>
          <cell r="L133" t="str">
            <v>Strijen, van L.A.</v>
          </cell>
          <cell r="M133" t="str">
            <v>Lars</v>
          </cell>
          <cell r="N133">
            <v>35330</v>
          </cell>
          <cell r="Q133" t="str">
            <v>S1/S2</v>
          </cell>
        </row>
        <row r="134">
          <cell r="A134" t="str">
            <v>Everaarts, A.E.(Anna)</v>
          </cell>
          <cell r="B134" t="str">
            <v>NLC07S7</v>
          </cell>
          <cell r="C134" t="str">
            <v>Everaarts, A.E.</v>
          </cell>
          <cell r="D134" t="str">
            <v>Anna</v>
          </cell>
          <cell r="E134">
            <v>39589</v>
          </cell>
          <cell r="H134" t="str">
            <v>E5</v>
          </cell>
          <cell r="J134" t="str">
            <v>Vlaming, de R.(Roy)</v>
          </cell>
          <cell r="K134" t="str">
            <v>NKQ40P2</v>
          </cell>
          <cell r="L134" t="str">
            <v>Vlaming, de R.</v>
          </cell>
          <cell r="M134" t="str">
            <v>Roy</v>
          </cell>
          <cell r="N134">
            <v>30994</v>
          </cell>
          <cell r="Q134" t="str">
            <v>S1/S2</v>
          </cell>
        </row>
        <row r="135">
          <cell r="A135" t="str">
            <v>Kilsdonk, S.A(Sophie)</v>
          </cell>
          <cell r="B135" t="str">
            <v>NLS45N2</v>
          </cell>
          <cell r="C135" t="str">
            <v>Kilsdonk, S.A</v>
          </cell>
          <cell r="D135" t="str">
            <v>Sophie</v>
          </cell>
          <cell r="E135">
            <v>39538</v>
          </cell>
          <cell r="H135" t="str">
            <v>E6</v>
          </cell>
          <cell r="J135" t="str">
            <v>Broek, van den E.(Edwin)</v>
          </cell>
          <cell r="K135" t="str">
            <v>NGH43G1</v>
          </cell>
          <cell r="L135" t="str">
            <v>Broek, van den E.</v>
          </cell>
          <cell r="M135" t="str">
            <v>Edwin</v>
          </cell>
          <cell r="N135">
            <v>32004</v>
          </cell>
          <cell r="Q135" t="str">
            <v>S3</v>
          </cell>
        </row>
        <row r="136">
          <cell r="A136" t="str">
            <v>Oomens, H.(Hanna)</v>
          </cell>
          <cell r="B136" t="str">
            <v>NLS08K0</v>
          </cell>
          <cell r="C136" t="str">
            <v>Oomens, H.</v>
          </cell>
          <cell r="D136" t="str">
            <v>Hanna</v>
          </cell>
          <cell r="E136">
            <v>39635</v>
          </cell>
          <cell r="H136" t="str">
            <v>E7</v>
          </cell>
          <cell r="J136" t="str">
            <v>Brugge, van der B.R.(Bart)</v>
          </cell>
          <cell r="K136" t="str">
            <v>NJH39X4</v>
          </cell>
          <cell r="L136" t="str">
            <v>Brugge, van der B.R.</v>
          </cell>
          <cell r="M136" t="str">
            <v>Bart</v>
          </cell>
          <cell r="N136">
            <v>34900</v>
          </cell>
          <cell r="Q136" t="str">
            <v>S3</v>
          </cell>
        </row>
        <row r="137">
          <cell r="A137" t="str">
            <v>Evangelista Fraschini, M.(Mia)</v>
          </cell>
          <cell r="B137" t="str">
            <v>NLQ20M8</v>
          </cell>
          <cell r="C137" t="str">
            <v>Evangelista Fraschini, M.</v>
          </cell>
          <cell r="D137" t="str">
            <v>Mia</v>
          </cell>
          <cell r="E137">
            <v>39458</v>
          </cell>
          <cell r="H137" t="str">
            <v>E8</v>
          </cell>
          <cell r="J137" t="str">
            <v>Mans, B.(Bob)</v>
          </cell>
          <cell r="K137" t="str">
            <v>NJF95S5</v>
          </cell>
          <cell r="L137" t="str">
            <v>Mans, B.</v>
          </cell>
          <cell r="M137" t="str">
            <v>Bob</v>
          </cell>
          <cell r="N137">
            <v>35372</v>
          </cell>
          <cell r="Q137" t="str">
            <v>S3</v>
          </cell>
        </row>
        <row r="138">
          <cell r="A138" t="str">
            <v>Burgt, van de E.(Elize)</v>
          </cell>
          <cell r="B138" t="str">
            <v>NLL20G1</v>
          </cell>
          <cell r="C138" t="str">
            <v>Burgt, van de E.</v>
          </cell>
          <cell r="D138" t="str">
            <v>Elize</v>
          </cell>
          <cell r="E138">
            <v>39804</v>
          </cell>
          <cell r="H138" t="str">
            <v>F1</v>
          </cell>
          <cell r="J138" t="str">
            <v>Mol, T.(Thomas)</v>
          </cell>
          <cell r="K138" t="str">
            <v>NJT90P3</v>
          </cell>
          <cell r="L138" t="str">
            <v>Mol, T.</v>
          </cell>
          <cell r="M138" t="str">
            <v>Thomas</v>
          </cell>
          <cell r="N138">
            <v>35291</v>
          </cell>
          <cell r="Q138" t="str">
            <v>S3</v>
          </cell>
        </row>
        <row r="139">
          <cell r="A139" t="str">
            <v>Lohuis, F.A.C.(Floor)</v>
          </cell>
          <cell r="B139" t="str">
            <v>NLJ04Z4</v>
          </cell>
          <cell r="C139" t="str">
            <v>Lohuis, F.A.C.</v>
          </cell>
          <cell r="D139" t="str">
            <v>Floor</v>
          </cell>
          <cell r="E139">
            <v>39878</v>
          </cell>
          <cell r="H139" t="str">
            <v>F1</v>
          </cell>
          <cell r="J139" t="str">
            <v>Pierse, J.(Jorik)</v>
          </cell>
          <cell r="K139" t="str">
            <v>NJC15Q8</v>
          </cell>
          <cell r="L139" t="str">
            <v>Pierse, J.</v>
          </cell>
          <cell r="M139" t="str">
            <v>Jorik</v>
          </cell>
          <cell r="N139">
            <v>34960</v>
          </cell>
          <cell r="Q139" t="str">
            <v>S3</v>
          </cell>
        </row>
        <row r="140">
          <cell r="A140" t="str">
            <v>Wit, de Y.(Yinthe)</v>
          </cell>
          <cell r="B140" t="str">
            <v>NLL19S7</v>
          </cell>
          <cell r="C140" t="str">
            <v>Wit, de Y.</v>
          </cell>
          <cell r="D140" t="str">
            <v>Yinthe</v>
          </cell>
          <cell r="E140">
            <v>39958</v>
          </cell>
          <cell r="H140" t="str">
            <v>F1</v>
          </cell>
          <cell r="J140" t="str">
            <v>Belder, S.(Steven)</v>
          </cell>
          <cell r="K140" t="str">
            <v>NFW42L1</v>
          </cell>
          <cell r="L140" t="str">
            <v>Belder, S.</v>
          </cell>
          <cell r="M140" t="str">
            <v>Steven</v>
          </cell>
          <cell r="N140">
            <v>29709</v>
          </cell>
          <cell r="Q140" t="str">
            <v>S4</v>
          </cell>
        </row>
        <row r="141">
          <cell r="A141" t="str">
            <v>Dongen, van M.J.(Madelief)</v>
          </cell>
          <cell r="B141" t="str">
            <v>NLL53K3</v>
          </cell>
          <cell r="C141" t="str">
            <v>Dongen, van M.J.</v>
          </cell>
          <cell r="D141" t="str">
            <v>Madelief</v>
          </cell>
          <cell r="E141">
            <v>40143</v>
          </cell>
          <cell r="H141" t="str">
            <v>F2</v>
          </cell>
          <cell r="J141" t="str">
            <v>Boshoven, D.(Davy)</v>
          </cell>
          <cell r="K141" t="str">
            <v>NFW40D9</v>
          </cell>
          <cell r="L141" t="str">
            <v>Boshoven, D.</v>
          </cell>
          <cell r="M141" t="str">
            <v>Davy</v>
          </cell>
          <cell r="N141">
            <v>27506</v>
          </cell>
          <cell r="Q141" t="str">
            <v>S4</v>
          </cell>
        </row>
        <row r="142">
          <cell r="A142" t="str">
            <v>Reuvers, L.(Lisa)</v>
          </cell>
          <cell r="B142" t="str">
            <v>NLS08H9</v>
          </cell>
          <cell r="C142" t="str">
            <v>Reuvers, L.</v>
          </cell>
          <cell r="D142" t="str">
            <v>Lisa</v>
          </cell>
          <cell r="E142">
            <v>39993</v>
          </cell>
          <cell r="H142" t="str">
            <v>F2</v>
          </cell>
          <cell r="J142" t="str">
            <v>Kalkeren, van M.(Marco)</v>
          </cell>
          <cell r="K142" t="str">
            <v>NFW13Y0</v>
          </cell>
          <cell r="L142" t="str">
            <v>Kalkeren, van M.</v>
          </cell>
          <cell r="M142" t="str">
            <v>Marco</v>
          </cell>
          <cell r="N142">
            <v>25227</v>
          </cell>
          <cell r="Q142" t="str">
            <v>S4</v>
          </cell>
        </row>
        <row r="143">
          <cell r="A143" t="str">
            <v>Zwanenburg, R.J.(Robin)</v>
          </cell>
          <cell r="B143" t="str">
            <v>NLS76C3</v>
          </cell>
          <cell r="C143" t="str">
            <v>Zwanenburg, R.J.</v>
          </cell>
          <cell r="D143" t="str">
            <v>Robin</v>
          </cell>
          <cell r="E143">
            <v>40097</v>
          </cell>
          <cell r="H143" t="str">
            <v>F2</v>
          </cell>
          <cell r="J143" t="str">
            <v>Laban, A.J.(Antjan)</v>
          </cell>
          <cell r="K143" t="str">
            <v>NFW92M3</v>
          </cell>
          <cell r="L143" t="str">
            <v>Laban, A.J.</v>
          </cell>
          <cell r="M143" t="str">
            <v>Antjan</v>
          </cell>
          <cell r="N143">
            <v>29340</v>
          </cell>
          <cell r="Q143" t="str">
            <v>S4</v>
          </cell>
        </row>
        <row r="144">
          <cell r="A144" t="str">
            <v>Burgt, van de F.(Feline)</v>
          </cell>
          <cell r="B144" t="str">
            <v>NLL20H8</v>
          </cell>
          <cell r="C144" t="str">
            <v>Burgt, van de F.</v>
          </cell>
          <cell r="D144" t="str">
            <v>Feline</v>
          </cell>
          <cell r="E144">
            <v>40429</v>
          </cell>
          <cell r="H144" t="str">
            <v>F3</v>
          </cell>
          <cell r="J144" t="str">
            <v>Verwaal, J.P.(Jan-Peter)</v>
          </cell>
          <cell r="K144" t="str">
            <v>NFW14Y3</v>
          </cell>
          <cell r="L144" t="str">
            <v>Verwaal, J.P.</v>
          </cell>
          <cell r="M144" t="str">
            <v>Jan-Peter</v>
          </cell>
          <cell r="N144">
            <v>25273</v>
          </cell>
          <cell r="Q144" t="str">
            <v>S4</v>
          </cell>
        </row>
        <row r="145">
          <cell r="A145" t="str">
            <v>Kleingeld, J.N.(Julia)</v>
          </cell>
          <cell r="B145" t="str">
            <v>NKT65Z0</v>
          </cell>
          <cell r="C145" t="str">
            <v>Kleingeld, J.N.</v>
          </cell>
          <cell r="D145" t="str">
            <v>Julia</v>
          </cell>
          <cell r="E145">
            <v>40446</v>
          </cell>
          <cell r="H145" t="str">
            <v>F3</v>
          </cell>
          <cell r="J145" t="str">
            <v>Ameijden, van M.(Marijn)</v>
          </cell>
          <cell r="K145" t="str">
            <v>NGP49D6</v>
          </cell>
          <cell r="L145" t="str">
            <v>Ameijden, van M.</v>
          </cell>
          <cell r="M145" t="str">
            <v>Marijn</v>
          </cell>
          <cell r="N145">
            <v>32911</v>
          </cell>
          <cell r="Q145" t="str">
            <v>S6</v>
          </cell>
        </row>
        <row r="146">
          <cell r="A146" t="str">
            <v>Stomp, N.(Noa)</v>
          </cell>
          <cell r="B146" t="str">
            <v>NLN41L1</v>
          </cell>
          <cell r="C146" t="str">
            <v>Stomp, N.</v>
          </cell>
          <cell r="D146" t="str">
            <v>Noa</v>
          </cell>
          <cell r="E146">
            <v>40439</v>
          </cell>
          <cell r="H146" t="str">
            <v>F3</v>
          </cell>
          <cell r="J146" t="str">
            <v>Lagendijk, C.W.P.(Pieter)</v>
          </cell>
          <cell r="K146" t="str">
            <v>NFV90Z7</v>
          </cell>
          <cell r="L146" t="str">
            <v>Lagendijk, C.W.P.</v>
          </cell>
          <cell r="M146" t="str">
            <v>Pieter</v>
          </cell>
          <cell r="N146">
            <v>29948</v>
          </cell>
          <cell r="Q146" t="str">
            <v>S6</v>
          </cell>
        </row>
        <row r="147">
          <cell r="A147" t="str">
            <v>Verhoef, H.E.(Hanna)</v>
          </cell>
          <cell r="B147" t="str">
            <v>NLS76B6</v>
          </cell>
          <cell r="C147" t="str">
            <v>Verhoef, H.E.</v>
          </cell>
          <cell r="D147" t="str">
            <v>Hanna</v>
          </cell>
          <cell r="E147">
            <v>40402</v>
          </cell>
          <cell r="H147" t="str">
            <v>F3</v>
          </cell>
          <cell r="J147" t="str">
            <v>Scheurwater, T.(Tiemen)</v>
          </cell>
          <cell r="K147" t="str">
            <v>NJB72K6</v>
          </cell>
          <cell r="L147" t="str">
            <v>Scheurwater, T.</v>
          </cell>
          <cell r="M147" t="str">
            <v>Tiemen</v>
          </cell>
          <cell r="N147">
            <v>32967</v>
          </cell>
          <cell r="Q147" t="str">
            <v>S6</v>
          </cell>
        </row>
        <row r="148">
          <cell r="A148" t="str">
            <v>Volker, T.N.(Tess)</v>
          </cell>
          <cell r="B148" t="str">
            <v>NLP89W4</v>
          </cell>
          <cell r="C148" t="str">
            <v>Volker, T.N.</v>
          </cell>
          <cell r="D148" t="str">
            <v>Tess</v>
          </cell>
          <cell r="E148">
            <v>40227</v>
          </cell>
          <cell r="H148" t="str">
            <v>F3</v>
          </cell>
          <cell r="J148" t="str">
            <v>Stehouwer, F.(Ferry)</v>
          </cell>
          <cell r="K148" t="str">
            <v>NGZ14L2</v>
          </cell>
          <cell r="L148" t="str">
            <v>Stehouwer, F.</v>
          </cell>
          <cell r="M148" t="str">
            <v>Ferry</v>
          </cell>
          <cell r="N148">
            <v>33439</v>
          </cell>
          <cell r="Q148" t="str">
            <v>S6</v>
          </cell>
        </row>
        <row r="149">
          <cell r="A149" t="str">
            <v>Baas, N.J.(Nikki)</v>
          </cell>
          <cell r="B149" t="str">
            <v>NLS54M7</v>
          </cell>
          <cell r="C149" t="str">
            <v>Baas, N.J.</v>
          </cell>
          <cell r="D149" t="str">
            <v>Nikki</v>
          </cell>
          <cell r="E149">
            <v>40498</v>
          </cell>
          <cell r="H149" t="str">
            <v>F4</v>
          </cell>
          <cell r="J149" t="str">
            <v>Wiel, van der P.(Peter)</v>
          </cell>
          <cell r="K149" t="str">
            <v>NGL91T5</v>
          </cell>
          <cell r="L149" t="str">
            <v>Wiel, van der P.</v>
          </cell>
          <cell r="M149" t="str">
            <v>Peter</v>
          </cell>
          <cell r="N149">
            <v>32808</v>
          </cell>
          <cell r="Q149" t="str">
            <v>S6</v>
          </cell>
        </row>
        <row r="150">
          <cell r="A150" t="str">
            <v>Bouwknegt, E.L.(Enora)</v>
          </cell>
          <cell r="B150" t="str">
            <v>NLM40K0</v>
          </cell>
          <cell r="C150" t="str">
            <v>Bouwknegt, E.L.</v>
          </cell>
          <cell r="D150" t="str">
            <v>Enora</v>
          </cell>
          <cell r="E150">
            <v>40512</v>
          </cell>
          <cell r="H150" t="str">
            <v>F4</v>
          </cell>
          <cell r="J150" t="str">
            <v>Haan, de A(Anne)</v>
          </cell>
          <cell r="K150" t="str">
            <v>NGL45C3</v>
          </cell>
          <cell r="L150" t="str">
            <v>Haan, de A</v>
          </cell>
          <cell r="M150" t="str">
            <v>Anne</v>
          </cell>
          <cell r="N150">
            <v>32861</v>
          </cell>
          <cell r="Q150" t="str">
            <v>S7</v>
          </cell>
        </row>
        <row r="151">
          <cell r="A151" t="str">
            <v>Stam, S.(Sanne)</v>
          </cell>
          <cell r="B151" t="str">
            <v>NLS08J3</v>
          </cell>
          <cell r="C151" t="str">
            <v>Stam, S.</v>
          </cell>
          <cell r="D151" t="str">
            <v>Sanne</v>
          </cell>
          <cell r="E151">
            <v>40507</v>
          </cell>
          <cell r="H151" t="str">
            <v>F4</v>
          </cell>
          <cell r="J151" t="str">
            <v>Hendriks, T.(Tom)</v>
          </cell>
          <cell r="K151" t="str">
            <v>NJF34K6</v>
          </cell>
          <cell r="L151" t="str">
            <v>Hendriks, T.</v>
          </cell>
          <cell r="M151" t="str">
            <v>Tom</v>
          </cell>
          <cell r="N151">
            <v>35092</v>
          </cell>
          <cell r="Q151" t="str">
            <v>S7</v>
          </cell>
        </row>
        <row r="152">
          <cell r="A152" t="str">
            <v>Vaartmans, B.(Britt)</v>
          </cell>
          <cell r="B152" t="str">
            <v>NLM86V5</v>
          </cell>
          <cell r="C152" t="str">
            <v>Vaartmans, B.</v>
          </cell>
          <cell r="D152" t="str">
            <v>Britt</v>
          </cell>
          <cell r="E152">
            <v>40561</v>
          </cell>
          <cell r="H152" t="str">
            <v>F4</v>
          </cell>
          <cell r="J152" t="str">
            <v>Tol, van R.J.P.(Rob)</v>
          </cell>
          <cell r="K152" t="str">
            <v>NFY89D8</v>
          </cell>
          <cell r="L152" t="str">
            <v>Tol, van R.J.P.</v>
          </cell>
          <cell r="M152" t="str">
            <v>Rob</v>
          </cell>
          <cell r="N152">
            <v>32205</v>
          </cell>
          <cell r="Q152" t="str">
            <v>S7</v>
          </cell>
        </row>
        <row r="153">
          <cell r="A153" t="str">
            <v>Wiel, van der D.N.(Danique)</v>
          </cell>
          <cell r="B153" t="str">
            <v>NLP78L9</v>
          </cell>
          <cell r="C153" t="str">
            <v>Wiel, van der D.N.</v>
          </cell>
          <cell r="D153" t="str">
            <v>Danique</v>
          </cell>
          <cell r="E153">
            <v>40538</v>
          </cell>
          <cell r="H153" t="str">
            <v>F4</v>
          </cell>
          <cell r="J153" t="str">
            <v>Ton, T.(Thomas)</v>
          </cell>
          <cell r="K153" t="str">
            <v>NHY59B3</v>
          </cell>
          <cell r="L153" t="str">
            <v>Ton, T.</v>
          </cell>
          <cell r="M153" t="str">
            <v>Thomas</v>
          </cell>
          <cell r="N153">
            <v>33325</v>
          </cell>
          <cell r="Q153" t="str">
            <v>S7</v>
          </cell>
        </row>
        <row r="154">
          <cell r="A154" t="str">
            <v>Camphens, S.(Saar)</v>
          </cell>
          <cell r="B154" t="str">
            <v>NLS34M7</v>
          </cell>
          <cell r="C154" t="str">
            <v>Camphens, S.</v>
          </cell>
          <cell r="D154" t="str">
            <v>Saar</v>
          </cell>
          <cell r="E154">
            <v>40786</v>
          </cell>
          <cell r="H154" t="str">
            <v>KANG</v>
          </cell>
          <cell r="J154" t="str">
            <v>Witter, H(Herman)</v>
          </cell>
          <cell r="K154" t="str">
            <v>NGK16P1</v>
          </cell>
          <cell r="L154" t="str">
            <v>Witter, H</v>
          </cell>
          <cell r="M154" t="str">
            <v>Herman</v>
          </cell>
          <cell r="N154">
            <v>32462</v>
          </cell>
          <cell r="Q154" t="str">
            <v>S7</v>
          </cell>
        </row>
        <row r="155">
          <cell r="A155" t="str">
            <v>Grootenboer, T.L.(Tess)</v>
          </cell>
          <cell r="B155" t="str">
            <v>NLP89T3</v>
          </cell>
          <cell r="C155" t="str">
            <v>Grootenboer, T.L.</v>
          </cell>
          <cell r="D155" t="str">
            <v>Tess</v>
          </cell>
          <cell r="E155">
            <v>40652</v>
          </cell>
          <cell r="H155" t="str">
            <v>KANG</v>
          </cell>
          <cell r="J155" t="str">
            <v>Helmos, R.F.(Roy)</v>
          </cell>
          <cell r="K155" t="str">
            <v>NFW28Q4</v>
          </cell>
          <cell r="L155" t="str">
            <v>Helmos, R.F.</v>
          </cell>
          <cell r="M155" t="str">
            <v>Roy</v>
          </cell>
          <cell r="N155">
            <v>30440</v>
          </cell>
          <cell r="Q155" t="str">
            <v>S8</v>
          </cell>
        </row>
        <row r="156">
          <cell r="A156" t="str">
            <v>Bakker, F.(Femke)</v>
          </cell>
          <cell r="B156" t="str">
            <v>NLQ98H2</v>
          </cell>
          <cell r="C156" t="str">
            <v>Bakker, F.</v>
          </cell>
          <cell r="D156" t="str">
            <v>Femke</v>
          </cell>
          <cell r="E156">
            <v>40344</v>
          </cell>
          <cell r="H156"/>
          <cell r="J156" t="str">
            <v>Verstappen, P.(Philip)</v>
          </cell>
          <cell r="K156" t="str">
            <v>NFZ27D3</v>
          </cell>
          <cell r="L156" t="str">
            <v>Verstappen, P.</v>
          </cell>
          <cell r="M156" t="str">
            <v>Philip</v>
          </cell>
          <cell r="N156">
            <v>31528</v>
          </cell>
          <cell r="Q156" t="str">
            <v>S8</v>
          </cell>
        </row>
        <row r="157">
          <cell r="A157" t="str">
            <v>Jongkind, F.W.J.(Floortje)</v>
          </cell>
          <cell r="B157" t="str">
            <v>NLR34F7</v>
          </cell>
          <cell r="C157" t="str">
            <v>Jongkind, F.W.J.</v>
          </cell>
          <cell r="D157" t="str">
            <v>Floortje</v>
          </cell>
          <cell r="E157">
            <v>40243</v>
          </cell>
          <cell r="H157"/>
          <cell r="J157" t="str">
            <v>Wiel, van der M.(Martijn)</v>
          </cell>
          <cell r="K157" t="str">
            <v>NFW26R5</v>
          </cell>
          <cell r="L157" t="str">
            <v>Wiel, van der M.</v>
          </cell>
          <cell r="M157" t="str">
            <v>Martijn</v>
          </cell>
          <cell r="N157">
            <v>29603</v>
          </cell>
          <cell r="Q157" t="str">
            <v>S8</v>
          </cell>
        </row>
        <row r="158">
          <cell r="A158" t="str">
            <v>Rooij, van M.L.(Maud)</v>
          </cell>
          <cell r="B158" t="str">
            <v>NLQ98G5</v>
          </cell>
          <cell r="C158" t="str">
            <v>Rooij, van M.L.</v>
          </cell>
          <cell r="D158" t="str">
            <v>Maud</v>
          </cell>
          <cell r="E158">
            <v>40438</v>
          </cell>
          <cell r="H158"/>
          <cell r="J158" t="str">
            <v>Ameijden, van R.(Robbert)</v>
          </cell>
          <cell r="K158" t="str">
            <v>NGP49B2</v>
          </cell>
          <cell r="L158" t="str">
            <v>Ameijden, van R.</v>
          </cell>
          <cell r="M158" t="str">
            <v>Robbert</v>
          </cell>
          <cell r="N158">
            <v>32911</v>
          </cell>
          <cell r="Q158" t="str">
            <v>S9</v>
          </cell>
        </row>
        <row r="159">
          <cell r="A159" t="str">
            <v>Dommisse, R.(Robin)</v>
          </cell>
          <cell r="B159" t="str">
            <v>NJQ72K1</v>
          </cell>
          <cell r="C159" t="str">
            <v>Dommisse, R.</v>
          </cell>
          <cell r="D159" t="str">
            <v>Robin</v>
          </cell>
          <cell r="E159">
            <v>36111</v>
          </cell>
          <cell r="H159" t="str">
            <v>A1</v>
          </cell>
          <cell r="J159" t="str">
            <v>Draaijer, R.(Rens)</v>
          </cell>
          <cell r="K159" t="str">
            <v>NGT42V5</v>
          </cell>
          <cell r="L159" t="str">
            <v>Draaijer, R.</v>
          </cell>
          <cell r="M159" t="str">
            <v>Rens</v>
          </cell>
          <cell r="N159">
            <v>33211</v>
          </cell>
          <cell r="Q159" t="str">
            <v>S9</v>
          </cell>
        </row>
        <row r="160">
          <cell r="A160" t="str">
            <v>Bax, E.S.(Erinn)</v>
          </cell>
          <cell r="B160" t="str">
            <v>NJX40G9</v>
          </cell>
          <cell r="C160" t="str">
            <v>Bax, E.S.</v>
          </cell>
          <cell r="D160" t="str">
            <v>Erinn</v>
          </cell>
          <cell r="E160">
            <v>36032</v>
          </cell>
          <cell r="H160" t="str">
            <v>A2</v>
          </cell>
          <cell r="J160" t="str">
            <v>Hartman, V.J.W.A.D.(Victor)</v>
          </cell>
          <cell r="K160" t="str">
            <v>NJC21L6</v>
          </cell>
          <cell r="L160" t="str">
            <v>Hartman, V.J.W.A.D.</v>
          </cell>
          <cell r="M160" t="str">
            <v>Victor</v>
          </cell>
          <cell r="N160">
            <v>34421</v>
          </cell>
          <cell r="Q160" t="str">
            <v>S9</v>
          </cell>
        </row>
        <row r="161">
          <cell r="A161" t="str">
            <v>Kruithof, L.(Lisa)</v>
          </cell>
          <cell r="B161" t="str">
            <v>NJM75B3</v>
          </cell>
          <cell r="C161" t="str">
            <v>Kruithof, L.</v>
          </cell>
          <cell r="D161" t="str">
            <v>Lisa</v>
          </cell>
          <cell r="E161">
            <v>35966</v>
          </cell>
          <cell r="H161" t="str">
            <v>S3</v>
          </cell>
          <cell r="J161" t="str">
            <v>Wondergem, M.(Mark-Jan)</v>
          </cell>
          <cell r="K161" t="str">
            <v>NGB14K1</v>
          </cell>
          <cell r="L161" t="str">
            <v>Wondergem, M.</v>
          </cell>
          <cell r="M161" t="str">
            <v>Mark-Jan</v>
          </cell>
          <cell r="N161">
            <v>31211</v>
          </cell>
          <cell r="Q161" t="str">
            <v>S9</v>
          </cell>
        </row>
        <row r="162">
          <cell r="A162" t="str">
            <v>Nelemans, A.(Anouk)</v>
          </cell>
          <cell r="B162" t="str">
            <v>NJM75F1</v>
          </cell>
          <cell r="C162" t="str">
            <v>Nelemans, A.</v>
          </cell>
          <cell r="D162" t="str">
            <v>Anouk</v>
          </cell>
          <cell r="E162">
            <v>35935</v>
          </cell>
          <cell r="H162" t="str">
            <v>A2</v>
          </cell>
          <cell r="J162" t="str">
            <v>Blaay, de S.M.(Stefan)</v>
          </cell>
          <cell r="K162" t="str">
            <v>NJK12T8</v>
          </cell>
          <cell r="L162" t="str">
            <v>Blaay, de S.M.</v>
          </cell>
          <cell r="M162" t="str">
            <v>Stefan</v>
          </cell>
          <cell r="N162">
            <v>33491</v>
          </cell>
          <cell r="Q162" t="str">
            <v>Stopt</v>
          </cell>
        </row>
        <row r="163">
          <cell r="A163" t="str">
            <v>Zwets, L.M.E.(Lotte)</v>
          </cell>
          <cell r="B163" t="str">
            <v>NKW21M0</v>
          </cell>
          <cell r="C163" t="str">
            <v>Zwets, L.M.E.</v>
          </cell>
          <cell r="D163" t="str">
            <v>Lotte</v>
          </cell>
          <cell r="E163">
            <v>35968</v>
          </cell>
          <cell r="H163" t="str">
            <v>A3</v>
          </cell>
          <cell r="J163" t="str">
            <v>Brouwer, A.(Aard)</v>
          </cell>
          <cell r="K163" t="str">
            <v>NFK75Y4</v>
          </cell>
          <cell r="L163" t="str">
            <v>Brouwer, A.</v>
          </cell>
          <cell r="M163" t="str">
            <v>Aard</v>
          </cell>
          <cell r="N163">
            <v>23128</v>
          </cell>
          <cell r="Q163" t="str">
            <v>Stopt</v>
          </cell>
        </row>
        <row r="164">
          <cell r="A164" t="str">
            <v>Lacroes, M.J.(Jany)</v>
          </cell>
          <cell r="B164" t="str">
            <v>NJH13R4</v>
          </cell>
          <cell r="C164" t="str">
            <v>Lacroes, M.J.</v>
          </cell>
          <cell r="D164" t="str">
            <v>Jany</v>
          </cell>
          <cell r="E164">
            <v>36013</v>
          </cell>
          <cell r="H164" t="str">
            <v>A3</v>
          </cell>
          <cell r="J164" t="str">
            <v>Elshout, B.(Bart)</v>
          </cell>
          <cell r="K164" t="str">
            <v>NFW42S0</v>
          </cell>
          <cell r="L164" t="str">
            <v>Elshout, B.</v>
          </cell>
          <cell r="M164" t="str">
            <v>Bart</v>
          </cell>
          <cell r="N164">
            <v>29065</v>
          </cell>
          <cell r="Q164" t="str">
            <v>Stopt</v>
          </cell>
        </row>
        <row r="165">
          <cell r="A165" t="str">
            <v>Muehlhaus, B.(Babet)</v>
          </cell>
          <cell r="B165" t="str">
            <v>NLG57H9</v>
          </cell>
          <cell r="C165" t="str">
            <v>Muehlhaus, B.</v>
          </cell>
          <cell r="D165" t="str">
            <v>Babet</v>
          </cell>
          <cell r="E165">
            <v>35965</v>
          </cell>
          <cell r="H165" t="str">
            <v>A5</v>
          </cell>
          <cell r="J165" t="str">
            <v>Euser, N.C.L.(Niels)</v>
          </cell>
          <cell r="K165" t="str">
            <v>NJH22F2</v>
          </cell>
          <cell r="L165" t="str">
            <v>Euser, N.C.L.</v>
          </cell>
          <cell r="M165" t="str">
            <v>Niels</v>
          </cell>
          <cell r="N165">
            <v>35685</v>
          </cell>
          <cell r="Q165" t="str">
            <v>Stopt</v>
          </cell>
        </row>
        <row r="166">
          <cell r="A166" t="str">
            <v>Vossepoel, M.S.(Marjoleine)</v>
          </cell>
          <cell r="B166" t="str">
            <v>NKZ78H4</v>
          </cell>
          <cell r="C166" t="str">
            <v>Vossepoel, M.S.</v>
          </cell>
          <cell r="D166" t="str">
            <v>Marjoleine</v>
          </cell>
          <cell r="E166">
            <v>36106</v>
          </cell>
          <cell r="H166" t="str">
            <v>A5</v>
          </cell>
          <cell r="J166" t="str">
            <v>Kleingeld, J(Jasper)</v>
          </cell>
          <cell r="K166" t="str">
            <v>NFW28T5</v>
          </cell>
          <cell r="L166" t="str">
            <v>Kleingeld, J</v>
          </cell>
          <cell r="M166" t="str">
            <v>Jasper</v>
          </cell>
          <cell r="N166">
            <v>31083</v>
          </cell>
          <cell r="Q166" t="str">
            <v>Stopt</v>
          </cell>
        </row>
        <row r="167">
          <cell r="A167" t="str">
            <v>Broekema, J.(Juliska)</v>
          </cell>
          <cell r="B167" t="str">
            <v>NGJ30G9</v>
          </cell>
          <cell r="C167" t="str">
            <v>Broekema, J.</v>
          </cell>
          <cell r="D167" t="str">
            <v>Juliska</v>
          </cell>
          <cell r="E167">
            <v>32329</v>
          </cell>
          <cell r="H167" t="str">
            <v>AR</v>
          </cell>
          <cell r="J167" t="str">
            <v>Mol, D.(Daan)</v>
          </cell>
          <cell r="K167" t="str">
            <v>NKK27D3</v>
          </cell>
          <cell r="L167" t="str">
            <v>Mol, D.</v>
          </cell>
          <cell r="M167" t="str">
            <v>Daan</v>
          </cell>
          <cell r="N167">
            <v>35896</v>
          </cell>
          <cell r="Q167" t="str">
            <v>Stopt</v>
          </cell>
        </row>
        <row r="168">
          <cell r="A168" t="str">
            <v>Camphens-Moerman, B.(Barbara)</v>
          </cell>
          <cell r="B168" t="str">
            <v>NFW41S7</v>
          </cell>
          <cell r="C168" t="str">
            <v>Camphens-Moerman, B.</v>
          </cell>
          <cell r="D168" t="str">
            <v>Barbara</v>
          </cell>
          <cell r="E168">
            <v>29885</v>
          </cell>
          <cell r="H168" t="str">
            <v>AR</v>
          </cell>
          <cell r="J168" t="str">
            <v>Noels, A.(Arjan)</v>
          </cell>
          <cell r="K168" t="str">
            <v>NFW26G8</v>
          </cell>
          <cell r="L168" t="str">
            <v>Noels, A.</v>
          </cell>
          <cell r="M168" t="str">
            <v>Arjan</v>
          </cell>
          <cell r="N168">
            <v>29523</v>
          </cell>
          <cell r="Q168" t="str">
            <v>Stopt</v>
          </cell>
        </row>
        <row r="169">
          <cell r="A169" t="str">
            <v>Fernhout, T.(Tirsa)</v>
          </cell>
          <cell r="B169" t="str">
            <v>NKF94H2</v>
          </cell>
          <cell r="C169" t="str">
            <v>Fernhout, T.</v>
          </cell>
          <cell r="D169" t="str">
            <v>Tirsa</v>
          </cell>
          <cell r="E169">
            <v>35817</v>
          </cell>
          <cell r="H169" t="str">
            <v>AR</v>
          </cell>
          <cell r="J169" t="str">
            <v>Vanhooydonck, R(Roel)</v>
          </cell>
          <cell r="K169" t="str">
            <v>NJK09M5</v>
          </cell>
          <cell r="L169" t="str">
            <v>Vanhooydonck, R</v>
          </cell>
          <cell r="M169" t="str">
            <v>Roel</v>
          </cell>
          <cell r="N169">
            <v>32605</v>
          </cell>
          <cell r="Q169" t="str">
            <v>Stopt</v>
          </cell>
        </row>
        <row r="170">
          <cell r="A170" t="str">
            <v>Honschoten, van E.(Esther)</v>
          </cell>
          <cell r="B170" t="str">
            <v>NJF77V2</v>
          </cell>
          <cell r="C170" t="str">
            <v>Honschoten, van E.</v>
          </cell>
          <cell r="D170" t="str">
            <v>Esther</v>
          </cell>
          <cell r="E170">
            <v>35240</v>
          </cell>
          <cell r="H170" t="str">
            <v>AR</v>
          </cell>
          <cell r="J170" t="str">
            <v>Vries, de R.(Rik)</v>
          </cell>
          <cell r="K170" t="str">
            <v>NGX37Q4</v>
          </cell>
          <cell r="L170" t="str">
            <v>Vries, de R.</v>
          </cell>
          <cell r="M170" t="str">
            <v>Rik</v>
          </cell>
          <cell r="N170">
            <v>33391</v>
          </cell>
          <cell r="Q170" t="str">
            <v>Stopt</v>
          </cell>
        </row>
        <row r="171">
          <cell r="A171" t="str">
            <v>Klink, V.A.(Vivianne)</v>
          </cell>
          <cell r="B171" t="str">
            <v>NLJ52N9</v>
          </cell>
          <cell r="C171" t="str">
            <v>Klink, V.A.</v>
          </cell>
          <cell r="D171" t="str">
            <v>Vivianne</v>
          </cell>
          <cell r="E171">
            <v>35933</v>
          </cell>
          <cell r="H171" t="str">
            <v>AR</v>
          </cell>
          <cell r="J171" t="str">
            <v>Wittekoek, W.B.(Bas)</v>
          </cell>
          <cell r="K171" t="str">
            <v>NJH51N0</v>
          </cell>
          <cell r="L171" t="str">
            <v>Wittekoek, W.B.</v>
          </cell>
          <cell r="M171" t="str">
            <v>Bas</v>
          </cell>
          <cell r="N171">
            <v>33057</v>
          </cell>
          <cell r="Q171" t="str">
            <v>Stopt</v>
          </cell>
        </row>
        <row r="172">
          <cell r="A172" t="str">
            <v>Ploeg, L,(Lieke)</v>
          </cell>
          <cell r="B172" t="str">
            <v>NJK34W5</v>
          </cell>
          <cell r="C172" t="str">
            <v>Ploeg, L,</v>
          </cell>
          <cell r="D172" t="str">
            <v>Lieke</v>
          </cell>
          <cell r="E172">
            <v>31732</v>
          </cell>
          <cell r="H172" t="str">
            <v>AR</v>
          </cell>
          <cell r="J172" t="str">
            <v>Ameijden, van A.(Alex)</v>
          </cell>
          <cell r="K172" t="str">
            <v>NJZ83H7</v>
          </cell>
          <cell r="L172" t="str">
            <v>Ameijden, van A.</v>
          </cell>
          <cell r="M172" t="str">
            <v>Alex</v>
          </cell>
          <cell r="N172">
            <v>20739</v>
          </cell>
          <cell r="Q172"/>
        </row>
        <row r="173">
          <cell r="A173" t="str">
            <v>Wibbens, E.(Esther)</v>
          </cell>
          <cell r="B173" t="str">
            <v>NJC46R3</v>
          </cell>
          <cell r="C173" t="str">
            <v>Wibbens, E.</v>
          </cell>
          <cell r="D173" t="str">
            <v>Esther</v>
          </cell>
          <cell r="E173">
            <v>33690</v>
          </cell>
          <cell r="H173" t="str">
            <v>S4</v>
          </cell>
          <cell r="J173" t="str">
            <v>Ameijden, van J(Jasper)</v>
          </cell>
          <cell r="K173" t="str">
            <v>NFW42H3</v>
          </cell>
          <cell r="L173" t="str">
            <v>Ameijden, van J</v>
          </cell>
          <cell r="M173" t="str">
            <v>Jasper</v>
          </cell>
          <cell r="N173">
            <v>29509</v>
          </cell>
          <cell r="Q173"/>
        </row>
        <row r="174">
          <cell r="A174" t="str">
            <v>Bakker-Verwaal, L.(Lieke)</v>
          </cell>
          <cell r="B174" t="str">
            <v>NFW28G4</v>
          </cell>
          <cell r="C174" t="str">
            <v>Bakker-Verwaal, L.</v>
          </cell>
          <cell r="D174" t="str">
            <v>Lieke</v>
          </cell>
          <cell r="E174">
            <v>30344</v>
          </cell>
          <cell r="H174" t="str">
            <v>MW1</v>
          </cell>
          <cell r="J174" t="str">
            <v>Ameijden, van S(Sjoerd)</v>
          </cell>
          <cell r="K174" t="str">
            <v>NFW28J5</v>
          </cell>
          <cell r="L174" t="str">
            <v>Ameijden, van S</v>
          </cell>
          <cell r="M174" t="str">
            <v>Sjoerd</v>
          </cell>
          <cell r="N174">
            <v>30480</v>
          </cell>
          <cell r="Q174"/>
        </row>
        <row r="175">
          <cell r="A175" t="str">
            <v>Quarré, M.(Martha)</v>
          </cell>
          <cell r="B175" t="str">
            <v>NJH50Y4</v>
          </cell>
          <cell r="C175" t="str">
            <v>Quarré, M.</v>
          </cell>
          <cell r="D175" t="str">
            <v>Martha</v>
          </cell>
          <cell r="E175">
            <v>25795</v>
          </cell>
          <cell r="H175" t="str">
            <v>MW1</v>
          </cell>
          <cell r="J175" t="str">
            <v>Ardon, R.(Rob)</v>
          </cell>
          <cell r="K175" t="str">
            <v>NJW93L7</v>
          </cell>
          <cell r="L175" t="str">
            <v>Ardon, R.</v>
          </cell>
          <cell r="M175" t="str">
            <v>Rob</v>
          </cell>
          <cell r="N175">
            <v>23297</v>
          </cell>
          <cell r="Q175"/>
        </row>
        <row r="176">
          <cell r="A176" t="str">
            <v>Vliet-Koster, R.(Renate)</v>
          </cell>
          <cell r="B176" t="str">
            <v>NFW41J4</v>
          </cell>
          <cell r="C176" t="str">
            <v>Vliet-Koster, R.</v>
          </cell>
          <cell r="D176" t="str">
            <v>Renate</v>
          </cell>
          <cell r="E176">
            <v>28792</v>
          </cell>
          <cell r="H176" t="str">
            <v>MW1</v>
          </cell>
          <cell r="J176" t="str">
            <v>Assem, van den F(Fred)</v>
          </cell>
          <cell r="K176" t="str">
            <v>NFW13F7</v>
          </cell>
          <cell r="L176" t="str">
            <v>Assem, van den F</v>
          </cell>
          <cell r="M176" t="str">
            <v>Fred</v>
          </cell>
          <cell r="N176">
            <v>17951</v>
          </cell>
          <cell r="Q176"/>
        </row>
        <row r="177">
          <cell r="A177" t="str">
            <v>Dreef, A.C.H.(Lia)</v>
          </cell>
          <cell r="B177" t="str">
            <v>NLM86X9</v>
          </cell>
          <cell r="C177" t="str">
            <v>Dreef, A.C.H.</v>
          </cell>
          <cell r="D177" t="str">
            <v>Lia</v>
          </cell>
          <cell r="E177">
            <v>26227</v>
          </cell>
          <cell r="H177" t="str">
            <v>MW2</v>
          </cell>
          <cell r="J177" t="str">
            <v>Barendregt, F.(Frits)</v>
          </cell>
          <cell r="K177" t="str">
            <v>NFW54V2</v>
          </cell>
          <cell r="L177" t="str">
            <v>Barendregt, F.</v>
          </cell>
          <cell r="M177" t="str">
            <v>Frits</v>
          </cell>
          <cell r="N177">
            <v>20373</v>
          </cell>
          <cell r="Q177"/>
        </row>
        <row r="178">
          <cell r="A178" t="str">
            <v>Fernhout, C.(Corine)</v>
          </cell>
          <cell r="B178" t="str">
            <v>NKP97Z7</v>
          </cell>
          <cell r="C178" t="str">
            <v>Fernhout, C.</v>
          </cell>
          <cell r="D178" t="str">
            <v>Corine</v>
          </cell>
          <cell r="E178">
            <v>26663</v>
          </cell>
          <cell r="H178" t="str">
            <v>MW2</v>
          </cell>
          <cell r="J178" t="str">
            <v>Bas, A(Arno)</v>
          </cell>
          <cell r="K178" t="str">
            <v>NFW42K4</v>
          </cell>
          <cell r="L178" t="str">
            <v>Bas, A</v>
          </cell>
          <cell r="M178" t="str">
            <v>Arno</v>
          </cell>
          <cell r="N178">
            <v>29473</v>
          </cell>
          <cell r="Q178"/>
        </row>
        <row r="179">
          <cell r="A179" t="str">
            <v>Mans, Y.(Yvonne)</v>
          </cell>
          <cell r="B179" t="str">
            <v>NFW01Y9</v>
          </cell>
          <cell r="C179" t="str">
            <v>Mans, Y.</v>
          </cell>
          <cell r="D179" t="str">
            <v>Yvonne</v>
          </cell>
          <cell r="E179">
            <v>25190</v>
          </cell>
          <cell r="H179" t="str">
            <v>MW2</v>
          </cell>
          <cell r="J179" t="str">
            <v>Bezooijen, van M.(Marco)</v>
          </cell>
          <cell r="K179" t="str">
            <v>NKK48C9</v>
          </cell>
          <cell r="L179" t="str">
            <v>Bezooijen, van M.</v>
          </cell>
          <cell r="M179" t="str">
            <v>Marco</v>
          </cell>
          <cell r="N179">
            <v>27038</v>
          </cell>
          <cell r="Q179"/>
        </row>
        <row r="180">
          <cell r="A180" t="str">
            <v>Opstal-Haksteen, van T.K.(Tamara)</v>
          </cell>
          <cell r="B180" t="str">
            <v>NFX24T4</v>
          </cell>
          <cell r="C180" t="str">
            <v>Opstal-Haksteen, van T.K.</v>
          </cell>
          <cell r="D180" t="str">
            <v>Tamara</v>
          </cell>
          <cell r="E180">
            <v>32197</v>
          </cell>
          <cell r="H180" t="str">
            <v>MW2</v>
          </cell>
          <cell r="J180" t="str">
            <v>Blaak, D(Dick)</v>
          </cell>
          <cell r="K180" t="str">
            <v>NFW54X6</v>
          </cell>
          <cell r="L180" t="str">
            <v>Blaak, D</v>
          </cell>
          <cell r="M180" t="str">
            <v>Dick</v>
          </cell>
          <cell r="N180">
            <v>23712</v>
          </cell>
          <cell r="Q180"/>
        </row>
        <row r="181">
          <cell r="A181" t="str">
            <v>Vaartmans, I.(Ingrid)</v>
          </cell>
          <cell r="B181" t="str">
            <v>NLS07R6</v>
          </cell>
          <cell r="C181" t="str">
            <v>Vaartmans, I.</v>
          </cell>
          <cell r="D181" t="str">
            <v>Ingrid</v>
          </cell>
          <cell r="E181">
            <v>29385</v>
          </cell>
          <cell r="H181" t="str">
            <v>MW2</v>
          </cell>
          <cell r="J181" t="str">
            <v>Boer, de A(Alexander)</v>
          </cell>
          <cell r="K181" t="str">
            <v>NFW42M8</v>
          </cell>
          <cell r="L181" t="str">
            <v>Boer, de A</v>
          </cell>
          <cell r="M181" t="str">
            <v>Alexander</v>
          </cell>
          <cell r="N181">
            <v>29189</v>
          </cell>
          <cell r="Q181"/>
        </row>
        <row r="182">
          <cell r="A182" t="str">
            <v>Valk-Helsloot, G.(Gunilda)</v>
          </cell>
          <cell r="B182" t="str">
            <v>NFW15M2</v>
          </cell>
          <cell r="C182" t="str">
            <v>Valk-Helsloot, G.</v>
          </cell>
          <cell r="D182" t="str">
            <v>Gunilda</v>
          </cell>
          <cell r="E182">
            <v>27565</v>
          </cell>
          <cell r="H182" t="str">
            <v>MW2</v>
          </cell>
          <cell r="J182" t="str">
            <v>Boshoven, W P(Walter)</v>
          </cell>
          <cell r="K182" t="str">
            <v>NFW13H1</v>
          </cell>
          <cell r="L182" t="str">
            <v>Boshoven, W P</v>
          </cell>
          <cell r="M182" t="str">
            <v>Walter</v>
          </cell>
          <cell r="N182">
            <v>18431</v>
          </cell>
          <cell r="Q182"/>
        </row>
        <row r="183">
          <cell r="A183" t="str">
            <v>Keulen, van W.J.(Wilma)</v>
          </cell>
          <cell r="B183" t="str">
            <v>NFW54H4</v>
          </cell>
          <cell r="C183" t="str">
            <v>Keulen, van W.J.</v>
          </cell>
          <cell r="D183" t="str">
            <v>Wilma</v>
          </cell>
          <cell r="E183">
            <v>23997</v>
          </cell>
          <cell r="H183" t="str">
            <v>REC</v>
          </cell>
          <cell r="J183" t="str">
            <v>Broek, van den R(Rende)</v>
          </cell>
          <cell r="K183" t="str">
            <v>NFW13J5</v>
          </cell>
          <cell r="L183" t="str">
            <v>Broek, van den R</v>
          </cell>
          <cell r="M183" t="str">
            <v>Rende</v>
          </cell>
          <cell r="N183">
            <v>25923</v>
          </cell>
          <cell r="Q183"/>
        </row>
        <row r="184">
          <cell r="A184" t="str">
            <v>Koote, C.(Ciska)</v>
          </cell>
          <cell r="B184" t="str">
            <v>NFW01S7</v>
          </cell>
          <cell r="C184" t="str">
            <v>Koote, C.</v>
          </cell>
          <cell r="D184" t="str">
            <v>Ciska</v>
          </cell>
          <cell r="E184">
            <v>23698</v>
          </cell>
          <cell r="H184" t="str">
            <v>REC</v>
          </cell>
          <cell r="J184" t="str">
            <v>Brugge, van der H.J.(Henk)</v>
          </cell>
          <cell r="K184" t="str">
            <v>NKX70C3</v>
          </cell>
          <cell r="L184" t="str">
            <v>Brugge, van der H.J.</v>
          </cell>
          <cell r="M184" t="str">
            <v>Henk</v>
          </cell>
          <cell r="N184">
            <v>22089</v>
          </cell>
          <cell r="Q184"/>
        </row>
        <row r="185">
          <cell r="A185" t="str">
            <v>Trooijen, van W.H.(Jet)</v>
          </cell>
          <cell r="B185" t="str">
            <v>NKZ02T5</v>
          </cell>
          <cell r="C185" t="str">
            <v>Trooijen, van W.H.</v>
          </cell>
          <cell r="D185" t="str">
            <v>Jet</v>
          </cell>
          <cell r="E185">
            <v>24821</v>
          </cell>
          <cell r="H185" t="str">
            <v>REC</v>
          </cell>
          <cell r="J185" t="str">
            <v>Dekkers, H A(Harjan)</v>
          </cell>
          <cell r="K185" t="str">
            <v>NFW13K2</v>
          </cell>
          <cell r="L185" t="str">
            <v>Dekkers, H A</v>
          </cell>
          <cell r="M185" t="str">
            <v>Harjan</v>
          </cell>
          <cell r="N185">
            <v>26065</v>
          </cell>
          <cell r="Q185"/>
        </row>
        <row r="186">
          <cell r="A186" t="str">
            <v>Ardon, E.(Esther)</v>
          </cell>
          <cell r="B186" t="str">
            <v>NJG13L1</v>
          </cell>
          <cell r="C186" t="str">
            <v>Ardon, E.</v>
          </cell>
          <cell r="D186" t="str">
            <v>Esther</v>
          </cell>
          <cell r="E186">
            <v>35337</v>
          </cell>
          <cell r="H186" t="str">
            <v>S1/S2</v>
          </cell>
          <cell r="J186" t="str">
            <v>Dijk, van E.(Eric)</v>
          </cell>
          <cell r="K186" t="str">
            <v>NFW13L9</v>
          </cell>
          <cell r="L186" t="str">
            <v>Dijk, van E.</v>
          </cell>
          <cell r="M186" t="str">
            <v>Eric</v>
          </cell>
          <cell r="N186">
            <v>23380</v>
          </cell>
          <cell r="Q186"/>
        </row>
        <row r="187">
          <cell r="A187" t="str">
            <v>Ardon, K.(Kim)</v>
          </cell>
          <cell r="B187" t="str">
            <v>NJF95V6</v>
          </cell>
          <cell r="C187" t="str">
            <v>Ardon, K.</v>
          </cell>
          <cell r="D187" t="str">
            <v>Kim</v>
          </cell>
          <cell r="E187">
            <v>35153</v>
          </cell>
          <cell r="H187" t="str">
            <v>S1/S2</v>
          </cell>
          <cell r="J187" t="str">
            <v>Draaijer, C(Cees)</v>
          </cell>
          <cell r="K187" t="str">
            <v>NFW13M6</v>
          </cell>
          <cell r="L187" t="str">
            <v>Draaijer, C</v>
          </cell>
          <cell r="M187" t="str">
            <v>Cees</v>
          </cell>
          <cell r="N187">
            <v>19958</v>
          </cell>
          <cell r="Q187"/>
        </row>
        <row r="188">
          <cell r="A188" t="str">
            <v>Ardon, L.(Linda)</v>
          </cell>
          <cell r="B188" t="str">
            <v>NJK42D1</v>
          </cell>
          <cell r="C188" t="str">
            <v>Ardon, L.</v>
          </cell>
          <cell r="D188" t="str">
            <v>Linda</v>
          </cell>
          <cell r="E188">
            <v>33696</v>
          </cell>
          <cell r="H188" t="str">
            <v>S1/S2</v>
          </cell>
          <cell r="J188" t="str">
            <v>Dubbeld, B.(Ben)</v>
          </cell>
          <cell r="K188" t="str">
            <v>NJZ84K1</v>
          </cell>
          <cell r="L188" t="str">
            <v>Dubbeld, B.</v>
          </cell>
          <cell r="M188" t="str">
            <v>Ben</v>
          </cell>
          <cell r="N188">
            <v>14229</v>
          </cell>
          <cell r="Q188"/>
        </row>
        <row r="189">
          <cell r="A189" t="str">
            <v>Batenburg, H,(Hanneke)</v>
          </cell>
          <cell r="B189" t="str">
            <v>NGG54V3</v>
          </cell>
          <cell r="C189" t="str">
            <v>Batenburg, H,</v>
          </cell>
          <cell r="D189" t="str">
            <v>Hanneke</v>
          </cell>
          <cell r="E189">
            <v>32050</v>
          </cell>
          <cell r="H189" t="str">
            <v>S1/S2</v>
          </cell>
          <cell r="J189" t="str">
            <v>Elshout, M(Martijn)</v>
          </cell>
          <cell r="K189" t="str">
            <v>NFW40G0</v>
          </cell>
          <cell r="L189" t="str">
            <v>Elshout, M</v>
          </cell>
          <cell r="M189" t="str">
            <v>Martijn</v>
          </cell>
          <cell r="N189">
            <v>27663</v>
          </cell>
          <cell r="Q189"/>
        </row>
        <row r="190">
          <cell r="A190" t="str">
            <v>Dolderman, I.(Iris)</v>
          </cell>
          <cell r="B190" t="str">
            <v>NJJ96C0</v>
          </cell>
          <cell r="C190" t="str">
            <v>Dolderman, I.</v>
          </cell>
          <cell r="D190" t="str">
            <v>Iris</v>
          </cell>
          <cell r="E190">
            <v>34346</v>
          </cell>
          <cell r="H190" t="str">
            <v>S1/S2</v>
          </cell>
          <cell r="J190" t="str">
            <v>Fruyt van Hertog, H(Hans)</v>
          </cell>
          <cell r="K190" t="str">
            <v>NFW13N3</v>
          </cell>
          <cell r="L190" t="str">
            <v>Fruyt van Hertog, H</v>
          </cell>
          <cell r="M190" t="str">
            <v>Hans</v>
          </cell>
          <cell r="N190">
            <v>21166</v>
          </cell>
          <cell r="Q190"/>
        </row>
        <row r="191">
          <cell r="A191" t="str">
            <v>Drooge, van L.Z.E,(Lieke)</v>
          </cell>
          <cell r="B191" t="str">
            <v>NJF06S3</v>
          </cell>
          <cell r="C191" t="str">
            <v>Drooge, van L.Z.E,</v>
          </cell>
          <cell r="D191" t="str">
            <v>Lieke</v>
          </cell>
          <cell r="E191">
            <v>35142</v>
          </cell>
          <cell r="H191" t="str">
            <v>S1/S2</v>
          </cell>
          <cell r="J191" t="str">
            <v>Gent, van P(Peter)</v>
          </cell>
          <cell r="K191" t="str">
            <v>NFW55C2</v>
          </cell>
          <cell r="L191" t="str">
            <v>Gent, van P</v>
          </cell>
          <cell r="M191" t="str">
            <v>Peter</v>
          </cell>
          <cell r="N191">
            <v>23648</v>
          </cell>
          <cell r="Q191"/>
        </row>
        <row r="192">
          <cell r="A192" t="str">
            <v>Gurp, van M.(Merel)</v>
          </cell>
          <cell r="B192" t="str">
            <v>NJK08X9</v>
          </cell>
          <cell r="C192" t="str">
            <v>Gurp, van M.</v>
          </cell>
          <cell r="D192" t="str">
            <v>Merel</v>
          </cell>
          <cell r="E192">
            <v>33828</v>
          </cell>
          <cell r="H192" t="str">
            <v>S1/S2</v>
          </cell>
          <cell r="J192" t="str">
            <v>Gerritsen, P.(Peter)</v>
          </cell>
          <cell r="K192" t="str">
            <v>NJM89M7</v>
          </cell>
          <cell r="L192" t="str">
            <v>Gerritsen, P.</v>
          </cell>
          <cell r="M192" t="str">
            <v>Peter</v>
          </cell>
          <cell r="N192">
            <v>21926</v>
          </cell>
          <cell r="Q192"/>
        </row>
        <row r="193">
          <cell r="A193" t="str">
            <v>Klink, X.(Xanne)</v>
          </cell>
          <cell r="B193" t="str">
            <v>NJF85B1</v>
          </cell>
          <cell r="C193" t="str">
            <v>Klink, X.</v>
          </cell>
          <cell r="D193" t="str">
            <v>Xanne</v>
          </cell>
          <cell r="E193">
            <v>34885</v>
          </cell>
          <cell r="H193" t="str">
            <v>S1/S2</v>
          </cell>
          <cell r="J193" t="str">
            <v>Giessen, van der R(Ronald)</v>
          </cell>
          <cell r="K193" t="str">
            <v>NFW55D9</v>
          </cell>
          <cell r="L193" t="str">
            <v>Giessen, van der R</v>
          </cell>
          <cell r="M193" t="str">
            <v>Ronald</v>
          </cell>
          <cell r="N193">
            <v>21767</v>
          </cell>
          <cell r="Q193"/>
        </row>
        <row r="194">
          <cell r="A194" t="str">
            <v>Leijdsman, R.(Robin)</v>
          </cell>
          <cell r="B194" t="str">
            <v>NJF17P0</v>
          </cell>
          <cell r="C194" t="str">
            <v>Leijdsman, R.</v>
          </cell>
          <cell r="D194" t="str">
            <v>Robin</v>
          </cell>
          <cell r="E194">
            <v>35195</v>
          </cell>
          <cell r="H194" t="str">
            <v>S1/S2</v>
          </cell>
          <cell r="J194" t="str">
            <v>Goudriaan, B(Bert)</v>
          </cell>
          <cell r="K194" t="str">
            <v>NFW13P7</v>
          </cell>
          <cell r="L194" t="str">
            <v>Goudriaan, B</v>
          </cell>
          <cell r="M194" t="str">
            <v>Bert</v>
          </cell>
          <cell r="N194">
            <v>23437</v>
          </cell>
          <cell r="Q194"/>
        </row>
        <row r="195">
          <cell r="A195" t="str">
            <v>Verweij, M.(Mirthe)</v>
          </cell>
          <cell r="B195" t="str">
            <v>NJH51Q1</v>
          </cell>
          <cell r="C195" t="str">
            <v>Verweij, M.</v>
          </cell>
          <cell r="D195" t="str">
            <v>Mirthe</v>
          </cell>
          <cell r="E195">
            <v>34650</v>
          </cell>
          <cell r="H195" t="str">
            <v>S1/S2</v>
          </cell>
          <cell r="J195" t="str">
            <v>Goudriaan, M(Mark)</v>
          </cell>
          <cell r="K195" t="str">
            <v>NFW28P7</v>
          </cell>
          <cell r="L195" t="str">
            <v>Goudriaan, M</v>
          </cell>
          <cell r="M195" t="str">
            <v>Mark</v>
          </cell>
          <cell r="N195">
            <v>30821</v>
          </cell>
          <cell r="Q195"/>
        </row>
        <row r="196">
          <cell r="A196" t="str">
            <v>Ruiter, de M.(Minouk)</v>
          </cell>
          <cell r="B196" t="str">
            <v>NJK09F6</v>
          </cell>
          <cell r="C196" t="str">
            <v>Ruiter, de M.</v>
          </cell>
          <cell r="D196" t="str">
            <v>Minouk</v>
          </cell>
          <cell r="E196">
            <v>33928</v>
          </cell>
          <cell r="H196" t="str">
            <v>S3</v>
          </cell>
          <cell r="J196" t="str">
            <v>Goudriaan, R.(Rick)</v>
          </cell>
          <cell r="K196" t="str">
            <v>NJK08W2</v>
          </cell>
          <cell r="L196" t="str">
            <v>Goudriaan, R.</v>
          </cell>
          <cell r="M196" t="str">
            <v>Rick</v>
          </cell>
          <cell r="N196">
            <v>34255</v>
          </cell>
          <cell r="Q196"/>
        </row>
        <row r="197">
          <cell r="A197" t="str">
            <v>Visser, D.(Diana)</v>
          </cell>
          <cell r="B197" t="str">
            <v>NJC15T9</v>
          </cell>
          <cell r="C197" t="str">
            <v>Visser, D.</v>
          </cell>
          <cell r="D197" t="str">
            <v>Diana</v>
          </cell>
          <cell r="E197">
            <v>33777</v>
          </cell>
          <cell r="H197" t="str">
            <v>S3</v>
          </cell>
          <cell r="J197" t="str">
            <v>Haren, van R(Raymond)</v>
          </cell>
          <cell r="K197" t="str">
            <v>NGG43J1</v>
          </cell>
          <cell r="L197" t="str">
            <v>Haren, van R</v>
          </cell>
          <cell r="M197" t="str">
            <v>Raymond</v>
          </cell>
          <cell r="N197">
            <v>32569</v>
          </cell>
          <cell r="Q197"/>
        </row>
        <row r="198">
          <cell r="A198" t="str">
            <v>Visser, H.(Hilde)</v>
          </cell>
          <cell r="B198" t="str">
            <v>NGT43N2</v>
          </cell>
          <cell r="C198" t="str">
            <v>Visser, H.</v>
          </cell>
          <cell r="D198" t="str">
            <v>Hilde</v>
          </cell>
          <cell r="E198">
            <v>33146</v>
          </cell>
          <cell r="H198" t="str">
            <v>S3</v>
          </cell>
          <cell r="J198" t="str">
            <v>Heer A1/A2()</v>
          </cell>
          <cell r="K198"/>
          <cell r="L198" t="str">
            <v>Heer A1/A2</v>
          </cell>
          <cell r="M198"/>
          <cell r="N198">
            <v>36070</v>
          </cell>
          <cell r="Q198"/>
        </row>
        <row r="199">
          <cell r="A199" t="str">
            <v>Zwoll, van S.(Simone)</v>
          </cell>
          <cell r="B199" t="str">
            <v>NJQ72J4</v>
          </cell>
          <cell r="C199" t="str">
            <v>Zwoll, van S.</v>
          </cell>
          <cell r="D199" t="str">
            <v>Simone</v>
          </cell>
          <cell r="E199">
            <v>34635</v>
          </cell>
          <cell r="H199" t="str">
            <v>S3</v>
          </cell>
          <cell r="J199" t="str">
            <v>Hemelaar, J N(Han)</v>
          </cell>
          <cell r="K199" t="str">
            <v>NFW55F3</v>
          </cell>
          <cell r="L199" t="str">
            <v>Hemelaar, J N</v>
          </cell>
          <cell r="M199" t="str">
            <v>Han</v>
          </cell>
          <cell r="N199">
            <v>17286</v>
          </cell>
          <cell r="Q199"/>
        </row>
        <row r="200">
          <cell r="A200" t="str">
            <v>Assem, van den L.(Lisette)</v>
          </cell>
          <cell r="B200" t="str">
            <v>NFW26V3</v>
          </cell>
          <cell r="C200" t="str">
            <v>Assem, van den L.</v>
          </cell>
          <cell r="D200" t="str">
            <v>Lisette</v>
          </cell>
          <cell r="E200">
            <v>30573</v>
          </cell>
          <cell r="H200" t="str">
            <v>S4</v>
          </cell>
          <cell r="J200" t="str">
            <v>Heumen, van E.(Erik)</v>
          </cell>
          <cell r="K200" t="str">
            <v>NFT37Y9</v>
          </cell>
          <cell r="L200" t="str">
            <v>Heumen, van E.</v>
          </cell>
          <cell r="M200" t="str">
            <v>Erik</v>
          </cell>
          <cell r="N200">
            <v>29970</v>
          </cell>
          <cell r="Q200"/>
        </row>
        <row r="201">
          <cell r="A201" t="str">
            <v>Laban-Sinke, I.W.(Ingrid)</v>
          </cell>
          <cell r="B201" t="str">
            <v>NGQ19P6</v>
          </cell>
          <cell r="C201" t="str">
            <v>Laban-Sinke, I.W.</v>
          </cell>
          <cell r="D201" t="str">
            <v>Ingrid</v>
          </cell>
          <cell r="E201">
            <v>31209</v>
          </cell>
          <cell r="H201" t="str">
            <v>S4</v>
          </cell>
          <cell r="J201" t="str">
            <v>Hoed, den W(Wilbert)</v>
          </cell>
          <cell r="K201" t="str">
            <v>NGT42Z3</v>
          </cell>
          <cell r="L201" t="str">
            <v>Hoed, den W</v>
          </cell>
          <cell r="M201" t="str">
            <v>Wilbert</v>
          </cell>
          <cell r="N201">
            <v>33052</v>
          </cell>
          <cell r="Q201"/>
        </row>
        <row r="202">
          <cell r="A202" t="str">
            <v>Nelemans, I.(Ingrid)</v>
          </cell>
          <cell r="B202" t="str">
            <v>NFX00K9</v>
          </cell>
          <cell r="C202" t="str">
            <v>Nelemans, I.</v>
          </cell>
          <cell r="D202" t="str">
            <v>Ingrid</v>
          </cell>
          <cell r="E202">
            <v>24525</v>
          </cell>
          <cell r="H202" t="str">
            <v>S4</v>
          </cell>
          <cell r="J202" t="str">
            <v>Horst, ter F(Fred)</v>
          </cell>
          <cell r="K202" t="str">
            <v>NFW55G0</v>
          </cell>
          <cell r="L202" t="str">
            <v>Horst, ter F</v>
          </cell>
          <cell r="M202" t="str">
            <v>Fred</v>
          </cell>
          <cell r="N202">
            <v>20388</v>
          </cell>
          <cell r="Q202"/>
        </row>
        <row r="203">
          <cell r="A203" t="str">
            <v>Noordam, M.(Mirjam)</v>
          </cell>
          <cell r="B203" t="str">
            <v>NGT43H0</v>
          </cell>
          <cell r="C203" t="str">
            <v>Noordam, M.</v>
          </cell>
          <cell r="D203" t="str">
            <v>Mirjam</v>
          </cell>
          <cell r="E203">
            <v>32119</v>
          </cell>
          <cell r="H203" t="str">
            <v>S4</v>
          </cell>
          <cell r="J203" t="str">
            <v>Horst, ter H(Henk)</v>
          </cell>
          <cell r="K203" t="str">
            <v>NFW13S8</v>
          </cell>
          <cell r="L203" t="str">
            <v>Horst, ter H</v>
          </cell>
          <cell r="M203" t="str">
            <v>Henk</v>
          </cell>
          <cell r="N203">
            <v>19273</v>
          </cell>
          <cell r="Q203"/>
        </row>
        <row r="204">
          <cell r="A204" t="str">
            <v>Andel, van S.(Sanne)</v>
          </cell>
          <cell r="B204" t="str">
            <v>NJK27R4</v>
          </cell>
          <cell r="C204" t="str">
            <v>Andel, van S.</v>
          </cell>
          <cell r="D204" t="str">
            <v>Sanne</v>
          </cell>
          <cell r="E204">
            <v>33211</v>
          </cell>
          <cell r="H204" t="str">
            <v>S6</v>
          </cell>
          <cell r="J204" t="str">
            <v>Isarin, T P(Thomas)</v>
          </cell>
          <cell r="K204" t="str">
            <v>NGD51N5</v>
          </cell>
          <cell r="L204" t="str">
            <v>Isarin, T P</v>
          </cell>
          <cell r="M204" t="str">
            <v>Thomas</v>
          </cell>
          <cell r="N204">
            <v>32357</v>
          </cell>
          <cell r="Q204"/>
        </row>
        <row r="205">
          <cell r="A205" t="str">
            <v>Brand, L(Liesbeth)</v>
          </cell>
          <cell r="B205" t="str">
            <v>NGT42S4</v>
          </cell>
          <cell r="C205" t="str">
            <v>Brand, L</v>
          </cell>
          <cell r="D205" t="str">
            <v>Liesbeth</v>
          </cell>
          <cell r="E205">
            <v>33086</v>
          </cell>
          <cell r="H205" t="str">
            <v>S6</v>
          </cell>
          <cell r="J205" t="str">
            <v>Jong, 't R(Rene)</v>
          </cell>
          <cell r="K205" t="str">
            <v>NFW13X3</v>
          </cell>
          <cell r="L205" t="str">
            <v>Jong, 't R</v>
          </cell>
          <cell r="M205" t="str">
            <v>Rene</v>
          </cell>
          <cell r="N205">
            <v>20081</v>
          </cell>
          <cell r="Q205"/>
        </row>
        <row r="206">
          <cell r="A206" t="str">
            <v>Oeveren, van K.(Kristel)</v>
          </cell>
          <cell r="B206" t="str">
            <v>NJG42T9</v>
          </cell>
          <cell r="C206" t="str">
            <v>Oeveren, van K.</v>
          </cell>
          <cell r="D206" t="str">
            <v>Kristel</v>
          </cell>
          <cell r="E206">
            <v>34962</v>
          </cell>
          <cell r="H206" t="str">
            <v>S6</v>
          </cell>
          <cell r="J206" t="str">
            <v>Jonkers, V.B.(Vincent)</v>
          </cell>
          <cell r="K206" t="str">
            <v>NJZ00V6</v>
          </cell>
          <cell r="L206" t="str">
            <v>Jonkers, V.B.</v>
          </cell>
          <cell r="M206" t="str">
            <v>Vincent</v>
          </cell>
          <cell r="N206">
            <v>26208</v>
          </cell>
          <cell r="Q206"/>
        </row>
        <row r="207">
          <cell r="A207" t="str">
            <v>Slijkhuis, A.(Anne)</v>
          </cell>
          <cell r="B207" t="str">
            <v>NJD38L3</v>
          </cell>
          <cell r="C207" t="str">
            <v>Slijkhuis, A.</v>
          </cell>
          <cell r="D207" t="str">
            <v>Anne</v>
          </cell>
          <cell r="E207">
            <v>33786</v>
          </cell>
          <cell r="H207" t="str">
            <v>S6</v>
          </cell>
          <cell r="J207" t="str">
            <v>Kamerbeek, R(Ruben)</v>
          </cell>
          <cell r="K207" t="str">
            <v>NFW28S8</v>
          </cell>
          <cell r="L207" t="str">
            <v>Kamerbeek, R</v>
          </cell>
          <cell r="M207" t="str">
            <v>Ruben</v>
          </cell>
          <cell r="N207">
            <v>31344</v>
          </cell>
          <cell r="Q207"/>
        </row>
        <row r="208">
          <cell r="A208" t="str">
            <v>Starre, van der K.(Kim)</v>
          </cell>
          <cell r="B208" t="str">
            <v>NJK09N2</v>
          </cell>
          <cell r="C208" t="str">
            <v>Starre, van der K.</v>
          </cell>
          <cell r="D208" t="str">
            <v>Kim</v>
          </cell>
          <cell r="E208">
            <v>32843</v>
          </cell>
          <cell r="H208" t="str">
            <v>S6</v>
          </cell>
          <cell r="J208" t="str">
            <v>Koote, F(Fred)</v>
          </cell>
          <cell r="K208" t="str">
            <v>NGT92S9</v>
          </cell>
          <cell r="L208" t="str">
            <v>Koote, F</v>
          </cell>
          <cell r="M208" t="str">
            <v>Fred</v>
          </cell>
          <cell r="N208">
            <v>22231</v>
          </cell>
          <cell r="Q208"/>
        </row>
        <row r="209">
          <cell r="A209" t="str">
            <v>Bezemer, K.(Karin)</v>
          </cell>
          <cell r="B209" t="str">
            <v>NGW66P8</v>
          </cell>
          <cell r="C209" t="str">
            <v>Bezemer, K.</v>
          </cell>
          <cell r="D209" t="str">
            <v>Karin</v>
          </cell>
          <cell r="E209">
            <v>33243</v>
          </cell>
          <cell r="H209" t="str">
            <v>S7</v>
          </cell>
          <cell r="J209" t="str">
            <v>Lokers, H(Harm)</v>
          </cell>
          <cell r="K209" t="str">
            <v>NFW14J8</v>
          </cell>
          <cell r="L209" t="str">
            <v>Lokers, H</v>
          </cell>
          <cell r="M209" t="str">
            <v>Harm</v>
          </cell>
          <cell r="N209">
            <v>25473</v>
          </cell>
          <cell r="Q209"/>
        </row>
        <row r="210">
          <cell r="A210" t="str">
            <v>Haan-van Dijk, de S(Suzan)</v>
          </cell>
          <cell r="B210" t="str">
            <v>NHP43T7</v>
          </cell>
          <cell r="C210" t="str">
            <v>Haan-van Dijk, de S</v>
          </cell>
          <cell r="D210" t="str">
            <v>Suzan</v>
          </cell>
          <cell r="E210">
            <v>34028</v>
          </cell>
          <cell r="H210" t="str">
            <v>S7</v>
          </cell>
          <cell r="J210" t="str">
            <v>Machielse, R.(Ruud)</v>
          </cell>
          <cell r="K210" t="str">
            <v>NFT23Y2</v>
          </cell>
          <cell r="L210" t="str">
            <v>Machielse, R.</v>
          </cell>
          <cell r="M210" t="str">
            <v>Ruud</v>
          </cell>
          <cell r="N210">
            <v>26808</v>
          </cell>
          <cell r="Q210"/>
        </row>
        <row r="211">
          <cell r="A211" t="str">
            <v>Schenau, L,(Laura)</v>
          </cell>
          <cell r="B211" t="str">
            <v>NGT43L8</v>
          </cell>
          <cell r="C211" t="str">
            <v>Schenau, L,</v>
          </cell>
          <cell r="D211" t="str">
            <v>Laura</v>
          </cell>
          <cell r="E211">
            <v>33315</v>
          </cell>
          <cell r="H211" t="str">
            <v>S7</v>
          </cell>
          <cell r="J211" t="str">
            <v>Makkenze, V A(Valentijn)</v>
          </cell>
          <cell r="K211" t="str">
            <v>NGM02X2</v>
          </cell>
          <cell r="L211" t="str">
            <v>Makkenze, V A</v>
          </cell>
          <cell r="M211" t="str">
            <v>Valentijn</v>
          </cell>
          <cell r="N211">
            <v>26819</v>
          </cell>
          <cell r="Q211"/>
        </row>
        <row r="212">
          <cell r="A212" t="str">
            <v>Talens, M.(Moniek)</v>
          </cell>
          <cell r="B212" t="str">
            <v>NHT58X9</v>
          </cell>
          <cell r="C212" t="str">
            <v>Talens, M.</v>
          </cell>
          <cell r="D212" t="str">
            <v>Moniek</v>
          </cell>
          <cell r="E212">
            <v>33796</v>
          </cell>
          <cell r="H212" t="str">
            <v>S7</v>
          </cell>
          <cell r="J212" t="str">
            <v>Mans, F.(Frank)</v>
          </cell>
          <cell r="K212" t="str">
            <v>NJC15P1</v>
          </cell>
          <cell r="L212" t="str">
            <v>Mans, F.</v>
          </cell>
          <cell r="M212" t="str">
            <v>Frank</v>
          </cell>
          <cell r="N212">
            <v>34751</v>
          </cell>
          <cell r="Q212"/>
        </row>
        <row r="213">
          <cell r="A213" t="str">
            <v>Woerkom, M.(Mandy)</v>
          </cell>
          <cell r="B213" t="str">
            <v>NGJ51Q2</v>
          </cell>
          <cell r="C213" t="str">
            <v>Woerkom, M.</v>
          </cell>
          <cell r="D213" t="str">
            <v>Mandy</v>
          </cell>
          <cell r="E213">
            <v>32692</v>
          </cell>
          <cell r="H213" t="str">
            <v>S7</v>
          </cell>
          <cell r="J213" t="str">
            <v>Mans, L(Leo)</v>
          </cell>
          <cell r="K213" t="str">
            <v>NFW14K5</v>
          </cell>
          <cell r="L213" t="str">
            <v>Mans, L</v>
          </cell>
          <cell r="M213" t="str">
            <v>Leo</v>
          </cell>
          <cell r="N213">
            <v>24487</v>
          </cell>
          <cell r="Q213"/>
        </row>
        <row r="214">
          <cell r="A214" t="str">
            <v>Zuidgeest, A.(Astrid)</v>
          </cell>
          <cell r="B214" t="str">
            <v>NJD42X4</v>
          </cell>
          <cell r="C214" t="str">
            <v>Zuidgeest, A.</v>
          </cell>
          <cell r="D214" t="str">
            <v>Astrid</v>
          </cell>
          <cell r="E214">
            <v>33692</v>
          </cell>
          <cell r="H214" t="str">
            <v>S7</v>
          </cell>
          <cell r="J214" t="str">
            <v>Mastijn, L(Lennart)</v>
          </cell>
          <cell r="K214" t="str">
            <v>NGL92K5</v>
          </cell>
          <cell r="L214" t="str">
            <v>Mastijn, L</v>
          </cell>
          <cell r="M214" t="str">
            <v>Lennart</v>
          </cell>
          <cell r="N214">
            <v>33342</v>
          </cell>
          <cell r="Q214"/>
        </row>
        <row r="215">
          <cell r="A215" t="str">
            <v>Boer, S.(Samantha)</v>
          </cell>
          <cell r="B215" t="str">
            <v>NGT44B1</v>
          </cell>
          <cell r="C215" t="str">
            <v>Boer, S.</v>
          </cell>
          <cell r="D215" t="str">
            <v>Samantha</v>
          </cell>
          <cell r="E215">
            <v>31758</v>
          </cell>
          <cell r="H215" t="str">
            <v>S8</v>
          </cell>
          <cell r="J215" t="str">
            <v>Mastijn, N.(Niels)</v>
          </cell>
          <cell r="K215" t="str">
            <v>NFW28X3</v>
          </cell>
          <cell r="L215" t="str">
            <v>Mastijn, N.</v>
          </cell>
          <cell r="M215" t="str">
            <v>Niels</v>
          </cell>
          <cell r="N215">
            <v>31676</v>
          </cell>
          <cell r="Q215"/>
        </row>
        <row r="216">
          <cell r="A216" t="str">
            <v>Fruyt van Hertog, M.(Marjolein)</v>
          </cell>
          <cell r="B216" t="str">
            <v>NGT42X9</v>
          </cell>
          <cell r="C216" t="str">
            <v>Fruyt van Hertog, M.</v>
          </cell>
          <cell r="D216" t="str">
            <v>Marjolein</v>
          </cell>
          <cell r="E216">
            <v>32582</v>
          </cell>
          <cell r="H216" t="str">
            <v>S8</v>
          </cell>
          <cell r="J216" t="str">
            <v>Merwe, van de A.(Adriaan)</v>
          </cell>
          <cell r="K216" t="str">
            <v>NJZ84Q3</v>
          </cell>
          <cell r="L216" t="str">
            <v>Merwe, van de A.</v>
          </cell>
          <cell r="M216" t="str">
            <v>Adriaan</v>
          </cell>
          <cell r="N216">
            <v>18052</v>
          </cell>
          <cell r="Q216"/>
        </row>
        <row r="217">
          <cell r="A217" t="str">
            <v>Grootenboer-Dijk, van M.(Mariette)</v>
          </cell>
          <cell r="B217" t="str">
            <v>NFW40Y6</v>
          </cell>
          <cell r="C217" t="str">
            <v>Grootenboer-Dijk, van M.</v>
          </cell>
          <cell r="D217" t="str">
            <v>Mariette</v>
          </cell>
          <cell r="E217">
            <v>29687</v>
          </cell>
          <cell r="H217" t="str">
            <v>S8</v>
          </cell>
          <cell r="J217" t="str">
            <v>Mol, A.(Arie)</v>
          </cell>
          <cell r="K217" t="str">
            <v>NJW94G5</v>
          </cell>
          <cell r="L217" t="str">
            <v>Mol, A.</v>
          </cell>
          <cell r="M217" t="str">
            <v>Arie</v>
          </cell>
          <cell r="N217">
            <v>9033</v>
          </cell>
          <cell r="Q217"/>
        </row>
        <row r="218">
          <cell r="A218" t="str">
            <v>Kuijper-Vanhooydonck, S.(Simone)</v>
          </cell>
          <cell r="B218" t="str">
            <v>NGL91R1</v>
          </cell>
          <cell r="C218" t="str">
            <v>Kuijper-Vanhooydonck, S.</v>
          </cell>
          <cell r="D218" t="str">
            <v>Simone</v>
          </cell>
          <cell r="E218">
            <v>31686</v>
          </cell>
          <cell r="H218" t="str">
            <v>S8</v>
          </cell>
          <cell r="J218" t="str">
            <v>Mol, J(Jan)</v>
          </cell>
          <cell r="K218" t="str">
            <v>NFY34K7</v>
          </cell>
          <cell r="L218" t="str">
            <v>Mol, J</v>
          </cell>
          <cell r="M218" t="str">
            <v>Jan</v>
          </cell>
          <cell r="N218">
            <v>18437</v>
          </cell>
          <cell r="Q218"/>
        </row>
        <row r="219">
          <cell r="A219" t="str">
            <v>Veld, in 't D.(Dorien)</v>
          </cell>
          <cell r="B219" t="str">
            <v>NFW28D3</v>
          </cell>
          <cell r="C219" t="str">
            <v>Veld, in 't D.</v>
          </cell>
          <cell r="D219" t="str">
            <v>Dorien</v>
          </cell>
          <cell r="E219">
            <v>31086</v>
          </cell>
          <cell r="H219" t="str">
            <v>S8</v>
          </cell>
          <cell r="J219" t="str">
            <v>Mol, J(Jaap)</v>
          </cell>
          <cell r="K219" t="str">
            <v>NFW55N9</v>
          </cell>
          <cell r="L219" t="str">
            <v>Mol, J</v>
          </cell>
          <cell r="M219" t="str">
            <v>Jaap</v>
          </cell>
          <cell r="N219">
            <v>19193</v>
          </cell>
          <cell r="Q219"/>
        </row>
        <row r="220">
          <cell r="A220" t="str">
            <v>Veld, in 't L.(Lisette)</v>
          </cell>
          <cell r="B220" t="str">
            <v>NGD97S8</v>
          </cell>
          <cell r="C220" t="str">
            <v>Veld, in 't L.</v>
          </cell>
          <cell r="D220" t="str">
            <v>Lisette</v>
          </cell>
          <cell r="E220">
            <v>25981</v>
          </cell>
          <cell r="H220" t="str">
            <v>S8</v>
          </cell>
          <cell r="J220" t="str">
            <v>Molendijk, A(Arie)</v>
          </cell>
          <cell r="K220" t="str">
            <v>NJC15S2</v>
          </cell>
          <cell r="L220" t="str">
            <v>Molendijk, A</v>
          </cell>
          <cell r="M220" t="str">
            <v>Arie</v>
          </cell>
          <cell r="N220">
            <v>22894</v>
          </cell>
          <cell r="Q220"/>
        </row>
        <row r="221">
          <cell r="A221" t="str">
            <v>Bernaards, N.(Natascha)</v>
          </cell>
          <cell r="B221" t="str">
            <v>NKC66S7</v>
          </cell>
          <cell r="C221" t="str">
            <v>Bernaards, N.</v>
          </cell>
          <cell r="D221" t="str">
            <v>Natascha</v>
          </cell>
          <cell r="E221">
            <v>34074</v>
          </cell>
          <cell r="H221" t="str">
            <v>S9</v>
          </cell>
          <cell r="J221" t="str">
            <v>Muller, A.(Arthijn)</v>
          </cell>
          <cell r="K221" t="str">
            <v>NFW26D7</v>
          </cell>
          <cell r="L221" t="str">
            <v>Muller, A.</v>
          </cell>
          <cell r="M221" t="str">
            <v>Arthijn</v>
          </cell>
          <cell r="N221">
            <v>29630</v>
          </cell>
          <cell r="Q221"/>
        </row>
        <row r="222">
          <cell r="A222" t="str">
            <v>Honschoten, van S.(Sylvia)</v>
          </cell>
          <cell r="B222" t="str">
            <v>NJF85H3</v>
          </cell>
          <cell r="C222" t="str">
            <v>Honschoten, van S.</v>
          </cell>
          <cell r="D222" t="str">
            <v>Sylvia</v>
          </cell>
          <cell r="E222">
            <v>33673</v>
          </cell>
          <cell r="H222" t="str">
            <v>S9</v>
          </cell>
          <cell r="J222" t="str">
            <v>Nelemans, A(Ad)</v>
          </cell>
          <cell r="K222" t="str">
            <v>NFW14L2</v>
          </cell>
          <cell r="L222" t="str">
            <v>Nelemans, A</v>
          </cell>
          <cell r="M222" t="str">
            <v>Ad</v>
          </cell>
          <cell r="N222">
            <v>19174</v>
          </cell>
          <cell r="Q222"/>
        </row>
        <row r="223">
          <cell r="A223" t="str">
            <v>Verwaal, M.(Melanie)</v>
          </cell>
          <cell r="B223" t="str">
            <v>NJF06P2</v>
          </cell>
          <cell r="C223" t="str">
            <v>Verwaal, M.</v>
          </cell>
          <cell r="D223" t="str">
            <v>Melanie</v>
          </cell>
          <cell r="E223">
            <v>34813</v>
          </cell>
          <cell r="H223" t="str">
            <v>S9</v>
          </cell>
          <cell r="J223" t="str">
            <v>Nelemans, M(Micha)</v>
          </cell>
          <cell r="K223" t="str">
            <v>NFW40K8</v>
          </cell>
          <cell r="L223" t="str">
            <v>Nelemans, M</v>
          </cell>
          <cell r="M223" t="str">
            <v>Micha</v>
          </cell>
          <cell r="N223">
            <v>28601</v>
          </cell>
          <cell r="Q223"/>
        </row>
        <row r="224">
          <cell r="A224" t="str">
            <v>Vos, R.(Robin)</v>
          </cell>
          <cell r="B224" t="str">
            <v>NJB99G9</v>
          </cell>
          <cell r="C224" t="str">
            <v>Vos, R.</v>
          </cell>
          <cell r="D224" t="str">
            <v>Robin</v>
          </cell>
          <cell r="E224">
            <v>33235</v>
          </cell>
          <cell r="H224" t="str">
            <v>S9</v>
          </cell>
          <cell r="J224" t="str">
            <v>Nelemans, S.A.(Staffan)</v>
          </cell>
          <cell r="K224" t="str">
            <v>NFW26F1</v>
          </cell>
          <cell r="L224" t="str">
            <v>Nelemans, S.A.</v>
          </cell>
          <cell r="M224" t="str">
            <v>Staffan</v>
          </cell>
          <cell r="N224">
            <v>29274</v>
          </cell>
          <cell r="Q224"/>
        </row>
        <row r="225">
          <cell r="A225" t="str">
            <v>Welgraven, L.(Larissa)</v>
          </cell>
          <cell r="B225" t="str">
            <v>NGT43V8</v>
          </cell>
          <cell r="C225" t="str">
            <v>Welgraven, L.</v>
          </cell>
          <cell r="D225" t="str">
            <v>Larissa</v>
          </cell>
          <cell r="E225">
            <v>33709</v>
          </cell>
          <cell r="H225" t="str">
            <v>S9</v>
          </cell>
          <cell r="J225" t="str">
            <v>Noels, C(Cees)</v>
          </cell>
          <cell r="K225" t="str">
            <v>NJF24Y9</v>
          </cell>
          <cell r="L225" t="str">
            <v>Noels, C</v>
          </cell>
          <cell r="M225" t="str">
            <v>Cees</v>
          </cell>
          <cell r="N225">
            <v>18817</v>
          </cell>
          <cell r="Q225"/>
        </row>
        <row r="226">
          <cell r="A226" t="str">
            <v>Antwerpen, van L.(Lisa)</v>
          </cell>
          <cell r="B226" t="str">
            <v>NLB71H6</v>
          </cell>
          <cell r="C226" t="str">
            <v>Antwerpen, van L.</v>
          </cell>
          <cell r="D226" t="str">
            <v>Lisa</v>
          </cell>
          <cell r="E226">
            <v>36136</v>
          </cell>
          <cell r="H226" t="str">
            <v>Stopt</v>
          </cell>
          <cell r="J226" t="str">
            <v>Noordam, A J(Jochem)</v>
          </cell>
          <cell r="K226" t="str">
            <v>NJJ89L7</v>
          </cell>
          <cell r="L226" t="str">
            <v>Noordam, A J</v>
          </cell>
          <cell r="M226" t="str">
            <v>Jochem</v>
          </cell>
          <cell r="N226">
            <v>32807</v>
          </cell>
          <cell r="Q226"/>
        </row>
        <row r="227">
          <cell r="A227" t="str">
            <v>Bothoff, J.E.(Annelies)</v>
          </cell>
          <cell r="B227" t="str">
            <v>NJT88G9</v>
          </cell>
          <cell r="C227" t="str">
            <v>Bothoff, J.E.</v>
          </cell>
          <cell r="D227" t="str">
            <v>Annelies</v>
          </cell>
          <cell r="E227">
            <v>31373</v>
          </cell>
          <cell r="H227" t="str">
            <v>Stopt</v>
          </cell>
          <cell r="J227" t="str">
            <v>Oppe, K.J.(Kees Jan)</v>
          </cell>
          <cell r="K227" t="str">
            <v>NFY88Q6</v>
          </cell>
          <cell r="L227" t="str">
            <v>Oppe, K.J.</v>
          </cell>
          <cell r="M227" t="str">
            <v>Kees Jan</v>
          </cell>
          <cell r="N227">
            <v>25048</v>
          </cell>
          <cell r="Q227"/>
        </row>
        <row r="228">
          <cell r="A228" t="str">
            <v>Ewijk, van K.(Kim)</v>
          </cell>
          <cell r="B228" t="str">
            <v>NGM12S2</v>
          </cell>
          <cell r="C228" t="str">
            <v>Ewijk, van K.</v>
          </cell>
          <cell r="D228" t="str">
            <v>Kim</v>
          </cell>
          <cell r="E228">
            <v>31973</v>
          </cell>
          <cell r="H228" t="str">
            <v>Stopt</v>
          </cell>
          <cell r="J228" t="str">
            <v>Ploeg, G J(Gert-Jan)</v>
          </cell>
          <cell r="K228" t="str">
            <v>NGG54Q8</v>
          </cell>
          <cell r="L228" t="str">
            <v>Ploeg, G J</v>
          </cell>
          <cell r="M228" t="str">
            <v>Gert-Jan</v>
          </cell>
          <cell r="N228">
            <v>31188</v>
          </cell>
          <cell r="Q228"/>
        </row>
        <row r="229">
          <cell r="A229" t="str">
            <v>Geerling, Q(Quinty)</v>
          </cell>
          <cell r="B229" t="str">
            <v>NJH51P4</v>
          </cell>
          <cell r="C229" t="str">
            <v>Geerling, Q</v>
          </cell>
          <cell r="D229" t="str">
            <v>Quinty</v>
          </cell>
          <cell r="E229">
            <v>35415</v>
          </cell>
          <cell r="H229" t="str">
            <v>Stopt</v>
          </cell>
          <cell r="J229" t="str">
            <v>Ploeg, H(Hans)</v>
          </cell>
          <cell r="K229" t="str">
            <v>NGG54S2</v>
          </cell>
          <cell r="L229" t="str">
            <v>Ploeg, H</v>
          </cell>
          <cell r="M229" t="str">
            <v>Hans</v>
          </cell>
          <cell r="N229">
            <v>32170</v>
          </cell>
          <cell r="Q229"/>
        </row>
        <row r="230">
          <cell r="A230" t="str">
            <v>Haren, van S.(Simone)</v>
          </cell>
          <cell r="B230" t="str">
            <v>NGZ14B2</v>
          </cell>
          <cell r="C230" t="str">
            <v>Haren, van S.</v>
          </cell>
          <cell r="D230" t="str">
            <v>Simone</v>
          </cell>
          <cell r="E230">
            <v>33910</v>
          </cell>
          <cell r="H230" t="str">
            <v>Stopt</v>
          </cell>
          <cell r="J230" t="str">
            <v>Romijn, A.(Aad)</v>
          </cell>
          <cell r="K230" t="str">
            <v>NFX74K6</v>
          </cell>
          <cell r="L230" t="str">
            <v>Romijn, A.</v>
          </cell>
          <cell r="M230" t="str">
            <v>Aad</v>
          </cell>
          <cell r="N230">
            <v>22941</v>
          </cell>
          <cell r="Q230"/>
        </row>
        <row r="231">
          <cell r="A231" t="str">
            <v>Hendriks, I.A.(Iris)</v>
          </cell>
          <cell r="B231" t="str">
            <v>NJD71J8</v>
          </cell>
          <cell r="C231" t="str">
            <v>Hendriks, I.A.</v>
          </cell>
          <cell r="D231" t="str">
            <v>Iris</v>
          </cell>
          <cell r="E231">
            <v>35747</v>
          </cell>
          <cell r="H231" t="str">
            <v>Stopt</v>
          </cell>
          <cell r="J231" t="str">
            <v>Schenk, A.(André)</v>
          </cell>
          <cell r="K231" t="str">
            <v>NGV03J6</v>
          </cell>
          <cell r="L231" t="str">
            <v>Schenk, A.</v>
          </cell>
          <cell r="M231" t="str">
            <v>André</v>
          </cell>
          <cell r="N231">
            <v>24915</v>
          </cell>
          <cell r="Q231"/>
        </row>
        <row r="232">
          <cell r="A232" t="str">
            <v>Leijs, R.(Renee)</v>
          </cell>
          <cell r="B232" t="str">
            <v>NJC15N7</v>
          </cell>
          <cell r="C232" t="str">
            <v>Leijs, R.</v>
          </cell>
          <cell r="D232" t="str">
            <v>Renee</v>
          </cell>
          <cell r="E232">
            <v>34827</v>
          </cell>
          <cell r="H232" t="str">
            <v>Stopt</v>
          </cell>
          <cell r="J232" t="str">
            <v>Schipper, A(Ad)</v>
          </cell>
          <cell r="K232" t="str">
            <v>NJV31M7</v>
          </cell>
          <cell r="L232" t="str">
            <v>Schipper, A</v>
          </cell>
          <cell r="M232" t="str">
            <v>Ad</v>
          </cell>
          <cell r="N232">
            <v>15646</v>
          </cell>
          <cell r="Q232"/>
        </row>
        <row r="233">
          <cell r="A233" t="str">
            <v>Peters, L(Laura)</v>
          </cell>
          <cell r="B233" t="str">
            <v>NGZ14H4</v>
          </cell>
          <cell r="C233" t="str">
            <v>Peters, L</v>
          </cell>
          <cell r="D233" t="str">
            <v>Laura</v>
          </cell>
          <cell r="E233">
            <v>32531</v>
          </cell>
          <cell r="H233" t="str">
            <v>Stopt</v>
          </cell>
          <cell r="J233" t="str">
            <v>Seevinck, S.L.(Bert)</v>
          </cell>
          <cell r="K233" t="str">
            <v>NKX66V9</v>
          </cell>
          <cell r="L233" t="str">
            <v>Seevinck, S.L.</v>
          </cell>
          <cell r="M233" t="str">
            <v>Bert</v>
          </cell>
          <cell r="N233">
            <v>22358</v>
          </cell>
          <cell r="Q233"/>
        </row>
        <row r="234">
          <cell r="A234" t="str">
            <v>Ploeg- van Ballegooijen, I.(Irene)</v>
          </cell>
          <cell r="B234" t="str">
            <v>NGX49G5</v>
          </cell>
          <cell r="C234" t="str">
            <v>Ploeg- van Ballegooijen, I.</v>
          </cell>
          <cell r="D234" t="str">
            <v>Irene</v>
          </cell>
          <cell r="E234">
            <v>32045</v>
          </cell>
          <cell r="H234" t="str">
            <v>Stopt</v>
          </cell>
          <cell r="J234" t="str">
            <v>Stehouwer, H.(Huib)</v>
          </cell>
          <cell r="K234" t="str">
            <v>NJF85M8</v>
          </cell>
          <cell r="L234" t="str">
            <v>Stehouwer, H.</v>
          </cell>
          <cell r="M234" t="str">
            <v>Huib</v>
          </cell>
          <cell r="N234">
            <v>22802</v>
          </cell>
          <cell r="Q234"/>
        </row>
        <row r="235">
          <cell r="A235" t="str">
            <v>Steen Redeker, M.(Miranda)</v>
          </cell>
          <cell r="B235" t="str">
            <v>NJR87N3</v>
          </cell>
          <cell r="C235" t="str">
            <v>Steen Redeker, M.</v>
          </cell>
          <cell r="D235" t="str">
            <v>Miranda</v>
          </cell>
          <cell r="E235">
            <v>35996</v>
          </cell>
          <cell r="H235" t="str">
            <v>Stopt</v>
          </cell>
          <cell r="J235" t="str">
            <v>Sterk, W(Wim)</v>
          </cell>
          <cell r="K235" t="str">
            <v>NFW14S1</v>
          </cell>
          <cell r="L235" t="str">
            <v>Sterk, W</v>
          </cell>
          <cell r="M235" t="str">
            <v>Wim</v>
          </cell>
          <cell r="N235">
            <v>20871</v>
          </cell>
          <cell r="Q235"/>
        </row>
        <row r="236">
          <cell r="A236" t="str">
            <v>Visser, R.(Renske)</v>
          </cell>
          <cell r="B236" t="str">
            <v>NJG35B7</v>
          </cell>
          <cell r="C236" t="str">
            <v>Visser, R.</v>
          </cell>
          <cell r="D236" t="str">
            <v>Renske</v>
          </cell>
          <cell r="E236">
            <v>36011</v>
          </cell>
          <cell r="H236" t="str">
            <v>AR</v>
          </cell>
          <cell r="J236" t="str">
            <v>Stomp, W(Wilfred)</v>
          </cell>
          <cell r="K236" t="str">
            <v>NFV13X2</v>
          </cell>
          <cell r="L236" t="str">
            <v>Stomp, W</v>
          </cell>
          <cell r="M236" t="str">
            <v>Wilfred</v>
          </cell>
          <cell r="N236">
            <v>30389</v>
          </cell>
          <cell r="Q236"/>
        </row>
        <row r="237">
          <cell r="A237" t="str">
            <v>Zwetsloot, E.P.M(Eva)</v>
          </cell>
          <cell r="B237" t="str">
            <v>NLD62W1</v>
          </cell>
          <cell r="C237" t="str">
            <v>Zwetsloot, E.P.M</v>
          </cell>
          <cell r="D237" t="str">
            <v>Eva</v>
          </cell>
          <cell r="E237">
            <v>35674</v>
          </cell>
          <cell r="H237" t="str">
            <v>Stopt</v>
          </cell>
          <cell r="J237" t="str">
            <v>Strohmeijer, A.(Anton)</v>
          </cell>
          <cell r="K237" t="str">
            <v>NJZ84V8</v>
          </cell>
          <cell r="L237" t="str">
            <v>Strohmeijer, A.</v>
          </cell>
          <cell r="M237" t="str">
            <v>Anton</v>
          </cell>
          <cell r="N237">
            <v>19873</v>
          </cell>
          <cell r="Q237"/>
        </row>
        <row r="238">
          <cell r="A238" t="str">
            <v>Ameijden, van L(Lenie)</v>
          </cell>
          <cell r="B238" t="str">
            <v>NJV62X2</v>
          </cell>
          <cell r="C238" t="str">
            <v>Ameijden, van L</v>
          </cell>
          <cell r="D238" t="str">
            <v>Lenie</v>
          </cell>
          <cell r="E238">
            <v>21916</v>
          </cell>
          <cell r="H238"/>
          <cell r="J238" t="str">
            <v>Strohmeijer, R(Roland)</v>
          </cell>
          <cell r="K238" t="str">
            <v>NGT09H8</v>
          </cell>
          <cell r="L238" t="str">
            <v>Strohmeijer, R</v>
          </cell>
          <cell r="M238" t="str">
            <v>Roland</v>
          </cell>
          <cell r="N238">
            <v>31471</v>
          </cell>
          <cell r="Q238"/>
        </row>
        <row r="239">
          <cell r="A239" t="str">
            <v>Ardon, E(Elly)</v>
          </cell>
          <cell r="B239" t="str">
            <v>NFW00V5</v>
          </cell>
          <cell r="C239" t="str">
            <v>Ardon, E</v>
          </cell>
          <cell r="D239" t="str">
            <v>Elly</v>
          </cell>
          <cell r="E239">
            <v>23707</v>
          </cell>
          <cell r="H239"/>
          <cell r="J239" t="str">
            <v>Tijssen, B(Bart)</v>
          </cell>
          <cell r="K239" t="str">
            <v>NFY07G3</v>
          </cell>
          <cell r="L239" t="str">
            <v>Tijssen, B</v>
          </cell>
          <cell r="M239" t="str">
            <v>Bart</v>
          </cell>
          <cell r="N239">
            <v>30521</v>
          </cell>
          <cell r="Q239"/>
        </row>
        <row r="240">
          <cell r="A240" t="str">
            <v>Assem, van den M C(Marian)</v>
          </cell>
          <cell r="B240" t="str">
            <v>NFW00W2</v>
          </cell>
          <cell r="C240" t="str">
            <v>Assem, van den M C</v>
          </cell>
          <cell r="D240" t="str">
            <v>Marian</v>
          </cell>
          <cell r="E240">
            <v>20526</v>
          </cell>
          <cell r="H240"/>
          <cell r="J240" t="str">
            <v>Tol, van W A J(Wout)</v>
          </cell>
          <cell r="K240" t="str">
            <v>NGP79X1</v>
          </cell>
          <cell r="L240" t="str">
            <v>Tol, van W A J</v>
          </cell>
          <cell r="M240" t="str">
            <v>Wout</v>
          </cell>
          <cell r="N240">
            <v>32911</v>
          </cell>
          <cell r="Q240"/>
        </row>
        <row r="241">
          <cell r="A241" t="str">
            <v>Barendregt, L(Liesbeth)</v>
          </cell>
          <cell r="B241" t="str">
            <v>NFW00X9</v>
          </cell>
          <cell r="C241" t="str">
            <v>Barendregt, L</v>
          </cell>
          <cell r="D241" t="str">
            <v>Liesbeth</v>
          </cell>
          <cell r="E241">
            <v>23441</v>
          </cell>
          <cell r="H241"/>
          <cell r="J241" t="str">
            <v>Veld, in 't E(Erwin)</v>
          </cell>
          <cell r="K241" t="str">
            <v>NFW29J8</v>
          </cell>
          <cell r="L241" t="str">
            <v>Veld, in 't E</v>
          </cell>
          <cell r="M241" t="str">
            <v>Erwin</v>
          </cell>
          <cell r="N241">
            <v>30436</v>
          </cell>
          <cell r="Q241"/>
        </row>
        <row r="242">
          <cell r="A242" t="str">
            <v>Batenburg, A(Annemarie)</v>
          </cell>
          <cell r="B242" t="str">
            <v>NJC16R8</v>
          </cell>
          <cell r="C242" t="str">
            <v>Batenburg, A</v>
          </cell>
          <cell r="D242" t="str">
            <v>Annemarie</v>
          </cell>
          <cell r="E242">
            <v>20724</v>
          </cell>
          <cell r="H242"/>
          <cell r="J242" t="str">
            <v>Veld, in 't G(Ger)</v>
          </cell>
          <cell r="K242" t="str">
            <v>NFW14W9</v>
          </cell>
          <cell r="L242" t="str">
            <v>Veld, in 't G</v>
          </cell>
          <cell r="M242" t="str">
            <v>Ger</v>
          </cell>
          <cell r="N242">
            <v>18152</v>
          </cell>
          <cell r="Q242"/>
        </row>
        <row r="243">
          <cell r="A243" t="str">
            <v>Boom, K.(Kim)</v>
          </cell>
          <cell r="B243" t="str">
            <v>NFT48H8</v>
          </cell>
          <cell r="C243" t="str">
            <v>Boom, K.</v>
          </cell>
          <cell r="D243" t="str">
            <v>Kim</v>
          </cell>
          <cell r="E243">
            <v>32058</v>
          </cell>
          <cell r="H243"/>
          <cell r="J243" t="str">
            <v>Vermeul, P(Paul)</v>
          </cell>
          <cell r="K243" t="str">
            <v>NJF43Q0</v>
          </cell>
          <cell r="L243" t="str">
            <v>Vermeul, P</v>
          </cell>
          <cell r="M243" t="str">
            <v>Paul</v>
          </cell>
          <cell r="N243">
            <v>24206</v>
          </cell>
          <cell r="Q243"/>
        </row>
        <row r="244">
          <cell r="A244" t="str">
            <v>Bouwknegt-Zwijnenburg, I(Ilonka)</v>
          </cell>
          <cell r="B244" t="str">
            <v>NJC90M5</v>
          </cell>
          <cell r="C244" t="str">
            <v>Bouwknegt-Zwijnenburg, I</v>
          </cell>
          <cell r="D244" t="str">
            <v>Ilonka</v>
          </cell>
          <cell r="E244">
            <v>27792</v>
          </cell>
          <cell r="H244"/>
          <cell r="J244" t="str">
            <v>Verwaal, J(Johan)</v>
          </cell>
          <cell r="K244" t="str">
            <v>NFW14X6</v>
          </cell>
          <cell r="L244" t="str">
            <v>Verwaal, J</v>
          </cell>
          <cell r="M244" t="str">
            <v>Johan</v>
          </cell>
          <cell r="N244">
            <v>22833</v>
          </cell>
          <cell r="Q244"/>
        </row>
        <row r="245">
          <cell r="A245" t="str">
            <v>Broekhuijsen, J(Jose)</v>
          </cell>
          <cell r="B245" t="str">
            <v>NFW54F0</v>
          </cell>
          <cell r="C245" t="str">
            <v>Broekhuijsen, J</v>
          </cell>
          <cell r="D245" t="str">
            <v>Jose</v>
          </cell>
          <cell r="E245">
            <v>22398</v>
          </cell>
          <cell r="H245"/>
          <cell r="J245" t="str">
            <v>Verwaal, M(Chiel)</v>
          </cell>
          <cell r="K245" t="str">
            <v>NFW14Z0</v>
          </cell>
          <cell r="L245" t="str">
            <v>Verwaal, M</v>
          </cell>
          <cell r="M245" t="str">
            <v>Chiel</v>
          </cell>
          <cell r="N245">
            <v>17293</v>
          </cell>
          <cell r="Q245"/>
        </row>
        <row r="246">
          <cell r="A246" t="str">
            <v>Broere, E(Eline)</v>
          </cell>
          <cell r="B246" t="str">
            <v>NJC01B6</v>
          </cell>
          <cell r="C246" t="str">
            <v>Broere, E</v>
          </cell>
          <cell r="D246" t="str">
            <v>Eline</v>
          </cell>
          <cell r="E246">
            <v>33898</v>
          </cell>
          <cell r="H246"/>
          <cell r="J246" t="str">
            <v>Verwaal, M(Michel)</v>
          </cell>
          <cell r="K246" t="str">
            <v>NFW15B5</v>
          </cell>
          <cell r="L246" t="str">
            <v>Verwaal, M</v>
          </cell>
          <cell r="M246" t="str">
            <v>Michel</v>
          </cell>
          <cell r="N246">
            <v>21869</v>
          </cell>
          <cell r="Q246"/>
        </row>
        <row r="247">
          <cell r="A247" t="str">
            <v>Dame A1/A2()</v>
          </cell>
          <cell r="B247"/>
          <cell r="C247" t="str">
            <v>Dame A1/A2</v>
          </cell>
          <cell r="D247"/>
          <cell r="E247">
            <v>36070</v>
          </cell>
          <cell r="H247"/>
          <cell r="J247" t="str">
            <v>Waal, van de A(Adriaan)</v>
          </cell>
          <cell r="K247" t="str">
            <v>NFW15D9</v>
          </cell>
          <cell r="L247" t="str">
            <v>Waal, van de A</v>
          </cell>
          <cell r="M247" t="str">
            <v>Adriaan</v>
          </cell>
          <cell r="N247">
            <v>20120</v>
          </cell>
          <cell r="Q247"/>
        </row>
        <row r="248">
          <cell r="A248" t="str">
            <v>Dekkers-de Bruijn, W.(Willy)</v>
          </cell>
          <cell r="B248" t="str">
            <v>NFW53Z7</v>
          </cell>
          <cell r="C248" t="str">
            <v>Dekkers-de Bruijn, W.</v>
          </cell>
          <cell r="D248" t="str">
            <v>Willy</v>
          </cell>
          <cell r="E248">
            <v>15798</v>
          </cell>
          <cell r="H248"/>
          <cell r="J248" t="str">
            <v>Wall, van der J(Johan)</v>
          </cell>
          <cell r="K248" t="str">
            <v>NFW15F3</v>
          </cell>
          <cell r="L248" t="str">
            <v>Wall, van der J</v>
          </cell>
          <cell r="M248" t="str">
            <v>Johan</v>
          </cell>
          <cell r="N248">
            <v>24003</v>
          </cell>
          <cell r="Q248"/>
        </row>
        <row r="249">
          <cell r="A249" t="str">
            <v>Dijk, van R(Ria)</v>
          </cell>
          <cell r="B249" t="str">
            <v>NFW01C5</v>
          </cell>
          <cell r="C249" t="str">
            <v>Dijk, van R</v>
          </cell>
          <cell r="D249" t="str">
            <v>Ria</v>
          </cell>
          <cell r="E249">
            <v>25782</v>
          </cell>
          <cell r="H249"/>
          <cell r="J249" t="str">
            <v>Wiel, van der H(Henk)</v>
          </cell>
          <cell r="K249" t="str">
            <v>NFW15G0</v>
          </cell>
          <cell r="L249" t="str">
            <v>Wiel, van der H</v>
          </cell>
          <cell r="M249" t="str">
            <v>Henk</v>
          </cell>
          <cell r="N249">
            <v>20014</v>
          </cell>
          <cell r="Q249"/>
        </row>
        <row r="250">
          <cell r="A250" t="str">
            <v>Dongen, van I.(Irene)</v>
          </cell>
          <cell r="B250" t="str">
            <v>NHY54X2</v>
          </cell>
          <cell r="C250" t="str">
            <v>Dongen, van I.</v>
          </cell>
          <cell r="D250" t="str">
            <v>Irene</v>
          </cell>
          <cell r="E250">
            <v>33874</v>
          </cell>
          <cell r="H250"/>
          <cell r="J250" t="str">
            <v>Wiel, van der R(Robbie)</v>
          </cell>
          <cell r="K250" t="str">
            <v>NFW29M9</v>
          </cell>
          <cell r="L250" t="str">
            <v>Wiel, van der R</v>
          </cell>
          <cell r="M250" t="str">
            <v>Robbie</v>
          </cell>
          <cell r="N250">
            <v>30822</v>
          </cell>
          <cell r="Q250"/>
        </row>
        <row r="251">
          <cell r="A251" t="str">
            <v>Draaijer, N(Nora)</v>
          </cell>
          <cell r="B251" t="str">
            <v>NFW01G3</v>
          </cell>
          <cell r="C251" t="str">
            <v>Draaijer, N</v>
          </cell>
          <cell r="D251" t="str">
            <v>Nora</v>
          </cell>
          <cell r="E251">
            <v>20520</v>
          </cell>
          <cell r="H251"/>
          <cell r="J251" t="str">
            <v>Zomer, M(Mark)</v>
          </cell>
          <cell r="K251" t="str">
            <v>NFW15H7</v>
          </cell>
          <cell r="L251" t="str">
            <v>Zomer, M</v>
          </cell>
          <cell r="M251" t="str">
            <v>Mark</v>
          </cell>
          <cell r="N251">
            <v>23004</v>
          </cell>
          <cell r="Q251"/>
        </row>
        <row r="252">
          <cell r="A252" t="str">
            <v>Horst, ter W.J.(Willeke)</v>
          </cell>
          <cell r="B252" t="str">
            <v>NFW54D6</v>
          </cell>
          <cell r="C252" t="str">
            <v>Horst, ter W.J.</v>
          </cell>
          <cell r="D252" t="str">
            <v>Willeke</v>
          </cell>
          <cell r="E252">
            <v>20811</v>
          </cell>
          <cell r="H252"/>
          <cell r="J252" t="str">
            <v>Heer S1/S2()</v>
          </cell>
          <cell r="K252"/>
          <cell r="L252" t="str">
            <v>Heer S1/S2</v>
          </cell>
          <cell r="M252"/>
          <cell r="N252"/>
          <cell r="Q252"/>
        </row>
        <row r="253">
          <cell r="A253" t="str">
            <v>Isarin, A J(Andrea)</v>
          </cell>
          <cell r="B253" t="str">
            <v>NJF06T0</v>
          </cell>
          <cell r="C253" t="str">
            <v>Isarin, A J</v>
          </cell>
          <cell r="D253" t="str">
            <v>Andrea</v>
          </cell>
          <cell r="E253">
            <v>35375</v>
          </cell>
          <cell r="H253"/>
          <cell r="J253" t="str">
            <v>Heer S1/S2.()</v>
          </cell>
          <cell r="K253"/>
          <cell r="L253" t="str">
            <v>Heer S1/S2.</v>
          </cell>
          <cell r="M253"/>
          <cell r="N253"/>
          <cell r="Q253"/>
        </row>
        <row r="254">
          <cell r="A254" t="str">
            <v>Jonge, de S.(Serena)</v>
          </cell>
          <cell r="B254" t="str">
            <v>NJK27N6</v>
          </cell>
          <cell r="C254" t="str">
            <v>Jonge, de S.</v>
          </cell>
          <cell r="D254" t="str">
            <v>Serena</v>
          </cell>
          <cell r="E254">
            <v>33214</v>
          </cell>
          <cell r="H254"/>
          <cell r="J254" t="str">
            <v>()</v>
          </cell>
          <cell r="K254"/>
          <cell r="L254"/>
          <cell r="M254"/>
          <cell r="N254"/>
          <cell r="Q254"/>
        </row>
        <row r="255">
          <cell r="A255" t="str">
            <v>Kalkeren, van P(Paula)</v>
          </cell>
          <cell r="B255" t="str">
            <v>NFW54G7</v>
          </cell>
          <cell r="C255" t="str">
            <v>Kalkeren, van P</v>
          </cell>
          <cell r="D255" t="str">
            <v>Paula</v>
          </cell>
          <cell r="E255">
            <v>13622</v>
          </cell>
          <cell r="H255"/>
          <cell r="J255" t="str">
            <v>()</v>
          </cell>
          <cell r="K255"/>
          <cell r="L255"/>
          <cell r="M255"/>
          <cell r="N255"/>
          <cell r="Q255"/>
        </row>
        <row r="256">
          <cell r="A256" t="str">
            <v>Kalkeren-Mans, van H(Hanneke)</v>
          </cell>
          <cell r="B256" t="str">
            <v>NFW01L8</v>
          </cell>
          <cell r="C256" t="str">
            <v>Kalkeren-Mans, van H</v>
          </cell>
          <cell r="D256" t="str">
            <v>Hanneke</v>
          </cell>
          <cell r="E256">
            <v>23915</v>
          </cell>
          <cell r="H256"/>
          <cell r="J256" t="str">
            <v>()</v>
          </cell>
          <cell r="K256"/>
          <cell r="L256"/>
          <cell r="M256"/>
          <cell r="N256"/>
          <cell r="Q256"/>
        </row>
        <row r="257">
          <cell r="A257" t="str">
            <v>Kleingeld-van der Windt, J.(Johanna)</v>
          </cell>
          <cell r="B257" t="str">
            <v>NLM86Y6</v>
          </cell>
          <cell r="C257" t="str">
            <v>Kleingeld-van der Windt, J.</v>
          </cell>
          <cell r="D257" t="str">
            <v>Johanna</v>
          </cell>
          <cell r="E257">
            <v>21735</v>
          </cell>
          <cell r="H257"/>
          <cell r="J257" t="str">
            <v>()</v>
          </cell>
          <cell r="K257"/>
          <cell r="L257"/>
          <cell r="M257"/>
          <cell r="N257"/>
          <cell r="Q257"/>
        </row>
        <row r="258">
          <cell r="A258" t="str">
            <v>Kleingeld-Wibbens, L(Liesbeth)</v>
          </cell>
          <cell r="B258" t="str">
            <v>NJK42C4</v>
          </cell>
          <cell r="C258" t="str">
            <v>Kleingeld-Wibbens, L</v>
          </cell>
          <cell r="D258" t="str">
            <v>Liesbeth</v>
          </cell>
          <cell r="E258">
            <v>31969</v>
          </cell>
          <cell r="H258"/>
          <cell r="J258" t="str">
            <v>()</v>
          </cell>
          <cell r="K258"/>
          <cell r="L258"/>
          <cell r="M258"/>
          <cell r="N258"/>
          <cell r="Q258"/>
        </row>
        <row r="259">
          <cell r="A259" t="str">
            <v>Klerk, de L.(Lisanne)</v>
          </cell>
          <cell r="B259" t="str">
            <v>NGV02Z5</v>
          </cell>
          <cell r="C259" t="str">
            <v>Klerk, de L.</v>
          </cell>
          <cell r="D259" t="str">
            <v>Lisanne</v>
          </cell>
          <cell r="E259">
            <v>33135</v>
          </cell>
          <cell r="H259"/>
          <cell r="J259" t="str">
            <v>()</v>
          </cell>
          <cell r="K259"/>
          <cell r="L259"/>
          <cell r="M259"/>
          <cell r="N259"/>
          <cell r="Q259"/>
        </row>
        <row r="260">
          <cell r="A260" t="str">
            <v>Klink, E(Ellen)</v>
          </cell>
          <cell r="B260" t="str">
            <v>NFW15J1</v>
          </cell>
          <cell r="C260" t="str">
            <v>Klink, E</v>
          </cell>
          <cell r="D260" t="str">
            <v>Ellen</v>
          </cell>
          <cell r="E260">
            <v>25658</v>
          </cell>
          <cell r="H260"/>
          <cell r="J260" t="str">
            <v>()</v>
          </cell>
          <cell r="K260"/>
          <cell r="L260"/>
          <cell r="M260"/>
          <cell r="N260"/>
          <cell r="Q260"/>
        </row>
        <row r="261">
          <cell r="A261" t="str">
            <v>Kloot-Post, P.E.(Ilse)</v>
          </cell>
          <cell r="B261" t="str">
            <v>NLH06R2</v>
          </cell>
          <cell r="C261" t="str">
            <v>Kloot-Post, P.E.</v>
          </cell>
          <cell r="D261" t="str">
            <v>Ilse</v>
          </cell>
          <cell r="E261">
            <v>27256</v>
          </cell>
          <cell r="H261"/>
          <cell r="J261" t="str">
            <v>()</v>
          </cell>
          <cell r="K261"/>
          <cell r="L261"/>
          <cell r="M261"/>
          <cell r="N261"/>
          <cell r="Q261"/>
        </row>
        <row r="262">
          <cell r="A262" t="str">
            <v>Koegler, P.(Nellie)</v>
          </cell>
          <cell r="B262" t="str">
            <v>NFW54J8</v>
          </cell>
          <cell r="C262" t="str">
            <v>Koegler, P.</v>
          </cell>
          <cell r="D262" t="str">
            <v>Nellie</v>
          </cell>
          <cell r="E262">
            <v>20542</v>
          </cell>
          <cell r="H262"/>
          <cell r="J262" t="str">
            <v>()</v>
          </cell>
          <cell r="K262"/>
          <cell r="L262"/>
          <cell r="M262"/>
          <cell r="N262"/>
          <cell r="Q262"/>
        </row>
        <row r="263">
          <cell r="A263" t="str">
            <v>Leertouwer, M.E.(Anne-Marie)</v>
          </cell>
          <cell r="B263" t="str">
            <v>NJD47Q0</v>
          </cell>
          <cell r="C263" t="str">
            <v>Leertouwer, M.E.</v>
          </cell>
          <cell r="D263" t="str">
            <v>Anne-Marie</v>
          </cell>
          <cell r="E263">
            <v>33431</v>
          </cell>
          <cell r="H263"/>
          <cell r="J263" t="str">
            <v>()</v>
          </cell>
          <cell r="K263"/>
          <cell r="L263"/>
          <cell r="M263"/>
          <cell r="N263"/>
          <cell r="Q263"/>
        </row>
        <row r="264">
          <cell r="A264" t="str">
            <v>Mans, C(Corrie)</v>
          </cell>
          <cell r="B264" t="str">
            <v>NFW53V9</v>
          </cell>
          <cell r="C264" t="str">
            <v>Mans, C</v>
          </cell>
          <cell r="D264" t="str">
            <v>Corrie</v>
          </cell>
          <cell r="E264">
            <v>25099</v>
          </cell>
          <cell r="H264"/>
          <cell r="J264" t="str">
            <v>()</v>
          </cell>
          <cell r="K264"/>
          <cell r="L264"/>
          <cell r="M264"/>
          <cell r="N264"/>
          <cell r="Q264"/>
        </row>
        <row r="265">
          <cell r="A265" t="str">
            <v>Mastijn, E(Elsa)</v>
          </cell>
          <cell r="B265" t="str">
            <v>NFW12L6</v>
          </cell>
          <cell r="C265" t="str">
            <v>Mastijn, E</v>
          </cell>
          <cell r="D265" t="str">
            <v>Elsa</v>
          </cell>
          <cell r="E265">
            <v>20777</v>
          </cell>
          <cell r="H265"/>
          <cell r="J265" t="str">
            <v>()</v>
          </cell>
          <cell r="K265"/>
          <cell r="L265"/>
          <cell r="M265"/>
          <cell r="N265"/>
          <cell r="Q265"/>
        </row>
        <row r="266">
          <cell r="A266" t="str">
            <v>Meerman, L(Liz)</v>
          </cell>
          <cell r="B266" t="str">
            <v>NJJ84Q7</v>
          </cell>
          <cell r="C266" t="str">
            <v>Meerman, L</v>
          </cell>
          <cell r="D266" t="str">
            <v>Liz</v>
          </cell>
          <cell r="E266">
            <v>33511</v>
          </cell>
          <cell r="H266"/>
          <cell r="J266" t="str">
            <v>()</v>
          </cell>
          <cell r="K266"/>
          <cell r="L266"/>
          <cell r="M266"/>
          <cell r="N266"/>
          <cell r="Q266"/>
        </row>
        <row r="267">
          <cell r="A267" t="str">
            <v>Merwe, van de L M(Lenne)</v>
          </cell>
          <cell r="B267" t="str">
            <v>NFW41Q3</v>
          </cell>
          <cell r="C267" t="str">
            <v>Merwe, van de L M</v>
          </cell>
          <cell r="D267" t="str">
            <v>Lenne</v>
          </cell>
          <cell r="E267">
            <v>29413</v>
          </cell>
          <cell r="H267"/>
          <cell r="J267" t="str">
            <v>()</v>
          </cell>
          <cell r="K267"/>
          <cell r="L267"/>
          <cell r="M267"/>
          <cell r="N267"/>
          <cell r="Q267"/>
        </row>
        <row r="268">
          <cell r="A268" t="str">
            <v>Merwe, van de M(Melina)</v>
          </cell>
          <cell r="B268" t="str">
            <v>NFW41R0</v>
          </cell>
          <cell r="C268" t="str">
            <v>Merwe, van de M</v>
          </cell>
          <cell r="D268" t="str">
            <v>Melina</v>
          </cell>
          <cell r="E268">
            <v>29057</v>
          </cell>
          <cell r="H268"/>
          <cell r="J268" t="str">
            <v>()</v>
          </cell>
          <cell r="K268"/>
          <cell r="L268"/>
          <cell r="M268"/>
          <cell r="N268"/>
          <cell r="Q268"/>
        </row>
        <row r="269">
          <cell r="A269" t="str">
            <v>Mol, M(Marian)</v>
          </cell>
          <cell r="B269" t="str">
            <v>NFW12N0</v>
          </cell>
          <cell r="C269" t="str">
            <v>Mol, M</v>
          </cell>
          <cell r="D269" t="str">
            <v>Marian</v>
          </cell>
          <cell r="E269">
            <v>21084</v>
          </cell>
          <cell r="H269"/>
          <cell r="J269" t="str">
            <v>()</v>
          </cell>
          <cell r="K269"/>
          <cell r="L269"/>
          <cell r="M269"/>
          <cell r="N269"/>
          <cell r="Q269"/>
        </row>
        <row r="270">
          <cell r="A270" t="str">
            <v>Molendijk, J(Jolanda)</v>
          </cell>
          <cell r="B270" t="str">
            <v>NGL91W6</v>
          </cell>
          <cell r="C270" t="str">
            <v>Molendijk, J</v>
          </cell>
          <cell r="D270" t="str">
            <v>Jolanda</v>
          </cell>
          <cell r="E270">
            <v>22604</v>
          </cell>
          <cell r="H270"/>
          <cell r="J270" t="str">
            <v>()</v>
          </cell>
          <cell r="K270"/>
          <cell r="L270"/>
          <cell r="M270"/>
          <cell r="N270"/>
          <cell r="Q270"/>
        </row>
        <row r="271">
          <cell r="A271" t="str">
            <v>Mookhoek, N(Nelleke)</v>
          </cell>
          <cell r="B271" t="str">
            <v>NFW12P4</v>
          </cell>
          <cell r="C271" t="str">
            <v>Mookhoek, N</v>
          </cell>
          <cell r="D271" t="str">
            <v>Nelleke</v>
          </cell>
          <cell r="E271">
            <v>22758</v>
          </cell>
          <cell r="H271"/>
          <cell r="J271" t="str">
            <v>()</v>
          </cell>
          <cell r="K271"/>
          <cell r="L271"/>
          <cell r="M271"/>
          <cell r="N271"/>
          <cell r="Q271"/>
        </row>
        <row r="272">
          <cell r="A272" t="str">
            <v>Nelemans, K(Klarie)</v>
          </cell>
          <cell r="B272" t="str">
            <v>NFW12Q1</v>
          </cell>
          <cell r="C272" t="str">
            <v>Nelemans, K</v>
          </cell>
          <cell r="D272" t="str">
            <v>Klarie</v>
          </cell>
          <cell r="E272">
            <v>19010</v>
          </cell>
          <cell r="H272"/>
          <cell r="J272" t="str">
            <v>()</v>
          </cell>
          <cell r="K272"/>
          <cell r="L272"/>
          <cell r="M272"/>
          <cell r="N272"/>
          <cell r="Q272"/>
        </row>
        <row r="273">
          <cell r="A273" t="str">
            <v>Nobel-Verwaal, M M(Martine)</v>
          </cell>
          <cell r="B273" t="str">
            <v>NFW39Z5</v>
          </cell>
          <cell r="C273" t="str">
            <v>Nobel-Verwaal, M M</v>
          </cell>
          <cell r="D273" t="str">
            <v>Martine</v>
          </cell>
          <cell r="E273">
            <v>28186</v>
          </cell>
          <cell r="H273"/>
          <cell r="J273" t="str">
            <v>()</v>
          </cell>
          <cell r="K273"/>
          <cell r="L273"/>
          <cell r="M273"/>
          <cell r="N273"/>
          <cell r="Q273"/>
        </row>
        <row r="274">
          <cell r="A274" t="str">
            <v>Oosterwijk, P(Pieta)</v>
          </cell>
          <cell r="B274" t="str">
            <v>NFW12M3</v>
          </cell>
          <cell r="C274" t="str">
            <v>Oosterwijk, P</v>
          </cell>
          <cell r="D274" t="str">
            <v>Pieta</v>
          </cell>
          <cell r="E274">
            <v>20812</v>
          </cell>
          <cell r="H274"/>
          <cell r="J274" t="str">
            <v>()</v>
          </cell>
          <cell r="K274"/>
          <cell r="L274"/>
          <cell r="M274"/>
          <cell r="N274"/>
          <cell r="Q274"/>
        </row>
        <row r="275">
          <cell r="A275" t="str">
            <v>Oppe-van den Broek, M.(Monique)</v>
          </cell>
          <cell r="B275" t="str">
            <v>NFS56R6</v>
          </cell>
          <cell r="C275" t="str">
            <v>Oppe-van den Broek, M.</v>
          </cell>
          <cell r="D275" t="str">
            <v>Monique</v>
          </cell>
          <cell r="E275">
            <v>24796</v>
          </cell>
          <cell r="H275"/>
          <cell r="J275" t="str">
            <v>()</v>
          </cell>
          <cell r="K275"/>
          <cell r="L275"/>
          <cell r="M275"/>
          <cell r="N275"/>
          <cell r="Q275"/>
        </row>
        <row r="276">
          <cell r="A276" t="str">
            <v>Ploeg, E(Elleke)</v>
          </cell>
          <cell r="B276" t="str">
            <v>NJH51C3</v>
          </cell>
          <cell r="C276" t="str">
            <v>Ploeg, E</v>
          </cell>
          <cell r="D276" t="str">
            <v>Elleke</v>
          </cell>
          <cell r="E276">
            <v>34851</v>
          </cell>
          <cell r="H276"/>
          <cell r="J276" t="str">
            <v>()</v>
          </cell>
          <cell r="K276"/>
          <cell r="L276"/>
          <cell r="M276"/>
          <cell r="N276"/>
          <cell r="Q276"/>
        </row>
        <row r="277">
          <cell r="A277" t="str">
            <v>Reus, de A(Annemieke)</v>
          </cell>
          <cell r="B277" t="str">
            <v>NFW12T2</v>
          </cell>
          <cell r="C277" t="str">
            <v>Reus, de A</v>
          </cell>
          <cell r="D277" t="str">
            <v>Annemieke</v>
          </cell>
          <cell r="E277">
            <v>25798</v>
          </cell>
          <cell r="H277"/>
          <cell r="J277" t="str">
            <v>()</v>
          </cell>
          <cell r="K277"/>
          <cell r="L277"/>
          <cell r="M277"/>
          <cell r="N277"/>
          <cell r="Q277"/>
        </row>
        <row r="278">
          <cell r="A278" t="str">
            <v>Rover, de N(Nathalie)</v>
          </cell>
          <cell r="B278" t="str">
            <v>NFW41Y9</v>
          </cell>
          <cell r="C278" t="str">
            <v>Rover, de N</v>
          </cell>
          <cell r="D278" t="str">
            <v>Nathalie</v>
          </cell>
          <cell r="E278">
            <v>29141</v>
          </cell>
          <cell r="H278"/>
          <cell r="J278" t="str">
            <v>()</v>
          </cell>
          <cell r="K278"/>
          <cell r="L278"/>
          <cell r="M278"/>
          <cell r="N278"/>
          <cell r="Q278"/>
        </row>
        <row r="279">
          <cell r="A279" t="str">
            <v>Schipper, A(Annemarie)</v>
          </cell>
          <cell r="B279" t="str">
            <v>NFW15V5</v>
          </cell>
          <cell r="C279" t="str">
            <v>Schipper, A</v>
          </cell>
          <cell r="D279" t="str">
            <v>Annemarie</v>
          </cell>
          <cell r="E279">
            <v>28581</v>
          </cell>
          <cell r="H279"/>
          <cell r="J279" t="str">
            <v>()</v>
          </cell>
          <cell r="K279"/>
          <cell r="L279"/>
          <cell r="M279"/>
          <cell r="N279"/>
          <cell r="Q279"/>
        </row>
        <row r="280">
          <cell r="A280" t="str">
            <v>Stolk, S(Sanne)</v>
          </cell>
          <cell r="B280" t="str">
            <v>NFW28B9</v>
          </cell>
          <cell r="C280" t="str">
            <v>Stolk, S</v>
          </cell>
          <cell r="D280" t="str">
            <v>Sanne</v>
          </cell>
          <cell r="E280">
            <v>30467</v>
          </cell>
          <cell r="H280"/>
          <cell r="J280" t="str">
            <v>()</v>
          </cell>
          <cell r="K280"/>
          <cell r="L280"/>
          <cell r="M280"/>
          <cell r="N280"/>
          <cell r="Q280"/>
        </row>
        <row r="281">
          <cell r="A281" t="str">
            <v>Stomp-Burgt, vd L(Lianne)</v>
          </cell>
          <cell r="B281" t="str">
            <v>NFV12W2</v>
          </cell>
          <cell r="C281" t="str">
            <v>Stomp-Burgt, vd L</v>
          </cell>
          <cell r="D281" t="str">
            <v>Lianne</v>
          </cell>
          <cell r="E281">
            <v>31161</v>
          </cell>
          <cell r="H281"/>
          <cell r="J281" t="str">
            <v>()</v>
          </cell>
          <cell r="K281"/>
          <cell r="L281"/>
          <cell r="M281"/>
          <cell r="N281"/>
          <cell r="Q281"/>
        </row>
        <row r="282">
          <cell r="A282" t="str">
            <v>Tol, van J.H.E.(Annelies)</v>
          </cell>
          <cell r="B282" t="str">
            <v>NJY57X5</v>
          </cell>
          <cell r="C282" t="str">
            <v>Tol, van J.H.E.</v>
          </cell>
          <cell r="D282" t="str">
            <v>Annelies</v>
          </cell>
          <cell r="E282">
            <v>22145</v>
          </cell>
          <cell r="H282"/>
          <cell r="J282" t="str">
            <v>()</v>
          </cell>
          <cell r="K282"/>
          <cell r="L282"/>
          <cell r="M282"/>
          <cell r="N282"/>
          <cell r="Q282"/>
        </row>
        <row r="283">
          <cell r="A283" t="str">
            <v>Veld, in 't T(Tineke)</v>
          </cell>
          <cell r="B283" t="str">
            <v>NFW54N6</v>
          </cell>
          <cell r="C283" t="str">
            <v>Veld, in 't T</v>
          </cell>
          <cell r="D283" t="str">
            <v>Tineke</v>
          </cell>
          <cell r="E283">
            <v>20018</v>
          </cell>
          <cell r="H283"/>
          <cell r="J283" t="str">
            <v>()</v>
          </cell>
          <cell r="K283"/>
          <cell r="L283"/>
          <cell r="M283"/>
          <cell r="N283"/>
          <cell r="Q283"/>
        </row>
        <row r="284">
          <cell r="A284" t="str">
            <v>Vermij, C T(Cora)</v>
          </cell>
          <cell r="B284" t="str">
            <v>NFW12Z4</v>
          </cell>
          <cell r="C284" t="str">
            <v>Vermij, C T</v>
          </cell>
          <cell r="D284" t="str">
            <v>Cora</v>
          </cell>
          <cell r="E284">
            <v>23877</v>
          </cell>
          <cell r="H284"/>
          <cell r="J284" t="str">
            <v>()</v>
          </cell>
          <cell r="K284"/>
          <cell r="L284"/>
          <cell r="M284"/>
          <cell r="N284"/>
          <cell r="Q284"/>
        </row>
        <row r="285">
          <cell r="A285" t="str">
            <v>Verwaal, A(Arja)</v>
          </cell>
          <cell r="B285" t="str">
            <v>NFW54P0</v>
          </cell>
          <cell r="C285" t="str">
            <v>Verwaal, A</v>
          </cell>
          <cell r="D285" t="str">
            <v>Arja</v>
          </cell>
          <cell r="E285">
            <v>22330</v>
          </cell>
          <cell r="H285"/>
          <cell r="J285" t="str">
            <v>()</v>
          </cell>
          <cell r="K285"/>
          <cell r="L285"/>
          <cell r="M285"/>
          <cell r="N285"/>
          <cell r="Q285"/>
        </row>
        <row r="286">
          <cell r="A286" t="str">
            <v>Vries, de S(Sanne)</v>
          </cell>
          <cell r="B286" t="str">
            <v>NFW28H1</v>
          </cell>
          <cell r="C286" t="str">
            <v>Vries, de S</v>
          </cell>
          <cell r="D286" t="str">
            <v>Sanne</v>
          </cell>
          <cell r="E286">
            <v>30399</v>
          </cell>
          <cell r="H286"/>
          <cell r="J286" t="str">
            <v>()</v>
          </cell>
          <cell r="K286"/>
          <cell r="L286"/>
          <cell r="M286"/>
          <cell r="N286"/>
          <cell r="Q286"/>
        </row>
        <row r="287">
          <cell r="A287" t="str">
            <v>Zwanenburg-Moerman, D.(Debita)</v>
          </cell>
          <cell r="B287" t="str">
            <v>NFW15S4</v>
          </cell>
          <cell r="C287" t="str">
            <v>Zwanenburg-Moerman, D.</v>
          </cell>
          <cell r="D287" t="str">
            <v>Debita</v>
          </cell>
          <cell r="E287">
            <v>28329</v>
          </cell>
          <cell r="H287"/>
          <cell r="J287" t="str">
            <v>()</v>
          </cell>
          <cell r="K287"/>
          <cell r="L287"/>
          <cell r="M287"/>
          <cell r="N287"/>
          <cell r="Q287"/>
        </row>
        <row r="288">
          <cell r="A288" t="str">
            <v>()</v>
          </cell>
          <cell r="B288"/>
          <cell r="C288"/>
          <cell r="D288"/>
          <cell r="E288"/>
          <cell r="H288"/>
          <cell r="J288" t="str">
            <v>()</v>
          </cell>
          <cell r="K288"/>
          <cell r="L288"/>
          <cell r="M288"/>
          <cell r="N288"/>
          <cell r="Q288"/>
        </row>
        <row r="289">
          <cell r="A289" t="str">
            <v>()</v>
          </cell>
          <cell r="B289"/>
          <cell r="C289"/>
          <cell r="D289"/>
          <cell r="E289"/>
          <cell r="H289"/>
          <cell r="J289" t="str">
            <v>()</v>
          </cell>
          <cell r="K289"/>
          <cell r="L289"/>
          <cell r="M289"/>
          <cell r="N289"/>
          <cell r="Q289"/>
        </row>
        <row r="290">
          <cell r="A290" t="str">
            <v>()</v>
          </cell>
          <cell r="B290"/>
          <cell r="C290"/>
          <cell r="D290"/>
          <cell r="E290"/>
          <cell r="H290"/>
          <cell r="J290" t="str">
            <v>()</v>
          </cell>
          <cell r="K290"/>
          <cell r="L290"/>
          <cell r="M290"/>
          <cell r="N290"/>
          <cell r="Q290"/>
        </row>
        <row r="291">
          <cell r="A291" t="str">
            <v>()</v>
          </cell>
          <cell r="B291"/>
          <cell r="C291"/>
          <cell r="D291"/>
          <cell r="E291"/>
          <cell r="H291"/>
          <cell r="J291" t="str">
            <v>()</v>
          </cell>
          <cell r="K291"/>
          <cell r="L291"/>
          <cell r="M291"/>
          <cell r="N291"/>
          <cell r="Q291"/>
        </row>
        <row r="292">
          <cell r="A292" t="str">
            <v>()</v>
          </cell>
          <cell r="B292"/>
          <cell r="C292"/>
          <cell r="D292"/>
          <cell r="E292"/>
          <cell r="H292"/>
          <cell r="J292" t="str">
            <v>()</v>
          </cell>
          <cell r="K292"/>
          <cell r="L292"/>
          <cell r="M292"/>
          <cell r="N292"/>
          <cell r="Q292"/>
        </row>
        <row r="293">
          <cell r="A293" t="str">
            <v>()</v>
          </cell>
          <cell r="B293"/>
          <cell r="C293"/>
          <cell r="D293"/>
          <cell r="E293"/>
          <cell r="H293"/>
          <cell r="J293" t="str">
            <v>()</v>
          </cell>
          <cell r="K293"/>
          <cell r="L293"/>
          <cell r="M293"/>
          <cell r="N293"/>
          <cell r="Q293"/>
        </row>
        <row r="294">
          <cell r="A294" t="str">
            <v>()</v>
          </cell>
          <cell r="B294"/>
          <cell r="C294"/>
          <cell r="D294"/>
          <cell r="E294"/>
          <cell r="H294"/>
          <cell r="J294" t="str">
            <v>()</v>
          </cell>
          <cell r="K294"/>
          <cell r="L294"/>
          <cell r="M294"/>
          <cell r="N294"/>
          <cell r="Q294"/>
        </row>
        <row r="295">
          <cell r="A295" t="str">
            <v>()</v>
          </cell>
          <cell r="B295"/>
          <cell r="C295"/>
          <cell r="D295"/>
          <cell r="E295"/>
          <cell r="H295"/>
          <cell r="J295" t="str">
            <v>()</v>
          </cell>
          <cell r="K295"/>
          <cell r="L295"/>
          <cell r="M295"/>
          <cell r="N295"/>
          <cell r="Q295"/>
        </row>
        <row r="296">
          <cell r="A296" t="str">
            <v>()</v>
          </cell>
          <cell r="B296"/>
          <cell r="C296"/>
          <cell r="D296"/>
          <cell r="E296"/>
          <cell r="H296"/>
          <cell r="J296" t="str">
            <v>()</v>
          </cell>
          <cell r="K296"/>
          <cell r="L296"/>
          <cell r="M296"/>
          <cell r="N296"/>
          <cell r="Q296"/>
        </row>
        <row r="297">
          <cell r="A297" t="str">
            <v>()</v>
          </cell>
          <cell r="B297"/>
          <cell r="C297"/>
          <cell r="D297"/>
          <cell r="E297"/>
          <cell r="H297"/>
          <cell r="J297" t="str">
            <v>()</v>
          </cell>
          <cell r="K297"/>
          <cell r="L297"/>
          <cell r="M297"/>
          <cell r="N297"/>
          <cell r="Q297"/>
        </row>
        <row r="298">
          <cell r="A298" t="str">
            <v>()</v>
          </cell>
          <cell r="B298"/>
          <cell r="C298"/>
          <cell r="D298"/>
          <cell r="E298"/>
          <cell r="H298"/>
          <cell r="J298" t="str">
            <v>()</v>
          </cell>
          <cell r="K298"/>
          <cell r="L298"/>
          <cell r="M298"/>
          <cell r="N298"/>
          <cell r="Q298"/>
        </row>
        <row r="299">
          <cell r="A299" t="str">
            <v>()</v>
          </cell>
          <cell r="B299"/>
          <cell r="C299"/>
          <cell r="D299"/>
          <cell r="E299"/>
          <cell r="H299"/>
          <cell r="J299" t="str">
            <v>()</v>
          </cell>
          <cell r="K299"/>
          <cell r="L299"/>
          <cell r="M299"/>
          <cell r="N299"/>
          <cell r="Q299"/>
        </row>
        <row r="300">
          <cell r="A300" t="str">
            <v>()</v>
          </cell>
          <cell r="B300"/>
          <cell r="C300"/>
          <cell r="D300"/>
          <cell r="E300"/>
          <cell r="H300"/>
          <cell r="J300" t="str">
            <v>()</v>
          </cell>
          <cell r="K300"/>
          <cell r="L300"/>
          <cell r="M300"/>
          <cell r="N300"/>
          <cell r="Q300"/>
        </row>
        <row r="301">
          <cell r="A301"/>
          <cell r="B301"/>
          <cell r="C301"/>
          <cell r="D301"/>
          <cell r="E301"/>
          <cell r="H301"/>
          <cell r="J301"/>
          <cell r="K301"/>
          <cell r="L301"/>
          <cell r="M301"/>
          <cell r="N301"/>
          <cell r="Q301"/>
        </row>
        <row r="302">
          <cell r="A302"/>
          <cell r="B302"/>
          <cell r="C302"/>
          <cell r="D302"/>
          <cell r="E302"/>
          <cell r="H302"/>
          <cell r="J302"/>
          <cell r="K302"/>
          <cell r="L302"/>
          <cell r="M302"/>
          <cell r="N302"/>
          <cell r="Q302"/>
        </row>
        <row r="303">
          <cell r="A303"/>
          <cell r="B303"/>
          <cell r="C303"/>
          <cell r="D303"/>
          <cell r="E303"/>
          <cell r="H303"/>
          <cell r="J303"/>
          <cell r="K303"/>
          <cell r="L303"/>
          <cell r="M303"/>
          <cell r="N303"/>
          <cell r="Q303"/>
        </row>
        <row r="304">
          <cell r="A304"/>
          <cell r="B304"/>
          <cell r="C304"/>
          <cell r="D304"/>
          <cell r="E304"/>
          <cell r="H304"/>
          <cell r="J304"/>
          <cell r="Q304"/>
        </row>
        <row r="305">
          <cell r="A305"/>
          <cell r="B305"/>
          <cell r="C305"/>
          <cell r="D305"/>
          <cell r="E305"/>
          <cell r="H305"/>
          <cell r="J305"/>
          <cell r="Q305"/>
        </row>
        <row r="306">
          <cell r="A306"/>
          <cell r="H306"/>
          <cell r="J306"/>
          <cell r="Q306"/>
        </row>
        <row r="307">
          <cell r="A307"/>
          <cell r="H307"/>
          <cell r="J307"/>
          <cell r="Q307"/>
        </row>
        <row r="308">
          <cell r="A308"/>
          <cell r="H308"/>
          <cell r="J308"/>
          <cell r="Q308"/>
        </row>
        <row r="309">
          <cell r="A309"/>
          <cell r="H309"/>
          <cell r="J309"/>
          <cell r="Q309"/>
        </row>
        <row r="310">
          <cell r="A310"/>
          <cell r="H310"/>
          <cell r="J310"/>
          <cell r="Q310"/>
        </row>
        <row r="311">
          <cell r="A311"/>
          <cell r="H311"/>
          <cell r="J311"/>
          <cell r="Q311"/>
        </row>
        <row r="312">
          <cell r="A312"/>
          <cell r="H312"/>
          <cell r="J312"/>
          <cell r="Q312"/>
        </row>
        <row r="356">
          <cell r="A356"/>
        </row>
        <row r="357">
          <cell r="H357"/>
        </row>
        <row r="358">
          <cell r="A358"/>
        </row>
        <row r="359">
          <cell r="A359"/>
        </row>
        <row r="362">
          <cell r="A362"/>
        </row>
        <row r="363">
          <cell r="A363"/>
        </row>
        <row r="364">
          <cell r="A364"/>
        </row>
      </sheetData>
      <sheetData sheetId="8">
        <row r="2">
          <cell r="F2" t="str">
            <v>A</v>
          </cell>
          <cell r="G2">
            <v>15</v>
          </cell>
          <cell r="H2">
            <v>18</v>
          </cell>
          <cell r="I2">
            <v>19</v>
          </cell>
        </row>
        <row r="3">
          <cell r="F3" t="str">
            <v>B</v>
          </cell>
          <cell r="G3">
            <v>13</v>
          </cell>
          <cell r="H3">
            <v>15</v>
          </cell>
          <cell r="I3">
            <v>16</v>
          </cell>
        </row>
        <row r="4">
          <cell r="F4" t="str">
            <v>C</v>
          </cell>
          <cell r="G4">
            <v>11</v>
          </cell>
          <cell r="H4">
            <v>13</v>
          </cell>
          <cell r="I4">
            <v>14</v>
          </cell>
        </row>
        <row r="5">
          <cell r="F5" t="str">
            <v>D</v>
          </cell>
          <cell r="G5">
            <v>9</v>
          </cell>
          <cell r="H5">
            <v>11</v>
          </cell>
          <cell r="I5">
            <v>12</v>
          </cell>
        </row>
        <row r="6">
          <cell r="F6" t="str">
            <v>E</v>
          </cell>
          <cell r="G6">
            <v>7</v>
          </cell>
          <cell r="H6">
            <v>9</v>
          </cell>
          <cell r="I6">
            <v>10</v>
          </cell>
        </row>
        <row r="7">
          <cell r="F7" t="str">
            <v>F</v>
          </cell>
          <cell r="G7">
            <v>5</v>
          </cell>
          <cell r="H7">
            <v>7</v>
          </cell>
          <cell r="I7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A1:N262"/>
  <sheetViews>
    <sheetView topLeftCell="A19" zoomScaleNormal="100" workbookViewId="0">
      <selection activeCell="F31" sqref="F31"/>
    </sheetView>
  </sheetViews>
  <sheetFormatPr defaultRowHeight="14.25" x14ac:dyDescent="0.45"/>
  <cols>
    <col min="1" max="1" width="1.73046875" customWidth="1"/>
    <col min="2" max="2" width="3" style="11" bestFit="1" customWidth="1"/>
    <col min="3" max="3" width="32" style="11" customWidth="1"/>
    <col min="4" max="4" width="3" style="11" bestFit="1" customWidth="1"/>
    <col min="5" max="5" width="29.1328125" style="11" customWidth="1"/>
    <col min="6" max="6" width="6.3984375" style="11" customWidth="1"/>
    <col min="7" max="7" width="12.73046875" style="11" customWidth="1"/>
    <col min="8" max="8" width="9.1328125" style="11"/>
    <col min="9" max="11" width="9.1328125" style="9"/>
    <col min="12" max="14" width="9.1328125" style="1"/>
  </cols>
  <sheetData>
    <row r="1" spans="1:14" ht="30.75" customHeight="1" x14ac:dyDescent="0.45">
      <c r="A1" s="1"/>
      <c r="B1" s="27" t="s">
        <v>0</v>
      </c>
      <c r="C1" s="27"/>
      <c r="D1" s="27"/>
      <c r="E1" s="27"/>
      <c r="F1" s="27"/>
      <c r="G1" s="27"/>
      <c r="H1" s="9"/>
    </row>
    <row r="2" spans="1:14" ht="21" customHeight="1" x14ac:dyDescent="0.65">
      <c r="A2" s="1"/>
      <c r="B2" s="18" t="s">
        <v>1</v>
      </c>
      <c r="C2" s="19"/>
      <c r="D2" s="19"/>
      <c r="E2" s="19"/>
      <c r="F2" s="19"/>
      <c r="G2" s="20"/>
      <c r="H2" s="9"/>
    </row>
    <row r="3" spans="1:14" ht="15" customHeight="1" x14ac:dyDescent="0.45">
      <c r="A3" s="1"/>
      <c r="B3" s="21" t="s">
        <v>2</v>
      </c>
      <c r="C3" s="22"/>
      <c r="D3" s="22" t="s">
        <v>3</v>
      </c>
      <c r="E3" s="22"/>
      <c r="F3" s="22" t="s">
        <v>4</v>
      </c>
      <c r="G3" s="23"/>
      <c r="H3" s="9"/>
    </row>
    <row r="4" spans="1:14" x14ac:dyDescent="0.45">
      <c r="A4" s="1"/>
      <c r="B4" s="10"/>
      <c r="C4" s="2" t="s">
        <v>5</v>
      </c>
      <c r="D4" s="2"/>
      <c r="E4" s="2" t="s">
        <v>5</v>
      </c>
      <c r="F4" s="25" t="s">
        <v>6</v>
      </c>
      <c r="G4" s="26"/>
      <c r="H4" s="9"/>
    </row>
    <row r="5" spans="1:14" ht="15" customHeight="1" x14ac:dyDescent="0.45">
      <c r="A5" s="1"/>
      <c r="B5" s="4">
        <v>1</v>
      </c>
      <c r="C5" s="4" t="s">
        <v>7</v>
      </c>
      <c r="D5" s="4">
        <v>1</v>
      </c>
      <c r="E5" s="4" t="s">
        <v>8</v>
      </c>
      <c r="F5" s="25" t="s">
        <v>9</v>
      </c>
      <c r="G5" s="26"/>
      <c r="H5" s="9"/>
    </row>
    <row r="6" spans="1:14" x14ac:dyDescent="0.45">
      <c r="A6" s="1"/>
      <c r="B6" s="4">
        <v>2</v>
      </c>
      <c r="C6" s="4" t="s">
        <v>10</v>
      </c>
      <c r="D6" s="4">
        <v>2</v>
      </c>
      <c r="E6" s="4" t="s">
        <v>11</v>
      </c>
      <c r="F6" s="28" t="s">
        <v>12</v>
      </c>
      <c r="G6" s="28"/>
      <c r="H6" s="9"/>
    </row>
    <row r="7" spans="1:14" ht="15" customHeight="1" x14ac:dyDescent="0.45">
      <c r="A7" s="1"/>
      <c r="B7" s="4">
        <v>3</v>
      </c>
      <c r="C7" s="4" t="s">
        <v>13</v>
      </c>
      <c r="D7" s="4">
        <v>3</v>
      </c>
      <c r="E7" s="4" t="s">
        <v>14</v>
      </c>
      <c r="F7" s="29" t="s">
        <v>15</v>
      </c>
      <c r="G7" s="30"/>
      <c r="H7" s="9"/>
    </row>
    <row r="8" spans="1:14" ht="15" customHeight="1" x14ac:dyDescent="0.45">
      <c r="A8" s="1"/>
      <c r="B8" s="4">
        <v>4</v>
      </c>
      <c r="C8" s="4" t="s">
        <v>16</v>
      </c>
      <c r="D8" s="4">
        <v>4</v>
      </c>
      <c r="E8" s="4" t="s">
        <v>17</v>
      </c>
      <c r="F8" s="25" t="s">
        <v>18</v>
      </c>
      <c r="G8" s="26"/>
      <c r="H8" s="9"/>
    </row>
    <row r="9" spans="1:14" ht="15" customHeight="1" x14ac:dyDescent="0.45">
      <c r="A9" s="1"/>
      <c r="B9" s="4">
        <v>5</v>
      </c>
      <c r="C9" s="4" t="s">
        <v>19</v>
      </c>
      <c r="D9" s="4">
        <v>5</v>
      </c>
      <c r="E9" s="4" t="s">
        <v>20</v>
      </c>
      <c r="F9" s="29" t="s">
        <v>21</v>
      </c>
      <c r="G9" s="30"/>
      <c r="H9" s="9"/>
    </row>
    <row r="10" spans="1:14" ht="15" customHeight="1" x14ac:dyDescent="0.45">
      <c r="A10" s="1"/>
      <c r="B10" s="4">
        <v>6</v>
      </c>
      <c r="C10" s="4" t="s">
        <v>22</v>
      </c>
      <c r="D10" s="4">
        <v>6</v>
      </c>
      <c r="E10" s="4" t="s">
        <v>23</v>
      </c>
      <c r="F10" s="25" t="s">
        <v>24</v>
      </c>
      <c r="G10" s="26"/>
      <c r="H10" s="9"/>
    </row>
    <row r="11" spans="1:14" x14ac:dyDescent="0.45">
      <c r="A11" s="1"/>
      <c r="B11" s="4">
        <v>7</v>
      </c>
      <c r="C11" s="4" t="s">
        <v>25</v>
      </c>
      <c r="D11" s="4">
        <v>7</v>
      </c>
      <c r="E11" s="4" t="s">
        <v>26</v>
      </c>
      <c r="F11" s="25" t="s">
        <v>27</v>
      </c>
      <c r="G11" s="26"/>
      <c r="H11" s="9"/>
    </row>
    <row r="12" spans="1:14" x14ac:dyDescent="0.45">
      <c r="A12" s="1"/>
      <c r="B12" s="4">
        <v>8</v>
      </c>
      <c r="C12" s="4" t="s">
        <v>28</v>
      </c>
      <c r="D12" s="4">
        <v>8</v>
      </c>
      <c r="E12" s="4" t="s">
        <v>29</v>
      </c>
      <c r="F12" s="29" t="s">
        <v>30</v>
      </c>
      <c r="G12" s="30"/>
      <c r="H12" s="9"/>
    </row>
    <row r="13" spans="1:14" x14ac:dyDescent="0.45">
      <c r="A13" s="1"/>
      <c r="B13" s="4">
        <v>9</v>
      </c>
      <c r="C13" s="4" t="s">
        <v>31</v>
      </c>
      <c r="D13" s="4">
        <v>9</v>
      </c>
      <c r="E13" s="4" t="s">
        <v>32</v>
      </c>
      <c r="F13" s="25" t="s">
        <v>33</v>
      </c>
      <c r="G13" s="26"/>
      <c r="H13" s="9"/>
    </row>
    <row r="14" spans="1:14" x14ac:dyDescent="0.45">
      <c r="A14" s="1"/>
      <c r="B14" s="4">
        <v>10</v>
      </c>
      <c r="C14" s="4" t="s">
        <v>34</v>
      </c>
      <c r="D14" s="4">
        <v>10</v>
      </c>
      <c r="E14" s="4" t="s">
        <v>35</v>
      </c>
      <c r="F14" s="29" t="s">
        <v>36</v>
      </c>
      <c r="G14" s="30"/>
      <c r="H14" s="9"/>
    </row>
    <row r="15" spans="1:14" ht="15.75" customHeight="1" x14ac:dyDescent="0.45">
      <c r="A15" s="1"/>
      <c r="B15" s="4">
        <v>11</v>
      </c>
      <c r="C15" t="s">
        <v>37</v>
      </c>
      <c r="D15" s="4">
        <v>11</v>
      </c>
      <c r="E15"/>
      <c r="F15" s="25" t="s">
        <v>38</v>
      </c>
      <c r="G15" s="26"/>
      <c r="H15" s="9"/>
    </row>
    <row r="16" spans="1:14" s="9" customFormat="1" ht="21" x14ac:dyDescent="0.65">
      <c r="A16" s="1"/>
      <c r="B16" s="18" t="s">
        <v>39</v>
      </c>
      <c r="C16" s="19"/>
      <c r="D16" s="19"/>
      <c r="E16" s="19"/>
      <c r="F16" s="19"/>
      <c r="G16" s="20"/>
      <c r="L16" s="1"/>
      <c r="M16" s="1"/>
      <c r="N16" s="1"/>
    </row>
    <row r="17" spans="1:14" s="9" customFormat="1" x14ac:dyDescent="0.45">
      <c r="A17" s="1"/>
      <c r="B17" s="21" t="s">
        <v>2</v>
      </c>
      <c r="C17" s="22"/>
      <c r="D17" s="22" t="s">
        <v>3</v>
      </c>
      <c r="E17" s="22"/>
      <c r="F17" s="22" t="s">
        <v>40</v>
      </c>
      <c r="G17" s="23"/>
      <c r="L17" s="1"/>
      <c r="M17" s="1"/>
      <c r="N17" s="1"/>
    </row>
    <row r="18" spans="1:14" s="9" customFormat="1" x14ac:dyDescent="0.45">
      <c r="A18" s="1"/>
      <c r="B18" s="2"/>
      <c r="C18" s="2" t="s">
        <v>5</v>
      </c>
      <c r="D18" s="2"/>
      <c r="E18" s="2" t="s">
        <v>5</v>
      </c>
      <c r="F18" s="31" t="s">
        <v>41</v>
      </c>
      <c r="G18" s="31"/>
      <c r="L18" s="1"/>
      <c r="M18" s="1"/>
      <c r="N18" s="1"/>
    </row>
    <row r="19" spans="1:14" s="9" customFormat="1" x14ac:dyDescent="0.45">
      <c r="A19" s="1"/>
      <c r="B19" s="4">
        <v>1</v>
      </c>
      <c r="C19" s="4" t="s">
        <v>42</v>
      </c>
      <c r="D19" s="4">
        <v>1</v>
      </c>
      <c r="E19" s="4" t="s">
        <v>43</v>
      </c>
      <c r="F19" s="17"/>
      <c r="G19" s="17"/>
      <c r="L19" s="1"/>
      <c r="M19" s="1"/>
      <c r="N19" s="1"/>
    </row>
    <row r="20" spans="1:14" s="9" customFormat="1" x14ac:dyDescent="0.45">
      <c r="A20" s="1"/>
      <c r="B20" s="4">
        <v>2</v>
      </c>
      <c r="C20" s="4" t="s">
        <v>44</v>
      </c>
      <c r="D20" s="4">
        <v>2</v>
      </c>
      <c r="E20" s="6" t="s">
        <v>45</v>
      </c>
      <c r="F20" s="32"/>
      <c r="G20" s="32"/>
      <c r="L20" s="1"/>
      <c r="M20" s="1"/>
      <c r="N20" s="1"/>
    </row>
    <row r="21" spans="1:14" s="9" customFormat="1" x14ac:dyDescent="0.45">
      <c r="A21" s="1"/>
      <c r="B21" s="4">
        <v>3</v>
      </c>
      <c r="C21" s="4" t="s">
        <v>46</v>
      </c>
      <c r="D21" s="4">
        <v>3</v>
      </c>
      <c r="E21" s="4" t="s">
        <v>47</v>
      </c>
      <c r="F21" s="32"/>
      <c r="G21" s="32"/>
      <c r="L21" s="1"/>
      <c r="M21" s="1"/>
      <c r="N21" s="1"/>
    </row>
    <row r="22" spans="1:14" s="9" customFormat="1" x14ac:dyDescent="0.45">
      <c r="A22" s="1"/>
      <c r="B22" s="4">
        <v>4</v>
      </c>
      <c r="C22" s="1" t="s">
        <v>48</v>
      </c>
      <c r="D22" s="4">
        <v>4</v>
      </c>
      <c r="E22" s="4" t="s">
        <v>49</v>
      </c>
      <c r="L22" s="1"/>
      <c r="M22" s="1"/>
      <c r="N22" s="1"/>
    </row>
    <row r="23" spans="1:14" s="9" customFormat="1" x14ac:dyDescent="0.45">
      <c r="A23" s="1"/>
      <c r="B23" s="4">
        <v>5</v>
      </c>
      <c r="C23" s="4" t="s">
        <v>50</v>
      </c>
      <c r="D23" s="4">
        <v>5</v>
      </c>
      <c r="E23" s="4" t="s">
        <v>51</v>
      </c>
      <c r="L23" s="1"/>
      <c r="M23" s="1"/>
      <c r="N23" s="1"/>
    </row>
    <row r="24" spans="1:14" s="9" customFormat="1" ht="21" x14ac:dyDescent="0.65">
      <c r="A24" s="1"/>
      <c r="B24" s="18" t="s">
        <v>52</v>
      </c>
      <c r="C24" s="19"/>
      <c r="D24" s="19"/>
      <c r="E24" s="19"/>
      <c r="F24" s="19"/>
      <c r="G24" s="20"/>
      <c r="L24" s="1"/>
      <c r="M24" s="1"/>
      <c r="N24" s="1"/>
    </row>
    <row r="25" spans="1:14" s="9" customFormat="1" x14ac:dyDescent="0.45">
      <c r="A25" s="1"/>
      <c r="B25" s="21" t="s">
        <v>2</v>
      </c>
      <c r="C25" s="22"/>
      <c r="D25" s="22" t="s">
        <v>3</v>
      </c>
      <c r="E25" s="22"/>
      <c r="F25" s="22" t="s">
        <v>40</v>
      </c>
      <c r="G25" s="23"/>
      <c r="L25" s="1"/>
      <c r="M25" s="1"/>
      <c r="N25" s="1"/>
    </row>
    <row r="26" spans="1:14" s="9" customFormat="1" x14ac:dyDescent="0.45">
      <c r="A26" s="1"/>
      <c r="B26" s="4"/>
      <c r="C26" s="4" t="s">
        <v>5</v>
      </c>
      <c r="D26" s="4"/>
      <c r="E26" s="4" t="s">
        <v>5</v>
      </c>
      <c r="F26" s="17"/>
      <c r="G26" s="17"/>
      <c r="L26" s="1"/>
      <c r="M26" s="1"/>
      <c r="N26" s="1"/>
    </row>
    <row r="27" spans="1:14" s="9" customFormat="1" x14ac:dyDescent="0.45">
      <c r="A27" s="1"/>
      <c r="B27" s="4">
        <v>1</v>
      </c>
      <c r="C27" s="4" t="s">
        <v>53</v>
      </c>
      <c r="D27" s="4">
        <v>1</v>
      </c>
      <c r="E27" s="4" t="s">
        <v>54</v>
      </c>
      <c r="F27" s="17"/>
      <c r="G27" s="17"/>
      <c r="L27" s="1"/>
      <c r="M27" s="1"/>
      <c r="N27" s="1"/>
    </row>
    <row r="28" spans="1:14" s="9" customFormat="1" x14ac:dyDescent="0.45">
      <c r="A28" s="1"/>
      <c r="B28" s="4">
        <v>2</v>
      </c>
      <c r="C28" s="4" t="s">
        <v>55</v>
      </c>
      <c r="D28" s="4">
        <v>2</v>
      </c>
      <c r="E28" s="4" t="s">
        <v>56</v>
      </c>
      <c r="F28" s="1"/>
      <c r="G28" s="1"/>
      <c r="L28" s="1"/>
      <c r="M28" s="1"/>
      <c r="N28" s="1"/>
    </row>
    <row r="29" spans="1:14" s="9" customFormat="1" x14ac:dyDescent="0.45">
      <c r="A29" s="1"/>
      <c r="B29" s="4">
        <v>3</v>
      </c>
      <c r="C29" s="4" t="s">
        <v>57</v>
      </c>
      <c r="D29" s="4">
        <v>3</v>
      </c>
      <c r="E29" s="4" t="s">
        <v>58</v>
      </c>
      <c r="F29" s="1"/>
      <c r="G29" s="1"/>
      <c r="L29" s="1"/>
      <c r="M29" s="1"/>
      <c r="N29" s="1"/>
    </row>
    <row r="30" spans="1:14" s="9" customFormat="1" x14ac:dyDescent="0.45">
      <c r="A30" s="1"/>
      <c r="B30" s="4">
        <v>4</v>
      </c>
      <c r="C30" s="4" t="s">
        <v>59</v>
      </c>
      <c r="D30" s="4">
        <v>4</v>
      </c>
      <c r="E30" s="4" t="s">
        <v>60</v>
      </c>
      <c r="F30" s="1"/>
      <c r="G30" s="1"/>
      <c r="L30" s="1"/>
      <c r="M30" s="1"/>
      <c r="N30" s="1"/>
    </row>
    <row r="31" spans="1:14" s="9" customFormat="1" x14ac:dyDescent="0.45">
      <c r="A31" s="1"/>
      <c r="B31" s="4">
        <v>5</v>
      </c>
      <c r="C31" s="4" t="s">
        <v>61</v>
      </c>
      <c r="D31" s="4">
        <v>5</v>
      </c>
      <c r="E31" s="4" t="s">
        <v>62</v>
      </c>
      <c r="F31" s="1"/>
      <c r="G31" s="1"/>
      <c r="L31" s="1"/>
      <c r="M31" s="1"/>
      <c r="N31" s="1"/>
    </row>
    <row r="32" spans="1:14" s="9" customFormat="1" ht="21" x14ac:dyDescent="0.65">
      <c r="A32" s="1"/>
      <c r="B32" s="18" t="s">
        <v>63</v>
      </c>
      <c r="C32" s="19"/>
      <c r="D32" s="19"/>
      <c r="E32" s="19"/>
      <c r="F32" s="19"/>
      <c r="G32" s="20"/>
      <c r="L32" s="1"/>
      <c r="M32" s="1"/>
      <c r="N32" s="1"/>
    </row>
    <row r="33" spans="1:14" s="9" customFormat="1" x14ac:dyDescent="0.45">
      <c r="A33" s="1"/>
      <c r="B33" s="21" t="s">
        <v>2</v>
      </c>
      <c r="C33" s="22"/>
      <c r="D33" s="22" t="s">
        <v>3</v>
      </c>
      <c r="E33" s="22"/>
      <c r="F33" s="22" t="s">
        <v>40</v>
      </c>
      <c r="G33" s="23"/>
      <c r="L33" s="1"/>
      <c r="M33" s="1"/>
      <c r="N33" s="1"/>
    </row>
    <row r="34" spans="1:14" s="9" customFormat="1" x14ac:dyDescent="0.45">
      <c r="A34" s="1"/>
      <c r="B34" s="4"/>
      <c r="C34" s="4" t="s">
        <v>5</v>
      </c>
      <c r="D34" s="4"/>
      <c r="E34" s="4" t="s">
        <v>5</v>
      </c>
      <c r="F34" s="24" t="s">
        <v>64</v>
      </c>
      <c r="G34" s="24"/>
      <c r="L34" s="1"/>
      <c r="M34" s="1"/>
      <c r="N34" s="1"/>
    </row>
    <row r="35" spans="1:14" s="9" customFormat="1" x14ac:dyDescent="0.45">
      <c r="A35" s="1"/>
      <c r="B35" s="4">
        <v>1</v>
      </c>
      <c r="C35" s="4" t="s">
        <v>65</v>
      </c>
      <c r="D35" s="4">
        <v>1</v>
      </c>
      <c r="E35" s="4" t="s">
        <v>66</v>
      </c>
      <c r="F35" s="17"/>
      <c r="G35" s="17"/>
      <c r="L35" s="1"/>
      <c r="M35" s="1"/>
      <c r="N35" s="1"/>
    </row>
    <row r="36" spans="1:14" s="9" customFormat="1" x14ac:dyDescent="0.45">
      <c r="A36" s="1"/>
      <c r="B36" s="4">
        <v>2</v>
      </c>
      <c r="C36" s="4" t="s">
        <v>67</v>
      </c>
      <c r="D36" s="4">
        <v>2</v>
      </c>
      <c r="E36" s="4" t="s">
        <v>68</v>
      </c>
      <c r="F36" s="1"/>
      <c r="G36" s="1"/>
      <c r="L36" s="1"/>
      <c r="M36" s="1"/>
      <c r="N36" s="1"/>
    </row>
    <row r="37" spans="1:14" s="9" customFormat="1" x14ac:dyDescent="0.45">
      <c r="A37" s="1"/>
      <c r="B37" s="4">
        <v>3</v>
      </c>
      <c r="C37" s="4" t="s">
        <v>69</v>
      </c>
      <c r="D37" s="4">
        <v>3</v>
      </c>
      <c r="E37" s="4" t="s">
        <v>70</v>
      </c>
      <c r="F37" s="1"/>
      <c r="G37" s="1"/>
      <c r="L37" s="1"/>
      <c r="M37" s="1"/>
      <c r="N37" s="1"/>
    </row>
    <row r="38" spans="1:14" s="9" customFormat="1" x14ac:dyDescent="0.45">
      <c r="A38" s="1"/>
      <c r="B38" s="4">
        <v>4</v>
      </c>
      <c r="C38" s="4" t="s">
        <v>71</v>
      </c>
      <c r="D38" s="4">
        <v>4</v>
      </c>
      <c r="E38" s="4" t="s">
        <v>72</v>
      </c>
      <c r="F38" s="1"/>
      <c r="G38" s="1"/>
      <c r="L38" s="1"/>
      <c r="M38" s="1"/>
      <c r="N38" s="1"/>
    </row>
    <row r="39" spans="1:14" s="9" customFormat="1" x14ac:dyDescent="0.45">
      <c r="A39" s="1"/>
      <c r="B39" s="4">
        <v>5</v>
      </c>
      <c r="C39" s="4" t="s">
        <v>73</v>
      </c>
      <c r="D39" s="4">
        <v>5</v>
      </c>
      <c r="E39" s="4"/>
      <c r="F39" s="1"/>
      <c r="G39" s="1"/>
      <c r="L39" s="1"/>
      <c r="M39" s="1"/>
      <c r="N39" s="1"/>
    </row>
    <row r="40" spans="1:14" s="9" customFormat="1" ht="21" x14ac:dyDescent="0.65">
      <c r="A40" s="1"/>
      <c r="B40" s="18" t="s">
        <v>74</v>
      </c>
      <c r="C40" s="19"/>
      <c r="D40" s="19"/>
      <c r="E40" s="19"/>
      <c r="F40" s="19"/>
      <c r="G40" s="20"/>
      <c r="L40" s="1"/>
      <c r="M40" s="1"/>
      <c r="N40" s="1"/>
    </row>
    <row r="41" spans="1:14" s="9" customFormat="1" x14ac:dyDescent="0.45">
      <c r="A41" s="1"/>
      <c r="B41" s="21" t="s">
        <v>2</v>
      </c>
      <c r="C41" s="22"/>
      <c r="D41" s="22" t="s">
        <v>3</v>
      </c>
      <c r="E41" s="22"/>
      <c r="F41" s="22" t="s">
        <v>40</v>
      </c>
      <c r="G41" s="23"/>
      <c r="L41" s="1"/>
      <c r="M41" s="1"/>
      <c r="N41" s="1"/>
    </row>
    <row r="42" spans="1:14" s="9" customFormat="1" x14ac:dyDescent="0.45">
      <c r="A42" s="1"/>
      <c r="B42" s="4"/>
      <c r="C42" s="4" t="s">
        <v>5</v>
      </c>
      <c r="D42" s="4"/>
      <c r="E42" s="4" t="s">
        <v>5</v>
      </c>
      <c r="F42" s="24" t="s">
        <v>64</v>
      </c>
      <c r="G42" s="24"/>
      <c r="L42" s="1"/>
      <c r="M42" s="1"/>
      <c r="N42" s="1"/>
    </row>
    <row r="43" spans="1:14" s="9" customFormat="1" x14ac:dyDescent="0.45">
      <c r="A43" s="1"/>
      <c r="B43" s="4">
        <v>1</v>
      </c>
      <c r="C43" s="4" t="s">
        <v>75</v>
      </c>
      <c r="D43" s="4">
        <v>1</v>
      </c>
      <c r="E43" s="4" t="s">
        <v>76</v>
      </c>
      <c r="F43" s="17"/>
      <c r="G43" s="17"/>
      <c r="L43" s="1"/>
      <c r="M43" s="1"/>
      <c r="N43" s="1"/>
    </row>
    <row r="44" spans="1:14" s="9" customFormat="1" x14ac:dyDescent="0.45">
      <c r="A44" s="1"/>
      <c r="B44" s="4">
        <v>2</v>
      </c>
      <c r="C44" s="4" t="s">
        <v>77</v>
      </c>
      <c r="D44" s="4">
        <v>2</v>
      </c>
      <c r="E44" s="4" t="s">
        <v>78</v>
      </c>
      <c r="F44" s="1"/>
      <c r="G44" s="1"/>
      <c r="L44" s="1"/>
      <c r="M44" s="1"/>
      <c r="N44" s="1"/>
    </row>
    <row r="45" spans="1:14" s="9" customFormat="1" x14ac:dyDescent="0.45">
      <c r="A45" s="1"/>
      <c r="B45" s="4">
        <v>3</v>
      </c>
      <c r="C45" s="4" t="s">
        <v>79</v>
      </c>
      <c r="D45" s="4">
        <v>3</v>
      </c>
      <c r="E45" s="4" t="s">
        <v>80</v>
      </c>
      <c r="F45" s="1"/>
      <c r="G45" s="1"/>
      <c r="L45" s="1"/>
      <c r="M45" s="1"/>
      <c r="N45" s="1"/>
    </row>
    <row r="46" spans="1:14" s="9" customFormat="1" x14ac:dyDescent="0.45">
      <c r="A46" s="1"/>
      <c r="B46" s="4">
        <v>4</v>
      </c>
      <c r="C46" s="4" t="s">
        <v>81</v>
      </c>
      <c r="D46" s="4">
        <v>4</v>
      </c>
      <c r="E46" s="4" t="s">
        <v>82</v>
      </c>
      <c r="F46" s="1"/>
      <c r="G46" s="1"/>
      <c r="L46" s="1"/>
      <c r="M46" s="1"/>
      <c r="N46" s="1"/>
    </row>
    <row r="47" spans="1:14" s="9" customFormat="1" x14ac:dyDescent="0.45">
      <c r="A47" s="1"/>
      <c r="B47" s="4">
        <v>5</v>
      </c>
      <c r="C47" s="6" t="s">
        <v>83</v>
      </c>
      <c r="D47" s="4">
        <v>5</v>
      </c>
      <c r="E47" s="6" t="s">
        <v>84</v>
      </c>
      <c r="F47" s="1"/>
      <c r="G47" s="1"/>
      <c r="L47" s="1"/>
      <c r="M47" s="1"/>
      <c r="N47" s="1"/>
    </row>
    <row r="48" spans="1:14" s="9" customFormat="1" x14ac:dyDescent="0.45">
      <c r="A48" s="1"/>
      <c r="B48" s="4">
        <v>6</v>
      </c>
      <c r="C48" s="4"/>
      <c r="D48" s="4">
        <v>6</v>
      </c>
      <c r="E48" s="4"/>
      <c r="F48" s="1"/>
      <c r="G48" s="1"/>
      <c r="L48" s="1"/>
      <c r="M48" s="1"/>
      <c r="N48" s="1"/>
    </row>
    <row r="49" spans="1:14" s="9" customFormat="1" ht="21" x14ac:dyDescent="0.65">
      <c r="A49" s="1"/>
      <c r="B49" s="18" t="s">
        <v>85</v>
      </c>
      <c r="C49" s="19"/>
      <c r="D49" s="19"/>
      <c r="E49" s="19"/>
      <c r="F49" s="19"/>
      <c r="G49" s="20"/>
      <c r="L49" s="1"/>
      <c r="M49" s="1"/>
      <c r="N49" s="1"/>
    </row>
    <row r="50" spans="1:14" s="9" customFormat="1" x14ac:dyDescent="0.45">
      <c r="A50" s="1"/>
      <c r="B50" s="21" t="s">
        <v>2</v>
      </c>
      <c r="C50" s="22"/>
      <c r="D50" s="22" t="s">
        <v>3</v>
      </c>
      <c r="E50" s="22"/>
      <c r="F50" s="22" t="s">
        <v>86</v>
      </c>
      <c r="G50" s="23"/>
      <c r="L50" s="1"/>
      <c r="M50" s="1"/>
      <c r="N50" s="1"/>
    </row>
    <row r="51" spans="1:14" s="9" customFormat="1" x14ac:dyDescent="0.45">
      <c r="A51" s="1"/>
      <c r="B51" s="2"/>
      <c r="C51" s="2" t="s">
        <v>5</v>
      </c>
      <c r="D51" s="2"/>
      <c r="E51" s="2" t="s">
        <v>5</v>
      </c>
      <c r="F51" s="24" t="s">
        <v>64</v>
      </c>
      <c r="G51" s="24"/>
      <c r="L51" s="1"/>
      <c r="M51" s="1"/>
      <c r="N51" s="1"/>
    </row>
    <row r="52" spans="1:14" s="9" customFormat="1" x14ac:dyDescent="0.45">
      <c r="A52" s="1"/>
      <c r="B52" s="4">
        <v>1</v>
      </c>
      <c r="C52" s="4" t="s">
        <v>87</v>
      </c>
      <c r="D52" s="4">
        <v>1</v>
      </c>
      <c r="E52" s="4" t="s">
        <v>88</v>
      </c>
      <c r="F52" s="33" t="s">
        <v>89</v>
      </c>
      <c r="G52" s="33"/>
      <c r="L52" s="1"/>
      <c r="M52" s="1"/>
      <c r="N52" s="1"/>
    </row>
    <row r="53" spans="1:14" s="9" customFormat="1" x14ac:dyDescent="0.45">
      <c r="A53" s="1"/>
      <c r="B53" s="4">
        <v>2</v>
      </c>
      <c r="C53" s="4" t="s">
        <v>90</v>
      </c>
      <c r="D53" s="4">
        <v>2</v>
      </c>
      <c r="E53" s="4" t="s">
        <v>91</v>
      </c>
      <c r="F53" s="25" t="s">
        <v>92</v>
      </c>
      <c r="G53" s="26"/>
      <c r="L53" s="1"/>
      <c r="M53" s="1"/>
      <c r="N53" s="1"/>
    </row>
    <row r="54" spans="1:14" s="9" customFormat="1" x14ac:dyDescent="0.45">
      <c r="A54" s="1"/>
      <c r="B54" s="4">
        <v>3</v>
      </c>
      <c r="C54" s="4" t="s">
        <v>93</v>
      </c>
      <c r="D54" s="4">
        <v>3</v>
      </c>
      <c r="E54" s="4" t="s">
        <v>94</v>
      </c>
      <c r="F54" s="1"/>
      <c r="G54" s="1"/>
      <c r="L54" s="1"/>
      <c r="M54" s="1"/>
      <c r="N54" s="1"/>
    </row>
    <row r="55" spans="1:14" s="9" customFormat="1" x14ac:dyDescent="0.45">
      <c r="A55" s="1"/>
      <c r="B55" s="4">
        <v>4</v>
      </c>
      <c r="C55" s="1" t="s">
        <v>95</v>
      </c>
      <c r="D55" s="4">
        <v>4</v>
      </c>
      <c r="E55" s="4"/>
      <c r="F55" s="1"/>
      <c r="G55" s="1"/>
      <c r="L55" s="1"/>
      <c r="M55" s="1"/>
      <c r="N55" s="1"/>
    </row>
    <row r="56" spans="1:14" s="9" customFormat="1" x14ac:dyDescent="0.45">
      <c r="A56" s="1"/>
      <c r="B56" s="4">
        <v>5</v>
      </c>
      <c r="C56" s="4" t="s">
        <v>96</v>
      </c>
      <c r="D56" s="4">
        <v>5</v>
      </c>
      <c r="E56" s="4"/>
      <c r="F56" s="1"/>
      <c r="G56" s="1"/>
      <c r="L56" s="1"/>
      <c r="M56" s="1"/>
      <c r="N56" s="1"/>
    </row>
    <row r="57" spans="1:14" s="9" customFormat="1" x14ac:dyDescent="0.45">
      <c r="A57" s="1"/>
      <c r="B57" s="4">
        <v>6</v>
      </c>
      <c r="C57" s="4" t="s">
        <v>97</v>
      </c>
      <c r="D57" s="4">
        <v>6</v>
      </c>
      <c r="E57" s="4"/>
      <c r="F57" s="1"/>
      <c r="G57" s="1"/>
      <c r="L57" s="1"/>
      <c r="M57" s="1"/>
      <c r="N57" s="1"/>
    </row>
    <row r="58" spans="1:14" s="9" customFormat="1" ht="21" x14ac:dyDescent="0.65">
      <c r="A58" s="1"/>
      <c r="B58" s="18" t="s">
        <v>98</v>
      </c>
      <c r="C58" s="19"/>
      <c r="D58" s="19"/>
      <c r="E58" s="19"/>
      <c r="F58" s="19"/>
      <c r="G58" s="20"/>
      <c r="L58" s="1"/>
      <c r="M58" s="1"/>
      <c r="N58" s="1"/>
    </row>
    <row r="59" spans="1:14" s="9" customFormat="1" x14ac:dyDescent="0.45">
      <c r="A59" s="1"/>
      <c r="B59" s="21" t="s">
        <v>2</v>
      </c>
      <c r="C59" s="22"/>
      <c r="D59" s="22" t="s">
        <v>3</v>
      </c>
      <c r="E59" s="22"/>
      <c r="F59" s="22" t="s">
        <v>40</v>
      </c>
      <c r="G59" s="23"/>
      <c r="L59" s="1"/>
      <c r="M59" s="1"/>
      <c r="N59" s="1"/>
    </row>
    <row r="60" spans="1:14" s="9" customFormat="1" x14ac:dyDescent="0.45">
      <c r="A60" s="1"/>
      <c r="B60" s="2"/>
      <c r="C60" s="2" t="s">
        <v>5</v>
      </c>
      <c r="D60" s="2"/>
      <c r="E60" s="2" t="s">
        <v>5</v>
      </c>
      <c r="F60" s="24" t="s">
        <v>64</v>
      </c>
      <c r="G60" s="24"/>
      <c r="L60" s="1"/>
      <c r="M60" s="1"/>
      <c r="N60" s="1"/>
    </row>
    <row r="61" spans="1:14" s="9" customFormat="1" x14ac:dyDescent="0.45">
      <c r="A61" s="1"/>
      <c r="B61" s="4">
        <v>1</v>
      </c>
      <c r="C61" s="4" t="s">
        <v>99</v>
      </c>
      <c r="D61" s="4">
        <v>1</v>
      </c>
      <c r="E61" s="4" t="s">
        <v>100</v>
      </c>
      <c r="F61" s="17"/>
      <c r="G61" s="17"/>
      <c r="L61" s="1"/>
      <c r="M61" s="1"/>
      <c r="N61" s="1"/>
    </row>
    <row r="62" spans="1:14" s="9" customFormat="1" x14ac:dyDescent="0.45">
      <c r="A62" s="1"/>
      <c r="B62" s="4">
        <v>2</v>
      </c>
      <c r="C62" s="4" t="s">
        <v>101</v>
      </c>
      <c r="D62" s="4">
        <v>2</v>
      </c>
      <c r="E62" s="4" t="s">
        <v>102</v>
      </c>
      <c r="F62" s="1"/>
      <c r="G62" s="1"/>
      <c r="L62" s="1"/>
      <c r="M62" s="1"/>
      <c r="N62" s="1"/>
    </row>
    <row r="63" spans="1:14" s="9" customFormat="1" x14ac:dyDescent="0.45">
      <c r="A63" s="1"/>
      <c r="B63" s="4">
        <v>3</v>
      </c>
      <c r="C63" s="4" t="s">
        <v>103</v>
      </c>
      <c r="D63" s="4">
        <v>3</v>
      </c>
      <c r="E63" s="4" t="s">
        <v>104</v>
      </c>
      <c r="F63" s="1"/>
      <c r="G63" s="1"/>
      <c r="L63" s="1"/>
      <c r="M63" s="1"/>
      <c r="N63" s="1"/>
    </row>
    <row r="64" spans="1:14" s="9" customFormat="1" x14ac:dyDescent="0.45">
      <c r="A64" s="1"/>
      <c r="B64" s="4">
        <v>4</v>
      </c>
      <c r="C64" s="4" t="s">
        <v>105</v>
      </c>
      <c r="D64" s="4">
        <v>4</v>
      </c>
      <c r="E64" s="4" t="s">
        <v>106</v>
      </c>
      <c r="F64" s="1"/>
      <c r="G64" s="1"/>
      <c r="L64" s="1"/>
      <c r="M64" s="1"/>
      <c r="N64" s="1"/>
    </row>
    <row r="65" spans="1:14" s="9" customFormat="1" x14ac:dyDescent="0.45">
      <c r="A65" s="1"/>
      <c r="B65" s="4">
        <v>5</v>
      </c>
      <c r="C65" s="4" t="s">
        <v>107</v>
      </c>
      <c r="D65" s="4">
        <v>5</v>
      </c>
      <c r="E65" s="4"/>
      <c r="F65" s="1"/>
      <c r="G65" s="1"/>
      <c r="L65" s="1"/>
      <c r="M65" s="1"/>
      <c r="N65" s="1"/>
    </row>
    <row r="66" spans="1:14" s="9" customFormat="1" x14ac:dyDescent="0.45">
      <c r="A66" s="1"/>
      <c r="B66" s="4">
        <v>6</v>
      </c>
      <c r="C66" s="13"/>
      <c r="E66" s="4"/>
      <c r="F66" s="1"/>
      <c r="G66" s="1"/>
      <c r="L66" s="1"/>
      <c r="M66" s="1"/>
      <c r="N66" s="1"/>
    </row>
    <row r="67" spans="1:14" s="9" customFormat="1" ht="21" x14ac:dyDescent="0.65">
      <c r="A67" s="1"/>
      <c r="B67" s="18" t="s">
        <v>108</v>
      </c>
      <c r="C67" s="19"/>
      <c r="D67" s="19"/>
      <c r="E67" s="19"/>
      <c r="F67" s="19"/>
      <c r="G67" s="20"/>
      <c r="L67" s="1"/>
      <c r="M67" s="1"/>
      <c r="N67" s="1"/>
    </row>
    <row r="68" spans="1:14" s="9" customFormat="1" ht="15" customHeight="1" x14ac:dyDescent="0.45">
      <c r="A68" s="1"/>
      <c r="B68" s="21" t="s">
        <v>2</v>
      </c>
      <c r="C68" s="22"/>
      <c r="D68" s="22" t="s">
        <v>3</v>
      </c>
      <c r="E68" s="22"/>
      <c r="F68" s="22" t="s">
        <v>40</v>
      </c>
      <c r="G68" s="23"/>
      <c r="L68" s="1"/>
      <c r="M68" s="1"/>
      <c r="N68" s="1"/>
    </row>
    <row r="69" spans="1:14" s="9" customFormat="1" ht="15" customHeight="1" x14ac:dyDescent="0.45">
      <c r="A69" s="1"/>
      <c r="B69" s="2"/>
      <c r="C69" s="2" t="s">
        <v>5</v>
      </c>
      <c r="D69" s="2"/>
      <c r="E69" s="2" t="s">
        <v>5</v>
      </c>
      <c r="F69" s="24"/>
      <c r="G69" s="24"/>
      <c r="L69" s="1"/>
      <c r="M69" s="1"/>
      <c r="N69" s="1"/>
    </row>
    <row r="70" spans="1:14" s="9" customFormat="1" ht="15" customHeight="1" x14ac:dyDescent="0.45">
      <c r="A70" s="1"/>
      <c r="B70" s="4">
        <v>1</v>
      </c>
      <c r="C70" s="4" t="s">
        <v>109</v>
      </c>
      <c r="D70" s="4">
        <v>1</v>
      </c>
      <c r="E70" s="4" t="s">
        <v>110</v>
      </c>
      <c r="F70" s="17"/>
      <c r="G70" s="17"/>
      <c r="L70" s="1"/>
      <c r="M70" s="1"/>
      <c r="N70" s="1"/>
    </row>
    <row r="71" spans="1:14" s="9" customFormat="1" ht="15" customHeight="1" x14ac:dyDescent="0.45">
      <c r="A71" s="1"/>
      <c r="B71" s="4">
        <v>2</v>
      </c>
      <c r="C71" s="4" t="s">
        <v>111</v>
      </c>
      <c r="D71" s="4">
        <v>2</v>
      </c>
      <c r="E71" s="4" t="s">
        <v>112</v>
      </c>
      <c r="F71" s="1"/>
      <c r="G71" s="1"/>
      <c r="L71" s="1"/>
      <c r="M71" s="1"/>
      <c r="N71" s="1"/>
    </row>
    <row r="72" spans="1:14" s="9" customFormat="1" ht="15" customHeight="1" x14ac:dyDescent="0.45">
      <c r="A72" s="1"/>
      <c r="B72" s="4">
        <v>3</v>
      </c>
      <c r="C72" s="4" t="s">
        <v>113</v>
      </c>
      <c r="D72" s="4">
        <v>3</v>
      </c>
      <c r="E72" s="4" t="s">
        <v>114</v>
      </c>
      <c r="F72" s="1"/>
      <c r="G72" s="1"/>
      <c r="L72" s="1"/>
      <c r="M72" s="1"/>
      <c r="N72" s="1"/>
    </row>
    <row r="73" spans="1:14" s="9" customFormat="1" ht="15" customHeight="1" x14ac:dyDescent="0.45">
      <c r="A73" s="1"/>
      <c r="B73" s="4">
        <v>4</v>
      </c>
      <c r="C73" s="4" t="s">
        <v>101</v>
      </c>
      <c r="D73" s="4">
        <v>4</v>
      </c>
      <c r="E73" s="4" t="s">
        <v>115</v>
      </c>
      <c r="F73" s="1"/>
      <c r="G73" s="1"/>
      <c r="L73" s="1"/>
      <c r="M73" s="1"/>
      <c r="N73" s="1"/>
    </row>
    <row r="74" spans="1:14" s="9" customFormat="1" ht="15" customHeight="1" x14ac:dyDescent="0.45">
      <c r="A74" s="1"/>
      <c r="B74" s="4">
        <v>5</v>
      </c>
      <c r="C74" s="4"/>
      <c r="D74" s="4">
        <v>5</v>
      </c>
      <c r="E74" s="4" t="s">
        <v>116</v>
      </c>
      <c r="F74" s="1"/>
      <c r="G74" s="1"/>
      <c r="L74" s="1"/>
      <c r="M74" s="1"/>
      <c r="N74" s="1"/>
    </row>
    <row r="75" spans="1:14" s="9" customFormat="1" ht="15" customHeight="1" x14ac:dyDescent="0.45">
      <c r="A75" s="1"/>
      <c r="B75" s="4">
        <v>6</v>
      </c>
      <c r="C75" s="13"/>
      <c r="E75" s="4"/>
      <c r="F75" s="1"/>
      <c r="G75" s="1"/>
      <c r="L75" s="1"/>
      <c r="M75" s="1"/>
      <c r="N75" s="1"/>
    </row>
    <row r="76" spans="1:14" s="9" customFormat="1" ht="21" x14ac:dyDescent="0.65">
      <c r="A76" s="1"/>
      <c r="B76" s="18" t="s">
        <v>117</v>
      </c>
      <c r="C76" s="19"/>
      <c r="D76" s="19"/>
      <c r="E76" s="19"/>
      <c r="F76" s="19"/>
      <c r="G76" s="20"/>
      <c r="L76" s="1"/>
      <c r="M76" s="1"/>
      <c r="N76" s="1"/>
    </row>
    <row r="77" spans="1:14" s="9" customFormat="1" x14ac:dyDescent="0.45">
      <c r="A77" s="1"/>
      <c r="B77" s="21" t="s">
        <v>2</v>
      </c>
      <c r="C77" s="22"/>
      <c r="D77" s="22" t="s">
        <v>3</v>
      </c>
      <c r="E77" s="22"/>
      <c r="F77" s="22" t="s">
        <v>40</v>
      </c>
      <c r="G77" s="23"/>
      <c r="L77" s="1"/>
      <c r="M77" s="1"/>
      <c r="N77" s="1"/>
    </row>
    <row r="78" spans="1:14" s="9" customFormat="1" x14ac:dyDescent="0.45">
      <c r="A78" s="1"/>
      <c r="B78" s="2"/>
      <c r="C78" s="2" t="s">
        <v>5</v>
      </c>
      <c r="D78" s="2"/>
      <c r="E78" s="2" t="s">
        <v>5</v>
      </c>
      <c r="F78" s="24"/>
      <c r="G78" s="24"/>
      <c r="L78" s="1"/>
      <c r="M78" s="1"/>
      <c r="N78" s="1"/>
    </row>
    <row r="79" spans="1:14" s="9" customFormat="1" x14ac:dyDescent="0.45">
      <c r="A79" s="1"/>
      <c r="B79" s="4">
        <v>1</v>
      </c>
      <c r="C79" s="4" t="s">
        <v>118</v>
      </c>
      <c r="D79" s="4">
        <v>1</v>
      </c>
      <c r="E79" s="4" t="s">
        <v>119</v>
      </c>
      <c r="F79" s="17"/>
      <c r="G79" s="17"/>
      <c r="L79" s="1"/>
      <c r="M79" s="1"/>
      <c r="N79" s="1"/>
    </row>
    <row r="80" spans="1:14" s="9" customFormat="1" x14ac:dyDescent="0.45">
      <c r="A80" s="1"/>
      <c r="B80" s="4">
        <v>2</v>
      </c>
      <c r="C80" s="4" t="s">
        <v>120</v>
      </c>
      <c r="D80" s="4">
        <v>2</v>
      </c>
      <c r="E80" s="9" t="s">
        <v>121</v>
      </c>
      <c r="F80" s="1"/>
      <c r="G80" s="1"/>
      <c r="L80" s="1"/>
      <c r="M80" s="1"/>
      <c r="N80" s="1"/>
    </row>
    <row r="81" spans="1:14" s="9" customFormat="1" x14ac:dyDescent="0.45">
      <c r="A81" s="1"/>
      <c r="B81" s="4">
        <v>3</v>
      </c>
      <c r="C81" s="1" t="s">
        <v>122</v>
      </c>
      <c r="D81" s="4">
        <v>3</v>
      </c>
      <c r="E81" s="4" t="s">
        <v>123</v>
      </c>
      <c r="F81" s="1"/>
      <c r="G81" s="1"/>
      <c r="L81" s="1"/>
      <c r="M81" s="1"/>
      <c r="N81" s="1"/>
    </row>
    <row r="82" spans="1:14" s="9" customFormat="1" x14ac:dyDescent="0.45">
      <c r="A82" s="1"/>
      <c r="B82" s="4">
        <v>4</v>
      </c>
      <c r="C82" s="4" t="s">
        <v>124</v>
      </c>
      <c r="D82" s="4">
        <v>4</v>
      </c>
      <c r="E82" s="4"/>
      <c r="F82" s="1"/>
      <c r="G82" s="1"/>
      <c r="L82" s="1"/>
      <c r="M82" s="1"/>
      <c r="N82" s="1"/>
    </row>
    <row r="83" spans="1:14" s="9" customFormat="1" x14ac:dyDescent="0.45">
      <c r="A83" s="1"/>
      <c r="B83" s="4">
        <v>5</v>
      </c>
      <c r="C83" s="4" t="s">
        <v>125</v>
      </c>
      <c r="D83" s="4">
        <v>5</v>
      </c>
      <c r="E83" s="4"/>
      <c r="F83" s="1"/>
      <c r="G83" s="1"/>
      <c r="L83" s="1"/>
      <c r="M83" s="1"/>
      <c r="N83" s="1"/>
    </row>
    <row r="84" spans="1:14" s="9" customFormat="1" x14ac:dyDescent="0.45">
      <c r="A84" s="1"/>
      <c r="B84" s="4">
        <v>6</v>
      </c>
      <c r="C84" s="4" t="s">
        <v>126</v>
      </c>
      <c r="E84" s="4"/>
      <c r="F84" s="1"/>
      <c r="G84" s="1"/>
      <c r="L84" s="1"/>
      <c r="M84" s="1"/>
      <c r="N84" s="1"/>
    </row>
    <row r="85" spans="1:14" s="9" customFormat="1" ht="21" x14ac:dyDescent="0.65">
      <c r="A85" s="1"/>
      <c r="B85" s="18" t="s">
        <v>127</v>
      </c>
      <c r="C85" s="19"/>
      <c r="D85" s="19"/>
      <c r="E85" s="19"/>
      <c r="F85" s="19"/>
      <c r="G85" s="20"/>
      <c r="L85" s="1"/>
      <c r="M85" s="1"/>
      <c r="N85" s="1"/>
    </row>
    <row r="86" spans="1:14" s="9" customFormat="1" x14ac:dyDescent="0.45">
      <c r="A86" s="1"/>
      <c r="B86" s="21" t="s">
        <v>2</v>
      </c>
      <c r="C86" s="22"/>
      <c r="D86" s="22" t="s">
        <v>3</v>
      </c>
      <c r="E86" s="22"/>
      <c r="F86" s="22" t="s">
        <v>40</v>
      </c>
      <c r="G86" s="23"/>
      <c r="L86" s="1"/>
      <c r="M86" s="1"/>
      <c r="N86" s="1"/>
    </row>
    <row r="87" spans="1:14" s="9" customFormat="1" x14ac:dyDescent="0.45">
      <c r="A87" s="1"/>
      <c r="B87" s="4"/>
      <c r="C87" s="4" t="s">
        <v>5</v>
      </c>
      <c r="D87" s="4"/>
      <c r="E87" s="4" t="s">
        <v>5</v>
      </c>
      <c r="F87" s="17"/>
      <c r="G87" s="17"/>
      <c r="L87" s="1"/>
      <c r="M87" s="1"/>
      <c r="N87" s="1"/>
    </row>
    <row r="88" spans="1:14" s="9" customFormat="1" x14ac:dyDescent="0.45">
      <c r="A88" s="1"/>
      <c r="B88" s="4">
        <v>1</v>
      </c>
      <c r="C88" s="4" t="s">
        <v>128</v>
      </c>
      <c r="D88" s="4">
        <v>1</v>
      </c>
      <c r="E88" s="4" t="s">
        <v>129</v>
      </c>
      <c r="F88" s="17"/>
      <c r="G88" s="17"/>
      <c r="L88" s="1"/>
      <c r="M88" s="1"/>
      <c r="N88" s="1"/>
    </row>
    <row r="89" spans="1:14" s="9" customFormat="1" x14ac:dyDescent="0.45">
      <c r="A89" s="1"/>
      <c r="B89" s="4">
        <v>2</v>
      </c>
      <c r="C89" s="4" t="s">
        <v>130</v>
      </c>
      <c r="D89" s="4">
        <v>2</v>
      </c>
      <c r="E89" s="4" t="s">
        <v>131</v>
      </c>
      <c r="F89" s="1"/>
      <c r="G89" s="1"/>
      <c r="L89" s="1"/>
      <c r="M89" s="1"/>
      <c r="N89" s="1"/>
    </row>
    <row r="90" spans="1:14" s="9" customFormat="1" x14ac:dyDescent="0.45">
      <c r="A90" s="1"/>
      <c r="B90" s="4">
        <v>3</v>
      </c>
      <c r="C90" s="4" t="s">
        <v>132</v>
      </c>
      <c r="D90" s="4">
        <v>3</v>
      </c>
      <c r="E90" s="4" t="s">
        <v>133</v>
      </c>
      <c r="F90" s="1"/>
      <c r="G90" s="1"/>
      <c r="L90" s="1"/>
      <c r="M90" s="1"/>
      <c r="N90" s="1"/>
    </row>
    <row r="91" spans="1:14" s="9" customFormat="1" x14ac:dyDescent="0.45">
      <c r="A91" s="1"/>
      <c r="B91" s="4">
        <v>4</v>
      </c>
      <c r="C91" s="4" t="s">
        <v>134</v>
      </c>
      <c r="D91" s="4">
        <v>4</v>
      </c>
      <c r="E91" s="4" t="s">
        <v>135</v>
      </c>
      <c r="F91" s="1"/>
      <c r="G91" s="1"/>
      <c r="L91" s="1"/>
      <c r="M91" s="1"/>
      <c r="N91" s="1"/>
    </row>
    <row r="92" spans="1:14" s="9" customFormat="1" x14ac:dyDescent="0.45">
      <c r="A92" s="1"/>
      <c r="B92" s="4">
        <v>5</v>
      </c>
      <c r="C92" s="4" t="s">
        <v>136</v>
      </c>
      <c r="D92" s="4">
        <v>5</v>
      </c>
      <c r="E92" s="4" t="s">
        <v>137</v>
      </c>
      <c r="F92" s="1"/>
      <c r="G92" s="1"/>
      <c r="L92" s="1"/>
      <c r="M92" s="1"/>
      <c r="N92" s="1"/>
    </row>
    <row r="93" spans="1:14" s="9" customFormat="1" x14ac:dyDescent="0.45">
      <c r="A93" s="1"/>
      <c r="B93" s="4">
        <v>6</v>
      </c>
      <c r="C93" s="9" t="s">
        <v>138</v>
      </c>
      <c r="D93" s="4">
        <v>6</v>
      </c>
      <c r="E93" s="4" t="s">
        <v>139</v>
      </c>
      <c r="F93" s="1"/>
      <c r="G93" s="1"/>
      <c r="L93" s="1"/>
      <c r="M93" s="1"/>
      <c r="N93" s="1"/>
    </row>
    <row r="94" spans="1:14" s="9" customFormat="1" x14ac:dyDescent="0.45">
      <c r="A94" s="1"/>
      <c r="B94" s="4">
        <v>7</v>
      </c>
      <c r="C94" s="4" t="s">
        <v>140</v>
      </c>
      <c r="D94" s="4">
        <v>7</v>
      </c>
      <c r="E94" s="4" t="s">
        <v>141</v>
      </c>
      <c r="F94" s="1"/>
      <c r="G94" s="1"/>
      <c r="L94" s="1"/>
      <c r="M94" s="1"/>
      <c r="N94" s="1"/>
    </row>
    <row r="95" spans="1:14" s="9" customFormat="1" x14ac:dyDescent="0.45">
      <c r="A95" s="1"/>
      <c r="B95" s="4">
        <v>8</v>
      </c>
      <c r="C95" s="4" t="s">
        <v>142</v>
      </c>
      <c r="D95" s="4">
        <v>8</v>
      </c>
      <c r="E95" s="4" t="s">
        <v>143</v>
      </c>
      <c r="F95" s="1"/>
      <c r="G95" s="1"/>
      <c r="L95" s="1"/>
      <c r="M95" s="1"/>
      <c r="N95" s="1"/>
    </row>
    <row r="96" spans="1:14" s="9" customFormat="1" x14ac:dyDescent="0.45">
      <c r="A96" s="1"/>
      <c r="B96" s="4">
        <v>9</v>
      </c>
      <c r="C96" s="4" t="s">
        <v>144</v>
      </c>
      <c r="D96" s="4">
        <v>9</v>
      </c>
      <c r="E96" s="4" t="s">
        <v>145</v>
      </c>
      <c r="F96" s="1"/>
      <c r="G96" s="1"/>
      <c r="L96" s="1"/>
      <c r="M96" s="1"/>
      <c r="N96" s="1"/>
    </row>
    <row r="97" spans="1:14" s="9" customFormat="1" x14ac:dyDescent="0.45">
      <c r="A97" s="1"/>
      <c r="B97" s="4">
        <v>10</v>
      </c>
      <c r="C97" s="4"/>
      <c r="D97" s="4">
        <v>10</v>
      </c>
      <c r="E97" s="4" t="s">
        <v>146</v>
      </c>
      <c r="F97" s="1"/>
      <c r="G97" s="1"/>
      <c r="L97" s="1"/>
      <c r="M97" s="1"/>
      <c r="N97" s="1"/>
    </row>
    <row r="98" spans="1:14" s="9" customFormat="1" x14ac:dyDescent="0.45">
      <c r="A98" s="1"/>
      <c r="B98" s="4">
        <v>11</v>
      </c>
      <c r="C98" s="4"/>
      <c r="D98" s="4">
        <v>11</v>
      </c>
      <c r="E98" s="4" t="s">
        <v>147</v>
      </c>
      <c r="F98" s="1"/>
      <c r="G98" s="1"/>
      <c r="L98" s="1"/>
      <c r="M98" s="1"/>
      <c r="N98" s="1"/>
    </row>
    <row r="99" spans="1:14" s="9" customFormat="1" x14ac:dyDescent="0.45">
      <c r="A99" s="1"/>
      <c r="B99" s="4">
        <v>12</v>
      </c>
      <c r="C99" s="4"/>
      <c r="D99" s="4">
        <v>12</v>
      </c>
      <c r="E99" s="4" t="s">
        <v>148</v>
      </c>
      <c r="F99" s="1"/>
      <c r="G99" s="1"/>
      <c r="L99" s="1"/>
      <c r="M99" s="1"/>
      <c r="N99" s="1"/>
    </row>
    <row r="100" spans="1:14" s="9" customFormat="1" x14ac:dyDescent="0.45">
      <c r="A100" s="1"/>
      <c r="B100" s="4">
        <v>13</v>
      </c>
      <c r="C100" s="4"/>
      <c r="D100" s="4">
        <v>13</v>
      </c>
      <c r="E100" s="4" t="s">
        <v>149</v>
      </c>
      <c r="F100" s="1"/>
      <c r="G100" s="1"/>
      <c r="L100" s="1"/>
      <c r="M100" s="1"/>
      <c r="N100" s="1"/>
    </row>
    <row r="101" spans="1:14" s="9" customFormat="1" x14ac:dyDescent="0.45">
      <c r="A101" s="1"/>
      <c r="B101" s="4">
        <v>14</v>
      </c>
      <c r="C101" s="4"/>
      <c r="D101" s="4">
        <v>14</v>
      </c>
      <c r="F101" s="1"/>
      <c r="G101" s="1"/>
      <c r="L101" s="1"/>
      <c r="M101" s="1"/>
      <c r="N101" s="1"/>
    </row>
    <row r="102" spans="1:14" s="9" customFormat="1" x14ac:dyDescent="0.45">
      <c r="A102" s="1"/>
      <c r="B102" s="4">
        <v>15</v>
      </c>
      <c r="C102" s="4"/>
      <c r="D102" s="4">
        <v>15</v>
      </c>
      <c r="E102" s="4"/>
      <c r="F102" s="1"/>
      <c r="G102" s="1"/>
      <c r="L102" s="1"/>
      <c r="M102" s="1"/>
      <c r="N102" s="1"/>
    </row>
    <row r="103" spans="1:14" s="9" customFormat="1" x14ac:dyDescent="0.45">
      <c r="A103" s="1"/>
      <c r="B103" s="4">
        <v>16</v>
      </c>
      <c r="C103" s="4"/>
      <c r="D103" s="4">
        <v>16</v>
      </c>
      <c r="E103" s="4"/>
      <c r="F103" s="1"/>
      <c r="G103" s="1"/>
      <c r="L103" s="1"/>
      <c r="M103" s="1"/>
      <c r="N103" s="1"/>
    </row>
    <row r="104" spans="1:14" s="9" customFormat="1" x14ac:dyDescent="0.45">
      <c r="A104" s="1"/>
      <c r="B104" s="4">
        <v>17</v>
      </c>
      <c r="C104" s="4"/>
      <c r="D104" s="4">
        <v>17</v>
      </c>
      <c r="E104" s="4"/>
      <c r="F104" s="1"/>
      <c r="G104" s="1"/>
      <c r="L104" s="1"/>
      <c r="M104" s="1"/>
      <c r="N104" s="1"/>
    </row>
    <row r="105" spans="1:14" s="9" customFormat="1" x14ac:dyDescent="0.45">
      <c r="A105" s="1"/>
      <c r="B105" s="4">
        <v>18</v>
      </c>
      <c r="C105" s="4"/>
      <c r="D105" s="4">
        <v>18</v>
      </c>
      <c r="E105" s="4"/>
      <c r="F105" s="1"/>
      <c r="G105" s="1"/>
      <c r="L105" s="1"/>
      <c r="M105" s="1"/>
      <c r="N105" s="1"/>
    </row>
    <row r="106" spans="1:14" s="9" customFormat="1" ht="21" x14ac:dyDescent="0.65">
      <c r="A106" s="1"/>
      <c r="B106" s="18" t="s">
        <v>150</v>
      </c>
      <c r="C106" s="19"/>
      <c r="D106" s="19"/>
      <c r="E106" s="19"/>
      <c r="F106" s="19"/>
      <c r="G106" s="20"/>
      <c r="L106" s="1"/>
      <c r="M106" s="1"/>
      <c r="N106" s="1"/>
    </row>
    <row r="107" spans="1:14" s="9" customFormat="1" x14ac:dyDescent="0.45">
      <c r="A107" s="1"/>
      <c r="B107" s="21" t="s">
        <v>2</v>
      </c>
      <c r="C107" s="22"/>
      <c r="D107" s="22" t="s">
        <v>3</v>
      </c>
      <c r="E107" s="22"/>
      <c r="F107" s="22" t="s">
        <v>40</v>
      </c>
      <c r="G107" s="23"/>
      <c r="L107" s="1"/>
      <c r="M107" s="1"/>
      <c r="N107" s="1"/>
    </row>
    <row r="108" spans="1:14" s="9" customFormat="1" x14ac:dyDescent="0.45">
      <c r="A108" s="1"/>
      <c r="B108" s="2"/>
      <c r="C108" s="2" t="s">
        <v>5</v>
      </c>
      <c r="D108" s="2"/>
      <c r="E108" s="2" t="s">
        <v>5</v>
      </c>
      <c r="F108" s="34"/>
      <c r="G108" s="34"/>
      <c r="L108" s="1"/>
      <c r="M108" s="1"/>
      <c r="N108" s="1"/>
    </row>
    <row r="109" spans="1:14" s="9" customFormat="1" x14ac:dyDescent="0.45">
      <c r="A109" s="1"/>
      <c r="B109" s="4">
        <v>1</v>
      </c>
      <c r="C109" s="4" t="s">
        <v>151</v>
      </c>
      <c r="D109" s="4">
        <v>1</v>
      </c>
      <c r="E109" s="4" t="s">
        <v>152</v>
      </c>
      <c r="F109" s="17"/>
      <c r="G109" s="17"/>
      <c r="L109" s="1"/>
      <c r="M109" s="1"/>
      <c r="N109" s="1"/>
    </row>
    <row r="110" spans="1:14" s="9" customFormat="1" x14ac:dyDescent="0.45">
      <c r="A110" s="1"/>
      <c r="B110" s="4">
        <v>2</v>
      </c>
      <c r="C110" s="4" t="s">
        <v>153</v>
      </c>
      <c r="D110" s="4">
        <v>2</v>
      </c>
      <c r="E110" s="4" t="s">
        <v>154</v>
      </c>
      <c r="F110" s="1"/>
      <c r="G110" s="1"/>
      <c r="L110" s="1"/>
      <c r="M110" s="1"/>
      <c r="N110" s="1"/>
    </row>
    <row r="111" spans="1:14" s="9" customFormat="1" x14ac:dyDescent="0.45">
      <c r="A111" s="1"/>
      <c r="B111" s="4">
        <v>3</v>
      </c>
      <c r="C111" s="4" t="s">
        <v>155</v>
      </c>
      <c r="D111" s="4">
        <v>3</v>
      </c>
      <c r="E111" s="4" t="s">
        <v>156</v>
      </c>
      <c r="F111" s="1"/>
      <c r="G111" s="1"/>
      <c r="L111" s="1"/>
      <c r="M111" s="1"/>
      <c r="N111" s="1"/>
    </row>
    <row r="112" spans="1:14" s="9" customFormat="1" x14ac:dyDescent="0.45">
      <c r="A112" s="1"/>
      <c r="B112" s="4">
        <v>4</v>
      </c>
      <c r="D112" s="4">
        <v>4</v>
      </c>
      <c r="E112" s="4"/>
      <c r="F112" s="1"/>
      <c r="G112" s="1"/>
      <c r="L112" s="1"/>
      <c r="M112" s="1"/>
      <c r="N112" s="1"/>
    </row>
    <row r="113" spans="1:14" s="9" customFormat="1" x14ac:dyDescent="0.45">
      <c r="A113" s="1"/>
      <c r="B113" s="4">
        <v>5</v>
      </c>
      <c r="C113" s="4"/>
      <c r="D113" s="4">
        <v>5</v>
      </c>
      <c r="E113" s="4"/>
      <c r="F113" s="1"/>
      <c r="G113" s="1"/>
      <c r="L113" s="1"/>
      <c r="M113" s="1"/>
      <c r="N113" s="1"/>
    </row>
    <row r="114" spans="1:14" s="9" customFormat="1" x14ac:dyDescent="0.45">
      <c r="A114" s="1"/>
      <c r="B114" s="4">
        <v>6</v>
      </c>
      <c r="C114" s="4"/>
      <c r="D114" s="4"/>
      <c r="E114" s="4"/>
      <c r="F114" s="1"/>
      <c r="G114" s="1"/>
      <c r="L114" s="1"/>
      <c r="M114" s="1"/>
      <c r="N114" s="1"/>
    </row>
    <row r="115" spans="1:14" s="9" customFormat="1" x14ac:dyDescent="0.45">
      <c r="A115" s="1"/>
      <c r="B115" s="4">
        <v>7</v>
      </c>
      <c r="C115" s="4"/>
      <c r="D115" s="4"/>
      <c r="E115" s="4"/>
      <c r="F115" s="1"/>
      <c r="G115" s="1"/>
      <c r="L115" s="1"/>
      <c r="M115" s="1"/>
      <c r="N115" s="1"/>
    </row>
    <row r="116" spans="1:14" s="9" customFormat="1" x14ac:dyDescent="0.45">
      <c r="A116" s="1"/>
      <c r="B116" s="4"/>
      <c r="C116" s="4"/>
      <c r="D116" s="4"/>
      <c r="E116" s="4"/>
      <c r="F116" s="1"/>
      <c r="G116" s="1"/>
      <c r="L116" s="1"/>
      <c r="M116" s="1"/>
      <c r="N116" s="1"/>
    </row>
    <row r="117" spans="1:14" s="9" customFormat="1" x14ac:dyDescent="0.45">
      <c r="A117" s="1"/>
      <c r="B117" s="1"/>
      <c r="C117" s="1"/>
      <c r="D117" s="1"/>
      <c r="E117" s="1"/>
      <c r="F117" s="1"/>
      <c r="G117" s="1"/>
      <c r="L117" s="1"/>
      <c r="M117" s="1"/>
      <c r="N117" s="1"/>
    </row>
    <row r="118" spans="1:14" s="9" customFormat="1" x14ac:dyDescent="0.45">
      <c r="A118" s="1"/>
      <c r="L118" s="1"/>
      <c r="M118" s="1"/>
      <c r="N118" s="1"/>
    </row>
    <row r="119" spans="1:14" s="9" customFormat="1" x14ac:dyDescent="0.45">
      <c r="A119" s="1"/>
      <c r="L119" s="1"/>
      <c r="M119" s="1"/>
      <c r="N119" s="1"/>
    </row>
    <row r="120" spans="1:14" s="9" customFormat="1" x14ac:dyDescent="0.45">
      <c r="A120" s="1"/>
      <c r="L120" s="1"/>
      <c r="M120" s="1"/>
      <c r="N120" s="1"/>
    </row>
    <row r="121" spans="1:14" s="9" customFormat="1" x14ac:dyDescent="0.45">
      <c r="A121" s="1"/>
      <c r="L121" s="1"/>
      <c r="M121" s="1"/>
      <c r="N121" s="1"/>
    </row>
    <row r="122" spans="1:14" s="9" customFormat="1" x14ac:dyDescent="0.45">
      <c r="A122" s="1"/>
      <c r="L122" s="1"/>
      <c r="M122" s="1"/>
      <c r="N122" s="1"/>
    </row>
    <row r="123" spans="1:14" s="9" customFormat="1" x14ac:dyDescent="0.45">
      <c r="A123" s="1"/>
      <c r="L123" s="1"/>
      <c r="M123" s="1"/>
      <c r="N123" s="1"/>
    </row>
    <row r="124" spans="1:14" s="9" customFormat="1" x14ac:dyDescent="0.45">
      <c r="A124" s="1"/>
      <c r="L124" s="1"/>
      <c r="M124" s="1"/>
      <c r="N124" s="1"/>
    </row>
    <row r="125" spans="1:14" s="9" customFormat="1" x14ac:dyDescent="0.45">
      <c r="A125" s="1"/>
      <c r="L125" s="1"/>
      <c r="M125" s="1"/>
      <c r="N125" s="1"/>
    </row>
    <row r="126" spans="1:14" s="9" customFormat="1" x14ac:dyDescent="0.45">
      <c r="A126" s="1"/>
      <c r="L126" s="1"/>
      <c r="M126" s="1"/>
      <c r="N126" s="1"/>
    </row>
    <row r="127" spans="1:14" s="9" customFormat="1" x14ac:dyDescent="0.45">
      <c r="A127" s="1"/>
      <c r="L127" s="1"/>
      <c r="M127" s="1"/>
      <c r="N127" s="1"/>
    </row>
    <row r="128" spans="1:14" s="9" customFormat="1" x14ac:dyDescent="0.45">
      <c r="A128" s="1"/>
      <c r="L128" s="1"/>
      <c r="M128" s="1"/>
      <c r="N128" s="1"/>
    </row>
    <row r="129" spans="1:14" s="9" customFormat="1" x14ac:dyDescent="0.45">
      <c r="A129" s="1"/>
      <c r="L129" s="1"/>
      <c r="M129" s="1"/>
      <c r="N129" s="1"/>
    </row>
    <row r="130" spans="1:14" s="9" customFormat="1" x14ac:dyDescent="0.45">
      <c r="A130" s="1"/>
      <c r="L130" s="1"/>
      <c r="M130" s="1"/>
      <c r="N130" s="1"/>
    </row>
    <row r="131" spans="1:14" s="9" customFormat="1" x14ac:dyDescent="0.45">
      <c r="A131" s="1"/>
      <c r="L131" s="1"/>
      <c r="M131" s="1"/>
      <c r="N131" s="1"/>
    </row>
    <row r="132" spans="1:14" s="9" customFormat="1" x14ac:dyDescent="0.45">
      <c r="A132" s="1"/>
      <c r="L132" s="1"/>
      <c r="M132" s="1"/>
      <c r="N132" s="1"/>
    </row>
    <row r="133" spans="1:14" s="9" customFormat="1" x14ac:dyDescent="0.45">
      <c r="A133" s="1"/>
      <c r="L133" s="1"/>
      <c r="M133" s="1"/>
      <c r="N133" s="1"/>
    </row>
    <row r="134" spans="1:14" s="9" customFormat="1" x14ac:dyDescent="0.45">
      <c r="A134" s="1"/>
      <c r="L134" s="1"/>
      <c r="M134" s="1"/>
      <c r="N134" s="1"/>
    </row>
    <row r="135" spans="1:14" s="9" customFormat="1" x14ac:dyDescent="0.45">
      <c r="A135" s="1"/>
      <c r="L135" s="1"/>
      <c r="M135" s="1"/>
      <c r="N135" s="1"/>
    </row>
    <row r="136" spans="1:14" s="9" customFormat="1" x14ac:dyDescent="0.45">
      <c r="A136"/>
      <c r="H136" s="11"/>
      <c r="L136" s="1"/>
      <c r="M136" s="1"/>
      <c r="N136" s="1"/>
    </row>
    <row r="137" spans="1:14" s="9" customFormat="1" x14ac:dyDescent="0.45">
      <c r="A137"/>
      <c r="H137" s="11"/>
      <c r="L137" s="1"/>
      <c r="M137" s="1"/>
      <c r="N137" s="1"/>
    </row>
    <row r="138" spans="1:14" s="9" customFormat="1" x14ac:dyDescent="0.45">
      <c r="A138"/>
      <c r="H138" s="11"/>
      <c r="L138" s="1"/>
      <c r="M138" s="1"/>
      <c r="N138" s="1"/>
    </row>
    <row r="139" spans="1:14" s="9" customFormat="1" x14ac:dyDescent="0.45">
      <c r="A139"/>
      <c r="H139" s="11"/>
      <c r="L139" s="1"/>
      <c r="M139" s="1"/>
      <c r="N139" s="1"/>
    </row>
    <row r="140" spans="1:14" s="9" customFormat="1" x14ac:dyDescent="0.45">
      <c r="A140"/>
      <c r="H140" s="11"/>
      <c r="L140" s="1"/>
      <c r="M140" s="1"/>
      <c r="N140" s="1"/>
    </row>
    <row r="141" spans="1:14" s="9" customFormat="1" x14ac:dyDescent="0.45">
      <c r="A141"/>
      <c r="H141" s="11"/>
      <c r="L141" s="1"/>
      <c r="M141" s="1"/>
      <c r="N141" s="1"/>
    </row>
    <row r="142" spans="1:14" s="9" customFormat="1" x14ac:dyDescent="0.45">
      <c r="A142"/>
      <c r="H142" s="11"/>
      <c r="L142" s="1"/>
      <c r="M142" s="1"/>
      <c r="N142" s="1"/>
    </row>
    <row r="143" spans="1:14" s="9" customFormat="1" x14ac:dyDescent="0.45">
      <c r="A143"/>
      <c r="H143" s="11"/>
      <c r="L143" s="1"/>
      <c r="M143" s="1"/>
      <c r="N143" s="1"/>
    </row>
    <row r="144" spans="1:14" s="9" customFormat="1" x14ac:dyDescent="0.45">
      <c r="A144"/>
      <c r="H144" s="11"/>
      <c r="L144" s="1"/>
      <c r="M144" s="1"/>
      <c r="N144" s="1"/>
    </row>
    <row r="145" spans="1:14" s="9" customFormat="1" x14ac:dyDescent="0.45">
      <c r="A145"/>
      <c r="B145" s="11"/>
      <c r="C145" s="11"/>
      <c r="D145" s="11"/>
      <c r="E145" s="11"/>
      <c r="F145" s="11"/>
      <c r="G145" s="11"/>
      <c r="H145" s="11"/>
      <c r="L145" s="1"/>
      <c r="M145" s="1"/>
      <c r="N145" s="1"/>
    </row>
    <row r="146" spans="1:14" s="9" customFormat="1" x14ac:dyDescent="0.45">
      <c r="A146"/>
      <c r="B146" s="11"/>
      <c r="C146" s="11"/>
      <c r="D146" s="11"/>
      <c r="E146" s="11"/>
      <c r="F146" s="11"/>
      <c r="G146" s="11"/>
      <c r="H146" s="11"/>
      <c r="L146" s="1"/>
      <c r="M146" s="1"/>
      <c r="N146" s="1"/>
    </row>
    <row r="147" spans="1:14" s="9" customFormat="1" x14ac:dyDescent="0.45">
      <c r="A147"/>
      <c r="B147" s="11"/>
      <c r="C147" s="11"/>
      <c r="D147" s="11"/>
      <c r="E147" s="11"/>
      <c r="F147" s="11"/>
      <c r="G147" s="11"/>
      <c r="H147" s="11"/>
      <c r="L147" s="1"/>
      <c r="M147" s="1"/>
      <c r="N147" s="1"/>
    </row>
    <row r="148" spans="1:14" s="11" customFormat="1" x14ac:dyDescent="0.45">
      <c r="A148"/>
      <c r="I148" s="9"/>
      <c r="J148" s="9"/>
      <c r="K148" s="9"/>
      <c r="L148" s="1"/>
      <c r="M148" s="1"/>
      <c r="N148" s="1"/>
    </row>
    <row r="149" spans="1:14" s="11" customFormat="1" x14ac:dyDescent="0.45">
      <c r="A149"/>
      <c r="I149" s="9"/>
      <c r="J149" s="9"/>
      <c r="K149" s="9"/>
      <c r="L149" s="1"/>
      <c r="M149" s="1"/>
      <c r="N149" s="1"/>
    </row>
    <row r="150" spans="1:14" s="11" customFormat="1" x14ac:dyDescent="0.45">
      <c r="A150"/>
      <c r="I150" s="9"/>
      <c r="J150" s="9"/>
      <c r="K150" s="9"/>
      <c r="L150" s="1"/>
      <c r="M150" s="1"/>
      <c r="N150" s="1"/>
    </row>
    <row r="151" spans="1:14" s="11" customFormat="1" x14ac:dyDescent="0.45">
      <c r="A151"/>
      <c r="I151" s="9"/>
      <c r="J151" s="9"/>
      <c r="K151" s="9"/>
      <c r="L151" s="1"/>
      <c r="M151" s="1"/>
      <c r="N151" s="1"/>
    </row>
    <row r="152" spans="1:14" s="11" customFormat="1" x14ac:dyDescent="0.45">
      <c r="A152"/>
      <c r="I152" s="9"/>
      <c r="J152" s="9"/>
      <c r="K152" s="9"/>
      <c r="L152" s="1"/>
      <c r="M152" s="1"/>
      <c r="N152" s="1"/>
    </row>
    <row r="153" spans="1:14" s="11" customFormat="1" x14ac:dyDescent="0.45">
      <c r="A153"/>
      <c r="I153" s="9"/>
      <c r="J153" s="9"/>
      <c r="K153" s="9"/>
      <c r="L153" s="1"/>
      <c r="M153" s="1"/>
      <c r="N153" s="1"/>
    </row>
    <row r="154" spans="1:14" s="11" customFormat="1" x14ac:dyDescent="0.45">
      <c r="A154"/>
      <c r="I154" s="9"/>
      <c r="J154" s="9"/>
      <c r="K154" s="9"/>
      <c r="L154" s="1"/>
      <c r="M154" s="1"/>
      <c r="N154" s="1"/>
    </row>
    <row r="155" spans="1:14" s="11" customFormat="1" x14ac:dyDescent="0.45">
      <c r="A155"/>
      <c r="I155" s="9"/>
      <c r="J155" s="9"/>
      <c r="K155" s="9"/>
      <c r="L155" s="1"/>
      <c r="M155" s="1"/>
      <c r="N155" s="1"/>
    </row>
    <row r="156" spans="1:14" s="11" customFormat="1" x14ac:dyDescent="0.45">
      <c r="A156"/>
      <c r="I156" s="9"/>
      <c r="J156" s="9"/>
      <c r="K156" s="9"/>
      <c r="L156" s="1"/>
      <c r="M156" s="1"/>
      <c r="N156" s="1"/>
    </row>
    <row r="157" spans="1:14" s="11" customFormat="1" x14ac:dyDescent="0.45">
      <c r="A157"/>
      <c r="I157" s="9"/>
      <c r="J157" s="9"/>
      <c r="K157" s="9"/>
      <c r="L157" s="1"/>
      <c r="M157" s="1"/>
      <c r="N157" s="1"/>
    </row>
    <row r="158" spans="1:14" s="11" customFormat="1" x14ac:dyDescent="0.45">
      <c r="A158"/>
      <c r="I158" s="9"/>
      <c r="J158" s="9"/>
      <c r="K158" s="9"/>
      <c r="L158" s="1"/>
      <c r="M158" s="1"/>
      <c r="N158" s="1"/>
    </row>
    <row r="159" spans="1:14" s="11" customFormat="1" x14ac:dyDescent="0.45">
      <c r="A159"/>
      <c r="I159" s="9"/>
      <c r="J159" s="9"/>
      <c r="K159" s="9"/>
      <c r="L159" s="1"/>
      <c r="M159" s="1"/>
      <c r="N159" s="1"/>
    </row>
    <row r="160" spans="1:14" s="11" customFormat="1" x14ac:dyDescent="0.45">
      <c r="A160"/>
      <c r="I160" s="9"/>
      <c r="J160" s="9"/>
      <c r="K160" s="9"/>
      <c r="L160" s="1"/>
      <c r="M160" s="1"/>
      <c r="N160" s="1"/>
    </row>
    <row r="161" spans="1:14" s="11" customFormat="1" x14ac:dyDescent="0.45">
      <c r="A161"/>
      <c r="I161" s="9"/>
      <c r="J161" s="9"/>
      <c r="K161" s="9"/>
      <c r="L161" s="1"/>
      <c r="M161" s="1"/>
      <c r="N161" s="1"/>
    </row>
    <row r="162" spans="1:14" s="11" customFormat="1" x14ac:dyDescent="0.45">
      <c r="A162"/>
      <c r="I162" s="9"/>
      <c r="J162" s="9"/>
      <c r="K162" s="9"/>
      <c r="L162" s="1"/>
      <c r="M162" s="1"/>
      <c r="N162" s="1"/>
    </row>
    <row r="163" spans="1:14" s="11" customFormat="1" x14ac:dyDescent="0.45">
      <c r="A163"/>
      <c r="I163" s="9"/>
      <c r="J163" s="9"/>
      <c r="K163" s="9"/>
      <c r="L163" s="1"/>
      <c r="M163" s="1"/>
      <c r="N163" s="1"/>
    </row>
    <row r="164" spans="1:14" s="11" customFormat="1" x14ac:dyDescent="0.45">
      <c r="A164"/>
      <c r="I164" s="9"/>
      <c r="J164" s="9"/>
      <c r="K164" s="9"/>
      <c r="L164" s="1"/>
      <c r="M164" s="1"/>
      <c r="N164" s="1"/>
    </row>
    <row r="165" spans="1:14" s="11" customFormat="1" x14ac:dyDescent="0.45">
      <c r="A165"/>
      <c r="I165" s="9"/>
      <c r="J165" s="9"/>
      <c r="K165" s="9"/>
      <c r="L165" s="1"/>
      <c r="M165" s="1"/>
      <c r="N165" s="1"/>
    </row>
    <row r="166" spans="1:14" s="11" customFormat="1" x14ac:dyDescent="0.45">
      <c r="A166"/>
      <c r="I166" s="9"/>
      <c r="J166" s="9"/>
      <c r="K166" s="9"/>
      <c r="L166" s="1"/>
      <c r="M166" s="1"/>
      <c r="N166" s="1"/>
    </row>
    <row r="167" spans="1:14" s="11" customFormat="1" x14ac:dyDescent="0.45">
      <c r="A167"/>
      <c r="I167" s="9"/>
      <c r="J167" s="9"/>
      <c r="K167" s="9"/>
      <c r="L167" s="1"/>
      <c r="M167" s="1"/>
      <c r="N167" s="1"/>
    </row>
    <row r="168" spans="1:14" s="11" customFormat="1" x14ac:dyDescent="0.45">
      <c r="A168"/>
      <c r="I168" s="9"/>
      <c r="J168" s="9"/>
      <c r="K168" s="9"/>
      <c r="L168" s="1"/>
      <c r="M168" s="1"/>
      <c r="N168" s="1"/>
    </row>
    <row r="169" spans="1:14" s="11" customFormat="1" x14ac:dyDescent="0.45">
      <c r="A169"/>
      <c r="I169" s="9"/>
      <c r="J169" s="9"/>
      <c r="K169" s="9"/>
      <c r="L169" s="1"/>
      <c r="M169" s="1"/>
      <c r="N169" s="1"/>
    </row>
    <row r="170" spans="1:14" s="11" customFormat="1" x14ac:dyDescent="0.45">
      <c r="A170"/>
      <c r="I170" s="9"/>
      <c r="J170" s="9"/>
      <c r="K170" s="9"/>
      <c r="L170" s="1"/>
      <c r="M170" s="1"/>
      <c r="N170" s="1"/>
    </row>
    <row r="171" spans="1:14" s="11" customFormat="1" x14ac:dyDescent="0.45">
      <c r="A171"/>
      <c r="I171" s="9"/>
      <c r="J171" s="9"/>
      <c r="K171" s="9"/>
      <c r="L171" s="1"/>
      <c r="M171" s="1"/>
      <c r="N171" s="1"/>
    </row>
    <row r="172" spans="1:14" s="11" customFormat="1" x14ac:dyDescent="0.45">
      <c r="A172"/>
      <c r="I172" s="9"/>
      <c r="J172" s="9"/>
      <c r="K172" s="9"/>
      <c r="L172" s="1"/>
      <c r="M172" s="1"/>
      <c r="N172" s="1"/>
    </row>
    <row r="173" spans="1:14" s="11" customFormat="1" x14ac:dyDescent="0.45">
      <c r="A173"/>
      <c r="I173" s="9"/>
      <c r="J173" s="9"/>
      <c r="K173" s="9"/>
      <c r="L173" s="1"/>
      <c r="M173" s="1"/>
      <c r="N173" s="1"/>
    </row>
    <row r="174" spans="1:14" s="11" customFormat="1" x14ac:dyDescent="0.45">
      <c r="A174"/>
      <c r="I174" s="9"/>
      <c r="J174" s="9"/>
      <c r="K174" s="9"/>
      <c r="L174" s="1"/>
      <c r="M174" s="1"/>
      <c r="N174" s="1"/>
    </row>
    <row r="175" spans="1:14" s="11" customFormat="1" x14ac:dyDescent="0.45">
      <c r="A175"/>
      <c r="I175" s="9"/>
      <c r="J175" s="9"/>
      <c r="K175" s="9"/>
      <c r="L175" s="1"/>
      <c r="M175" s="1"/>
      <c r="N175" s="1"/>
    </row>
    <row r="176" spans="1:14" s="11" customFormat="1" x14ac:dyDescent="0.45">
      <c r="A176"/>
      <c r="I176" s="9"/>
      <c r="J176" s="9"/>
      <c r="K176" s="9"/>
      <c r="L176" s="1"/>
      <c r="M176" s="1"/>
      <c r="N176" s="1"/>
    </row>
    <row r="177" spans="1:14" s="11" customFormat="1" x14ac:dyDescent="0.45">
      <c r="A177"/>
      <c r="I177" s="9"/>
      <c r="J177" s="9"/>
      <c r="K177" s="9"/>
      <c r="L177" s="1"/>
      <c r="M177" s="1"/>
      <c r="N177" s="1"/>
    </row>
    <row r="178" spans="1:14" s="11" customFormat="1" x14ac:dyDescent="0.45">
      <c r="A178"/>
      <c r="I178" s="9"/>
      <c r="J178" s="9"/>
      <c r="K178" s="9"/>
      <c r="L178" s="1"/>
      <c r="M178" s="1"/>
      <c r="N178" s="1"/>
    </row>
    <row r="179" spans="1:14" s="11" customFormat="1" x14ac:dyDescent="0.45">
      <c r="A179"/>
      <c r="I179" s="9"/>
      <c r="J179" s="9"/>
      <c r="K179" s="9"/>
      <c r="L179" s="1"/>
      <c r="M179" s="1"/>
      <c r="N179" s="1"/>
    </row>
    <row r="180" spans="1:14" s="11" customFormat="1" x14ac:dyDescent="0.45">
      <c r="A180"/>
      <c r="I180" s="9"/>
      <c r="J180" s="9"/>
      <c r="K180" s="9"/>
      <c r="L180" s="1"/>
      <c r="M180" s="1"/>
      <c r="N180" s="1"/>
    </row>
    <row r="181" spans="1:14" s="11" customFormat="1" x14ac:dyDescent="0.45">
      <c r="A181"/>
      <c r="I181" s="9"/>
      <c r="J181" s="9"/>
      <c r="K181" s="9"/>
      <c r="L181" s="1"/>
      <c r="M181" s="1"/>
      <c r="N181" s="1"/>
    </row>
    <row r="182" spans="1:14" s="11" customFormat="1" x14ac:dyDescent="0.45">
      <c r="A182"/>
      <c r="I182" s="9"/>
      <c r="J182" s="9"/>
      <c r="K182" s="9"/>
      <c r="L182" s="1"/>
      <c r="M182" s="1"/>
      <c r="N182" s="1"/>
    </row>
    <row r="183" spans="1:14" s="11" customFormat="1" x14ac:dyDescent="0.45">
      <c r="A183"/>
      <c r="I183" s="9"/>
      <c r="J183" s="9"/>
      <c r="K183" s="9"/>
      <c r="L183" s="1"/>
      <c r="M183" s="1"/>
      <c r="N183" s="1"/>
    </row>
    <row r="184" spans="1:14" s="11" customFormat="1" x14ac:dyDescent="0.45">
      <c r="A184"/>
      <c r="I184" s="9"/>
      <c r="J184" s="9"/>
      <c r="K184" s="9"/>
      <c r="L184" s="1"/>
      <c r="M184" s="1"/>
      <c r="N184" s="1"/>
    </row>
    <row r="185" spans="1:14" s="11" customFormat="1" x14ac:dyDescent="0.45">
      <c r="A185"/>
      <c r="I185" s="9"/>
      <c r="J185" s="9"/>
      <c r="K185" s="9"/>
      <c r="L185" s="1"/>
      <c r="M185" s="1"/>
      <c r="N185" s="1"/>
    </row>
    <row r="186" spans="1:14" s="11" customFormat="1" x14ac:dyDescent="0.45">
      <c r="A186"/>
      <c r="I186" s="9"/>
      <c r="J186" s="9"/>
      <c r="K186" s="9"/>
      <c r="L186" s="1"/>
      <c r="M186" s="1"/>
      <c r="N186" s="1"/>
    </row>
    <row r="187" spans="1:14" s="11" customFormat="1" x14ac:dyDescent="0.45">
      <c r="A187"/>
      <c r="I187" s="9"/>
      <c r="J187" s="9"/>
      <c r="K187" s="9"/>
      <c r="L187" s="1"/>
      <c r="M187" s="1"/>
      <c r="N187" s="1"/>
    </row>
    <row r="188" spans="1:14" s="11" customFormat="1" x14ac:dyDescent="0.45">
      <c r="A188"/>
      <c r="I188" s="9"/>
      <c r="J188" s="9"/>
      <c r="K188" s="9"/>
      <c r="L188" s="1"/>
      <c r="M188" s="1"/>
      <c r="N188" s="1"/>
    </row>
    <row r="189" spans="1:14" s="11" customFormat="1" x14ac:dyDescent="0.45">
      <c r="A189"/>
      <c r="I189" s="9"/>
      <c r="J189" s="9"/>
      <c r="K189" s="9"/>
      <c r="L189" s="1"/>
      <c r="M189" s="1"/>
      <c r="N189" s="1"/>
    </row>
    <row r="190" spans="1:14" s="11" customFormat="1" x14ac:dyDescent="0.45">
      <c r="A190"/>
      <c r="I190" s="9"/>
      <c r="J190" s="9"/>
      <c r="K190" s="9"/>
      <c r="L190" s="1"/>
      <c r="M190" s="1"/>
      <c r="N190" s="1"/>
    </row>
    <row r="191" spans="1:14" s="11" customFormat="1" x14ac:dyDescent="0.45">
      <c r="A191"/>
      <c r="I191" s="9"/>
      <c r="J191" s="9"/>
      <c r="K191" s="9"/>
      <c r="L191" s="1"/>
      <c r="M191" s="1"/>
      <c r="N191" s="1"/>
    </row>
    <row r="192" spans="1:14" s="11" customFormat="1" x14ac:dyDescent="0.45">
      <c r="A192"/>
      <c r="I192" s="9"/>
      <c r="J192" s="9"/>
      <c r="K192" s="9"/>
      <c r="L192" s="1"/>
      <c r="M192" s="1"/>
      <c r="N192" s="1"/>
    </row>
    <row r="193" spans="1:14" s="11" customFormat="1" x14ac:dyDescent="0.45">
      <c r="A193"/>
      <c r="I193" s="9"/>
      <c r="J193" s="9"/>
      <c r="K193" s="9"/>
      <c r="L193" s="1"/>
      <c r="M193" s="1"/>
      <c r="N193" s="1"/>
    </row>
    <row r="194" spans="1:14" s="11" customFormat="1" x14ac:dyDescent="0.45">
      <c r="A194"/>
      <c r="I194" s="9"/>
      <c r="J194" s="9"/>
      <c r="K194" s="9"/>
      <c r="L194" s="1"/>
      <c r="M194" s="1"/>
      <c r="N194" s="1"/>
    </row>
    <row r="195" spans="1:14" s="11" customFormat="1" x14ac:dyDescent="0.45">
      <c r="A195"/>
      <c r="I195" s="9"/>
      <c r="J195" s="9"/>
      <c r="K195" s="9"/>
      <c r="L195" s="1"/>
      <c r="M195" s="1"/>
      <c r="N195" s="1"/>
    </row>
    <row r="196" spans="1:14" s="11" customFormat="1" x14ac:dyDescent="0.45">
      <c r="A196"/>
      <c r="I196" s="9"/>
      <c r="J196" s="9"/>
      <c r="K196" s="9"/>
      <c r="L196" s="1"/>
      <c r="M196" s="1"/>
      <c r="N196" s="1"/>
    </row>
    <row r="197" spans="1:14" s="11" customFormat="1" x14ac:dyDescent="0.45">
      <c r="A197"/>
      <c r="I197" s="9"/>
      <c r="J197" s="9"/>
      <c r="K197" s="9"/>
      <c r="L197" s="1"/>
      <c r="M197" s="1"/>
      <c r="N197" s="1"/>
    </row>
    <row r="198" spans="1:14" s="11" customFormat="1" x14ac:dyDescent="0.45">
      <c r="A198"/>
      <c r="I198" s="9"/>
      <c r="J198" s="9"/>
      <c r="K198" s="9"/>
      <c r="L198" s="1"/>
      <c r="M198" s="1"/>
      <c r="N198" s="1"/>
    </row>
    <row r="199" spans="1:14" s="11" customFormat="1" x14ac:dyDescent="0.45">
      <c r="A199"/>
      <c r="I199" s="9"/>
      <c r="J199" s="9"/>
      <c r="K199" s="9"/>
      <c r="L199" s="1"/>
      <c r="M199" s="1"/>
      <c r="N199" s="1"/>
    </row>
    <row r="200" spans="1:14" s="11" customFormat="1" x14ac:dyDescent="0.45">
      <c r="A200"/>
      <c r="I200" s="9"/>
      <c r="J200" s="9"/>
      <c r="K200" s="9"/>
      <c r="L200" s="1"/>
      <c r="M200" s="1"/>
      <c r="N200" s="1"/>
    </row>
    <row r="201" spans="1:14" s="11" customFormat="1" x14ac:dyDescent="0.45">
      <c r="A201"/>
      <c r="I201" s="9"/>
      <c r="J201" s="9"/>
      <c r="K201" s="9"/>
      <c r="L201" s="1"/>
      <c r="M201" s="1"/>
      <c r="N201" s="1"/>
    </row>
    <row r="202" spans="1:14" s="11" customFormat="1" x14ac:dyDescent="0.45">
      <c r="A202"/>
      <c r="I202" s="9"/>
      <c r="J202" s="9"/>
      <c r="K202" s="9"/>
      <c r="L202" s="1"/>
      <c r="M202" s="1"/>
      <c r="N202" s="1"/>
    </row>
    <row r="203" spans="1:14" s="11" customFormat="1" x14ac:dyDescent="0.45">
      <c r="A203"/>
      <c r="I203" s="9"/>
      <c r="J203" s="9"/>
      <c r="K203" s="9"/>
      <c r="L203" s="1"/>
      <c r="M203" s="1"/>
      <c r="N203" s="1"/>
    </row>
    <row r="204" spans="1:14" s="11" customFormat="1" x14ac:dyDescent="0.45">
      <c r="A204"/>
      <c r="I204" s="9"/>
      <c r="J204" s="9"/>
      <c r="K204" s="9"/>
      <c r="L204" s="1"/>
      <c r="M204" s="1"/>
      <c r="N204" s="1"/>
    </row>
    <row r="205" spans="1:14" s="11" customFormat="1" x14ac:dyDescent="0.45">
      <c r="A205"/>
      <c r="I205" s="9"/>
      <c r="J205" s="9"/>
      <c r="K205" s="9"/>
      <c r="L205" s="1"/>
      <c r="M205" s="1"/>
      <c r="N205" s="1"/>
    </row>
    <row r="206" spans="1:14" s="11" customFormat="1" x14ac:dyDescent="0.45">
      <c r="A206"/>
      <c r="I206" s="9"/>
      <c r="J206" s="9"/>
      <c r="K206" s="9"/>
      <c r="L206" s="1"/>
      <c r="M206" s="1"/>
      <c r="N206" s="1"/>
    </row>
    <row r="207" spans="1:14" s="11" customFormat="1" x14ac:dyDescent="0.45">
      <c r="A207"/>
      <c r="I207" s="9"/>
      <c r="J207" s="9"/>
      <c r="K207" s="9"/>
      <c r="L207" s="1"/>
      <c r="M207" s="1"/>
      <c r="N207" s="1"/>
    </row>
    <row r="208" spans="1:14" s="11" customFormat="1" x14ac:dyDescent="0.45">
      <c r="A208"/>
      <c r="I208" s="9"/>
      <c r="J208" s="9"/>
      <c r="K208" s="9"/>
      <c r="L208" s="1"/>
      <c r="M208" s="1"/>
      <c r="N208" s="1"/>
    </row>
    <row r="209" spans="1:14" s="11" customFormat="1" x14ac:dyDescent="0.45">
      <c r="A209"/>
      <c r="I209" s="9"/>
      <c r="J209" s="9"/>
      <c r="K209" s="9"/>
      <c r="L209" s="1"/>
      <c r="M209" s="1"/>
      <c r="N209" s="1"/>
    </row>
    <row r="210" spans="1:14" s="11" customFormat="1" x14ac:dyDescent="0.45">
      <c r="A210"/>
      <c r="I210" s="9"/>
      <c r="J210" s="9"/>
      <c r="K210" s="9"/>
      <c r="L210" s="1"/>
      <c r="M210" s="1"/>
      <c r="N210" s="1"/>
    </row>
    <row r="211" spans="1:14" s="11" customFormat="1" x14ac:dyDescent="0.45">
      <c r="A211"/>
      <c r="I211" s="9"/>
      <c r="J211" s="9"/>
      <c r="K211" s="9"/>
      <c r="L211" s="1"/>
      <c r="M211" s="1"/>
      <c r="N211" s="1"/>
    </row>
    <row r="212" spans="1:14" s="11" customFormat="1" x14ac:dyDescent="0.45">
      <c r="A212"/>
      <c r="I212" s="9"/>
      <c r="J212" s="9"/>
      <c r="K212" s="9"/>
      <c r="L212" s="1"/>
      <c r="M212" s="1"/>
      <c r="N212" s="1"/>
    </row>
    <row r="213" spans="1:14" s="11" customFormat="1" x14ac:dyDescent="0.45">
      <c r="A213"/>
      <c r="I213" s="9"/>
      <c r="J213" s="9"/>
      <c r="K213" s="9"/>
      <c r="L213" s="1"/>
      <c r="M213" s="1"/>
      <c r="N213" s="1"/>
    </row>
    <row r="214" spans="1:14" s="11" customFormat="1" x14ac:dyDescent="0.45">
      <c r="A214"/>
      <c r="I214" s="9"/>
      <c r="J214" s="9"/>
      <c r="K214" s="9"/>
      <c r="L214" s="1"/>
      <c r="M214" s="1"/>
      <c r="N214" s="1"/>
    </row>
    <row r="215" spans="1:14" s="11" customFormat="1" x14ac:dyDescent="0.45">
      <c r="A215"/>
      <c r="I215" s="9"/>
      <c r="J215" s="9"/>
      <c r="K215" s="9"/>
      <c r="L215" s="1"/>
      <c r="M215" s="1"/>
      <c r="N215" s="1"/>
    </row>
    <row r="216" spans="1:14" s="11" customFormat="1" x14ac:dyDescent="0.45">
      <c r="A216"/>
      <c r="I216" s="9"/>
      <c r="J216" s="9"/>
      <c r="K216" s="9"/>
      <c r="L216" s="1"/>
      <c r="M216" s="1"/>
      <c r="N216" s="1"/>
    </row>
    <row r="217" spans="1:14" s="11" customFormat="1" x14ac:dyDescent="0.45">
      <c r="A217"/>
      <c r="I217" s="9"/>
      <c r="J217" s="9"/>
      <c r="K217" s="9"/>
      <c r="L217" s="1"/>
      <c r="M217" s="1"/>
      <c r="N217" s="1"/>
    </row>
    <row r="218" spans="1:14" s="11" customFormat="1" x14ac:dyDescent="0.45">
      <c r="A218"/>
      <c r="I218" s="9"/>
      <c r="J218" s="9"/>
      <c r="K218" s="9"/>
      <c r="L218" s="1"/>
      <c r="M218" s="1"/>
      <c r="N218" s="1"/>
    </row>
    <row r="219" spans="1:14" s="11" customFormat="1" x14ac:dyDescent="0.45">
      <c r="A219"/>
      <c r="I219" s="9"/>
      <c r="J219" s="9"/>
      <c r="K219" s="9"/>
      <c r="L219" s="1"/>
      <c r="M219" s="1"/>
      <c r="N219" s="1"/>
    </row>
    <row r="220" spans="1:14" s="11" customFormat="1" x14ac:dyDescent="0.45">
      <c r="A220"/>
      <c r="I220" s="9"/>
      <c r="J220" s="9"/>
      <c r="K220" s="9"/>
      <c r="L220" s="1"/>
      <c r="M220" s="1"/>
      <c r="N220" s="1"/>
    </row>
    <row r="221" spans="1:14" s="11" customFormat="1" x14ac:dyDescent="0.45">
      <c r="A221"/>
      <c r="I221" s="9"/>
      <c r="J221" s="9"/>
      <c r="K221" s="9"/>
      <c r="L221" s="1"/>
      <c r="M221" s="1"/>
      <c r="N221" s="1"/>
    </row>
    <row r="222" spans="1:14" s="11" customFormat="1" x14ac:dyDescent="0.45">
      <c r="A222"/>
      <c r="I222" s="9"/>
      <c r="J222" s="9"/>
      <c r="K222" s="9"/>
      <c r="L222" s="1"/>
      <c r="M222" s="1"/>
      <c r="N222" s="1"/>
    </row>
    <row r="223" spans="1:14" s="11" customFormat="1" x14ac:dyDescent="0.45">
      <c r="A223"/>
      <c r="I223" s="9"/>
      <c r="J223" s="9"/>
      <c r="K223" s="9"/>
      <c r="L223" s="1"/>
      <c r="M223" s="1"/>
      <c r="N223" s="1"/>
    </row>
    <row r="224" spans="1:14" s="11" customFormat="1" x14ac:dyDescent="0.45">
      <c r="A224"/>
      <c r="I224" s="9"/>
      <c r="J224" s="9"/>
      <c r="K224" s="9"/>
      <c r="L224" s="1"/>
      <c r="M224" s="1"/>
      <c r="N224" s="1"/>
    </row>
    <row r="225" spans="1:14" s="11" customFormat="1" x14ac:dyDescent="0.45">
      <c r="A225"/>
      <c r="I225" s="9"/>
      <c r="J225" s="9"/>
      <c r="K225" s="9"/>
      <c r="L225" s="1"/>
      <c r="M225" s="1"/>
      <c r="N225" s="1"/>
    </row>
    <row r="226" spans="1:14" s="11" customFormat="1" x14ac:dyDescent="0.45">
      <c r="A226"/>
      <c r="I226" s="9"/>
      <c r="J226" s="9"/>
      <c r="K226" s="9"/>
      <c r="L226" s="1"/>
      <c r="M226" s="1"/>
      <c r="N226" s="1"/>
    </row>
    <row r="227" spans="1:14" s="11" customFormat="1" x14ac:dyDescent="0.45">
      <c r="A227"/>
      <c r="I227" s="9"/>
      <c r="J227" s="9"/>
      <c r="K227" s="9"/>
      <c r="L227" s="1"/>
      <c r="M227" s="1"/>
      <c r="N227" s="1"/>
    </row>
    <row r="228" spans="1:14" s="11" customFormat="1" x14ac:dyDescent="0.45">
      <c r="A228"/>
      <c r="I228" s="9"/>
      <c r="J228" s="9"/>
      <c r="K228" s="9"/>
      <c r="L228" s="1"/>
      <c r="M228" s="1"/>
      <c r="N228" s="1"/>
    </row>
    <row r="229" spans="1:14" s="11" customFormat="1" x14ac:dyDescent="0.45">
      <c r="A229"/>
      <c r="I229" s="9"/>
      <c r="J229" s="9"/>
      <c r="K229" s="9"/>
      <c r="L229" s="1"/>
      <c r="M229" s="1"/>
      <c r="N229" s="1"/>
    </row>
    <row r="230" spans="1:14" s="11" customFormat="1" x14ac:dyDescent="0.45">
      <c r="A230"/>
      <c r="I230" s="9"/>
      <c r="J230" s="9"/>
      <c r="K230" s="9"/>
      <c r="L230" s="1"/>
      <c r="M230" s="1"/>
      <c r="N230" s="1"/>
    </row>
    <row r="231" spans="1:14" s="11" customFormat="1" x14ac:dyDescent="0.45">
      <c r="A231"/>
      <c r="I231" s="9"/>
      <c r="J231" s="9"/>
      <c r="K231" s="9"/>
      <c r="L231" s="1"/>
      <c r="M231" s="1"/>
      <c r="N231" s="1"/>
    </row>
    <row r="232" spans="1:14" s="11" customFormat="1" x14ac:dyDescent="0.45">
      <c r="A232"/>
      <c r="I232" s="9"/>
      <c r="J232" s="9"/>
      <c r="K232" s="9"/>
      <c r="L232" s="1"/>
      <c r="M232" s="1"/>
      <c r="N232" s="1"/>
    </row>
    <row r="233" spans="1:14" s="11" customFormat="1" x14ac:dyDescent="0.45">
      <c r="A233"/>
      <c r="I233" s="9"/>
      <c r="J233" s="9"/>
      <c r="K233" s="9"/>
      <c r="L233" s="1"/>
      <c r="M233" s="1"/>
      <c r="N233" s="1"/>
    </row>
    <row r="234" spans="1:14" s="11" customFormat="1" x14ac:dyDescent="0.45">
      <c r="A234"/>
      <c r="I234" s="9"/>
      <c r="J234" s="9"/>
      <c r="K234" s="9"/>
      <c r="L234" s="1"/>
      <c r="M234" s="1"/>
      <c r="N234" s="1"/>
    </row>
    <row r="235" spans="1:14" s="11" customFormat="1" x14ac:dyDescent="0.45">
      <c r="A235"/>
      <c r="I235" s="9"/>
      <c r="J235" s="9"/>
      <c r="K235" s="9"/>
      <c r="L235" s="1"/>
      <c r="M235" s="1"/>
      <c r="N235" s="1"/>
    </row>
    <row r="236" spans="1:14" s="11" customFormat="1" x14ac:dyDescent="0.45">
      <c r="A236"/>
      <c r="I236" s="9"/>
      <c r="J236" s="9"/>
      <c r="K236" s="9"/>
      <c r="L236" s="1"/>
      <c r="M236" s="1"/>
      <c r="N236" s="1"/>
    </row>
    <row r="237" spans="1:14" s="11" customFormat="1" x14ac:dyDescent="0.45">
      <c r="A237"/>
      <c r="I237" s="9"/>
      <c r="J237" s="9"/>
      <c r="K237" s="9"/>
      <c r="L237" s="1"/>
      <c r="M237" s="1"/>
      <c r="N237" s="1"/>
    </row>
    <row r="238" spans="1:14" s="11" customFormat="1" x14ac:dyDescent="0.45">
      <c r="A238"/>
      <c r="I238" s="9"/>
      <c r="J238" s="9"/>
      <c r="K238" s="9"/>
      <c r="L238" s="1"/>
      <c r="M238" s="1"/>
      <c r="N238" s="1"/>
    </row>
    <row r="239" spans="1:14" s="11" customFormat="1" x14ac:dyDescent="0.45">
      <c r="A239"/>
      <c r="I239" s="9"/>
      <c r="J239" s="9"/>
      <c r="K239" s="9"/>
      <c r="L239" s="1"/>
      <c r="M239" s="1"/>
      <c r="N239" s="1"/>
    </row>
    <row r="240" spans="1:14" s="11" customFormat="1" x14ac:dyDescent="0.45">
      <c r="A240"/>
      <c r="I240" s="9"/>
      <c r="J240" s="9"/>
      <c r="K240" s="9"/>
      <c r="L240" s="1"/>
      <c r="M240" s="1"/>
      <c r="N240" s="1"/>
    </row>
    <row r="241" spans="1:14" s="11" customFormat="1" x14ac:dyDescent="0.45">
      <c r="A241"/>
      <c r="I241" s="9"/>
      <c r="J241" s="9"/>
      <c r="K241" s="9"/>
      <c r="L241" s="1"/>
      <c r="M241" s="1"/>
      <c r="N241" s="1"/>
    </row>
    <row r="242" spans="1:14" s="11" customFormat="1" x14ac:dyDescent="0.45">
      <c r="A242"/>
      <c r="I242" s="9"/>
      <c r="J242" s="9"/>
      <c r="K242" s="9"/>
      <c r="L242" s="1"/>
      <c r="M242" s="1"/>
      <c r="N242" s="1"/>
    </row>
    <row r="243" spans="1:14" s="11" customFormat="1" x14ac:dyDescent="0.45">
      <c r="A243"/>
      <c r="I243" s="9"/>
      <c r="J243" s="9"/>
      <c r="K243" s="9"/>
      <c r="L243" s="1"/>
      <c r="M243" s="1"/>
      <c r="N243" s="1"/>
    </row>
    <row r="244" spans="1:14" s="11" customFormat="1" x14ac:dyDescent="0.45">
      <c r="A244"/>
      <c r="I244" s="9"/>
      <c r="J244" s="9"/>
      <c r="K244" s="9"/>
      <c r="L244" s="1"/>
      <c r="M244" s="1"/>
      <c r="N244" s="1"/>
    </row>
    <row r="245" spans="1:14" s="11" customFormat="1" x14ac:dyDescent="0.45">
      <c r="A245"/>
      <c r="I245" s="9"/>
      <c r="J245" s="9"/>
      <c r="K245" s="9"/>
      <c r="L245" s="1"/>
      <c r="M245" s="1"/>
      <c r="N245" s="1"/>
    </row>
    <row r="246" spans="1:14" s="11" customFormat="1" x14ac:dyDescent="0.45">
      <c r="A246"/>
      <c r="I246" s="9"/>
      <c r="J246" s="9"/>
      <c r="K246" s="9"/>
      <c r="L246" s="1"/>
      <c r="M246" s="1"/>
      <c r="N246" s="1"/>
    </row>
    <row r="247" spans="1:14" s="11" customFormat="1" x14ac:dyDescent="0.45">
      <c r="A247"/>
      <c r="I247" s="9"/>
      <c r="J247" s="9"/>
      <c r="K247" s="9"/>
      <c r="L247" s="1"/>
      <c r="M247" s="1"/>
      <c r="N247" s="1"/>
    </row>
    <row r="248" spans="1:14" s="11" customFormat="1" x14ac:dyDescent="0.45">
      <c r="A248"/>
      <c r="I248" s="9"/>
      <c r="J248" s="9"/>
      <c r="K248" s="9"/>
      <c r="L248" s="1"/>
      <c r="M248" s="1"/>
      <c r="N248" s="1"/>
    </row>
    <row r="249" spans="1:14" s="11" customFormat="1" x14ac:dyDescent="0.45">
      <c r="A249"/>
      <c r="I249" s="9"/>
      <c r="J249" s="9"/>
      <c r="K249" s="9"/>
      <c r="L249" s="1"/>
      <c r="M249" s="1"/>
      <c r="N249" s="1"/>
    </row>
    <row r="250" spans="1:14" s="11" customFormat="1" x14ac:dyDescent="0.45">
      <c r="A250"/>
      <c r="I250" s="9"/>
      <c r="J250" s="9"/>
      <c r="K250" s="9"/>
      <c r="L250" s="1"/>
      <c r="M250" s="1"/>
      <c r="N250" s="1"/>
    </row>
    <row r="251" spans="1:14" s="11" customFormat="1" x14ac:dyDescent="0.45">
      <c r="A251"/>
      <c r="I251" s="9"/>
      <c r="J251" s="9"/>
      <c r="K251" s="9"/>
      <c r="L251" s="1"/>
      <c r="M251" s="1"/>
      <c r="N251" s="1"/>
    </row>
    <row r="252" spans="1:14" s="11" customFormat="1" x14ac:dyDescent="0.45">
      <c r="A252"/>
      <c r="I252" s="9"/>
      <c r="J252" s="9"/>
      <c r="K252" s="9"/>
      <c r="L252" s="1"/>
      <c r="M252" s="1"/>
      <c r="N252" s="1"/>
    </row>
    <row r="253" spans="1:14" s="11" customFormat="1" x14ac:dyDescent="0.45">
      <c r="A253"/>
      <c r="I253" s="9"/>
      <c r="J253" s="9"/>
      <c r="K253" s="9"/>
      <c r="L253" s="1"/>
      <c r="M253" s="1"/>
      <c r="N253" s="1"/>
    </row>
    <row r="254" spans="1:14" s="11" customFormat="1" x14ac:dyDescent="0.45">
      <c r="A254"/>
      <c r="I254" s="9"/>
      <c r="J254" s="9"/>
      <c r="K254" s="9"/>
      <c r="L254" s="1"/>
      <c r="M254" s="1"/>
      <c r="N254" s="1"/>
    </row>
    <row r="255" spans="1:14" s="11" customFormat="1" x14ac:dyDescent="0.45">
      <c r="A255"/>
      <c r="I255" s="9"/>
      <c r="J255" s="9"/>
      <c r="K255" s="9"/>
      <c r="L255" s="1"/>
      <c r="M255" s="1"/>
      <c r="N255" s="1"/>
    </row>
    <row r="256" spans="1:14" s="11" customFormat="1" x14ac:dyDescent="0.45">
      <c r="A256"/>
      <c r="I256" s="9"/>
      <c r="J256" s="9"/>
      <c r="K256" s="9"/>
      <c r="L256" s="1"/>
      <c r="M256" s="1"/>
      <c r="N256" s="1"/>
    </row>
    <row r="257" spans="1:14" s="11" customFormat="1" x14ac:dyDescent="0.45">
      <c r="A257"/>
      <c r="I257" s="9"/>
      <c r="J257" s="9"/>
      <c r="K257" s="9"/>
      <c r="L257" s="1"/>
      <c r="M257" s="1"/>
      <c r="N257" s="1"/>
    </row>
    <row r="258" spans="1:14" s="11" customFormat="1" x14ac:dyDescent="0.45">
      <c r="A258"/>
      <c r="I258" s="9"/>
      <c r="J258" s="9"/>
      <c r="K258" s="9"/>
      <c r="L258" s="1"/>
      <c r="M258" s="1"/>
      <c r="N258" s="1"/>
    </row>
    <row r="259" spans="1:14" s="11" customFormat="1" x14ac:dyDescent="0.45">
      <c r="A259"/>
      <c r="I259" s="9"/>
      <c r="J259" s="9"/>
      <c r="K259" s="9"/>
      <c r="L259" s="1"/>
      <c r="M259" s="1"/>
      <c r="N259" s="1"/>
    </row>
    <row r="260" spans="1:14" s="11" customFormat="1" x14ac:dyDescent="0.45">
      <c r="A260"/>
      <c r="I260" s="9"/>
      <c r="J260" s="9"/>
      <c r="K260" s="9"/>
      <c r="L260" s="1"/>
      <c r="M260" s="1"/>
      <c r="N260" s="1"/>
    </row>
    <row r="261" spans="1:14" s="11" customFormat="1" x14ac:dyDescent="0.45">
      <c r="A261"/>
      <c r="I261" s="9"/>
      <c r="J261" s="9"/>
      <c r="K261" s="9"/>
      <c r="L261" s="1"/>
      <c r="M261" s="1"/>
      <c r="N261" s="1"/>
    </row>
    <row r="262" spans="1:14" s="11" customFormat="1" x14ac:dyDescent="0.45">
      <c r="A262"/>
      <c r="I262" s="9"/>
      <c r="J262" s="9"/>
      <c r="K262" s="9"/>
      <c r="L262" s="1"/>
      <c r="M262" s="1"/>
      <c r="N262" s="1"/>
    </row>
  </sheetData>
  <sortState xmlns:xlrd2="http://schemas.microsoft.com/office/spreadsheetml/2017/richdata2" ref="C19:C23">
    <sortCondition ref="C19"/>
  </sortState>
  <mergeCells count="80">
    <mergeCell ref="F109:G109"/>
    <mergeCell ref="B85:G85"/>
    <mergeCell ref="B86:C86"/>
    <mergeCell ref="D86:E86"/>
    <mergeCell ref="F86:G86"/>
    <mergeCell ref="F87:G87"/>
    <mergeCell ref="F88:G88"/>
    <mergeCell ref="B106:G106"/>
    <mergeCell ref="B107:C107"/>
    <mergeCell ref="D107:E107"/>
    <mergeCell ref="F107:G107"/>
    <mergeCell ref="F108:G108"/>
    <mergeCell ref="F61:G61"/>
    <mergeCell ref="F43:G43"/>
    <mergeCell ref="B49:G49"/>
    <mergeCell ref="B50:C50"/>
    <mergeCell ref="D50:E50"/>
    <mergeCell ref="F51:G51"/>
    <mergeCell ref="F52:G52"/>
    <mergeCell ref="B58:G58"/>
    <mergeCell ref="B59:C59"/>
    <mergeCell ref="D59:E59"/>
    <mergeCell ref="F59:G59"/>
    <mergeCell ref="F60:G60"/>
    <mergeCell ref="F53:G53"/>
    <mergeCell ref="F50:G50"/>
    <mergeCell ref="F42:G42"/>
    <mergeCell ref="F27:G27"/>
    <mergeCell ref="B32:G32"/>
    <mergeCell ref="B33:C33"/>
    <mergeCell ref="D33:E33"/>
    <mergeCell ref="F33:G33"/>
    <mergeCell ref="F34:G34"/>
    <mergeCell ref="F35:G35"/>
    <mergeCell ref="B40:G40"/>
    <mergeCell ref="B41:C41"/>
    <mergeCell ref="D41:E41"/>
    <mergeCell ref="F41:G41"/>
    <mergeCell ref="F26:G26"/>
    <mergeCell ref="B17:C17"/>
    <mergeCell ref="D17:E17"/>
    <mergeCell ref="F17:G17"/>
    <mergeCell ref="F18:G18"/>
    <mergeCell ref="F19:G19"/>
    <mergeCell ref="F20:G20"/>
    <mergeCell ref="F21:G21"/>
    <mergeCell ref="B24:G24"/>
    <mergeCell ref="B25:C25"/>
    <mergeCell ref="D25:E25"/>
    <mergeCell ref="F25:G25"/>
    <mergeCell ref="B16:G16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4:G4"/>
    <mergeCell ref="B1:G1"/>
    <mergeCell ref="B2:G2"/>
    <mergeCell ref="B3:C3"/>
    <mergeCell ref="D3:E3"/>
    <mergeCell ref="F3:G3"/>
    <mergeCell ref="F79:G79"/>
    <mergeCell ref="B67:G67"/>
    <mergeCell ref="B68:C68"/>
    <mergeCell ref="D68:E68"/>
    <mergeCell ref="F68:G68"/>
    <mergeCell ref="F69:G69"/>
    <mergeCell ref="F70:G70"/>
    <mergeCell ref="B76:G76"/>
    <mergeCell ref="B77:C77"/>
    <mergeCell ref="D77:E77"/>
    <mergeCell ref="F77:G77"/>
    <mergeCell ref="F78:G78"/>
  </mergeCells>
  <pageMargins left="0.39370078740157483" right="0.70866141732283472" top="0.15748031496062992" bottom="0.15748031496062992" header="0.31496062992125984" footer="0.31496062992125984"/>
  <pageSetup paperSize="9" scale="75" fitToHeight="0" orientation="portrait" r:id="rId1"/>
  <rowBreaks count="2" manualBreakCount="2">
    <brk id="39" max="16383" man="1"/>
    <brk id="7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opLeftCell="A4" workbookViewId="0">
      <selection activeCell="G35" sqref="G35"/>
    </sheetView>
  </sheetViews>
  <sheetFormatPr defaultRowHeight="14.25" x14ac:dyDescent="0.45"/>
  <cols>
    <col min="1" max="1" width="1.73046875" customWidth="1"/>
    <col min="2" max="2" width="3" bestFit="1" customWidth="1"/>
    <col min="3" max="3" width="29.3984375" bestFit="1" customWidth="1"/>
    <col min="4" max="4" width="26.59765625" customWidth="1"/>
    <col min="5" max="5" width="6.3984375" customWidth="1"/>
    <col min="6" max="6" width="12.73046875" customWidth="1"/>
  </cols>
  <sheetData>
    <row r="1" spans="1:6" ht="25.5" x14ac:dyDescent="0.45">
      <c r="A1" s="1"/>
      <c r="B1" s="35" t="s">
        <v>157</v>
      </c>
      <c r="C1" s="35"/>
      <c r="D1" s="35"/>
      <c r="E1" s="35"/>
      <c r="F1" s="35"/>
    </row>
    <row r="2" spans="1:6" ht="21" x14ac:dyDescent="0.65">
      <c r="A2" s="1"/>
      <c r="B2" s="18" t="s">
        <v>158</v>
      </c>
      <c r="C2" s="19"/>
      <c r="D2" s="19"/>
      <c r="E2" s="19"/>
      <c r="F2" s="20"/>
    </row>
    <row r="3" spans="1:6" x14ac:dyDescent="0.45">
      <c r="A3" s="1"/>
      <c r="B3" s="21" t="s">
        <v>2</v>
      </c>
      <c r="C3" s="22"/>
      <c r="D3" s="14"/>
      <c r="E3" s="22" t="s">
        <v>40</v>
      </c>
      <c r="F3" s="23"/>
    </row>
    <row r="4" spans="1:6" x14ac:dyDescent="0.45">
      <c r="A4" s="1"/>
      <c r="B4" s="2"/>
      <c r="C4" s="3" t="s">
        <v>5</v>
      </c>
      <c r="D4" s="3" t="s">
        <v>5</v>
      </c>
      <c r="E4" s="25" t="s">
        <v>159</v>
      </c>
      <c r="F4" s="26"/>
    </row>
    <row r="5" spans="1:6" x14ac:dyDescent="0.45">
      <c r="A5" s="1"/>
      <c r="B5" s="4">
        <v>1</v>
      </c>
      <c r="C5" s="6" t="s">
        <v>160</v>
      </c>
      <c r="D5" s="6" t="s">
        <v>161</v>
      </c>
      <c r="E5" s="25" t="s">
        <v>162</v>
      </c>
      <c r="F5" s="26"/>
    </row>
    <row r="6" spans="1:6" x14ac:dyDescent="0.45">
      <c r="A6" s="1"/>
      <c r="B6" s="4">
        <v>2</v>
      </c>
      <c r="C6" s="6" t="s">
        <v>163</v>
      </c>
      <c r="D6" s="6" t="s">
        <v>164</v>
      </c>
      <c r="E6" s="37" t="s">
        <v>21</v>
      </c>
      <c r="F6" s="38"/>
    </row>
    <row r="7" spans="1:6" x14ac:dyDescent="0.45">
      <c r="A7" s="1"/>
      <c r="B7" s="4">
        <v>3</v>
      </c>
      <c r="C7" s="6" t="s">
        <v>165</v>
      </c>
      <c r="D7" s="6" t="s">
        <v>166</v>
      </c>
      <c r="E7" s="25" t="s">
        <v>167</v>
      </c>
      <c r="F7" s="26"/>
    </row>
    <row r="8" spans="1:6" x14ac:dyDescent="0.45">
      <c r="A8" s="1"/>
      <c r="B8" s="4">
        <v>4</v>
      </c>
      <c r="C8" s="6" t="s">
        <v>168</v>
      </c>
      <c r="D8" s="6" t="s">
        <v>169</v>
      </c>
      <c r="E8" s="39"/>
      <c r="F8" s="40"/>
    </row>
    <row r="9" spans="1:6" x14ac:dyDescent="0.45">
      <c r="A9" s="1"/>
      <c r="B9" s="4">
        <v>5</v>
      </c>
      <c r="C9" s="6"/>
      <c r="D9" s="6" t="s">
        <v>170</v>
      </c>
      <c r="E9" s="5"/>
      <c r="F9" s="1"/>
    </row>
    <row r="10" spans="1:6" ht="21" x14ac:dyDescent="0.65">
      <c r="A10" s="1"/>
      <c r="B10" s="18" t="s">
        <v>171</v>
      </c>
      <c r="C10" s="19"/>
      <c r="D10" s="19"/>
      <c r="E10" s="19"/>
      <c r="F10" s="20"/>
    </row>
    <row r="11" spans="1:6" x14ac:dyDescent="0.45">
      <c r="A11" s="1"/>
      <c r="B11" s="21" t="s">
        <v>2</v>
      </c>
      <c r="C11" s="22"/>
      <c r="D11" s="14"/>
      <c r="E11" s="22" t="s">
        <v>40</v>
      </c>
      <c r="F11" s="23"/>
    </row>
    <row r="12" spans="1:6" x14ac:dyDescent="0.45">
      <c r="A12" s="1"/>
      <c r="B12" s="2"/>
      <c r="C12" s="3" t="s">
        <v>5</v>
      </c>
      <c r="D12" s="3" t="s">
        <v>5</v>
      </c>
      <c r="E12" s="25" t="s">
        <v>172</v>
      </c>
      <c r="F12" s="26"/>
    </row>
    <row r="13" spans="1:6" x14ac:dyDescent="0.45">
      <c r="A13" s="1"/>
      <c r="B13" s="4">
        <v>1</v>
      </c>
      <c r="C13" s="6" t="s">
        <v>173</v>
      </c>
      <c r="D13" s="6" t="s">
        <v>174</v>
      </c>
      <c r="E13" s="25" t="s">
        <v>9</v>
      </c>
      <c r="F13" s="26"/>
    </row>
    <row r="14" spans="1:6" x14ac:dyDescent="0.45">
      <c r="A14" s="1"/>
      <c r="B14" s="4">
        <v>2</v>
      </c>
      <c r="C14" s="6" t="s">
        <v>175</v>
      </c>
      <c r="D14" s="6" t="s">
        <v>176</v>
      </c>
      <c r="E14" s="36"/>
      <c r="F14" s="36"/>
    </row>
    <row r="15" spans="1:6" x14ac:dyDescent="0.45">
      <c r="A15" s="1"/>
      <c r="B15" s="4">
        <v>3</v>
      </c>
      <c r="C15" s="6" t="s">
        <v>177</v>
      </c>
      <c r="D15" s="6" t="s">
        <v>178</v>
      </c>
      <c r="E15" s="1"/>
      <c r="F15" s="1"/>
    </row>
    <row r="16" spans="1:6" x14ac:dyDescent="0.45">
      <c r="A16" s="1"/>
      <c r="B16" s="4">
        <v>4</v>
      </c>
      <c r="C16" s="6" t="s">
        <v>179</v>
      </c>
      <c r="D16" s="6" t="s">
        <v>180</v>
      </c>
      <c r="E16" s="1"/>
      <c r="F16" s="1"/>
    </row>
    <row r="17" spans="1:6" x14ac:dyDescent="0.45">
      <c r="A17" s="1"/>
      <c r="B17" s="4">
        <v>5</v>
      </c>
      <c r="C17" s="6" t="s">
        <v>181</v>
      </c>
      <c r="D17" s="6" t="s">
        <v>182</v>
      </c>
      <c r="E17" s="1"/>
      <c r="F17" s="1"/>
    </row>
    <row r="18" spans="1:6" x14ac:dyDescent="0.45">
      <c r="A18" s="1"/>
      <c r="B18" s="4">
        <v>6</v>
      </c>
      <c r="C18" s="6" t="s">
        <v>183</v>
      </c>
      <c r="D18" s="6" t="s">
        <v>184</v>
      </c>
      <c r="E18" s="1"/>
      <c r="F18" s="1"/>
    </row>
    <row r="19" spans="1:6" ht="21" x14ac:dyDescent="0.65">
      <c r="A19" s="1"/>
      <c r="B19" s="18" t="s">
        <v>185</v>
      </c>
      <c r="C19" s="19"/>
      <c r="D19" s="19"/>
      <c r="E19" s="19"/>
      <c r="F19" s="20"/>
    </row>
    <row r="20" spans="1:6" x14ac:dyDescent="0.45">
      <c r="A20" s="1"/>
      <c r="B20" s="21" t="s">
        <v>2</v>
      </c>
      <c r="C20" s="22"/>
      <c r="D20" s="14"/>
      <c r="E20" s="22" t="s">
        <v>40</v>
      </c>
      <c r="F20" s="23"/>
    </row>
    <row r="21" spans="1:6" x14ac:dyDescent="0.45">
      <c r="A21" s="1"/>
      <c r="B21" s="3"/>
      <c r="C21" s="3" t="s">
        <v>5</v>
      </c>
      <c r="D21" s="3" t="s">
        <v>5</v>
      </c>
      <c r="E21" s="31" t="s">
        <v>186</v>
      </c>
      <c r="F21" s="31"/>
    </row>
    <row r="22" spans="1:6" x14ac:dyDescent="0.45">
      <c r="A22" s="1"/>
      <c r="B22" s="4">
        <v>1</v>
      </c>
      <c r="C22" s="6" t="s">
        <v>187</v>
      </c>
      <c r="D22" s="6" t="s">
        <v>188</v>
      </c>
      <c r="E22" s="24" t="s">
        <v>189</v>
      </c>
      <c r="F22" s="24"/>
    </row>
    <row r="23" spans="1:6" x14ac:dyDescent="0.45">
      <c r="A23" s="1"/>
      <c r="B23" s="4">
        <v>2</v>
      </c>
      <c r="C23" s="6" t="s">
        <v>190</v>
      </c>
      <c r="D23" s="6" t="s">
        <v>191</v>
      </c>
      <c r="E23" s="42"/>
      <c r="F23" s="43"/>
    </row>
    <row r="24" spans="1:6" x14ac:dyDescent="0.45">
      <c r="A24" s="1"/>
      <c r="B24" s="4">
        <v>3</v>
      </c>
      <c r="C24" s="6" t="s">
        <v>192</v>
      </c>
      <c r="D24" s="6" t="s">
        <v>193</v>
      </c>
      <c r="E24" s="44"/>
      <c r="F24" s="45"/>
    </row>
    <row r="25" spans="1:6" x14ac:dyDescent="0.45">
      <c r="A25" s="1"/>
      <c r="B25" s="4">
        <v>4</v>
      </c>
      <c r="C25" s="6" t="s">
        <v>194</v>
      </c>
      <c r="D25" s="6" t="s">
        <v>195</v>
      </c>
      <c r="E25" s="5"/>
      <c r="F25" s="1"/>
    </row>
    <row r="26" spans="1:6" x14ac:dyDescent="0.45">
      <c r="A26" s="1"/>
      <c r="B26" s="4">
        <v>5</v>
      </c>
      <c r="C26" s="6" t="s">
        <v>196</v>
      </c>
      <c r="D26" s="6" t="s">
        <v>197</v>
      </c>
      <c r="E26" s="1"/>
      <c r="F26" s="1"/>
    </row>
    <row r="27" spans="1:6" ht="21" x14ac:dyDescent="0.65">
      <c r="A27" s="1"/>
      <c r="B27" s="18" t="s">
        <v>198</v>
      </c>
      <c r="C27" s="19"/>
      <c r="D27" s="19"/>
      <c r="E27" s="19"/>
      <c r="F27" s="20"/>
    </row>
    <row r="28" spans="1:6" x14ac:dyDescent="0.45">
      <c r="A28" s="1"/>
      <c r="B28" s="21" t="s">
        <v>2</v>
      </c>
      <c r="C28" s="22"/>
      <c r="D28" s="14"/>
      <c r="E28" s="22" t="s">
        <v>40</v>
      </c>
      <c r="F28" s="23"/>
    </row>
    <row r="29" spans="1:6" x14ac:dyDescent="0.45">
      <c r="A29" s="1"/>
      <c r="B29" s="3"/>
      <c r="C29" s="3" t="s">
        <v>5</v>
      </c>
      <c r="D29" s="3" t="s">
        <v>5</v>
      </c>
      <c r="E29" s="31" t="s">
        <v>199</v>
      </c>
      <c r="F29" s="31"/>
    </row>
    <row r="30" spans="1:6" x14ac:dyDescent="0.45">
      <c r="A30" s="1"/>
      <c r="B30" s="4">
        <v>1</v>
      </c>
      <c r="C30" s="6" t="s">
        <v>200</v>
      </c>
      <c r="D30" s="6" t="s">
        <v>201</v>
      </c>
      <c r="E30" s="24" t="s">
        <v>202</v>
      </c>
      <c r="F30" s="24"/>
    </row>
    <row r="31" spans="1:6" x14ac:dyDescent="0.45">
      <c r="A31" s="1"/>
      <c r="B31" s="4">
        <v>2</v>
      </c>
      <c r="C31" s="6" t="s">
        <v>203</v>
      </c>
      <c r="D31" s="6" t="s">
        <v>204</v>
      </c>
      <c r="E31" s="1"/>
      <c r="F31" s="1"/>
    </row>
    <row r="32" spans="1:6" x14ac:dyDescent="0.45">
      <c r="A32" s="1"/>
      <c r="B32" s="4">
        <v>3</v>
      </c>
      <c r="C32" s="6" t="s">
        <v>205</v>
      </c>
      <c r="D32" s="6" t="s">
        <v>206</v>
      </c>
      <c r="E32" s="1"/>
      <c r="F32" s="1"/>
    </row>
    <row r="33" spans="1:6" x14ac:dyDescent="0.45">
      <c r="A33" s="1"/>
      <c r="B33" s="4">
        <v>4</v>
      </c>
      <c r="C33" s="6" t="s">
        <v>207</v>
      </c>
      <c r="D33" s="6" t="s">
        <v>208</v>
      </c>
      <c r="E33" s="41"/>
      <c r="F33" s="41"/>
    </row>
  </sheetData>
  <sortState xmlns:xlrd2="http://schemas.microsoft.com/office/spreadsheetml/2017/richdata2" ref="C22:C26">
    <sortCondition ref="C22"/>
  </sortState>
  <mergeCells count="28">
    <mergeCell ref="B19:F19"/>
    <mergeCell ref="B20:C20"/>
    <mergeCell ref="E29:F29"/>
    <mergeCell ref="E30:F30"/>
    <mergeCell ref="E33:F33"/>
    <mergeCell ref="E23:F23"/>
    <mergeCell ref="E24:F24"/>
    <mergeCell ref="B27:F27"/>
    <mergeCell ref="B28:C28"/>
    <mergeCell ref="E28:F28"/>
    <mergeCell ref="E22:F22"/>
    <mergeCell ref="E20:F20"/>
    <mergeCell ref="E21:F21"/>
    <mergeCell ref="B1:F1"/>
    <mergeCell ref="B2:F2"/>
    <mergeCell ref="B3:C3"/>
    <mergeCell ref="E3:F3"/>
    <mergeCell ref="E14:F14"/>
    <mergeCell ref="B10:F10"/>
    <mergeCell ref="B11:C11"/>
    <mergeCell ref="E11:F11"/>
    <mergeCell ref="E12:F12"/>
    <mergeCell ref="E13:F13"/>
    <mergeCell ref="E4:F4"/>
    <mergeCell ref="E6:F6"/>
    <mergeCell ref="E7:F7"/>
    <mergeCell ref="E8:F8"/>
    <mergeCell ref="E5:F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'J:\Korfbal\Seizoen 2016-2017\[OW seizoen 2016-2017 v1.2.xlsm]Leden'!#REF!</xm:f>
          </x14:formula1>
          <xm:sqref>C16 C22:C25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>
    <pageSetUpPr fitToPage="1"/>
  </sheetPr>
  <dimension ref="A1:Z101"/>
  <sheetViews>
    <sheetView zoomScaleNormal="100" workbookViewId="0">
      <selection activeCell="L13" sqref="L13"/>
    </sheetView>
  </sheetViews>
  <sheetFormatPr defaultRowHeight="14.25" x14ac:dyDescent="0.45"/>
  <cols>
    <col min="1" max="1" width="1.73046875" customWidth="1"/>
    <col min="2" max="2" width="3" bestFit="1" customWidth="1"/>
    <col min="3" max="3" width="29.3984375" bestFit="1" customWidth="1"/>
    <col min="4" max="4" width="3" bestFit="1" customWidth="1"/>
    <col min="5" max="5" width="26.59765625" customWidth="1"/>
    <col min="6" max="6" width="6.3984375" customWidth="1"/>
    <col min="7" max="7" width="12.73046875" customWidth="1"/>
    <col min="8" max="8" width="9.1328125"/>
    <col min="9" max="11" width="3" hidden="1" customWidth="1"/>
    <col min="12" max="12" width="9.1328125" style="1"/>
    <col min="13" max="22" width="9.1328125"/>
  </cols>
  <sheetData>
    <row r="1" spans="1:26" ht="30.75" customHeight="1" x14ac:dyDescent="0.45">
      <c r="A1" s="1"/>
      <c r="B1" s="35" t="s">
        <v>157</v>
      </c>
      <c r="C1" s="35"/>
      <c r="D1" s="35"/>
      <c r="E1" s="35"/>
      <c r="F1" s="35"/>
      <c r="G1" s="35"/>
      <c r="H1" s="1"/>
    </row>
    <row r="2" spans="1:26" ht="21" customHeight="1" x14ac:dyDescent="0.65">
      <c r="A2" s="1"/>
      <c r="B2" s="18" t="s">
        <v>209</v>
      </c>
      <c r="C2" s="19"/>
      <c r="D2" s="19"/>
      <c r="E2" s="19"/>
      <c r="F2" s="19"/>
      <c r="G2" s="20"/>
      <c r="H2" s="1"/>
    </row>
    <row r="3" spans="1:26" ht="15" customHeight="1" x14ac:dyDescent="0.45">
      <c r="A3" s="1"/>
      <c r="B3" s="21" t="s">
        <v>2</v>
      </c>
      <c r="C3" s="22"/>
      <c r="D3" s="22" t="s">
        <v>3</v>
      </c>
      <c r="E3" s="22"/>
      <c r="F3" s="22" t="s">
        <v>40</v>
      </c>
      <c r="G3" s="23"/>
      <c r="H3" s="1"/>
    </row>
    <row r="4" spans="1:26" x14ac:dyDescent="0.45">
      <c r="A4" s="1"/>
      <c r="B4" s="2"/>
      <c r="C4" s="3" t="s">
        <v>5</v>
      </c>
      <c r="D4" s="3"/>
      <c r="E4" s="3" t="s">
        <v>5</v>
      </c>
      <c r="F4" s="46" t="s">
        <v>210</v>
      </c>
      <c r="G4" s="47"/>
      <c r="H4" s="1"/>
      <c r="J4" t="str">
        <f>MID(B2,1,1)</f>
        <v>B</v>
      </c>
      <c r="K4" t="str">
        <f>IF(ISERROR(VLOOKUP(J4,Leeftijdscatogorie,1,FALSE)=TRUE),"",J4)</f>
        <v>B</v>
      </c>
    </row>
    <row r="5" spans="1:26" ht="15" customHeight="1" x14ac:dyDescent="0.45">
      <c r="A5" s="1"/>
      <c r="B5" s="4">
        <v>1</v>
      </c>
      <c r="C5" s="6" t="s">
        <v>211</v>
      </c>
      <c r="D5" s="6">
        <v>1</v>
      </c>
      <c r="E5" s="6" t="s">
        <v>212</v>
      </c>
      <c r="F5" s="25" t="s">
        <v>213</v>
      </c>
      <c r="G5" s="26"/>
      <c r="H5" s="1"/>
      <c r="I5">
        <f>IF(K4="","",VLOOKUP(K4,Leeftijdscatogorie,2,FALSE))</f>
        <v>13</v>
      </c>
      <c r="J5">
        <f>IF(K4="","",VLOOKUP(K4,Leeftijdscatogorie,3,FALSE))</f>
        <v>15</v>
      </c>
      <c r="K5">
        <f>IF(K4="","",VLOOKUP(K4,Leeftijdscatogorie,4,FALSE))</f>
        <v>16</v>
      </c>
    </row>
    <row r="6" spans="1:26" x14ac:dyDescent="0.45">
      <c r="A6" s="1"/>
      <c r="B6" s="4">
        <v>2</v>
      </c>
      <c r="C6" s="6" t="s">
        <v>214</v>
      </c>
      <c r="D6" s="6">
        <v>2</v>
      </c>
      <c r="E6" s="6" t="s">
        <v>215</v>
      </c>
      <c r="F6" s="1"/>
      <c r="G6" s="1"/>
      <c r="H6" s="1"/>
      <c r="J6">
        <f>J5</f>
        <v>15</v>
      </c>
      <c r="K6">
        <f>K5</f>
        <v>16</v>
      </c>
    </row>
    <row r="7" spans="1:26" ht="15" customHeight="1" x14ac:dyDescent="0.45">
      <c r="A7" s="1"/>
      <c r="B7" s="4">
        <v>3</v>
      </c>
      <c r="C7" s="6" t="s">
        <v>216</v>
      </c>
      <c r="D7" s="6">
        <v>3</v>
      </c>
      <c r="E7" s="6" t="s">
        <v>217</v>
      </c>
      <c r="F7" s="1"/>
      <c r="G7" s="1"/>
      <c r="H7" s="1"/>
      <c r="J7">
        <f t="shared" ref="J7:K8" si="0">J6</f>
        <v>15</v>
      </c>
      <c r="K7">
        <f t="shared" si="0"/>
        <v>16</v>
      </c>
    </row>
    <row r="8" spans="1:26" ht="15" customHeight="1" x14ac:dyDescent="0.45">
      <c r="A8" s="1"/>
      <c r="B8" s="4">
        <v>4</v>
      </c>
      <c r="C8" s="6" t="s">
        <v>218</v>
      </c>
      <c r="D8" s="6">
        <v>4</v>
      </c>
      <c r="E8" s="6" t="s">
        <v>219</v>
      </c>
      <c r="F8" s="5"/>
      <c r="G8" s="1"/>
      <c r="H8" s="1"/>
      <c r="J8">
        <f t="shared" si="0"/>
        <v>15</v>
      </c>
      <c r="K8">
        <f t="shared" si="0"/>
        <v>16</v>
      </c>
    </row>
    <row r="9" spans="1:26" s="1" customFormat="1" ht="21" x14ac:dyDescent="0.65">
      <c r="B9" s="18" t="s">
        <v>220</v>
      </c>
      <c r="C9" s="19"/>
      <c r="D9" s="19"/>
      <c r="E9" s="19"/>
      <c r="F9" s="19"/>
      <c r="G9" s="20"/>
      <c r="I9"/>
      <c r="J9"/>
      <c r="K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s="1" customFormat="1" x14ac:dyDescent="0.45">
      <c r="B10" s="21" t="s">
        <v>2</v>
      </c>
      <c r="C10" s="22"/>
      <c r="D10" s="22" t="s">
        <v>3</v>
      </c>
      <c r="E10" s="22"/>
      <c r="F10" s="22" t="s">
        <v>40</v>
      </c>
      <c r="G10" s="23"/>
      <c r="I10"/>
      <c r="J10"/>
      <c r="K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s="1" customFormat="1" x14ac:dyDescent="0.45">
      <c r="B11" s="2"/>
      <c r="C11" s="3" t="s">
        <v>5</v>
      </c>
      <c r="D11" s="3"/>
      <c r="E11" s="3" t="s">
        <v>5</v>
      </c>
      <c r="F11" s="31" t="s">
        <v>221</v>
      </c>
      <c r="G11" s="31"/>
      <c r="I11"/>
      <c r="J11" t="str">
        <f>MID(B9,1,1)</f>
        <v>B</v>
      </c>
      <c r="K11" t="str">
        <f>IF(ISERROR(VLOOKUP(J11,Leeftijdscatogorie,1,FALSE)=TRUE),"",J11)</f>
        <v>B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s="1" customFormat="1" x14ac:dyDescent="0.45">
      <c r="B12" s="4">
        <v>1</v>
      </c>
      <c r="C12" s="6" t="s">
        <v>222</v>
      </c>
      <c r="D12" s="6">
        <v>1</v>
      </c>
      <c r="E12" s="6" t="s">
        <v>223</v>
      </c>
      <c r="F12" s="24" t="s">
        <v>224</v>
      </c>
      <c r="G12" s="24"/>
      <c r="I12">
        <f>IF(K11="","",VLOOKUP(K11,Leeftijdscatogorie,2,FALSE))</f>
        <v>13</v>
      </c>
      <c r="J12">
        <f>IF(K11="","",VLOOKUP(K11,Leeftijdscatogorie,3,FALSE))</f>
        <v>15</v>
      </c>
      <c r="K12">
        <f>IF(K11="","",VLOOKUP(K11,Leeftijdscatogorie,4,FALSE))</f>
        <v>16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s="1" customFormat="1" x14ac:dyDescent="0.45">
      <c r="B13" s="4">
        <v>2</v>
      </c>
      <c r="C13" s="6" t="s">
        <v>225</v>
      </c>
      <c r="D13" s="6">
        <v>2</v>
      </c>
      <c r="E13" s="6" t="s">
        <v>226</v>
      </c>
      <c r="I13"/>
      <c r="J13">
        <f>J12</f>
        <v>15</v>
      </c>
      <c r="K13">
        <f>K12</f>
        <v>16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s="1" customFormat="1" x14ac:dyDescent="0.45">
      <c r="B14" s="4">
        <v>3</v>
      </c>
      <c r="C14" s="6" t="s">
        <v>227</v>
      </c>
      <c r="D14" s="6">
        <v>3</v>
      </c>
      <c r="E14" s="6" t="s">
        <v>228</v>
      </c>
      <c r="I14"/>
      <c r="J14">
        <f t="shared" ref="J14:K16" si="1">J13</f>
        <v>15</v>
      </c>
      <c r="K14">
        <f t="shared" si="1"/>
        <v>16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s="1" customFormat="1" x14ac:dyDescent="0.45">
      <c r="B15" s="4">
        <v>4</v>
      </c>
      <c r="C15" s="6" t="s">
        <v>229</v>
      </c>
      <c r="D15" s="6">
        <v>4</v>
      </c>
      <c r="E15" s="6" t="s">
        <v>230</v>
      </c>
      <c r="I15"/>
      <c r="J15">
        <f t="shared" si="1"/>
        <v>15</v>
      </c>
      <c r="K15">
        <f t="shared" si="1"/>
        <v>16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s="1" customFormat="1" x14ac:dyDescent="0.45">
      <c r="B16" s="4">
        <v>5</v>
      </c>
      <c r="C16" s="6" t="s">
        <v>231</v>
      </c>
      <c r="D16" s="6">
        <v>5</v>
      </c>
      <c r="E16" s="6"/>
      <c r="I16"/>
      <c r="J16">
        <f t="shared" si="1"/>
        <v>15</v>
      </c>
      <c r="K16">
        <f t="shared" si="1"/>
        <v>16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2:26" s="1" customFormat="1" ht="21" x14ac:dyDescent="0.65">
      <c r="B17" s="18" t="s">
        <v>232</v>
      </c>
      <c r="C17" s="19"/>
      <c r="D17" s="19"/>
      <c r="E17" s="19"/>
      <c r="F17" s="19"/>
      <c r="G17" s="20"/>
      <c r="I17"/>
      <c r="J17"/>
      <c r="K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2:26" s="1" customFormat="1" x14ac:dyDescent="0.45">
      <c r="B18" s="21" t="s">
        <v>2</v>
      </c>
      <c r="C18" s="22"/>
      <c r="D18" s="22" t="s">
        <v>3</v>
      </c>
      <c r="E18" s="22"/>
      <c r="F18" s="22" t="s">
        <v>40</v>
      </c>
      <c r="G18" s="23"/>
      <c r="I18"/>
      <c r="J18"/>
      <c r="K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2:26" s="1" customFormat="1" x14ac:dyDescent="0.45">
      <c r="B19" s="3"/>
      <c r="C19" s="3" t="s">
        <v>5</v>
      </c>
      <c r="D19" s="3"/>
      <c r="E19" s="3" t="s">
        <v>5</v>
      </c>
      <c r="F19" s="31" t="s">
        <v>233</v>
      </c>
      <c r="G19" s="31"/>
      <c r="I19"/>
      <c r="J19" t="str">
        <f>MID(B17,1,1)</f>
        <v>B</v>
      </c>
      <c r="K19" t="str">
        <f>IF(ISERROR(VLOOKUP(J19,Leeftijdscatogorie,1,FALSE)=TRUE),"",J19)</f>
        <v>B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2:26" s="1" customFormat="1" x14ac:dyDescent="0.45">
      <c r="B20" s="4">
        <v>1</v>
      </c>
      <c r="C20" s="6" t="s">
        <v>234</v>
      </c>
      <c r="D20" s="6">
        <v>1</v>
      </c>
      <c r="E20" s="6" t="s">
        <v>235</v>
      </c>
      <c r="F20" s="24" t="s">
        <v>236</v>
      </c>
      <c r="G20" s="24"/>
      <c r="I20">
        <f>IF(K19="","",VLOOKUP(K19,Leeftijdscatogorie,2,FALSE))</f>
        <v>13</v>
      </c>
      <c r="J20">
        <f>IF(K19="","",VLOOKUP(K19,Leeftijdscatogorie,3,FALSE))</f>
        <v>15</v>
      </c>
      <c r="K20">
        <f>IF(K19="","",VLOOKUP(K19,Leeftijdscatogorie,4,FALSE))</f>
        <v>16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26" s="1" customFormat="1" x14ac:dyDescent="0.45">
      <c r="B21" s="4">
        <v>2</v>
      </c>
      <c r="C21" s="6" t="s">
        <v>237</v>
      </c>
      <c r="D21" s="6">
        <v>2</v>
      </c>
      <c r="E21" s="6" t="s">
        <v>238</v>
      </c>
      <c r="F21" s="33" t="s">
        <v>89</v>
      </c>
      <c r="G21" s="33"/>
      <c r="I21"/>
      <c r="J21">
        <f>J20</f>
        <v>15</v>
      </c>
      <c r="K21">
        <f>K20</f>
        <v>16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26" s="1" customFormat="1" x14ac:dyDescent="0.45">
      <c r="B22" s="4">
        <v>3</v>
      </c>
      <c r="C22" s="6" t="s">
        <v>239</v>
      </c>
      <c r="D22" s="6">
        <v>3</v>
      </c>
      <c r="E22" s="6"/>
      <c r="F22" s="25" t="s">
        <v>240</v>
      </c>
      <c r="G22" s="26"/>
      <c r="I22"/>
      <c r="J22">
        <f t="shared" ref="J22:K26" si="2">J21</f>
        <v>15</v>
      </c>
      <c r="K22">
        <f t="shared" si="2"/>
        <v>16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2:26" s="1" customFormat="1" x14ac:dyDescent="0.45">
      <c r="B23" s="4">
        <v>4</v>
      </c>
      <c r="C23" s="6" t="s">
        <v>241</v>
      </c>
      <c r="D23" s="6">
        <v>4</v>
      </c>
      <c r="E23" s="6"/>
      <c r="F23" s="25" t="s">
        <v>242</v>
      </c>
      <c r="G23" s="26"/>
      <c r="I23"/>
      <c r="J23">
        <f t="shared" si="2"/>
        <v>15</v>
      </c>
      <c r="K23">
        <f t="shared" si="2"/>
        <v>16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2:26" s="1" customFormat="1" x14ac:dyDescent="0.45">
      <c r="B24" s="4">
        <v>5</v>
      </c>
      <c r="C24" s="6" t="s">
        <v>243</v>
      </c>
      <c r="D24" s="6">
        <v>5</v>
      </c>
      <c r="E24" s="6"/>
      <c r="I24"/>
      <c r="J24">
        <f t="shared" si="2"/>
        <v>15</v>
      </c>
      <c r="K24">
        <f t="shared" si="2"/>
        <v>16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2:26" s="1" customFormat="1" x14ac:dyDescent="0.45">
      <c r="B25" s="4">
        <v>6</v>
      </c>
      <c r="C25" s="6" t="s">
        <v>244</v>
      </c>
      <c r="D25" s="6">
        <v>6</v>
      </c>
      <c r="E25" s="6"/>
      <c r="I25"/>
      <c r="J25">
        <f t="shared" si="2"/>
        <v>15</v>
      </c>
      <c r="K25">
        <f t="shared" si="2"/>
        <v>16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2:26" s="1" customFormat="1" x14ac:dyDescent="0.45">
      <c r="B26" s="4">
        <v>7</v>
      </c>
      <c r="C26" s="6" t="s">
        <v>245</v>
      </c>
      <c r="D26" s="6">
        <v>7</v>
      </c>
      <c r="E26" s="6"/>
      <c r="I26"/>
      <c r="J26">
        <f t="shared" si="2"/>
        <v>15</v>
      </c>
      <c r="K26">
        <f t="shared" si="2"/>
        <v>16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2:26" s="1" customFormat="1" ht="21" x14ac:dyDescent="0.65">
      <c r="B27" s="18" t="s">
        <v>246</v>
      </c>
      <c r="C27" s="19"/>
      <c r="D27" s="19"/>
      <c r="E27" s="19"/>
      <c r="F27" s="19"/>
      <c r="G27" s="20"/>
      <c r="I27"/>
      <c r="J27"/>
      <c r="K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2:26" s="1" customFormat="1" x14ac:dyDescent="0.45">
      <c r="B28" s="21" t="s">
        <v>2</v>
      </c>
      <c r="C28" s="22"/>
      <c r="D28" s="22" t="s">
        <v>3</v>
      </c>
      <c r="E28" s="22"/>
      <c r="F28" s="22" t="s">
        <v>40</v>
      </c>
      <c r="G28" s="23"/>
      <c r="I28"/>
      <c r="J28"/>
      <c r="K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2:26" s="1" customFormat="1" x14ac:dyDescent="0.45">
      <c r="B29" s="3"/>
      <c r="C29" s="3" t="s">
        <v>5</v>
      </c>
      <c r="D29" s="3"/>
      <c r="E29" s="3" t="s">
        <v>5</v>
      </c>
      <c r="F29" s="25" t="s">
        <v>247</v>
      </c>
      <c r="G29" s="26"/>
      <c r="I29"/>
      <c r="J29" t="str">
        <f>MID(B27,1,1)</f>
        <v>B</v>
      </c>
      <c r="K29" t="str">
        <f>IF(ISERROR(VLOOKUP(J29,Leeftijdscatogorie,1,FALSE)=TRUE),"",J29)</f>
        <v>B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2:26" s="1" customFormat="1" x14ac:dyDescent="0.45">
      <c r="B30" s="4">
        <v>1</v>
      </c>
      <c r="C30" s="6" t="s">
        <v>248</v>
      </c>
      <c r="D30" s="4">
        <v>1</v>
      </c>
      <c r="E30" s="4"/>
      <c r="F30" s="25" t="s">
        <v>249</v>
      </c>
      <c r="G30" s="26"/>
      <c r="I30">
        <f>IF(K29="","",VLOOKUP(K29,Leeftijdscatogorie,2,FALSE))</f>
        <v>13</v>
      </c>
      <c r="J30">
        <f>IF(K29="","",VLOOKUP(K29,Leeftijdscatogorie,3,FALSE))</f>
        <v>15</v>
      </c>
      <c r="K30">
        <f>IF(K29="","",VLOOKUP(K29,Leeftijdscatogorie,4,FALSE))</f>
        <v>16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2:26" s="1" customFormat="1" x14ac:dyDescent="0.45">
      <c r="B31" s="4">
        <v>2</v>
      </c>
      <c r="C31" s="6" t="s">
        <v>250</v>
      </c>
      <c r="D31" s="4">
        <v>2</v>
      </c>
      <c r="E31" s="4"/>
      <c r="I31"/>
      <c r="J31">
        <f>J30</f>
        <v>15</v>
      </c>
      <c r="K31">
        <f>K30</f>
        <v>16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2:26" s="1" customFormat="1" x14ac:dyDescent="0.45">
      <c r="B32" s="4">
        <v>3</v>
      </c>
      <c r="C32" s="6" t="s">
        <v>251</v>
      </c>
      <c r="D32" s="4">
        <v>3</v>
      </c>
      <c r="E32" s="4"/>
      <c r="I32"/>
      <c r="J32">
        <f t="shared" ref="J32:K38" si="3">J31</f>
        <v>15</v>
      </c>
      <c r="K32">
        <f t="shared" si="3"/>
        <v>16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2:26" s="1" customFormat="1" x14ac:dyDescent="0.45">
      <c r="B33" s="4">
        <v>4</v>
      </c>
      <c r="C33" s="6" t="s">
        <v>252</v>
      </c>
      <c r="D33" s="4">
        <v>4</v>
      </c>
      <c r="E33" s="4"/>
      <c r="I33"/>
      <c r="J33">
        <f t="shared" si="3"/>
        <v>15</v>
      </c>
      <c r="K33">
        <f t="shared" si="3"/>
        <v>16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2:26" s="1" customFormat="1" x14ac:dyDescent="0.45">
      <c r="B34" s="4">
        <v>5</v>
      </c>
      <c r="C34" s="6" t="s">
        <v>253</v>
      </c>
      <c r="D34" s="4">
        <v>5</v>
      </c>
      <c r="E34" s="4"/>
      <c r="I34"/>
      <c r="J34">
        <f t="shared" si="3"/>
        <v>15</v>
      </c>
      <c r="K34">
        <f t="shared" si="3"/>
        <v>16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2:26" s="1" customFormat="1" x14ac:dyDescent="0.45">
      <c r="B35" s="4">
        <v>6</v>
      </c>
      <c r="C35" s="6" t="s">
        <v>254</v>
      </c>
      <c r="D35" s="4">
        <v>6</v>
      </c>
      <c r="E35" s="4"/>
      <c r="I35"/>
      <c r="J35">
        <f t="shared" si="3"/>
        <v>15</v>
      </c>
      <c r="K35">
        <f t="shared" si="3"/>
        <v>16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2:26" s="1" customFormat="1" x14ac:dyDescent="0.45">
      <c r="B36" s="4">
        <v>7</v>
      </c>
      <c r="C36" s="6" t="s">
        <v>255</v>
      </c>
      <c r="D36" s="4">
        <v>7</v>
      </c>
      <c r="E36" s="4"/>
      <c r="I36"/>
      <c r="J36">
        <f t="shared" si="3"/>
        <v>15</v>
      </c>
      <c r="K36">
        <f t="shared" si="3"/>
        <v>16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2:26" s="1" customFormat="1" x14ac:dyDescent="0.45">
      <c r="B37" s="4">
        <v>8</v>
      </c>
      <c r="C37" s="6" t="s">
        <v>256</v>
      </c>
      <c r="D37" s="4">
        <v>8</v>
      </c>
      <c r="E37" s="4"/>
      <c r="I37"/>
      <c r="J37">
        <f t="shared" si="3"/>
        <v>15</v>
      </c>
      <c r="K37">
        <f t="shared" si="3"/>
        <v>16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2:26" s="1" customFormat="1" x14ac:dyDescent="0.45">
      <c r="B38" s="4">
        <v>9</v>
      </c>
      <c r="D38" s="4">
        <v>9</v>
      </c>
      <c r="E38" s="4"/>
      <c r="F38" s="16"/>
      <c r="I38"/>
      <c r="J38">
        <f t="shared" si="3"/>
        <v>15</v>
      </c>
      <c r="K38">
        <f t="shared" si="3"/>
        <v>16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2:26" s="1" customFormat="1" ht="21" x14ac:dyDescent="0.65">
      <c r="B39" s="18" t="s">
        <v>257</v>
      </c>
      <c r="C39" s="19"/>
      <c r="D39" s="19"/>
      <c r="E39" s="19"/>
      <c r="F39" s="19"/>
      <c r="G39" s="20"/>
      <c r="I39"/>
      <c r="J39"/>
      <c r="K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2:26" s="1" customFormat="1" x14ac:dyDescent="0.45">
      <c r="B40" s="21" t="s">
        <v>2</v>
      </c>
      <c r="C40" s="22"/>
      <c r="D40" s="22" t="s">
        <v>3</v>
      </c>
      <c r="E40" s="22"/>
      <c r="F40" s="22" t="s">
        <v>40</v>
      </c>
      <c r="G40" s="23"/>
      <c r="I40"/>
      <c r="J40"/>
      <c r="K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2:26" s="1" customFormat="1" x14ac:dyDescent="0.45">
      <c r="B41" s="3"/>
      <c r="C41" s="3" t="s">
        <v>5</v>
      </c>
      <c r="D41" s="3"/>
      <c r="E41" s="3" t="s">
        <v>5</v>
      </c>
      <c r="F41" s="31" t="s">
        <v>258</v>
      </c>
      <c r="G41" s="31"/>
      <c r="I41"/>
      <c r="J41" t="str">
        <f>MID(B39,1,1)</f>
        <v>B</v>
      </c>
      <c r="K41" t="str">
        <f>IF(ISERROR(VLOOKUP(J41,Leeftijdscatogorie,1,FALSE)=TRUE),"",J41)</f>
        <v>B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2:26" s="1" customFormat="1" x14ac:dyDescent="0.45">
      <c r="B42" s="4">
        <v>1</v>
      </c>
      <c r="C42" s="6" t="s">
        <v>259</v>
      </c>
      <c r="D42" s="6">
        <v>1</v>
      </c>
      <c r="E42" s="6" t="s">
        <v>260</v>
      </c>
      <c r="F42" s="24"/>
      <c r="G42" s="24"/>
      <c r="I42">
        <f>IF(K41="","",VLOOKUP(K41,Leeftijdscatogorie,2,FALSE))</f>
        <v>13</v>
      </c>
      <c r="J42">
        <f>IF(K41="","",VLOOKUP(K41,Leeftijdscatogorie,3,FALSE))</f>
        <v>15</v>
      </c>
      <c r="K42">
        <f>IF(K41="","",VLOOKUP(K41,Leeftijdscatogorie,4,FALSE))</f>
        <v>16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2:26" s="1" customFormat="1" x14ac:dyDescent="0.45">
      <c r="B43" s="4">
        <v>2</v>
      </c>
      <c r="C43" s="6" t="s">
        <v>261</v>
      </c>
      <c r="D43" s="6">
        <v>2</v>
      </c>
      <c r="E43" s="6" t="s">
        <v>262</v>
      </c>
      <c r="I43"/>
      <c r="J43">
        <f>J42</f>
        <v>15</v>
      </c>
      <c r="K43">
        <f>K42</f>
        <v>16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2:26" s="1" customFormat="1" x14ac:dyDescent="0.45">
      <c r="B44" s="4">
        <v>3</v>
      </c>
      <c r="C44" s="6" t="s">
        <v>263</v>
      </c>
      <c r="D44" s="6">
        <v>3</v>
      </c>
      <c r="E44" s="6" t="s">
        <v>264</v>
      </c>
      <c r="I44"/>
      <c r="J44">
        <f t="shared" ref="J44:K46" si="4">J43</f>
        <v>15</v>
      </c>
      <c r="K44">
        <f t="shared" si="4"/>
        <v>16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2:26" s="1" customFormat="1" x14ac:dyDescent="0.45">
      <c r="B45" s="4">
        <v>4</v>
      </c>
      <c r="C45" s="6" t="s">
        <v>265</v>
      </c>
      <c r="D45" s="6">
        <v>4</v>
      </c>
      <c r="E45" s="6" t="s">
        <v>266</v>
      </c>
      <c r="F45" s="41"/>
      <c r="G45" s="41"/>
      <c r="I45"/>
      <c r="J45">
        <f t="shared" si="4"/>
        <v>15</v>
      </c>
      <c r="K45">
        <f t="shared" si="4"/>
        <v>16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2:26" s="1" customFormat="1" x14ac:dyDescent="0.45">
      <c r="B46" s="4">
        <v>5</v>
      </c>
      <c r="C46" s="6"/>
      <c r="D46" s="6">
        <v>5</v>
      </c>
      <c r="E46" s="6"/>
      <c r="F46" s="41"/>
      <c r="G46" s="41"/>
      <c r="I46"/>
      <c r="J46">
        <f t="shared" si="4"/>
        <v>15</v>
      </c>
      <c r="K46">
        <f t="shared" si="4"/>
        <v>16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2:26" s="1" customFormat="1" x14ac:dyDescent="0.45">
      <c r="I47"/>
      <c r="J47"/>
      <c r="K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2:26" s="1" customFormat="1" x14ac:dyDescent="0.45">
      <c r="I48"/>
      <c r="J48"/>
      <c r="K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s="1" customFormat="1" x14ac:dyDescent="0.45">
      <c r="I49"/>
      <c r="J49"/>
      <c r="K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x14ac:dyDescent="0.45">
      <c r="I50"/>
      <c r="J50"/>
      <c r="K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x14ac:dyDescent="0.45">
      <c r="I51"/>
      <c r="J51"/>
      <c r="K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x14ac:dyDescent="0.45">
      <c r="I52"/>
      <c r="J52"/>
      <c r="K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x14ac:dyDescent="0.45">
      <c r="I53"/>
      <c r="J53"/>
      <c r="K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x14ac:dyDescent="0.45">
      <c r="I54"/>
      <c r="J54"/>
      <c r="K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x14ac:dyDescent="0.45">
      <c r="I55"/>
      <c r="J55"/>
      <c r="K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x14ac:dyDescent="0.45">
      <c r="I56"/>
      <c r="J56"/>
      <c r="K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45">
      <c r="A57" s="1"/>
      <c r="B57" s="1"/>
      <c r="C57" s="1"/>
      <c r="D57" s="1"/>
      <c r="E57" s="1"/>
      <c r="F57" s="1"/>
      <c r="G57" s="1"/>
      <c r="H57" s="1"/>
    </row>
    <row r="58" spans="1:26" x14ac:dyDescent="0.45">
      <c r="A58" s="1"/>
      <c r="B58" s="1"/>
      <c r="C58" s="1"/>
      <c r="D58" s="1"/>
      <c r="E58" s="1"/>
      <c r="F58" s="1"/>
      <c r="G58" s="1"/>
      <c r="H58" s="1"/>
    </row>
    <row r="59" spans="1:26" x14ac:dyDescent="0.45">
      <c r="A59" s="1"/>
      <c r="B59" s="1"/>
      <c r="C59" s="1"/>
      <c r="D59" s="1"/>
      <c r="E59" s="1"/>
      <c r="F59" s="1"/>
      <c r="G59" s="1"/>
      <c r="H59" s="1"/>
    </row>
    <row r="60" spans="1:26" x14ac:dyDescent="0.45">
      <c r="A60" s="1"/>
      <c r="B60" s="1"/>
      <c r="C60" s="1"/>
      <c r="D60" s="1"/>
      <c r="E60" s="1"/>
      <c r="F60" s="1"/>
      <c r="G60" s="1"/>
      <c r="H60" s="1"/>
    </row>
    <row r="61" spans="1:26" x14ac:dyDescent="0.45">
      <c r="A61" s="1"/>
      <c r="B61" s="1"/>
      <c r="C61" s="1"/>
      <c r="D61" s="1"/>
      <c r="E61" s="1"/>
      <c r="F61" s="1"/>
      <c r="G61" s="1"/>
      <c r="H61" s="1"/>
    </row>
    <row r="62" spans="1:26" x14ac:dyDescent="0.45">
      <c r="A62" s="1"/>
      <c r="B62" s="1"/>
      <c r="C62" s="1"/>
      <c r="D62" s="1"/>
      <c r="E62" s="1"/>
      <c r="F62" s="1"/>
      <c r="G62" s="1"/>
      <c r="H62" s="1"/>
    </row>
    <row r="63" spans="1:26" x14ac:dyDescent="0.45">
      <c r="A63" s="1"/>
      <c r="B63" s="1"/>
      <c r="C63" s="1"/>
      <c r="D63" s="1"/>
      <c r="E63" s="1"/>
      <c r="F63" s="1"/>
      <c r="G63" s="1"/>
      <c r="H63" s="1"/>
    </row>
    <row r="64" spans="1:26" x14ac:dyDescent="0.45">
      <c r="A64" s="1"/>
      <c r="B64" s="1"/>
      <c r="C64" s="1"/>
      <c r="D64" s="1"/>
      <c r="E64" s="1"/>
      <c r="F64" s="1"/>
      <c r="G64" s="1"/>
      <c r="H64" s="1"/>
    </row>
    <row r="65" spans="1:8" x14ac:dyDescent="0.45">
      <c r="A65" s="1"/>
      <c r="B65" s="1"/>
      <c r="C65" s="1"/>
      <c r="D65" s="1"/>
      <c r="E65" s="1"/>
      <c r="F65" s="1"/>
      <c r="G65" s="1"/>
      <c r="H65" s="1"/>
    </row>
    <row r="66" spans="1:8" x14ac:dyDescent="0.45">
      <c r="A66" s="1"/>
      <c r="B66" s="1"/>
      <c r="C66" s="1"/>
      <c r="D66" s="1"/>
      <c r="E66" s="1"/>
      <c r="F66" s="1"/>
      <c r="G66" s="1"/>
      <c r="H66" s="1"/>
    </row>
    <row r="67" spans="1:8" x14ac:dyDescent="0.45">
      <c r="A67" s="1"/>
      <c r="B67" s="1"/>
      <c r="C67" s="1"/>
      <c r="D67" s="1"/>
      <c r="E67" s="1"/>
      <c r="F67" s="1"/>
      <c r="G67" s="1"/>
      <c r="H67" s="1"/>
    </row>
    <row r="68" spans="1:8" x14ac:dyDescent="0.45">
      <c r="A68" s="1"/>
      <c r="B68" s="1"/>
      <c r="C68" s="1"/>
      <c r="D68" s="1"/>
      <c r="E68" s="1"/>
      <c r="F68" s="1"/>
      <c r="G68" s="1"/>
      <c r="H68" s="1"/>
    </row>
    <row r="69" spans="1:8" x14ac:dyDescent="0.45">
      <c r="A69" s="1"/>
      <c r="B69" s="1"/>
      <c r="C69" s="1"/>
      <c r="D69" s="1"/>
      <c r="E69" s="1"/>
      <c r="F69" s="1"/>
      <c r="G69" s="1"/>
      <c r="H69" s="1"/>
    </row>
    <row r="70" spans="1:8" x14ac:dyDescent="0.45">
      <c r="A70" s="1"/>
      <c r="B70" s="1"/>
      <c r="C70" s="1"/>
      <c r="D70" s="1"/>
      <c r="E70" s="1"/>
      <c r="F70" s="1"/>
      <c r="G70" s="1"/>
      <c r="H70" s="1"/>
    </row>
    <row r="71" spans="1:8" x14ac:dyDescent="0.45">
      <c r="A71" s="1"/>
      <c r="B71" s="1"/>
      <c r="C71" s="1"/>
      <c r="D71" s="1"/>
      <c r="E71" s="1"/>
      <c r="F71" s="1"/>
      <c r="G71" s="1"/>
      <c r="H71" s="1"/>
    </row>
    <row r="72" spans="1:8" x14ac:dyDescent="0.45">
      <c r="A72" s="1"/>
      <c r="B72" s="1"/>
      <c r="C72" s="1"/>
      <c r="D72" s="1"/>
      <c r="E72" s="1"/>
      <c r="F72" s="1"/>
      <c r="G72" s="1"/>
      <c r="H72" s="1"/>
    </row>
    <row r="73" spans="1:8" x14ac:dyDescent="0.45">
      <c r="A73" s="1"/>
      <c r="B73" s="1"/>
      <c r="C73" s="1"/>
      <c r="D73" s="1"/>
      <c r="E73" s="1"/>
      <c r="F73" s="1"/>
      <c r="G73" s="1"/>
      <c r="H73" s="1"/>
    </row>
    <row r="74" spans="1:8" x14ac:dyDescent="0.45">
      <c r="A74" s="1"/>
      <c r="B74" s="1"/>
      <c r="C74" s="1"/>
      <c r="D74" s="1"/>
      <c r="E74" s="1"/>
      <c r="F74" s="1"/>
      <c r="G74" s="1"/>
      <c r="H74" s="1"/>
    </row>
    <row r="75" spans="1:8" x14ac:dyDescent="0.45">
      <c r="A75" s="1"/>
      <c r="B75" s="1"/>
      <c r="C75" s="1"/>
      <c r="D75" s="1"/>
      <c r="E75" s="1"/>
      <c r="F75" s="1"/>
      <c r="G75" s="1"/>
      <c r="H75" s="1"/>
    </row>
    <row r="76" spans="1:8" x14ac:dyDescent="0.45">
      <c r="A76" s="1"/>
      <c r="B76" s="1"/>
      <c r="C76" s="1"/>
      <c r="D76" s="1"/>
      <c r="E76" s="1"/>
      <c r="F76" s="1"/>
      <c r="G76" s="1"/>
      <c r="H76" s="1"/>
    </row>
    <row r="77" spans="1:8" x14ac:dyDescent="0.45">
      <c r="A77" s="1"/>
      <c r="B77" s="1"/>
      <c r="C77" s="1"/>
      <c r="D77" s="1"/>
      <c r="E77" s="1"/>
      <c r="F77" s="1"/>
      <c r="G77" s="1"/>
      <c r="H77" s="1"/>
    </row>
    <row r="78" spans="1:8" x14ac:dyDescent="0.45">
      <c r="A78" s="1"/>
      <c r="B78" s="1"/>
      <c r="C78" s="1"/>
      <c r="D78" s="1"/>
      <c r="E78" s="1"/>
      <c r="F78" s="1"/>
      <c r="G78" s="1"/>
      <c r="H78" s="1"/>
    </row>
    <row r="79" spans="1:8" x14ac:dyDescent="0.45">
      <c r="A79" s="1"/>
      <c r="B79" s="1"/>
      <c r="C79" s="1"/>
      <c r="D79" s="1"/>
      <c r="E79" s="1"/>
      <c r="F79" s="1"/>
      <c r="G79" s="1"/>
      <c r="H79" s="1"/>
    </row>
    <row r="80" spans="1:8" x14ac:dyDescent="0.45">
      <c r="A80" s="1"/>
      <c r="B80" s="1"/>
      <c r="C80" s="1"/>
      <c r="D80" s="1"/>
      <c r="E80" s="1"/>
      <c r="F80" s="1"/>
      <c r="G80" s="1"/>
      <c r="H80" s="1"/>
    </row>
    <row r="81" spans="1:8" x14ac:dyDescent="0.45">
      <c r="A81" s="1"/>
      <c r="B81" s="1"/>
      <c r="C81" s="1"/>
      <c r="D81" s="1"/>
      <c r="E81" s="1"/>
      <c r="F81" s="1"/>
      <c r="G81" s="1"/>
      <c r="H81" s="1"/>
    </row>
    <row r="82" spans="1:8" x14ac:dyDescent="0.45">
      <c r="A82" s="1"/>
      <c r="B82" s="1"/>
      <c r="C82" s="1"/>
      <c r="D82" s="1"/>
      <c r="E82" s="1"/>
      <c r="F82" s="1"/>
      <c r="G82" s="1"/>
      <c r="H82" s="1"/>
    </row>
    <row r="83" spans="1:8" x14ac:dyDescent="0.45">
      <c r="A83" s="1"/>
      <c r="B83" s="1"/>
      <c r="C83" s="1"/>
      <c r="D83" s="1"/>
      <c r="E83" s="1"/>
      <c r="F83" s="1"/>
      <c r="G83" s="1"/>
      <c r="H83" s="1"/>
    </row>
    <row r="84" spans="1:8" x14ac:dyDescent="0.45">
      <c r="A84" s="1"/>
      <c r="B84" s="1"/>
      <c r="C84" s="1"/>
      <c r="D84" s="1"/>
      <c r="E84" s="1"/>
      <c r="F84" s="1"/>
      <c r="G84" s="1"/>
      <c r="H84" s="1"/>
    </row>
    <row r="85" spans="1:8" x14ac:dyDescent="0.45">
      <c r="A85" s="1"/>
      <c r="B85" s="1"/>
      <c r="C85" s="1"/>
      <c r="D85" s="1"/>
      <c r="E85" s="1"/>
      <c r="F85" s="1"/>
      <c r="G85" s="1"/>
      <c r="H85" s="1"/>
    </row>
    <row r="86" spans="1:8" x14ac:dyDescent="0.45">
      <c r="A86" s="1"/>
      <c r="B86" s="1"/>
      <c r="C86" s="1"/>
      <c r="D86" s="1"/>
      <c r="E86" s="1"/>
      <c r="F86" s="1"/>
      <c r="G86" s="1"/>
      <c r="H86" s="1"/>
    </row>
    <row r="87" spans="1:8" x14ac:dyDescent="0.45">
      <c r="A87" s="1"/>
      <c r="B87" s="1"/>
      <c r="C87" s="1"/>
      <c r="D87" s="1"/>
      <c r="E87" s="1"/>
      <c r="F87" s="1"/>
      <c r="G87" s="1"/>
      <c r="H87" s="1"/>
    </row>
    <row r="88" spans="1:8" x14ac:dyDescent="0.45">
      <c r="A88" s="1"/>
      <c r="B88" s="1"/>
      <c r="C88" s="1"/>
      <c r="D88" s="1"/>
      <c r="E88" s="1"/>
      <c r="F88" s="1"/>
      <c r="G88" s="1"/>
      <c r="H88" s="1"/>
    </row>
    <row r="89" spans="1:8" x14ac:dyDescent="0.45">
      <c r="A89" s="1"/>
      <c r="B89" s="1"/>
      <c r="C89" s="1"/>
      <c r="D89" s="1"/>
      <c r="E89" s="1"/>
      <c r="F89" s="1"/>
      <c r="G89" s="1"/>
      <c r="H89" s="1"/>
    </row>
    <row r="90" spans="1:8" x14ac:dyDescent="0.45">
      <c r="A90" s="1"/>
      <c r="B90" s="1"/>
      <c r="C90" s="1"/>
      <c r="D90" s="1"/>
      <c r="E90" s="1"/>
      <c r="F90" s="1"/>
      <c r="G90" s="1"/>
      <c r="H90" s="1"/>
    </row>
    <row r="91" spans="1:8" x14ac:dyDescent="0.45">
      <c r="A91" s="1"/>
      <c r="B91" s="1"/>
      <c r="C91" s="1"/>
      <c r="D91" s="1"/>
      <c r="E91" s="1"/>
      <c r="F91" s="1"/>
      <c r="G91" s="1"/>
      <c r="H91" s="1"/>
    </row>
    <row r="92" spans="1:8" x14ac:dyDescent="0.45">
      <c r="A92" s="1"/>
      <c r="B92" s="1"/>
      <c r="C92" s="1"/>
      <c r="D92" s="1"/>
      <c r="E92" s="1"/>
      <c r="F92" s="1"/>
      <c r="G92" s="1"/>
      <c r="H92" s="1"/>
    </row>
    <row r="93" spans="1:8" x14ac:dyDescent="0.45">
      <c r="A93" s="1"/>
      <c r="B93" s="1"/>
      <c r="C93" s="1"/>
      <c r="D93" s="1"/>
      <c r="E93" s="1"/>
      <c r="F93" s="1"/>
      <c r="G93" s="1"/>
      <c r="H93" s="1"/>
    </row>
    <row r="94" spans="1:8" x14ac:dyDescent="0.45">
      <c r="A94" s="1"/>
      <c r="B94" s="1"/>
      <c r="C94" s="1"/>
      <c r="D94" s="1"/>
      <c r="E94" s="1"/>
      <c r="F94" s="1"/>
      <c r="G94" s="1"/>
      <c r="H94" s="1"/>
    </row>
    <row r="95" spans="1:8" x14ac:dyDescent="0.45">
      <c r="A95" s="1"/>
      <c r="B95" s="1"/>
      <c r="C95" s="1"/>
      <c r="D95" s="1"/>
      <c r="E95" s="1"/>
      <c r="F95" s="1"/>
      <c r="G95" s="1"/>
      <c r="H95" s="1"/>
    </row>
    <row r="96" spans="1:8" x14ac:dyDescent="0.45">
      <c r="A96" s="1"/>
      <c r="B96" s="1"/>
      <c r="C96" s="1"/>
      <c r="D96" s="1"/>
      <c r="E96" s="1"/>
      <c r="F96" s="1"/>
      <c r="G96" s="1"/>
      <c r="H96" s="1"/>
    </row>
    <row r="97" spans="1:8" x14ac:dyDescent="0.45">
      <c r="A97" s="1"/>
      <c r="B97" s="1"/>
      <c r="C97" s="1"/>
      <c r="D97" s="1"/>
      <c r="E97" s="1"/>
      <c r="F97" s="1"/>
      <c r="G97" s="1"/>
      <c r="H97" s="1"/>
    </row>
    <row r="98" spans="1:8" x14ac:dyDescent="0.45">
      <c r="A98" s="1"/>
      <c r="B98" s="1"/>
      <c r="C98" s="1"/>
      <c r="D98" s="1"/>
      <c r="E98" s="1"/>
      <c r="F98" s="1"/>
      <c r="G98" s="1"/>
      <c r="H98" s="1"/>
    </row>
    <row r="99" spans="1:8" x14ac:dyDescent="0.45">
      <c r="A99" s="1"/>
      <c r="B99" s="1"/>
      <c r="C99" s="1"/>
      <c r="D99" s="1"/>
      <c r="E99" s="1"/>
      <c r="F99" s="1"/>
      <c r="G99" s="1"/>
      <c r="H99" s="1"/>
    </row>
    <row r="100" spans="1:8" x14ac:dyDescent="0.45">
      <c r="A100" s="1"/>
      <c r="B100" s="1"/>
      <c r="C100" s="1"/>
      <c r="D100" s="1"/>
      <c r="E100" s="1"/>
      <c r="F100" s="1"/>
      <c r="G100" s="1"/>
      <c r="H100" s="1"/>
    </row>
    <row r="101" spans="1:8" x14ac:dyDescent="0.45">
      <c r="A101" s="1"/>
      <c r="B101" s="1"/>
      <c r="C101" s="1"/>
      <c r="D101" s="1"/>
      <c r="E101" s="1"/>
      <c r="F101" s="1"/>
      <c r="G101" s="1"/>
      <c r="H101" s="1"/>
    </row>
  </sheetData>
  <sortState xmlns:xlrd2="http://schemas.microsoft.com/office/spreadsheetml/2017/richdata2" ref="C20:C26">
    <sortCondition ref="C20:C26"/>
  </sortState>
  <mergeCells count="36">
    <mergeCell ref="F11:G11"/>
    <mergeCell ref="B1:G1"/>
    <mergeCell ref="B2:G2"/>
    <mergeCell ref="B3:C3"/>
    <mergeCell ref="D3:E3"/>
    <mergeCell ref="F3:G3"/>
    <mergeCell ref="F4:G4"/>
    <mergeCell ref="F5:G5"/>
    <mergeCell ref="B9:G9"/>
    <mergeCell ref="B10:C10"/>
    <mergeCell ref="D10:E10"/>
    <mergeCell ref="F10:G10"/>
    <mergeCell ref="F29:G29"/>
    <mergeCell ref="F12:G12"/>
    <mergeCell ref="B17:G17"/>
    <mergeCell ref="B18:C18"/>
    <mergeCell ref="D18:E18"/>
    <mergeCell ref="F18:G18"/>
    <mergeCell ref="F19:G19"/>
    <mergeCell ref="F21:G21"/>
    <mergeCell ref="F22:G22"/>
    <mergeCell ref="F20:G20"/>
    <mergeCell ref="B27:G27"/>
    <mergeCell ref="B28:C28"/>
    <mergeCell ref="D28:E28"/>
    <mergeCell ref="F28:G28"/>
    <mergeCell ref="F23:G23"/>
    <mergeCell ref="F42:G42"/>
    <mergeCell ref="F45:G45"/>
    <mergeCell ref="F46:G46"/>
    <mergeCell ref="F30:G30"/>
    <mergeCell ref="B39:G39"/>
    <mergeCell ref="B40:C40"/>
    <mergeCell ref="D40:E40"/>
    <mergeCell ref="F40:G40"/>
    <mergeCell ref="F41:G41"/>
  </mergeCells>
  <pageMargins left="0.39370078740157483" right="0.70866141732283472" top="0.15748031496062992" bottom="0.19685039370078741" header="0.31496062992125984" footer="0.31496062992125984"/>
  <pageSetup paperSize="9" scale="7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'J:\Korfbal\Seizoen 2016-2017\[OW seizoen 2016-2017 v1.2.xlsm]Leden'!#REF!</xm:f>
          </x14:formula1>
          <xm:sqref>C20:C26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4">
    <pageSetUpPr fitToPage="1"/>
  </sheetPr>
  <dimension ref="A1:R88"/>
  <sheetViews>
    <sheetView topLeftCell="A40" zoomScaleNormal="100" workbookViewId="0">
      <selection activeCell="G61" sqref="G61"/>
    </sheetView>
  </sheetViews>
  <sheetFormatPr defaultRowHeight="14.25" x14ac:dyDescent="0.45"/>
  <cols>
    <col min="1" max="1" width="1.73046875" customWidth="1"/>
    <col min="2" max="2" width="3" bestFit="1" customWidth="1"/>
    <col min="3" max="3" width="29.265625" customWidth="1"/>
    <col min="4" max="4" width="3" bestFit="1" customWidth="1"/>
    <col min="5" max="5" width="29.265625" customWidth="1"/>
    <col min="6" max="6" width="6.59765625" customWidth="1"/>
    <col min="7" max="7" width="12.73046875" customWidth="1"/>
    <col min="8" max="18" width="9.1328125" style="1"/>
  </cols>
  <sheetData>
    <row r="1" spans="1:7" ht="30.75" customHeight="1" x14ac:dyDescent="0.45">
      <c r="A1" s="1"/>
      <c r="B1" s="35" t="s">
        <v>267</v>
      </c>
      <c r="C1" s="35"/>
      <c r="D1" s="35"/>
      <c r="E1" s="35"/>
      <c r="F1" s="35"/>
      <c r="G1" s="35"/>
    </row>
    <row r="2" spans="1:7" ht="21" hidden="1" customHeight="1" x14ac:dyDescent="0.65">
      <c r="A2" s="1"/>
      <c r="B2" s="18" t="s">
        <v>268</v>
      </c>
      <c r="C2" s="19"/>
      <c r="D2" s="19"/>
      <c r="E2" s="19"/>
      <c r="F2" s="19"/>
      <c r="G2" s="20"/>
    </row>
    <row r="3" spans="1:7" ht="15" hidden="1" customHeight="1" x14ac:dyDescent="0.45">
      <c r="A3" s="1"/>
      <c r="B3" s="21" t="s">
        <v>2</v>
      </c>
      <c r="C3" s="22"/>
      <c r="D3" s="22" t="s">
        <v>3</v>
      </c>
      <c r="E3" s="22"/>
      <c r="F3" s="22" t="s">
        <v>40</v>
      </c>
      <c r="G3" s="23"/>
    </row>
    <row r="4" spans="1:7" hidden="1" x14ac:dyDescent="0.45">
      <c r="A4" s="1"/>
      <c r="B4" s="3"/>
      <c r="C4" s="3" t="s">
        <v>5</v>
      </c>
      <c r="D4" s="3"/>
      <c r="E4" s="3" t="s">
        <v>5</v>
      </c>
      <c r="F4" s="25" t="s">
        <v>269</v>
      </c>
      <c r="G4" s="26"/>
    </row>
    <row r="5" spans="1:7" ht="15" hidden="1" customHeight="1" x14ac:dyDescent="0.45">
      <c r="A5" s="1"/>
      <c r="B5" s="4">
        <v>1</v>
      </c>
      <c r="C5" s="4" t="e">
        <f ca="1">Speler(Dames,$B$2,B5)</f>
        <v>#NAME?</v>
      </c>
      <c r="D5" s="4">
        <v>1</v>
      </c>
      <c r="E5" s="4" t="e">
        <f ca="1">Speler(Heren,$B$2,D5)</f>
        <v>#NAME?</v>
      </c>
      <c r="F5" s="25" t="s">
        <v>270</v>
      </c>
      <c r="G5" s="26"/>
    </row>
    <row r="6" spans="1:7" hidden="1" x14ac:dyDescent="0.45">
      <c r="A6" s="1"/>
      <c r="B6" s="4">
        <v>2</v>
      </c>
      <c r="C6" s="4" t="e">
        <f ca="1">Speler(Dames,$B$2,B6)</f>
        <v>#NAME?</v>
      </c>
      <c r="D6" s="4">
        <v>2</v>
      </c>
      <c r="E6" s="4" t="e">
        <f ca="1">Speler(Heren,$B$2,D6)</f>
        <v>#NAME?</v>
      </c>
      <c r="F6" s="1"/>
      <c r="G6" s="1"/>
    </row>
    <row r="7" spans="1:7" ht="15" hidden="1" customHeight="1" x14ac:dyDescent="0.45">
      <c r="A7" s="1"/>
      <c r="B7" s="4">
        <v>3</v>
      </c>
      <c r="C7" s="4" t="e">
        <f ca="1">Speler(Dames,$B$2,B7)</f>
        <v>#NAME?</v>
      </c>
      <c r="D7" s="4">
        <v>3</v>
      </c>
      <c r="E7" s="4" t="e">
        <f ca="1">Speler(Heren,$B$2,D7)</f>
        <v>#NAME?</v>
      </c>
      <c r="F7" s="5"/>
      <c r="G7" s="1"/>
    </row>
    <row r="8" spans="1:7" ht="15" hidden="1" customHeight="1" x14ac:dyDescent="0.45">
      <c r="A8" s="1"/>
      <c r="B8" s="4">
        <v>4</v>
      </c>
      <c r="C8" s="4" t="e">
        <f ca="1">Speler(Dames,$B$2,B8)</f>
        <v>#NAME?</v>
      </c>
      <c r="D8" s="4">
        <v>4</v>
      </c>
      <c r="E8" s="4" t="e">
        <f ca="1">Speler(Heren,$B$2,D8)</f>
        <v>#NAME?</v>
      </c>
      <c r="F8" s="5"/>
      <c r="G8" s="1"/>
    </row>
    <row r="9" spans="1:7" ht="15" hidden="1" customHeight="1" x14ac:dyDescent="0.45">
      <c r="A9" s="1"/>
      <c r="B9" s="4">
        <v>5</v>
      </c>
      <c r="C9" s="4" t="e">
        <f ca="1">Speler(Dames,$B$2,B9)</f>
        <v>#NAME?</v>
      </c>
      <c r="D9" s="4">
        <v>5</v>
      </c>
      <c r="E9" s="4" t="e">
        <f ca="1">Speler(Heren,$B$2,D9)</f>
        <v>#NAME?</v>
      </c>
      <c r="F9" s="5"/>
      <c r="G9" s="1"/>
    </row>
    <row r="10" spans="1:7" ht="15" hidden="1" customHeight="1" x14ac:dyDescent="0.45">
      <c r="A10" s="1"/>
      <c r="B10" s="4">
        <v>6</v>
      </c>
      <c r="C10" s="4" t="e">
        <f ca="1">Speler(Dames,$B$2,B10)</f>
        <v>#NAME?</v>
      </c>
      <c r="D10" s="4">
        <v>6</v>
      </c>
      <c r="E10" s="4" t="e">
        <f ca="1">Speler(Heren,$B$2,D10)</f>
        <v>#NAME?</v>
      </c>
      <c r="F10" s="5"/>
      <c r="G10" s="1"/>
    </row>
    <row r="11" spans="1:7" hidden="1" x14ac:dyDescent="0.45">
      <c r="A11" s="1"/>
      <c r="B11" s="4">
        <v>7</v>
      </c>
      <c r="C11" s="4" t="e">
        <f ca="1">Speler(Dames,$B$2,B11)</f>
        <v>#NAME?</v>
      </c>
      <c r="D11" s="4">
        <v>7</v>
      </c>
      <c r="E11" s="4" t="e">
        <f ca="1">Speler(Heren,$B$2,D11)</f>
        <v>#NAME?</v>
      </c>
      <c r="F11" s="1"/>
      <c r="G11" s="1"/>
    </row>
    <row r="12" spans="1:7" hidden="1" x14ac:dyDescent="0.45">
      <c r="A12" s="1"/>
      <c r="B12" s="4">
        <v>8</v>
      </c>
      <c r="C12" s="4" t="e">
        <f ca="1">Speler(Dames,$B$2,B12)</f>
        <v>#NAME?</v>
      </c>
      <c r="D12" s="4">
        <v>8</v>
      </c>
      <c r="E12" s="4" t="e">
        <f ca="1">Speler(Heren,$B$2,D12)</f>
        <v>#NAME?</v>
      </c>
      <c r="F12" s="1"/>
      <c r="G12" s="1"/>
    </row>
    <row r="13" spans="1:7" hidden="1" x14ac:dyDescent="0.45">
      <c r="A13" s="1"/>
      <c r="B13" s="4">
        <v>9</v>
      </c>
      <c r="C13" s="4" t="e">
        <f ca="1">Speler(Dames,$B$2,B13)</f>
        <v>#NAME?</v>
      </c>
      <c r="D13" s="4">
        <v>9</v>
      </c>
      <c r="E13" s="4" t="e">
        <f ca="1">Speler(Heren,$B$2,D13)</f>
        <v>#NAME?</v>
      </c>
      <c r="F13" s="1"/>
      <c r="G13" s="1"/>
    </row>
    <row r="14" spans="1:7" hidden="1" x14ac:dyDescent="0.45">
      <c r="A14" s="1"/>
      <c r="B14" s="4">
        <v>10</v>
      </c>
      <c r="C14" s="4" t="e">
        <f ca="1">Speler(Dames,$B$2,B14)</f>
        <v>#NAME?</v>
      </c>
      <c r="D14" s="4">
        <v>10</v>
      </c>
      <c r="E14" s="4" t="e">
        <f ca="1">Speler(Heren,$B$2,D14)</f>
        <v>#NAME?</v>
      </c>
      <c r="F14" s="1"/>
      <c r="G14" s="1"/>
    </row>
    <row r="15" spans="1:7" hidden="1" x14ac:dyDescent="0.45">
      <c r="A15" s="1"/>
      <c r="B15" s="4">
        <v>11</v>
      </c>
      <c r="C15" s="4" t="e">
        <f ca="1">Speler(Dames,$B$2,B15)</f>
        <v>#NAME?</v>
      </c>
      <c r="D15" s="4">
        <v>11</v>
      </c>
      <c r="E15" s="4" t="e">
        <f ca="1">Speler(Heren,$B$2,D15)</f>
        <v>#NAME?</v>
      </c>
      <c r="F15" s="1"/>
      <c r="G15" s="1"/>
    </row>
    <row r="16" spans="1:7" hidden="1" x14ac:dyDescent="0.45">
      <c r="A16" s="1"/>
      <c r="B16" s="4">
        <v>12</v>
      </c>
      <c r="C16" s="4" t="e">
        <f ca="1">Speler(Dames,$B$2,B16)</f>
        <v>#NAME?</v>
      </c>
      <c r="D16" s="4">
        <v>12</v>
      </c>
      <c r="E16" s="4" t="e">
        <f ca="1">Speler(Heren,$B$2,D16)</f>
        <v>#NAME?</v>
      </c>
      <c r="F16" s="1"/>
      <c r="G16" s="1"/>
    </row>
    <row r="17" spans="1:7" hidden="1" x14ac:dyDescent="0.45">
      <c r="A17" s="1"/>
      <c r="B17" s="4">
        <v>13</v>
      </c>
      <c r="C17" s="4" t="e">
        <f ca="1">Speler(Dames,$B$2,B17)</f>
        <v>#NAME?</v>
      </c>
      <c r="D17" s="4">
        <v>13</v>
      </c>
      <c r="E17" s="4" t="e">
        <f ca="1">Speler(Heren,$B$2,D17)</f>
        <v>#NAME?</v>
      </c>
      <c r="F17" s="15" t="s">
        <v>271</v>
      </c>
      <c r="G17" s="1"/>
    </row>
    <row r="18" spans="1:7" hidden="1" x14ac:dyDescent="0.45">
      <c r="A18" s="1"/>
      <c r="B18" s="4">
        <v>14</v>
      </c>
      <c r="C18" s="4" t="e">
        <f ca="1">Speler(Dames,$B$2,B18)</f>
        <v>#NAME?</v>
      </c>
      <c r="D18" s="4">
        <v>14</v>
      </c>
      <c r="E18" s="4" t="e">
        <f ca="1">Speler(Heren,$B$2,D18)</f>
        <v>#NAME?</v>
      </c>
      <c r="F18" s="7">
        <f>IF(COUNT(#REF!,#REF!)=0,0,COUNT(#REF!,#REF!))</f>
        <v>0</v>
      </c>
      <c r="G18" s="1"/>
    </row>
    <row r="19" spans="1:7" ht="21" x14ac:dyDescent="0.65">
      <c r="A19" s="1"/>
      <c r="B19" s="18" t="s">
        <v>272</v>
      </c>
      <c r="C19" s="19"/>
      <c r="D19" s="19"/>
      <c r="E19" s="19"/>
      <c r="F19" s="19"/>
      <c r="G19" s="20"/>
    </row>
    <row r="20" spans="1:7" x14ac:dyDescent="0.45">
      <c r="A20" s="1"/>
      <c r="B20" s="21" t="s">
        <v>2</v>
      </c>
      <c r="C20" s="22"/>
      <c r="D20" s="22" t="s">
        <v>3</v>
      </c>
      <c r="E20" s="22"/>
      <c r="F20" s="22" t="s">
        <v>40</v>
      </c>
      <c r="G20" s="23"/>
    </row>
    <row r="21" spans="1:7" x14ac:dyDescent="0.45">
      <c r="A21" s="1"/>
      <c r="B21" s="8"/>
      <c r="C21" s="8" t="s">
        <v>5</v>
      </c>
      <c r="D21" s="8"/>
      <c r="E21" s="8" t="s">
        <v>5</v>
      </c>
      <c r="F21" s="31" t="s">
        <v>269</v>
      </c>
      <c r="G21" s="31"/>
    </row>
    <row r="22" spans="1:7" x14ac:dyDescent="0.45">
      <c r="A22" s="1"/>
      <c r="B22" s="4">
        <v>1</v>
      </c>
      <c r="C22" s="12" t="s">
        <v>273</v>
      </c>
      <c r="D22" s="4">
        <v>1</v>
      </c>
      <c r="E22" s="4" t="s">
        <v>274</v>
      </c>
      <c r="F22" s="24" t="s">
        <v>270</v>
      </c>
      <c r="G22" s="24"/>
    </row>
    <row r="23" spans="1:7" x14ac:dyDescent="0.45">
      <c r="A23" s="1"/>
      <c r="B23" s="4">
        <v>2</v>
      </c>
      <c r="C23" s="4" t="s">
        <v>275</v>
      </c>
      <c r="D23" s="4">
        <v>2</v>
      </c>
      <c r="E23" s="4" t="s">
        <v>276</v>
      </c>
      <c r="F23" s="1"/>
      <c r="G23" s="1"/>
    </row>
    <row r="24" spans="1:7" x14ac:dyDescent="0.45">
      <c r="A24" s="1"/>
      <c r="B24" s="4">
        <v>3</v>
      </c>
      <c r="C24" s="4" t="s">
        <v>277</v>
      </c>
      <c r="D24" s="4">
        <v>3</v>
      </c>
      <c r="E24" s="4" t="s">
        <v>278</v>
      </c>
      <c r="F24" s="1"/>
      <c r="G24" s="1"/>
    </row>
    <row r="25" spans="1:7" x14ac:dyDescent="0.45">
      <c r="A25" s="1"/>
      <c r="B25" s="4">
        <v>4</v>
      </c>
      <c r="C25" s="4" t="s">
        <v>279</v>
      </c>
      <c r="D25" s="4">
        <v>4</v>
      </c>
      <c r="E25" s="4" t="s">
        <v>280</v>
      </c>
      <c r="F25" s="1"/>
      <c r="G25" s="1"/>
    </row>
    <row r="26" spans="1:7" s="1" customFormat="1" ht="21" x14ac:dyDescent="0.65">
      <c r="B26" s="18" t="s">
        <v>281</v>
      </c>
      <c r="C26" s="19"/>
      <c r="D26" s="19"/>
      <c r="E26" s="19"/>
      <c r="F26" s="19"/>
      <c r="G26" s="20"/>
    </row>
    <row r="27" spans="1:7" s="1" customFormat="1" x14ac:dyDescent="0.45">
      <c r="B27" s="21" t="s">
        <v>2</v>
      </c>
      <c r="C27" s="22"/>
      <c r="D27" s="22" t="s">
        <v>3</v>
      </c>
      <c r="E27" s="22"/>
      <c r="F27" s="22" t="s">
        <v>40</v>
      </c>
      <c r="G27" s="23"/>
    </row>
    <row r="28" spans="1:7" s="1" customFormat="1" x14ac:dyDescent="0.45">
      <c r="B28" s="8"/>
      <c r="C28" s="8" t="s">
        <v>5</v>
      </c>
      <c r="D28" s="8"/>
      <c r="E28" s="8" t="s">
        <v>5</v>
      </c>
      <c r="F28" s="24" t="s">
        <v>282</v>
      </c>
      <c r="G28" s="24"/>
    </row>
    <row r="29" spans="1:7" s="1" customFormat="1" x14ac:dyDescent="0.45">
      <c r="B29" s="4">
        <v>1</v>
      </c>
      <c r="C29" s="4" t="s">
        <v>283</v>
      </c>
      <c r="D29" s="4">
        <v>1</v>
      </c>
      <c r="E29" s="4" t="s">
        <v>284</v>
      </c>
      <c r="F29" s="24" t="s">
        <v>285</v>
      </c>
      <c r="G29" s="24"/>
    </row>
    <row r="30" spans="1:7" s="1" customFormat="1" x14ac:dyDescent="0.45">
      <c r="B30" s="4">
        <v>2</v>
      </c>
      <c r="C30" s="4" t="s">
        <v>286</v>
      </c>
      <c r="D30" s="4">
        <v>2</v>
      </c>
      <c r="E30" s="4" t="s">
        <v>287</v>
      </c>
      <c r="F30" s="25"/>
      <c r="G30" s="26"/>
    </row>
    <row r="31" spans="1:7" s="1" customFormat="1" x14ac:dyDescent="0.45">
      <c r="B31" s="4">
        <v>3</v>
      </c>
      <c r="C31" s="4" t="s">
        <v>288</v>
      </c>
      <c r="D31" s="4">
        <v>3</v>
      </c>
      <c r="E31" s="4" t="s">
        <v>289</v>
      </c>
    </row>
    <row r="32" spans="1:7" s="1" customFormat="1" x14ac:dyDescent="0.45">
      <c r="B32" s="4">
        <v>4</v>
      </c>
      <c r="C32" s="4" t="s">
        <v>290</v>
      </c>
      <c r="D32" s="4">
        <v>4</v>
      </c>
      <c r="E32" s="4" t="s">
        <v>291</v>
      </c>
    </row>
    <row r="33" spans="2:7" s="1" customFormat="1" x14ac:dyDescent="0.45">
      <c r="B33" s="4">
        <v>5</v>
      </c>
      <c r="C33" s="4" t="s">
        <v>292</v>
      </c>
      <c r="D33" s="4">
        <v>5</v>
      </c>
      <c r="E33" s="4" t="s">
        <v>293</v>
      </c>
    </row>
    <row r="34" spans="2:7" s="1" customFormat="1" ht="21" x14ac:dyDescent="0.65">
      <c r="B34" s="18" t="s">
        <v>294</v>
      </c>
      <c r="C34" s="19"/>
      <c r="D34" s="19"/>
      <c r="E34" s="19"/>
      <c r="F34" s="19"/>
      <c r="G34" s="20"/>
    </row>
    <row r="35" spans="2:7" s="1" customFormat="1" x14ac:dyDescent="0.45">
      <c r="B35" s="21" t="s">
        <v>2</v>
      </c>
      <c r="C35" s="22"/>
      <c r="D35" s="22" t="s">
        <v>3</v>
      </c>
      <c r="E35" s="22"/>
      <c r="F35" s="22" t="s">
        <v>40</v>
      </c>
      <c r="G35" s="23"/>
    </row>
    <row r="36" spans="2:7" s="1" customFormat="1" x14ac:dyDescent="0.45">
      <c r="B36" s="8"/>
      <c r="C36" s="8" t="s">
        <v>5</v>
      </c>
      <c r="D36" s="8"/>
      <c r="E36" s="8" t="s">
        <v>5</v>
      </c>
      <c r="F36" s="24" t="s">
        <v>233</v>
      </c>
      <c r="G36" s="24"/>
    </row>
    <row r="37" spans="2:7" s="1" customFormat="1" x14ac:dyDescent="0.45">
      <c r="B37" s="4">
        <v>1</v>
      </c>
      <c r="C37" s="4" t="s">
        <v>295</v>
      </c>
      <c r="D37" s="4">
        <v>1</v>
      </c>
      <c r="E37" s="4" t="s">
        <v>296</v>
      </c>
      <c r="F37" s="24" t="s">
        <v>236</v>
      </c>
      <c r="G37" s="24"/>
    </row>
    <row r="38" spans="2:7" s="1" customFormat="1" x14ac:dyDescent="0.45">
      <c r="B38" s="4">
        <v>2</v>
      </c>
      <c r="C38" s="4" t="s">
        <v>297</v>
      </c>
      <c r="D38" s="4">
        <v>2</v>
      </c>
      <c r="E38" s="4" t="s">
        <v>298</v>
      </c>
    </row>
    <row r="39" spans="2:7" s="1" customFormat="1" x14ac:dyDescent="0.45">
      <c r="B39" s="4">
        <v>3</v>
      </c>
      <c r="C39" s="4" t="s">
        <v>299</v>
      </c>
      <c r="D39" s="4">
        <v>3</v>
      </c>
      <c r="E39" s="4" t="s">
        <v>300</v>
      </c>
    </row>
    <row r="40" spans="2:7" s="1" customFormat="1" x14ac:dyDescent="0.45">
      <c r="B40" s="4">
        <v>4</v>
      </c>
      <c r="C40" s="4" t="s">
        <v>301</v>
      </c>
      <c r="D40" s="4">
        <v>4</v>
      </c>
      <c r="E40" s="4" t="s">
        <v>302</v>
      </c>
    </row>
    <row r="41" spans="2:7" s="1" customFormat="1" x14ac:dyDescent="0.45">
      <c r="B41" s="4">
        <v>5</v>
      </c>
      <c r="C41" s="4" t="s">
        <v>303</v>
      </c>
      <c r="D41" s="4">
        <v>5</v>
      </c>
      <c r="E41" s="4" t="s">
        <v>304</v>
      </c>
    </row>
    <row r="42" spans="2:7" s="1" customFormat="1" x14ac:dyDescent="0.45">
      <c r="B42" s="4">
        <v>6</v>
      </c>
      <c r="C42" s="4" t="s">
        <v>305</v>
      </c>
      <c r="D42" s="4">
        <v>6</v>
      </c>
      <c r="E42" s="4" t="s">
        <v>304</v>
      </c>
    </row>
    <row r="43" spans="2:7" s="1" customFormat="1" x14ac:dyDescent="0.45">
      <c r="B43" s="4">
        <v>7</v>
      </c>
      <c r="C43" s="4" t="s">
        <v>306</v>
      </c>
      <c r="D43" s="4">
        <v>7</v>
      </c>
      <c r="E43" s="4" t="s">
        <v>304</v>
      </c>
    </row>
    <row r="44" spans="2:7" s="1" customFormat="1" ht="21" x14ac:dyDescent="0.65">
      <c r="B44" s="18" t="s">
        <v>307</v>
      </c>
      <c r="C44" s="19"/>
      <c r="D44" s="19"/>
      <c r="E44" s="19"/>
      <c r="F44" s="19"/>
      <c r="G44" s="20"/>
    </row>
    <row r="45" spans="2:7" s="1" customFormat="1" x14ac:dyDescent="0.45">
      <c r="B45" s="21" t="s">
        <v>2</v>
      </c>
      <c r="C45" s="22"/>
      <c r="D45" s="22" t="s">
        <v>3</v>
      </c>
      <c r="E45" s="22"/>
      <c r="F45" s="22" t="s">
        <v>40</v>
      </c>
      <c r="G45" s="23"/>
    </row>
    <row r="46" spans="2:7" s="1" customFormat="1" x14ac:dyDescent="0.45">
      <c r="B46" s="8"/>
      <c r="C46" s="8" t="s">
        <v>5</v>
      </c>
      <c r="D46" s="8"/>
      <c r="E46" s="8" t="s">
        <v>5</v>
      </c>
      <c r="F46" s="24" t="s">
        <v>308</v>
      </c>
      <c r="G46" s="24"/>
    </row>
    <row r="47" spans="2:7" s="1" customFormat="1" x14ac:dyDescent="0.45">
      <c r="B47" s="4">
        <v>1</v>
      </c>
      <c r="C47" s="4" t="s">
        <v>309</v>
      </c>
      <c r="D47" s="4">
        <v>1</v>
      </c>
      <c r="E47" s="4" t="s">
        <v>310</v>
      </c>
      <c r="F47" s="24" t="s">
        <v>311</v>
      </c>
      <c r="G47" s="24"/>
    </row>
    <row r="48" spans="2:7" s="1" customFormat="1" x14ac:dyDescent="0.45">
      <c r="B48" s="4">
        <v>2</v>
      </c>
      <c r="C48" s="4" t="s">
        <v>312</v>
      </c>
      <c r="D48" s="4">
        <v>2</v>
      </c>
      <c r="E48" s="4" t="s">
        <v>313</v>
      </c>
    </row>
    <row r="49" spans="2:7" s="1" customFormat="1" x14ac:dyDescent="0.45">
      <c r="B49" s="4">
        <v>3</v>
      </c>
      <c r="C49" s="4" t="s">
        <v>314</v>
      </c>
      <c r="D49" s="4">
        <v>3</v>
      </c>
      <c r="E49" s="4" t="s">
        <v>304</v>
      </c>
    </row>
    <row r="50" spans="2:7" s="1" customFormat="1" x14ac:dyDescent="0.45">
      <c r="B50" s="4">
        <v>4</v>
      </c>
      <c r="C50" s="4" t="s">
        <v>315</v>
      </c>
      <c r="D50" s="4">
        <v>4</v>
      </c>
      <c r="E50" s="4" t="s">
        <v>304</v>
      </c>
    </row>
    <row r="51" spans="2:7" s="1" customFormat="1" x14ac:dyDescent="0.45">
      <c r="B51" s="4">
        <v>5</v>
      </c>
      <c r="C51" s="4" t="s">
        <v>316</v>
      </c>
      <c r="D51" s="4">
        <v>5</v>
      </c>
      <c r="E51" s="4" t="s">
        <v>304</v>
      </c>
    </row>
    <row r="52" spans="2:7" s="1" customFormat="1" x14ac:dyDescent="0.45">
      <c r="B52" s="4">
        <v>6</v>
      </c>
      <c r="C52" s="4" t="s">
        <v>317</v>
      </c>
      <c r="D52" s="4">
        <v>6</v>
      </c>
      <c r="E52" s="4" t="s">
        <v>304</v>
      </c>
    </row>
    <row r="53" spans="2:7" s="1" customFormat="1" ht="21" x14ac:dyDescent="0.65">
      <c r="B53" s="18" t="s">
        <v>318</v>
      </c>
      <c r="C53" s="19"/>
      <c r="D53" s="19"/>
      <c r="E53" s="19"/>
      <c r="F53" s="19"/>
      <c r="G53" s="20"/>
    </row>
    <row r="54" spans="2:7" s="1" customFormat="1" x14ac:dyDescent="0.45">
      <c r="B54" s="21" t="s">
        <v>2</v>
      </c>
      <c r="C54" s="22"/>
      <c r="D54" s="22" t="s">
        <v>3</v>
      </c>
      <c r="E54" s="22"/>
      <c r="F54" s="22" t="s">
        <v>40</v>
      </c>
      <c r="G54" s="23"/>
    </row>
    <row r="55" spans="2:7" s="1" customFormat="1" x14ac:dyDescent="0.45">
      <c r="B55" s="8"/>
      <c r="C55" s="8" t="s">
        <v>5</v>
      </c>
      <c r="D55" s="8"/>
      <c r="E55" s="8" t="s">
        <v>5</v>
      </c>
      <c r="F55" s="24" t="s">
        <v>319</v>
      </c>
      <c r="G55" s="24"/>
    </row>
    <row r="56" spans="2:7" s="1" customFormat="1" x14ac:dyDescent="0.45">
      <c r="B56" s="4">
        <v>1</v>
      </c>
      <c r="C56" s="4" t="s">
        <v>320</v>
      </c>
      <c r="D56" s="4">
        <v>1</v>
      </c>
      <c r="E56" s="4" t="s">
        <v>321</v>
      </c>
    </row>
    <row r="57" spans="2:7" s="1" customFormat="1" x14ac:dyDescent="0.45">
      <c r="B57" s="4">
        <v>2</v>
      </c>
      <c r="C57" s="4" t="s">
        <v>322</v>
      </c>
      <c r="D57" s="4">
        <v>2</v>
      </c>
      <c r="E57" s="4" t="s">
        <v>323</v>
      </c>
      <c r="F57" s="41"/>
      <c r="G57" s="41"/>
    </row>
    <row r="58" spans="2:7" s="1" customFormat="1" x14ac:dyDescent="0.45">
      <c r="B58" s="4">
        <v>3</v>
      </c>
      <c r="C58" s="4" t="s">
        <v>304</v>
      </c>
      <c r="D58" s="4">
        <v>3</v>
      </c>
      <c r="E58" s="4" t="s">
        <v>324</v>
      </c>
      <c r="F58" s="41"/>
      <c r="G58" s="41"/>
    </row>
    <row r="59" spans="2:7" s="1" customFormat="1" x14ac:dyDescent="0.45">
      <c r="B59" s="4">
        <v>4</v>
      </c>
      <c r="C59" s="4" t="s">
        <v>304</v>
      </c>
      <c r="D59" s="4">
        <v>4</v>
      </c>
      <c r="E59" s="4" t="s">
        <v>325</v>
      </c>
    </row>
    <row r="60" spans="2:7" s="1" customFormat="1" x14ac:dyDescent="0.45">
      <c r="B60" s="4">
        <v>5</v>
      </c>
      <c r="C60" s="4" t="s">
        <v>304</v>
      </c>
      <c r="D60" s="4">
        <v>5</v>
      </c>
      <c r="E60" s="4" t="s">
        <v>326</v>
      </c>
    </row>
    <row r="61" spans="2:7" s="1" customFormat="1" x14ac:dyDescent="0.45">
      <c r="B61" s="4">
        <v>6</v>
      </c>
      <c r="C61" s="4" t="s">
        <v>304</v>
      </c>
      <c r="D61" s="4">
        <v>6</v>
      </c>
      <c r="E61" s="4" t="s">
        <v>327</v>
      </c>
    </row>
    <row r="62" spans="2:7" s="1" customFormat="1" x14ac:dyDescent="0.45">
      <c r="B62" s="4">
        <v>7</v>
      </c>
      <c r="C62" s="4" t="s">
        <v>304</v>
      </c>
      <c r="D62" s="4">
        <v>7</v>
      </c>
      <c r="E62" s="4" t="s">
        <v>328</v>
      </c>
    </row>
    <row r="63" spans="2:7" s="1" customFormat="1" x14ac:dyDescent="0.45"/>
    <row r="64" spans="2:7" s="1" customFormat="1" x14ac:dyDescent="0.45"/>
    <row r="65" spans="1:7" s="1" customFormat="1" x14ac:dyDescent="0.45"/>
    <row r="66" spans="1:7" s="1" customFormat="1" x14ac:dyDescent="0.45"/>
    <row r="67" spans="1:7" s="1" customFormat="1" x14ac:dyDescent="0.45"/>
    <row r="68" spans="1:7" s="1" customFormat="1" x14ac:dyDescent="0.45"/>
    <row r="69" spans="1:7" s="1" customFormat="1" x14ac:dyDescent="0.45"/>
    <row r="70" spans="1:7" s="1" customFormat="1" x14ac:dyDescent="0.45"/>
    <row r="71" spans="1:7" s="1" customFormat="1" x14ac:dyDescent="0.45"/>
    <row r="72" spans="1:7" s="1" customFormat="1" x14ac:dyDescent="0.45"/>
    <row r="73" spans="1:7" s="1" customFormat="1" x14ac:dyDescent="0.45"/>
    <row r="74" spans="1:7" s="1" customFormat="1" x14ac:dyDescent="0.45"/>
    <row r="75" spans="1:7" s="1" customFormat="1" x14ac:dyDescent="0.45"/>
    <row r="76" spans="1:7" x14ac:dyDescent="0.45">
      <c r="A76" s="1"/>
      <c r="B76" s="1"/>
      <c r="C76" s="1"/>
      <c r="D76" s="1"/>
      <c r="E76" s="1"/>
      <c r="F76" s="1"/>
      <c r="G76" s="1"/>
    </row>
    <row r="77" spans="1:7" x14ac:dyDescent="0.45">
      <c r="A77" s="1"/>
      <c r="B77" s="1"/>
      <c r="C77" s="1"/>
      <c r="D77" s="1"/>
      <c r="E77" s="1"/>
      <c r="F77" s="1"/>
      <c r="G77" s="1"/>
    </row>
    <row r="78" spans="1:7" x14ac:dyDescent="0.45">
      <c r="A78" s="1"/>
      <c r="B78" s="1"/>
      <c r="C78" s="1"/>
      <c r="D78" s="1"/>
      <c r="E78" s="1"/>
      <c r="F78" s="1"/>
      <c r="G78" s="1"/>
    </row>
    <row r="79" spans="1:7" x14ac:dyDescent="0.45">
      <c r="A79" s="1"/>
      <c r="B79" s="1"/>
      <c r="C79" s="1"/>
      <c r="D79" s="1"/>
      <c r="E79" s="1"/>
      <c r="F79" s="1"/>
      <c r="G79" s="1"/>
    </row>
    <row r="80" spans="1:7" x14ac:dyDescent="0.45">
      <c r="A80" s="1"/>
      <c r="B80" s="1"/>
      <c r="C80" s="1"/>
      <c r="D80" s="1"/>
      <c r="E80" s="1"/>
      <c r="F80" s="1"/>
      <c r="G80" s="1"/>
    </row>
    <row r="81" spans="1:7" x14ac:dyDescent="0.45">
      <c r="A81" s="1"/>
      <c r="B81" s="1"/>
      <c r="C81" s="1"/>
      <c r="D81" s="1"/>
      <c r="E81" s="1"/>
      <c r="F81" s="1"/>
      <c r="G81" s="1"/>
    </row>
    <row r="82" spans="1:7" x14ac:dyDescent="0.45">
      <c r="A82" s="1"/>
      <c r="B82" s="1"/>
      <c r="C82" s="1"/>
      <c r="D82" s="1"/>
      <c r="E82" s="1"/>
      <c r="F82" s="1"/>
      <c r="G82" s="1"/>
    </row>
    <row r="83" spans="1:7" x14ac:dyDescent="0.45">
      <c r="A83" s="1"/>
      <c r="B83" s="1"/>
      <c r="C83" s="1"/>
      <c r="D83" s="1"/>
      <c r="E83" s="1"/>
      <c r="F83" s="1"/>
      <c r="G83" s="1"/>
    </row>
    <row r="84" spans="1:7" x14ac:dyDescent="0.45">
      <c r="A84" s="1"/>
      <c r="B84" s="1"/>
      <c r="C84" s="1"/>
      <c r="D84" s="1"/>
      <c r="E84" s="1"/>
      <c r="F84" s="1"/>
      <c r="G84" s="1"/>
    </row>
    <row r="85" spans="1:7" x14ac:dyDescent="0.45">
      <c r="A85" s="1"/>
      <c r="B85" s="1"/>
      <c r="C85" s="1"/>
      <c r="D85" s="1"/>
      <c r="E85" s="1"/>
      <c r="F85" s="1"/>
      <c r="G85" s="1"/>
    </row>
    <row r="86" spans="1:7" x14ac:dyDescent="0.45">
      <c r="A86" s="1"/>
      <c r="B86" s="1"/>
      <c r="C86" s="1"/>
      <c r="D86" s="1"/>
      <c r="E86" s="1"/>
      <c r="F86" s="1"/>
      <c r="G86" s="1"/>
    </row>
    <row r="87" spans="1:7" x14ac:dyDescent="0.45">
      <c r="A87" s="1"/>
      <c r="B87" s="1"/>
      <c r="C87" s="1"/>
      <c r="D87" s="1"/>
      <c r="E87" s="1"/>
      <c r="F87" s="1"/>
      <c r="G87" s="1"/>
    </row>
    <row r="88" spans="1:7" x14ac:dyDescent="0.45">
      <c r="F88" s="1"/>
      <c r="G88" s="1"/>
    </row>
  </sheetData>
  <mergeCells count="39">
    <mergeCell ref="F4:G4"/>
    <mergeCell ref="B1:G1"/>
    <mergeCell ref="B2:G2"/>
    <mergeCell ref="B3:C3"/>
    <mergeCell ref="D3:E3"/>
    <mergeCell ref="F3:G3"/>
    <mergeCell ref="F28:G28"/>
    <mergeCell ref="F5:G5"/>
    <mergeCell ref="B19:G19"/>
    <mergeCell ref="B20:C20"/>
    <mergeCell ref="D20:E20"/>
    <mergeCell ref="F20:G20"/>
    <mergeCell ref="F21:G21"/>
    <mergeCell ref="F22:G22"/>
    <mergeCell ref="B26:G26"/>
    <mergeCell ref="B27:C27"/>
    <mergeCell ref="D27:E27"/>
    <mergeCell ref="F27:G27"/>
    <mergeCell ref="F46:G46"/>
    <mergeCell ref="F29:G29"/>
    <mergeCell ref="B34:G34"/>
    <mergeCell ref="B35:C35"/>
    <mergeCell ref="D35:E35"/>
    <mergeCell ref="F35:G35"/>
    <mergeCell ref="F36:G36"/>
    <mergeCell ref="F37:G37"/>
    <mergeCell ref="B44:G44"/>
    <mergeCell ref="B45:C45"/>
    <mergeCell ref="D45:E45"/>
    <mergeCell ref="F45:G45"/>
    <mergeCell ref="F30:G30"/>
    <mergeCell ref="F55:G55"/>
    <mergeCell ref="F57:G57"/>
    <mergeCell ref="F58:G58"/>
    <mergeCell ref="F47:G47"/>
    <mergeCell ref="B53:G53"/>
    <mergeCell ref="B54:C54"/>
    <mergeCell ref="D54:E54"/>
    <mergeCell ref="F54:G54"/>
  </mergeCells>
  <pageMargins left="0.39370078740157483" right="0.70866141732283472" top="0.15748031496062992" bottom="0.15748031496062992" header="0.31496062992125984" footer="0.31496062992125984"/>
  <pageSetup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8">
    <pageSetUpPr fitToPage="1"/>
  </sheetPr>
  <dimension ref="A1:P77"/>
  <sheetViews>
    <sheetView zoomScaleNormal="100" workbookViewId="0">
      <selection activeCell="E19" sqref="E19"/>
    </sheetView>
  </sheetViews>
  <sheetFormatPr defaultRowHeight="14.25" x14ac:dyDescent="0.45"/>
  <cols>
    <col min="1" max="1" width="1.73046875" customWidth="1"/>
    <col min="2" max="2" width="3" bestFit="1" customWidth="1"/>
    <col min="3" max="3" width="29.265625" customWidth="1"/>
    <col min="4" max="4" width="3" customWidth="1"/>
    <col min="5" max="5" width="29.265625" customWidth="1"/>
    <col min="6" max="6" width="6.59765625" customWidth="1"/>
    <col min="7" max="7" width="14.265625" customWidth="1"/>
    <col min="8" max="8" width="9.1328125" style="1" customWidth="1"/>
    <col min="9" max="16" width="9.1328125" style="1"/>
  </cols>
  <sheetData>
    <row r="1" spans="1:7" ht="30.75" customHeight="1" x14ac:dyDescent="0.45">
      <c r="A1" s="1"/>
      <c r="B1" s="35" t="s">
        <v>329</v>
      </c>
      <c r="C1" s="35"/>
      <c r="D1" s="35"/>
      <c r="E1" s="35"/>
      <c r="F1" s="35"/>
      <c r="G1" s="35"/>
    </row>
    <row r="2" spans="1:7" ht="21" customHeight="1" x14ac:dyDescent="0.65">
      <c r="A2" s="1"/>
      <c r="B2" s="18" t="s">
        <v>330</v>
      </c>
      <c r="C2" s="19"/>
      <c r="D2" s="19"/>
      <c r="E2" s="19"/>
      <c r="F2" s="19"/>
      <c r="G2" s="20"/>
    </row>
    <row r="3" spans="1:7" ht="15" customHeight="1" x14ac:dyDescent="0.45">
      <c r="A3" s="1"/>
      <c r="B3" s="21" t="s">
        <v>2</v>
      </c>
      <c r="C3" s="22"/>
      <c r="D3" s="22" t="s">
        <v>3</v>
      </c>
      <c r="E3" s="22"/>
      <c r="F3" s="22" t="s">
        <v>40</v>
      </c>
      <c r="G3" s="23"/>
    </row>
    <row r="4" spans="1:7" x14ac:dyDescent="0.45">
      <c r="A4" s="1"/>
      <c r="B4" s="3"/>
      <c r="C4" s="3" t="s">
        <v>5</v>
      </c>
      <c r="D4" s="3"/>
      <c r="E4" s="3" t="s">
        <v>5</v>
      </c>
      <c r="F4" s="31" t="s">
        <v>331</v>
      </c>
      <c r="G4" s="31"/>
    </row>
    <row r="5" spans="1:7" ht="15" customHeight="1" x14ac:dyDescent="0.45">
      <c r="A5" s="1"/>
      <c r="B5" s="4">
        <v>1</v>
      </c>
      <c r="C5" s="4" t="s">
        <v>332</v>
      </c>
      <c r="D5" s="4">
        <v>1</v>
      </c>
      <c r="E5" s="4" t="s">
        <v>333</v>
      </c>
      <c r="F5" s="24" t="s">
        <v>334</v>
      </c>
      <c r="G5" s="24"/>
    </row>
    <row r="6" spans="1:7" x14ac:dyDescent="0.45">
      <c r="A6" s="1"/>
      <c r="B6" s="4">
        <v>2</v>
      </c>
      <c r="C6" s="4" t="s">
        <v>335</v>
      </c>
      <c r="D6" s="4">
        <v>2</v>
      </c>
      <c r="E6" s="4" t="s">
        <v>336</v>
      </c>
      <c r="F6" s="1"/>
      <c r="G6" s="1"/>
    </row>
    <row r="7" spans="1:7" ht="15" customHeight="1" x14ac:dyDescent="0.45">
      <c r="A7" s="1"/>
      <c r="B7" s="4">
        <v>3</v>
      </c>
      <c r="C7" s="4" t="s">
        <v>337</v>
      </c>
      <c r="D7" s="4">
        <v>3</v>
      </c>
      <c r="E7" s="4" t="s">
        <v>338</v>
      </c>
      <c r="F7" s="5"/>
      <c r="G7" s="1"/>
    </row>
    <row r="8" spans="1:7" ht="15" customHeight="1" x14ac:dyDescent="0.45">
      <c r="A8" s="1"/>
      <c r="B8" s="4">
        <v>4</v>
      </c>
      <c r="C8" s="4" t="s">
        <v>339</v>
      </c>
      <c r="D8" s="4">
        <v>4</v>
      </c>
      <c r="E8" s="4" t="s">
        <v>340</v>
      </c>
      <c r="F8" s="5"/>
      <c r="G8" s="1"/>
    </row>
    <row r="9" spans="1:7" ht="15" customHeight="1" x14ac:dyDescent="0.45">
      <c r="A9" s="1"/>
      <c r="B9" s="4">
        <v>5</v>
      </c>
      <c r="C9" s="4" t="s">
        <v>341</v>
      </c>
      <c r="D9" s="4">
        <v>5</v>
      </c>
      <c r="E9" s="4" t="s">
        <v>304</v>
      </c>
      <c r="F9" s="5"/>
      <c r="G9" s="1"/>
    </row>
    <row r="10" spans="1:7" s="1" customFormat="1" ht="21" x14ac:dyDescent="0.65">
      <c r="B10" s="18" t="s">
        <v>342</v>
      </c>
      <c r="C10" s="19"/>
      <c r="D10" s="19"/>
      <c r="E10" s="19"/>
      <c r="F10" s="19"/>
      <c r="G10" s="20"/>
    </row>
    <row r="11" spans="1:7" s="1" customFormat="1" x14ac:dyDescent="0.45">
      <c r="B11" s="21" t="s">
        <v>2</v>
      </c>
      <c r="C11" s="22"/>
      <c r="D11" s="22" t="s">
        <v>3</v>
      </c>
      <c r="E11" s="22"/>
      <c r="F11" s="22" t="s">
        <v>40</v>
      </c>
      <c r="G11" s="23"/>
    </row>
    <row r="12" spans="1:7" s="1" customFormat="1" x14ac:dyDescent="0.45">
      <c r="B12" s="8"/>
      <c r="C12" s="8" t="s">
        <v>5</v>
      </c>
      <c r="D12" s="8"/>
      <c r="E12" s="8" t="s">
        <v>5</v>
      </c>
      <c r="F12" s="24" t="s">
        <v>331</v>
      </c>
      <c r="G12" s="24"/>
    </row>
    <row r="13" spans="1:7" s="1" customFormat="1" x14ac:dyDescent="0.45">
      <c r="B13" s="4">
        <v>1</v>
      </c>
      <c r="C13" s="4" t="s">
        <v>343</v>
      </c>
      <c r="D13" s="4">
        <v>1</v>
      </c>
      <c r="E13" s="4" t="s">
        <v>344</v>
      </c>
      <c r="F13" s="24" t="s">
        <v>345</v>
      </c>
      <c r="G13" s="24"/>
    </row>
    <row r="14" spans="1:7" s="1" customFormat="1" x14ac:dyDescent="0.45">
      <c r="B14" s="4">
        <v>2</v>
      </c>
      <c r="C14" s="4" t="s">
        <v>346</v>
      </c>
      <c r="D14" s="4">
        <v>2</v>
      </c>
      <c r="E14" s="4" t="s">
        <v>347</v>
      </c>
    </row>
    <row r="15" spans="1:7" s="1" customFormat="1" x14ac:dyDescent="0.45">
      <c r="B15" s="4">
        <v>3</v>
      </c>
      <c r="C15" s="4" t="s">
        <v>348</v>
      </c>
      <c r="D15" s="4">
        <v>3</v>
      </c>
      <c r="E15" s="4" t="s">
        <v>349</v>
      </c>
    </row>
    <row r="16" spans="1:7" s="1" customFormat="1" x14ac:dyDescent="0.45">
      <c r="B16" s="4">
        <v>4</v>
      </c>
      <c r="C16" s="4" t="s">
        <v>350</v>
      </c>
      <c r="D16" s="4">
        <v>4</v>
      </c>
      <c r="E16" s="4" t="s">
        <v>304</v>
      </c>
    </row>
    <row r="17" spans="2:7" s="1" customFormat="1" x14ac:dyDescent="0.45">
      <c r="B17" s="4">
        <v>5</v>
      </c>
      <c r="C17" s="4" t="s">
        <v>351</v>
      </c>
      <c r="D17" s="4">
        <v>5</v>
      </c>
      <c r="E17" s="4" t="s">
        <v>304</v>
      </c>
    </row>
    <row r="18" spans="2:7" s="1" customFormat="1" x14ac:dyDescent="0.45">
      <c r="B18" s="4">
        <v>6</v>
      </c>
      <c r="C18" s="4" t="s">
        <v>352</v>
      </c>
      <c r="D18" s="4">
        <v>6</v>
      </c>
      <c r="E18" s="4" t="s">
        <v>304</v>
      </c>
    </row>
    <row r="19" spans="2:7" s="1" customFormat="1" x14ac:dyDescent="0.45">
      <c r="B19" s="4">
        <v>7</v>
      </c>
      <c r="C19" s="4" t="s">
        <v>353</v>
      </c>
      <c r="D19" s="4">
        <v>7</v>
      </c>
      <c r="E19" s="4" t="s">
        <v>304</v>
      </c>
    </row>
    <row r="20" spans="2:7" s="1" customFormat="1" x14ac:dyDescent="0.45">
      <c r="B20" s="4">
        <v>8</v>
      </c>
      <c r="C20" s="4" t="s">
        <v>354</v>
      </c>
      <c r="D20" s="4">
        <v>8</v>
      </c>
      <c r="E20" s="4" t="s">
        <v>304</v>
      </c>
    </row>
    <row r="21" spans="2:7" s="1" customFormat="1" ht="21" x14ac:dyDescent="0.65">
      <c r="B21" s="18" t="s">
        <v>355</v>
      </c>
      <c r="C21" s="19"/>
      <c r="D21" s="19"/>
      <c r="E21" s="19"/>
      <c r="F21" s="19"/>
      <c r="G21" s="20"/>
    </row>
    <row r="22" spans="2:7" s="1" customFormat="1" x14ac:dyDescent="0.45">
      <c r="B22" s="21" t="s">
        <v>2</v>
      </c>
      <c r="C22" s="22"/>
      <c r="D22" s="22" t="s">
        <v>3</v>
      </c>
      <c r="E22" s="22"/>
      <c r="F22" s="22" t="s">
        <v>40</v>
      </c>
      <c r="G22" s="23"/>
    </row>
    <row r="23" spans="2:7" s="1" customFormat="1" x14ac:dyDescent="0.45">
      <c r="B23" s="8"/>
      <c r="C23" s="8" t="s">
        <v>5</v>
      </c>
      <c r="D23" s="8"/>
      <c r="E23" s="8" t="s">
        <v>5</v>
      </c>
      <c r="F23" s="24" t="s">
        <v>356</v>
      </c>
      <c r="G23" s="24"/>
    </row>
    <row r="24" spans="2:7" s="1" customFormat="1" x14ac:dyDescent="0.45">
      <c r="B24" s="4">
        <v>1</v>
      </c>
      <c r="C24" s="4" t="s">
        <v>357</v>
      </c>
      <c r="D24" s="4">
        <v>1</v>
      </c>
      <c r="E24" s="1" t="s">
        <v>358</v>
      </c>
      <c r="F24" s="24"/>
      <c r="G24" s="24"/>
    </row>
    <row r="25" spans="2:7" s="1" customFormat="1" x14ac:dyDescent="0.45">
      <c r="B25" s="4">
        <v>2</v>
      </c>
      <c r="C25" s="4" t="s">
        <v>359</v>
      </c>
      <c r="D25" s="4">
        <v>2</v>
      </c>
      <c r="E25" s="4" t="s">
        <v>360</v>
      </c>
    </row>
    <row r="26" spans="2:7" s="1" customFormat="1" x14ac:dyDescent="0.45">
      <c r="B26" s="4">
        <v>3</v>
      </c>
      <c r="C26" s="4" t="s">
        <v>361</v>
      </c>
      <c r="D26" s="4">
        <v>3</v>
      </c>
      <c r="E26" s="4" t="s">
        <v>304</v>
      </c>
    </row>
    <row r="27" spans="2:7" s="1" customFormat="1" x14ac:dyDescent="0.45">
      <c r="B27" s="4">
        <v>4</v>
      </c>
      <c r="C27" s="4" t="s">
        <v>362</v>
      </c>
      <c r="D27" s="4">
        <v>4</v>
      </c>
      <c r="E27" s="4" t="s">
        <v>304</v>
      </c>
    </row>
    <row r="28" spans="2:7" s="1" customFormat="1" x14ac:dyDescent="0.45">
      <c r="B28" s="4">
        <v>5</v>
      </c>
      <c r="C28" s="4" t="s">
        <v>363</v>
      </c>
      <c r="D28" s="4">
        <v>5</v>
      </c>
      <c r="E28" s="4" t="s">
        <v>304</v>
      </c>
    </row>
    <row r="29" spans="2:7" s="1" customFormat="1" x14ac:dyDescent="0.45">
      <c r="B29" s="4">
        <v>6</v>
      </c>
      <c r="C29" s="4" t="s">
        <v>364</v>
      </c>
      <c r="D29" s="4">
        <v>6</v>
      </c>
      <c r="E29" s="4" t="s">
        <v>304</v>
      </c>
    </row>
    <row r="30" spans="2:7" s="1" customFormat="1" x14ac:dyDescent="0.45">
      <c r="B30" s="4">
        <v>7</v>
      </c>
      <c r="C30" s="4" t="s">
        <v>365</v>
      </c>
      <c r="D30" s="4">
        <v>7</v>
      </c>
      <c r="E30" s="4" t="s">
        <v>304</v>
      </c>
    </row>
    <row r="31" spans="2:7" s="1" customFormat="1" x14ac:dyDescent="0.45">
      <c r="B31" s="4">
        <v>8</v>
      </c>
      <c r="C31" s="4" t="s">
        <v>366</v>
      </c>
      <c r="D31" s="4">
        <v>8</v>
      </c>
      <c r="E31" s="4" t="s">
        <v>304</v>
      </c>
    </row>
    <row r="32" spans="2:7" s="1" customFormat="1" ht="21" x14ac:dyDescent="0.65">
      <c r="B32" s="18" t="s">
        <v>367</v>
      </c>
      <c r="C32" s="19"/>
      <c r="D32" s="19"/>
      <c r="E32" s="19"/>
      <c r="F32" s="19"/>
      <c r="G32" s="20"/>
    </row>
    <row r="33" spans="2:7" s="1" customFormat="1" x14ac:dyDescent="0.45">
      <c r="B33" s="21" t="s">
        <v>2</v>
      </c>
      <c r="C33" s="22"/>
      <c r="D33" s="22" t="s">
        <v>3</v>
      </c>
      <c r="E33" s="22"/>
      <c r="F33" s="22" t="s">
        <v>40</v>
      </c>
      <c r="G33" s="23"/>
    </row>
    <row r="34" spans="2:7" s="1" customFormat="1" x14ac:dyDescent="0.45">
      <c r="B34" s="8"/>
      <c r="C34" s="8" t="s">
        <v>5</v>
      </c>
      <c r="D34" s="8"/>
      <c r="E34" s="8" t="s">
        <v>5</v>
      </c>
      <c r="F34" s="24" t="s">
        <v>368</v>
      </c>
      <c r="G34" s="24"/>
    </row>
    <row r="35" spans="2:7" s="1" customFormat="1" x14ac:dyDescent="0.45">
      <c r="B35" s="4">
        <v>1</v>
      </c>
      <c r="C35" s="4" t="s">
        <v>369</v>
      </c>
      <c r="D35" s="4">
        <v>1</v>
      </c>
      <c r="E35" s="4" t="s">
        <v>370</v>
      </c>
      <c r="F35" s="24" t="s">
        <v>371</v>
      </c>
      <c r="G35" s="24"/>
    </row>
    <row r="36" spans="2:7" s="1" customFormat="1" x14ac:dyDescent="0.45">
      <c r="B36" s="4">
        <v>2</v>
      </c>
      <c r="C36" s="4" t="s">
        <v>372</v>
      </c>
      <c r="D36" s="4">
        <v>2</v>
      </c>
      <c r="E36" s="4" t="s">
        <v>373</v>
      </c>
    </row>
    <row r="37" spans="2:7" s="1" customFormat="1" x14ac:dyDescent="0.45">
      <c r="B37" s="4">
        <v>3</v>
      </c>
      <c r="C37" s="4" t="s">
        <v>374</v>
      </c>
      <c r="D37" s="4">
        <v>3</v>
      </c>
      <c r="E37" s="4" t="s">
        <v>375</v>
      </c>
    </row>
    <row r="38" spans="2:7" s="1" customFormat="1" x14ac:dyDescent="0.45">
      <c r="B38" s="4">
        <v>4</v>
      </c>
      <c r="C38" s="4" t="s">
        <v>376</v>
      </c>
      <c r="D38" s="4">
        <v>4</v>
      </c>
      <c r="E38" s="4" t="s">
        <v>377</v>
      </c>
    </row>
    <row r="39" spans="2:7" s="1" customFormat="1" x14ac:dyDescent="0.45">
      <c r="B39" s="4">
        <v>5</v>
      </c>
      <c r="C39" s="4" t="s">
        <v>378</v>
      </c>
      <c r="D39" s="4">
        <v>5</v>
      </c>
      <c r="E39" s="4" t="s">
        <v>304</v>
      </c>
    </row>
    <row r="40" spans="2:7" s="1" customFormat="1" ht="21" x14ac:dyDescent="0.65">
      <c r="B40" s="18" t="s">
        <v>379</v>
      </c>
      <c r="C40" s="19"/>
      <c r="D40" s="19"/>
      <c r="E40" s="19"/>
      <c r="F40" s="19"/>
      <c r="G40" s="20"/>
    </row>
    <row r="41" spans="2:7" s="1" customFormat="1" x14ac:dyDescent="0.45">
      <c r="B41" s="21" t="s">
        <v>2</v>
      </c>
      <c r="C41" s="22"/>
      <c r="D41" s="22" t="s">
        <v>3</v>
      </c>
      <c r="E41" s="22"/>
      <c r="F41" s="22" t="s">
        <v>40</v>
      </c>
      <c r="G41" s="23"/>
    </row>
    <row r="42" spans="2:7" s="1" customFormat="1" x14ac:dyDescent="0.45">
      <c r="B42" s="8"/>
      <c r="C42" s="8" t="s">
        <v>5</v>
      </c>
      <c r="D42" s="8"/>
      <c r="E42" s="8" t="s">
        <v>5</v>
      </c>
      <c r="F42" s="24" t="s">
        <v>380</v>
      </c>
      <c r="G42" s="24"/>
    </row>
    <row r="43" spans="2:7" s="1" customFormat="1" x14ac:dyDescent="0.45">
      <c r="B43" s="4">
        <v>1</v>
      </c>
      <c r="C43" s="4" t="s">
        <v>381</v>
      </c>
      <c r="D43" s="4">
        <v>1</v>
      </c>
      <c r="E43" s="4"/>
      <c r="F43" s="24" t="s">
        <v>382</v>
      </c>
      <c r="G43" s="24"/>
    </row>
    <row r="44" spans="2:7" s="1" customFormat="1" x14ac:dyDescent="0.45">
      <c r="B44" s="4">
        <v>2</v>
      </c>
      <c r="C44" s="4" t="s">
        <v>383</v>
      </c>
      <c r="D44" s="4">
        <v>2</v>
      </c>
      <c r="E44" s="4"/>
      <c r="F44" s="41"/>
      <c r="G44" s="41"/>
    </row>
    <row r="45" spans="2:7" s="1" customFormat="1" x14ac:dyDescent="0.45">
      <c r="B45" s="4">
        <v>3</v>
      </c>
      <c r="C45" s="4" t="s">
        <v>384</v>
      </c>
      <c r="D45" s="4">
        <v>3</v>
      </c>
      <c r="E45" s="4"/>
      <c r="F45" s="41"/>
      <c r="G45" s="41"/>
    </row>
    <row r="46" spans="2:7" s="1" customFormat="1" x14ac:dyDescent="0.45">
      <c r="B46" s="4">
        <v>4</v>
      </c>
      <c r="C46" s="4" t="s">
        <v>385</v>
      </c>
      <c r="D46" s="4">
        <v>4</v>
      </c>
      <c r="E46" s="4"/>
    </row>
    <row r="47" spans="2:7" s="1" customFormat="1" x14ac:dyDescent="0.45">
      <c r="B47" s="4">
        <v>5</v>
      </c>
      <c r="C47" s="4" t="s">
        <v>386</v>
      </c>
      <c r="D47" s="4">
        <v>5</v>
      </c>
      <c r="E47" s="4"/>
    </row>
    <row r="48" spans="2:7" s="1" customFormat="1" x14ac:dyDescent="0.45">
      <c r="B48" s="4">
        <v>6</v>
      </c>
      <c r="C48" s="4" t="s">
        <v>387</v>
      </c>
      <c r="D48" s="4">
        <v>6</v>
      </c>
      <c r="E48" s="4"/>
    </row>
    <row r="49" spans="1:7" s="1" customFormat="1" x14ac:dyDescent="0.45">
      <c r="B49" s="4">
        <v>7</v>
      </c>
      <c r="C49" s="4" t="s">
        <v>388</v>
      </c>
      <c r="D49" s="4">
        <v>7</v>
      </c>
      <c r="E49" s="4"/>
    </row>
    <row r="50" spans="1:7" s="1" customFormat="1" x14ac:dyDescent="0.45">
      <c r="B50" s="4">
        <v>8</v>
      </c>
      <c r="C50" s="4" t="s">
        <v>389</v>
      </c>
      <c r="D50" s="4">
        <v>8</v>
      </c>
      <c r="E50" s="4"/>
    </row>
    <row r="51" spans="1:7" s="1" customFormat="1" x14ac:dyDescent="0.45">
      <c r="B51" s="4">
        <v>9</v>
      </c>
      <c r="C51" s="4" t="s">
        <v>390</v>
      </c>
      <c r="D51" s="4">
        <v>9</v>
      </c>
      <c r="E51" s="4"/>
      <c r="F51" s="15" t="s">
        <v>271</v>
      </c>
    </row>
    <row r="52" spans="1:7" s="1" customFormat="1" x14ac:dyDescent="0.45"/>
    <row r="53" spans="1:7" s="1" customFormat="1" x14ac:dyDescent="0.45"/>
    <row r="54" spans="1:7" s="1" customFormat="1" x14ac:dyDescent="0.45"/>
    <row r="55" spans="1:7" s="1" customFormat="1" x14ac:dyDescent="0.45"/>
    <row r="56" spans="1:7" s="1" customFormat="1" x14ac:dyDescent="0.45"/>
    <row r="57" spans="1:7" s="1" customFormat="1" x14ac:dyDescent="0.45"/>
    <row r="58" spans="1:7" s="1" customFormat="1" x14ac:dyDescent="0.45"/>
    <row r="59" spans="1:7" s="1" customFormat="1" x14ac:dyDescent="0.45"/>
    <row r="60" spans="1:7" s="1" customFormat="1" x14ac:dyDescent="0.45"/>
    <row r="61" spans="1:7" s="1" customFormat="1" x14ac:dyDescent="0.45"/>
    <row r="62" spans="1:7" x14ac:dyDescent="0.45">
      <c r="A62" s="1"/>
      <c r="B62" s="1"/>
      <c r="C62" s="1"/>
      <c r="D62" s="1"/>
      <c r="E62" s="1"/>
      <c r="F62" s="1"/>
      <c r="G62" s="1"/>
    </row>
    <row r="63" spans="1:7" x14ac:dyDescent="0.45">
      <c r="A63" s="1"/>
      <c r="B63" s="1"/>
      <c r="C63" s="1"/>
      <c r="D63" s="1"/>
      <c r="E63" s="1"/>
      <c r="F63" s="1"/>
      <c r="G63" s="1"/>
    </row>
    <row r="64" spans="1:7" x14ac:dyDescent="0.45">
      <c r="A64" s="1"/>
      <c r="B64" s="1"/>
      <c r="C64" s="1"/>
      <c r="D64" s="1"/>
      <c r="E64" s="1"/>
      <c r="F64" s="1"/>
      <c r="G64" s="1"/>
    </row>
    <row r="65" spans="1:7" x14ac:dyDescent="0.45">
      <c r="A65" s="1"/>
      <c r="B65" s="1"/>
      <c r="C65" s="1"/>
      <c r="D65" s="1"/>
      <c r="E65" s="1"/>
      <c r="F65" s="1"/>
      <c r="G65" s="1"/>
    </row>
    <row r="66" spans="1:7" x14ac:dyDescent="0.45">
      <c r="A66" s="1"/>
      <c r="B66" s="1"/>
      <c r="C66" s="1"/>
      <c r="D66" s="1"/>
      <c r="E66" s="1"/>
      <c r="F66" s="1"/>
      <c r="G66" s="1"/>
    </row>
    <row r="67" spans="1:7" x14ac:dyDescent="0.45">
      <c r="A67" s="1"/>
      <c r="B67" s="1"/>
      <c r="C67" s="1"/>
      <c r="D67" s="1"/>
      <c r="E67" s="1"/>
      <c r="F67" s="1"/>
      <c r="G67" s="1"/>
    </row>
    <row r="68" spans="1:7" x14ac:dyDescent="0.45">
      <c r="A68" s="1"/>
      <c r="B68" s="1"/>
      <c r="C68" s="1"/>
      <c r="D68" s="1"/>
      <c r="E68" s="1"/>
      <c r="F68" s="1"/>
      <c r="G68" s="1"/>
    </row>
    <row r="69" spans="1:7" x14ac:dyDescent="0.45">
      <c r="A69" s="1"/>
      <c r="B69" s="1"/>
      <c r="C69" s="1"/>
      <c r="D69" s="1"/>
      <c r="E69" s="1"/>
      <c r="F69" s="1"/>
      <c r="G69" s="1"/>
    </row>
    <row r="70" spans="1:7" x14ac:dyDescent="0.45">
      <c r="A70" s="1"/>
      <c r="B70" s="1"/>
      <c r="C70" s="1"/>
      <c r="D70" s="1"/>
      <c r="E70" s="1"/>
      <c r="F70" s="1"/>
      <c r="G70" s="1"/>
    </row>
    <row r="71" spans="1:7" x14ac:dyDescent="0.45">
      <c r="A71" s="1"/>
      <c r="B71" s="1"/>
      <c r="C71" s="1"/>
      <c r="D71" s="1"/>
      <c r="E71" s="1"/>
      <c r="F71" s="1"/>
      <c r="G71" s="1"/>
    </row>
    <row r="72" spans="1:7" x14ac:dyDescent="0.45">
      <c r="A72" s="1"/>
      <c r="B72" s="1"/>
      <c r="C72" s="1"/>
      <c r="D72" s="1"/>
      <c r="E72" s="1"/>
      <c r="F72" s="1"/>
      <c r="G72" s="1"/>
    </row>
    <row r="73" spans="1:7" x14ac:dyDescent="0.45">
      <c r="A73" s="1"/>
      <c r="B73" s="1"/>
      <c r="C73" s="1"/>
      <c r="D73" s="1"/>
      <c r="E73" s="1"/>
      <c r="F73" s="1"/>
      <c r="G73" s="1"/>
    </row>
    <row r="74" spans="1:7" x14ac:dyDescent="0.45">
      <c r="A74" s="1"/>
      <c r="B74" s="1"/>
      <c r="C74" s="1"/>
      <c r="D74" s="1"/>
      <c r="E74" s="1"/>
      <c r="F74" s="1"/>
      <c r="G74" s="1"/>
    </row>
    <row r="75" spans="1:7" x14ac:dyDescent="0.45">
      <c r="A75" s="1"/>
      <c r="B75" s="1"/>
      <c r="C75" s="1"/>
      <c r="D75" s="1"/>
      <c r="E75" s="1"/>
      <c r="F75" s="1"/>
      <c r="G75" s="1"/>
    </row>
    <row r="76" spans="1:7" x14ac:dyDescent="0.45">
      <c r="A76" s="1"/>
      <c r="B76" s="1"/>
      <c r="C76" s="1"/>
      <c r="D76" s="1"/>
      <c r="E76" s="1"/>
      <c r="F76" s="1"/>
      <c r="G76" s="1"/>
    </row>
    <row r="77" spans="1:7" x14ac:dyDescent="0.45">
      <c r="F77" s="1"/>
      <c r="G77" s="1"/>
    </row>
  </sheetData>
  <mergeCells count="33">
    <mergeCell ref="F12:G12"/>
    <mergeCell ref="B1:G1"/>
    <mergeCell ref="B2:G2"/>
    <mergeCell ref="B3:C3"/>
    <mergeCell ref="D3:E3"/>
    <mergeCell ref="F3:G3"/>
    <mergeCell ref="F4:G4"/>
    <mergeCell ref="F5:G5"/>
    <mergeCell ref="B10:G10"/>
    <mergeCell ref="B11:C11"/>
    <mergeCell ref="D11:E11"/>
    <mergeCell ref="F11:G11"/>
    <mergeCell ref="F34:G34"/>
    <mergeCell ref="F13:G13"/>
    <mergeCell ref="B21:G21"/>
    <mergeCell ref="B22:C22"/>
    <mergeCell ref="D22:E22"/>
    <mergeCell ref="F22:G22"/>
    <mergeCell ref="F23:G23"/>
    <mergeCell ref="F24:G24"/>
    <mergeCell ref="B32:G32"/>
    <mergeCell ref="B33:C33"/>
    <mergeCell ref="D33:E33"/>
    <mergeCell ref="F33:G33"/>
    <mergeCell ref="F43:G43"/>
    <mergeCell ref="F44:G44"/>
    <mergeCell ref="F45:G45"/>
    <mergeCell ref="F35:G35"/>
    <mergeCell ref="B40:G40"/>
    <mergeCell ref="B41:C41"/>
    <mergeCell ref="D41:E41"/>
    <mergeCell ref="F41:G41"/>
    <mergeCell ref="F42:G42"/>
  </mergeCells>
  <pageMargins left="0.39370078740157483" right="0.70866141732283472" top="0.15748031496062992" bottom="0.15748031496062992" header="0.31496062992125984" footer="0.31496062992125984"/>
  <pageSetup paperSize="9"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6">
    <pageSetUpPr fitToPage="1"/>
  </sheetPr>
  <dimension ref="A1:M66"/>
  <sheetViews>
    <sheetView topLeftCell="A34" zoomScaleNormal="100" workbookViewId="0">
      <selection activeCell="K40" sqref="K40"/>
    </sheetView>
  </sheetViews>
  <sheetFormatPr defaultRowHeight="14.25" x14ac:dyDescent="0.45"/>
  <cols>
    <col min="1" max="1" width="1.73046875" customWidth="1"/>
    <col min="2" max="2" width="3" bestFit="1" customWidth="1"/>
    <col min="3" max="3" width="29.265625" customWidth="1"/>
    <col min="4" max="4" width="3" bestFit="1" customWidth="1"/>
    <col min="5" max="5" width="29.265625" customWidth="1"/>
    <col min="6" max="6" width="6.3984375" customWidth="1"/>
    <col min="7" max="7" width="12.73046875" customWidth="1"/>
    <col min="8" max="13" width="9.1328125" style="1"/>
  </cols>
  <sheetData>
    <row r="1" spans="1:7" ht="30.75" customHeight="1" x14ac:dyDescent="0.45">
      <c r="A1" s="1"/>
      <c r="B1" s="27" t="s">
        <v>391</v>
      </c>
      <c r="C1" s="27"/>
      <c r="D1" s="27"/>
      <c r="E1" s="27"/>
      <c r="F1" s="27"/>
      <c r="G1" s="27"/>
    </row>
    <row r="2" spans="1:7" ht="21" customHeight="1" x14ac:dyDescent="0.65">
      <c r="A2" s="1"/>
      <c r="B2" s="18" t="s">
        <v>392</v>
      </c>
      <c r="C2" s="19"/>
      <c r="D2" s="19"/>
      <c r="E2" s="19"/>
      <c r="F2" s="19"/>
      <c r="G2" s="20"/>
    </row>
    <row r="3" spans="1:7" ht="15" customHeight="1" x14ac:dyDescent="0.45">
      <c r="A3" s="1"/>
      <c r="B3" s="21" t="s">
        <v>2</v>
      </c>
      <c r="C3" s="22"/>
      <c r="D3" s="22" t="s">
        <v>3</v>
      </c>
      <c r="E3" s="22"/>
      <c r="F3" s="22" t="s">
        <v>40</v>
      </c>
      <c r="G3" s="23"/>
    </row>
    <row r="4" spans="1:7" x14ac:dyDescent="0.45">
      <c r="A4" s="1"/>
      <c r="B4" s="3"/>
      <c r="C4" s="3" t="s">
        <v>5</v>
      </c>
      <c r="D4" s="3"/>
      <c r="E4" s="3" t="s">
        <v>5</v>
      </c>
      <c r="F4" s="31" t="s">
        <v>393</v>
      </c>
      <c r="G4" s="31"/>
    </row>
    <row r="5" spans="1:7" x14ac:dyDescent="0.45">
      <c r="A5" s="1"/>
      <c r="B5" s="4">
        <v>1</v>
      </c>
      <c r="C5" s="4" t="s">
        <v>394</v>
      </c>
      <c r="D5" s="4">
        <v>1</v>
      </c>
      <c r="E5" s="4" t="s">
        <v>395</v>
      </c>
      <c r="F5" s="24" t="s">
        <v>396</v>
      </c>
      <c r="G5" s="24"/>
    </row>
    <row r="6" spans="1:7" x14ac:dyDescent="0.45">
      <c r="A6" s="1"/>
      <c r="B6" s="4">
        <v>2</v>
      </c>
      <c r="C6" s="4" t="s">
        <v>397</v>
      </c>
      <c r="D6" s="4">
        <v>2</v>
      </c>
      <c r="E6" s="4" t="s">
        <v>398</v>
      </c>
      <c r="F6" s="1"/>
      <c r="G6" s="1"/>
    </row>
    <row r="7" spans="1:7" x14ac:dyDescent="0.45">
      <c r="A7" s="1"/>
      <c r="B7" s="4">
        <v>3</v>
      </c>
      <c r="C7" s="4" t="s">
        <v>304</v>
      </c>
      <c r="D7" s="4">
        <v>3</v>
      </c>
      <c r="E7" s="4" t="s">
        <v>399</v>
      </c>
      <c r="F7" s="1"/>
      <c r="G7" s="1"/>
    </row>
    <row r="8" spans="1:7" s="1" customFormat="1" ht="21" x14ac:dyDescent="0.65">
      <c r="B8" s="18" t="s">
        <v>400</v>
      </c>
      <c r="C8" s="19"/>
      <c r="D8" s="19"/>
      <c r="E8" s="19"/>
      <c r="F8" s="19"/>
      <c r="G8" s="20"/>
    </row>
    <row r="9" spans="1:7" s="1" customFormat="1" x14ac:dyDescent="0.45">
      <c r="B9" s="21" t="s">
        <v>2</v>
      </c>
      <c r="C9" s="22"/>
      <c r="D9" s="22" t="s">
        <v>3</v>
      </c>
      <c r="E9" s="22"/>
      <c r="F9" s="22" t="s">
        <v>40</v>
      </c>
      <c r="G9" s="23"/>
    </row>
    <row r="10" spans="1:7" s="1" customFormat="1" x14ac:dyDescent="0.45">
      <c r="B10" s="8"/>
      <c r="C10" s="8" t="s">
        <v>5</v>
      </c>
      <c r="D10" s="8"/>
      <c r="E10" s="8" t="s">
        <v>5</v>
      </c>
      <c r="F10" s="24" t="s">
        <v>401</v>
      </c>
      <c r="G10" s="24"/>
    </row>
    <row r="11" spans="1:7" s="1" customFormat="1" x14ac:dyDescent="0.45">
      <c r="B11" s="4">
        <v>1</v>
      </c>
      <c r="C11" s="4" t="s">
        <v>402</v>
      </c>
      <c r="D11" s="4">
        <v>1</v>
      </c>
      <c r="E11" s="4" t="s">
        <v>403</v>
      </c>
      <c r="F11" s="24" t="s">
        <v>404</v>
      </c>
      <c r="G11" s="24"/>
    </row>
    <row r="12" spans="1:7" s="1" customFormat="1" x14ac:dyDescent="0.45">
      <c r="B12" s="4">
        <v>2</v>
      </c>
      <c r="C12" s="4" t="s">
        <v>405</v>
      </c>
      <c r="D12" s="4">
        <v>2</v>
      </c>
      <c r="E12" s="4" t="s">
        <v>406</v>
      </c>
      <c r="F12" s="48"/>
      <c r="G12" s="39"/>
    </row>
    <row r="13" spans="1:7" s="1" customFormat="1" x14ac:dyDescent="0.45">
      <c r="B13" s="4">
        <v>3</v>
      </c>
      <c r="C13" s="4" t="s">
        <v>407</v>
      </c>
      <c r="D13" s="4">
        <v>3</v>
      </c>
      <c r="E13" s="4"/>
      <c r="F13" s="31"/>
      <c r="G13" s="46"/>
    </row>
    <row r="14" spans="1:7" s="1" customFormat="1" ht="21" x14ac:dyDescent="0.65">
      <c r="B14" s="18" t="s">
        <v>408</v>
      </c>
      <c r="C14" s="19"/>
      <c r="D14" s="19"/>
      <c r="E14" s="19"/>
      <c r="F14" s="19"/>
      <c r="G14" s="20"/>
    </row>
    <row r="15" spans="1:7" s="1" customFormat="1" x14ac:dyDescent="0.45">
      <c r="B15" s="21" t="s">
        <v>2</v>
      </c>
      <c r="C15" s="22"/>
      <c r="D15" s="22" t="s">
        <v>3</v>
      </c>
      <c r="E15" s="22"/>
      <c r="F15" s="22" t="s">
        <v>40</v>
      </c>
      <c r="G15" s="23"/>
    </row>
    <row r="16" spans="1:7" s="1" customFormat="1" x14ac:dyDescent="0.45">
      <c r="B16" s="8"/>
      <c r="C16" s="8" t="s">
        <v>5</v>
      </c>
      <c r="D16" s="8"/>
      <c r="E16" s="8" t="s">
        <v>5</v>
      </c>
      <c r="F16" s="24" t="s">
        <v>409</v>
      </c>
      <c r="G16" s="24"/>
    </row>
    <row r="17" spans="2:7" s="1" customFormat="1" x14ac:dyDescent="0.45">
      <c r="B17" s="4">
        <v>1</v>
      </c>
      <c r="C17" s="4" t="s">
        <v>410</v>
      </c>
      <c r="D17" s="4">
        <v>1</v>
      </c>
      <c r="E17" s="4" t="s">
        <v>411</v>
      </c>
      <c r="F17" s="24" t="s">
        <v>412</v>
      </c>
      <c r="G17" s="24"/>
    </row>
    <row r="18" spans="2:7" s="1" customFormat="1" x14ac:dyDescent="0.45">
      <c r="B18" s="4">
        <v>2</v>
      </c>
      <c r="C18" s="4" t="s">
        <v>413</v>
      </c>
      <c r="D18" s="4">
        <v>2</v>
      </c>
      <c r="E18" s="4" t="s">
        <v>414</v>
      </c>
    </row>
    <row r="19" spans="2:7" s="1" customFormat="1" x14ac:dyDescent="0.45">
      <c r="B19" s="4">
        <v>3</v>
      </c>
      <c r="C19" s="4" t="s">
        <v>415</v>
      </c>
      <c r="D19" s="4">
        <v>3</v>
      </c>
      <c r="E19" s="4" t="s">
        <v>304</v>
      </c>
    </row>
    <row r="20" spans="2:7" s="1" customFormat="1" ht="21" x14ac:dyDescent="0.65">
      <c r="B20" s="18" t="s">
        <v>416</v>
      </c>
      <c r="C20" s="19"/>
      <c r="D20" s="19"/>
      <c r="E20" s="19"/>
      <c r="F20" s="19"/>
      <c r="G20" s="20"/>
    </row>
    <row r="21" spans="2:7" s="1" customFormat="1" x14ac:dyDescent="0.45">
      <c r="B21" s="21" t="s">
        <v>2</v>
      </c>
      <c r="C21" s="22"/>
      <c r="D21" s="22" t="s">
        <v>3</v>
      </c>
      <c r="E21" s="22"/>
      <c r="F21" s="22" t="s">
        <v>40</v>
      </c>
      <c r="G21" s="23"/>
    </row>
    <row r="22" spans="2:7" s="1" customFormat="1" x14ac:dyDescent="0.45">
      <c r="B22" s="8"/>
      <c r="C22" s="8" t="s">
        <v>5</v>
      </c>
      <c r="D22" s="8"/>
      <c r="E22" s="8" t="s">
        <v>5</v>
      </c>
      <c r="F22" s="24" t="s">
        <v>417</v>
      </c>
      <c r="G22" s="24"/>
    </row>
    <row r="23" spans="2:7" s="1" customFormat="1" x14ac:dyDescent="0.45">
      <c r="B23" s="4">
        <v>1</v>
      </c>
      <c r="C23" s="4" t="s">
        <v>418</v>
      </c>
      <c r="D23" s="4">
        <v>1</v>
      </c>
      <c r="E23" s="4" t="s">
        <v>419</v>
      </c>
      <c r="F23" s="17"/>
      <c r="G23" s="17"/>
    </row>
    <row r="24" spans="2:7" s="1" customFormat="1" x14ac:dyDescent="0.45">
      <c r="B24" s="4">
        <v>2</v>
      </c>
      <c r="C24" s="4" t="s">
        <v>420</v>
      </c>
      <c r="D24" s="4">
        <v>2</v>
      </c>
      <c r="E24" s="4" t="s">
        <v>421</v>
      </c>
    </row>
    <row r="25" spans="2:7" s="1" customFormat="1" x14ac:dyDescent="0.45">
      <c r="B25" s="4">
        <v>3</v>
      </c>
      <c r="C25" s="4" t="s">
        <v>304</v>
      </c>
      <c r="D25" s="4">
        <v>3</v>
      </c>
      <c r="E25" s="4" t="s">
        <v>422</v>
      </c>
    </row>
    <row r="26" spans="2:7" s="1" customFormat="1" ht="21" x14ac:dyDescent="0.65">
      <c r="B26" s="18" t="s">
        <v>423</v>
      </c>
      <c r="C26" s="19"/>
      <c r="D26" s="19"/>
      <c r="E26" s="19"/>
      <c r="F26" s="19"/>
      <c r="G26" s="20"/>
    </row>
    <row r="27" spans="2:7" s="1" customFormat="1" x14ac:dyDescent="0.45">
      <c r="B27" s="21" t="s">
        <v>2</v>
      </c>
      <c r="C27" s="22"/>
      <c r="D27" s="22" t="s">
        <v>3</v>
      </c>
      <c r="E27" s="22"/>
      <c r="F27" s="22" t="s">
        <v>40</v>
      </c>
      <c r="G27" s="23"/>
    </row>
    <row r="28" spans="2:7" s="1" customFormat="1" x14ac:dyDescent="0.45">
      <c r="B28" s="8"/>
      <c r="C28" s="8" t="s">
        <v>5</v>
      </c>
      <c r="D28" s="8"/>
      <c r="E28" s="8" t="s">
        <v>5</v>
      </c>
      <c r="F28" s="24" t="s">
        <v>424</v>
      </c>
      <c r="G28" s="24"/>
    </row>
    <row r="29" spans="2:7" s="1" customFormat="1" x14ac:dyDescent="0.45">
      <c r="B29" s="4">
        <v>1</v>
      </c>
      <c r="C29" s="4" t="s">
        <v>425</v>
      </c>
      <c r="D29" s="4">
        <v>1</v>
      </c>
      <c r="E29" s="4" t="s">
        <v>426</v>
      </c>
      <c r="F29" s="24"/>
      <c r="G29" s="24"/>
    </row>
    <row r="30" spans="2:7" s="1" customFormat="1" x14ac:dyDescent="0.45">
      <c r="B30" s="4">
        <v>2</v>
      </c>
      <c r="C30" s="4" t="s">
        <v>427</v>
      </c>
      <c r="D30" s="4">
        <v>2</v>
      </c>
      <c r="E30" s="4" t="s">
        <v>428</v>
      </c>
      <c r="F30" s="48"/>
      <c r="G30" s="39"/>
    </row>
    <row r="31" spans="2:7" s="1" customFormat="1" x14ac:dyDescent="0.45">
      <c r="B31" s="4">
        <v>3</v>
      </c>
      <c r="C31" s="4" t="s">
        <v>429</v>
      </c>
      <c r="D31" s="4">
        <v>3</v>
      </c>
      <c r="E31" s="4" t="s">
        <v>430</v>
      </c>
      <c r="F31" s="44"/>
      <c r="G31" s="45"/>
    </row>
    <row r="32" spans="2:7" s="1" customFormat="1" ht="21" x14ac:dyDescent="0.65">
      <c r="B32" s="18" t="s">
        <v>431</v>
      </c>
      <c r="C32" s="19"/>
      <c r="D32" s="19"/>
      <c r="E32" s="19"/>
      <c r="F32" s="19"/>
      <c r="G32" s="20"/>
    </row>
    <row r="33" spans="2:7" s="1" customFormat="1" x14ac:dyDescent="0.45">
      <c r="B33" s="21" t="s">
        <v>2</v>
      </c>
      <c r="C33" s="22"/>
      <c r="D33" s="22" t="s">
        <v>3</v>
      </c>
      <c r="E33" s="22"/>
      <c r="F33" s="22" t="s">
        <v>40</v>
      </c>
      <c r="G33" s="23"/>
    </row>
    <row r="34" spans="2:7" s="1" customFormat="1" x14ac:dyDescent="0.45">
      <c r="B34" s="8"/>
      <c r="C34" s="8" t="s">
        <v>5</v>
      </c>
      <c r="D34" s="8"/>
      <c r="E34" s="8" t="s">
        <v>5</v>
      </c>
      <c r="F34" s="24" t="s">
        <v>432</v>
      </c>
      <c r="G34" s="24"/>
    </row>
    <row r="35" spans="2:7" s="1" customFormat="1" x14ac:dyDescent="0.45">
      <c r="B35" s="4">
        <v>1</v>
      </c>
      <c r="C35" s="4" t="s">
        <v>433</v>
      </c>
      <c r="D35" s="4">
        <v>1</v>
      </c>
      <c r="E35" s="4" t="s">
        <v>434</v>
      </c>
      <c r="F35" s="29" t="s">
        <v>89</v>
      </c>
      <c r="G35" s="30"/>
    </row>
    <row r="36" spans="2:7" s="1" customFormat="1" x14ac:dyDescent="0.45">
      <c r="B36" s="4">
        <v>2</v>
      </c>
      <c r="C36" s="4" t="s">
        <v>435</v>
      </c>
      <c r="D36" s="4">
        <v>2</v>
      </c>
      <c r="E36" s="4" t="s">
        <v>436</v>
      </c>
      <c r="F36" s="24" t="s">
        <v>437</v>
      </c>
      <c r="G36" s="24"/>
    </row>
    <row r="37" spans="2:7" s="1" customFormat="1" x14ac:dyDescent="0.45">
      <c r="B37" s="4">
        <v>3</v>
      </c>
      <c r="C37" s="4" t="s">
        <v>304</v>
      </c>
      <c r="D37" s="4">
        <v>3</v>
      </c>
      <c r="E37" s="4" t="s">
        <v>438</v>
      </c>
      <c r="F37" s="24" t="s">
        <v>439</v>
      </c>
      <c r="G37" s="24"/>
    </row>
    <row r="38" spans="2:7" s="1" customFormat="1" ht="21" x14ac:dyDescent="0.65">
      <c r="B38" s="18" t="s">
        <v>440</v>
      </c>
      <c r="C38" s="19"/>
      <c r="D38" s="19"/>
      <c r="E38" s="19"/>
      <c r="F38" s="19"/>
      <c r="G38" s="20"/>
    </row>
    <row r="39" spans="2:7" s="1" customFormat="1" x14ac:dyDescent="0.45">
      <c r="B39" s="21" t="s">
        <v>2</v>
      </c>
      <c r="C39" s="22"/>
      <c r="D39" s="22" t="s">
        <v>3</v>
      </c>
      <c r="E39" s="22"/>
      <c r="F39" s="22" t="s">
        <v>40</v>
      </c>
      <c r="G39" s="23"/>
    </row>
    <row r="40" spans="2:7" s="1" customFormat="1" x14ac:dyDescent="0.45">
      <c r="B40" s="8"/>
      <c r="C40" s="8" t="s">
        <v>5</v>
      </c>
      <c r="D40" s="8"/>
      <c r="E40" s="8" t="s">
        <v>5</v>
      </c>
      <c r="F40" s="24" t="s">
        <v>441</v>
      </c>
      <c r="G40" s="24"/>
    </row>
    <row r="41" spans="2:7" s="1" customFormat="1" x14ac:dyDescent="0.45">
      <c r="B41" s="4">
        <v>1</v>
      </c>
      <c r="C41" s="4" t="s">
        <v>442</v>
      </c>
      <c r="D41" s="4">
        <v>1</v>
      </c>
      <c r="E41" s="4" t="s">
        <v>443</v>
      </c>
      <c r="F41" s="24" t="s">
        <v>444</v>
      </c>
      <c r="G41" s="24"/>
    </row>
    <row r="42" spans="2:7" s="1" customFormat="1" x14ac:dyDescent="0.45">
      <c r="B42" s="4">
        <v>2</v>
      </c>
      <c r="C42" s="4" t="s">
        <v>445</v>
      </c>
      <c r="D42" s="4">
        <v>2</v>
      </c>
      <c r="E42" s="4" t="s">
        <v>446</v>
      </c>
    </row>
    <row r="43" spans="2:7" s="1" customFormat="1" x14ac:dyDescent="0.45">
      <c r="B43" s="4">
        <v>3</v>
      </c>
      <c r="C43" s="4" t="s">
        <v>447</v>
      </c>
      <c r="D43" s="4">
        <v>3</v>
      </c>
      <c r="E43" s="4" t="s">
        <v>448</v>
      </c>
    </row>
    <row r="44" spans="2:7" s="1" customFormat="1" x14ac:dyDescent="0.45">
      <c r="B44" s="6"/>
      <c r="C44" s="6"/>
      <c r="D44" s="6"/>
      <c r="E44" s="6"/>
    </row>
    <row r="45" spans="2:7" s="1" customFormat="1" ht="21" x14ac:dyDescent="0.65">
      <c r="B45" s="18" t="s">
        <v>449</v>
      </c>
      <c r="C45" s="19"/>
      <c r="D45" s="19"/>
      <c r="E45" s="19"/>
      <c r="F45" s="19"/>
      <c r="G45" s="20"/>
    </row>
    <row r="46" spans="2:7" s="1" customFormat="1" x14ac:dyDescent="0.45">
      <c r="B46" s="21" t="s">
        <v>2</v>
      </c>
      <c r="C46" s="22"/>
      <c r="D46" s="22" t="s">
        <v>3</v>
      </c>
      <c r="E46" s="22"/>
      <c r="F46" s="22" t="s">
        <v>40</v>
      </c>
      <c r="G46" s="23"/>
    </row>
    <row r="47" spans="2:7" s="1" customFormat="1" x14ac:dyDescent="0.45">
      <c r="B47" s="8"/>
      <c r="C47" s="8" t="s">
        <v>5</v>
      </c>
      <c r="D47" s="8"/>
      <c r="E47" s="8" t="s">
        <v>5</v>
      </c>
      <c r="F47" s="24" t="s">
        <v>450</v>
      </c>
      <c r="G47" s="24"/>
    </row>
    <row r="48" spans="2:7" s="1" customFormat="1" x14ac:dyDescent="0.45">
      <c r="B48" s="4">
        <v>1</v>
      </c>
      <c r="C48" s="4" t="s">
        <v>451</v>
      </c>
      <c r="D48" s="4">
        <v>1</v>
      </c>
      <c r="E48" s="4" t="s">
        <v>452</v>
      </c>
      <c r="F48" s="24" t="s">
        <v>444</v>
      </c>
      <c r="G48" s="24"/>
    </row>
    <row r="49" spans="2:7" s="1" customFormat="1" x14ac:dyDescent="0.45">
      <c r="B49" s="4">
        <v>2</v>
      </c>
      <c r="C49" s="4" t="s">
        <v>453</v>
      </c>
      <c r="D49" s="4">
        <v>2</v>
      </c>
      <c r="E49" s="4"/>
      <c r="F49" s="24" t="s">
        <v>454</v>
      </c>
      <c r="G49" s="24"/>
    </row>
    <row r="50" spans="2:7" s="1" customFormat="1" x14ac:dyDescent="0.45">
      <c r="B50" s="4">
        <v>3</v>
      </c>
      <c r="C50" s="4" t="s">
        <v>455</v>
      </c>
      <c r="D50" s="4">
        <v>3</v>
      </c>
      <c r="E50" s="4" t="s">
        <v>304</v>
      </c>
    </row>
    <row r="51" spans="2:7" s="1" customFormat="1" x14ac:dyDescent="0.45">
      <c r="B51" s="4">
        <v>4</v>
      </c>
      <c r="C51" s="1" t="s">
        <v>456</v>
      </c>
      <c r="D51" s="4">
        <v>4</v>
      </c>
      <c r="E51" s="4" t="s">
        <v>304</v>
      </c>
    </row>
    <row r="52" spans="2:7" s="1" customFormat="1" x14ac:dyDescent="0.45">
      <c r="B52" s="4">
        <v>5</v>
      </c>
      <c r="C52" s="6" t="s">
        <v>457</v>
      </c>
      <c r="D52" s="4">
        <v>5</v>
      </c>
      <c r="E52" s="4" t="s">
        <v>304</v>
      </c>
    </row>
    <row r="53" spans="2:7" s="1" customFormat="1" x14ac:dyDescent="0.45">
      <c r="B53" s="6">
        <v>6</v>
      </c>
      <c r="C53" s="6"/>
      <c r="D53" s="6"/>
      <c r="E53" s="6"/>
    </row>
    <row r="54" spans="2:7" s="1" customFormat="1" x14ac:dyDescent="0.45"/>
    <row r="55" spans="2:7" s="1" customFormat="1" x14ac:dyDescent="0.45"/>
    <row r="56" spans="2:7" s="1" customFormat="1" x14ac:dyDescent="0.45"/>
    <row r="57" spans="2:7" s="1" customFormat="1" x14ac:dyDescent="0.45"/>
    <row r="58" spans="2:7" s="1" customFormat="1" x14ac:dyDescent="0.45"/>
    <row r="59" spans="2:7" s="1" customFormat="1" x14ac:dyDescent="0.45"/>
    <row r="60" spans="2:7" s="1" customFormat="1" x14ac:dyDescent="0.45"/>
    <row r="61" spans="2:7" s="1" customFormat="1" x14ac:dyDescent="0.45"/>
    <row r="62" spans="2:7" s="1" customFormat="1" x14ac:dyDescent="0.45"/>
    <row r="63" spans="2:7" s="1" customFormat="1" x14ac:dyDescent="0.45"/>
    <row r="64" spans="2:7" s="1" customFormat="1" x14ac:dyDescent="0.45"/>
    <row r="65" s="1" customFormat="1" x14ac:dyDescent="0.45"/>
    <row r="66" s="1" customFormat="1" x14ac:dyDescent="0.45"/>
  </sheetData>
  <mergeCells count="56">
    <mergeCell ref="F49:G49"/>
    <mergeCell ref="F37:G37"/>
    <mergeCell ref="F10:G10"/>
    <mergeCell ref="B1:G1"/>
    <mergeCell ref="B2:G2"/>
    <mergeCell ref="B3:C3"/>
    <mergeCell ref="D3:E3"/>
    <mergeCell ref="F3:G3"/>
    <mergeCell ref="F4:G4"/>
    <mergeCell ref="F5:G5"/>
    <mergeCell ref="B8:G8"/>
    <mergeCell ref="B9:C9"/>
    <mergeCell ref="D9:E9"/>
    <mergeCell ref="F9:G9"/>
    <mergeCell ref="F11:G11"/>
    <mergeCell ref="F12:G12"/>
    <mergeCell ref="F13:G13"/>
    <mergeCell ref="B14:G14"/>
    <mergeCell ref="B15:C15"/>
    <mergeCell ref="D15:E15"/>
    <mergeCell ref="F15:G15"/>
    <mergeCell ref="F16:G16"/>
    <mergeCell ref="F17:G17"/>
    <mergeCell ref="B20:G20"/>
    <mergeCell ref="B21:C21"/>
    <mergeCell ref="D21:E21"/>
    <mergeCell ref="F21:G21"/>
    <mergeCell ref="B33:C33"/>
    <mergeCell ref="D33:E33"/>
    <mergeCell ref="F33:G33"/>
    <mergeCell ref="F22:G22"/>
    <mergeCell ref="F23:G23"/>
    <mergeCell ref="B26:G26"/>
    <mergeCell ref="B27:C27"/>
    <mergeCell ref="D27:E27"/>
    <mergeCell ref="F27:G27"/>
    <mergeCell ref="F28:G28"/>
    <mergeCell ref="F29:G29"/>
    <mergeCell ref="F30:G30"/>
    <mergeCell ref="F31:G31"/>
    <mergeCell ref="B32:G32"/>
    <mergeCell ref="F34:G34"/>
    <mergeCell ref="F36:G36"/>
    <mergeCell ref="B38:G38"/>
    <mergeCell ref="B39:C39"/>
    <mergeCell ref="D39:E39"/>
    <mergeCell ref="F39:G39"/>
    <mergeCell ref="F47:G47"/>
    <mergeCell ref="F48:G48"/>
    <mergeCell ref="F35:G35"/>
    <mergeCell ref="F40:G40"/>
    <mergeCell ref="F41:G41"/>
    <mergeCell ref="B45:G45"/>
    <mergeCell ref="B46:C46"/>
    <mergeCell ref="D46:E46"/>
    <mergeCell ref="F46:G46"/>
  </mergeCells>
  <pageMargins left="0.39370078740157483" right="0.70866141732283472" top="0.15748031496062992" bottom="0.15748031496062992" header="0.31496062992125984" footer="0.31496062992125984"/>
  <pageSetup paperSize="9" fitToHeight="0" orientation="portrait" r:id="rId1"/>
  <rowBreaks count="1" manualBreakCount="1">
    <brk id="3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7">
    <pageSetUpPr fitToPage="1"/>
  </sheetPr>
  <dimension ref="A1:G70"/>
  <sheetViews>
    <sheetView tabSelected="1" topLeftCell="A19" zoomScaleNormal="100" workbookViewId="0">
      <selection activeCell="E41" sqref="E41"/>
    </sheetView>
  </sheetViews>
  <sheetFormatPr defaultRowHeight="14.25" x14ac:dyDescent="0.45"/>
  <cols>
    <col min="1" max="1" width="1.73046875" customWidth="1"/>
    <col min="2" max="2" width="3" bestFit="1" customWidth="1"/>
    <col min="3" max="3" width="29.265625" customWidth="1"/>
    <col min="4" max="4" width="3" bestFit="1" customWidth="1"/>
    <col min="5" max="5" width="29.265625" customWidth="1"/>
    <col min="6" max="6" width="6.3984375" customWidth="1"/>
    <col min="7" max="7" width="12.73046875" customWidth="1"/>
  </cols>
  <sheetData>
    <row r="1" spans="1:7" ht="30.75" customHeight="1" x14ac:dyDescent="0.45">
      <c r="A1" s="1"/>
      <c r="B1" s="35" t="s">
        <v>458</v>
      </c>
      <c r="C1" s="35"/>
      <c r="D1" s="35"/>
      <c r="E1" s="35"/>
      <c r="F1" s="35"/>
      <c r="G1" s="35"/>
    </row>
    <row r="2" spans="1:7" ht="21" customHeight="1" x14ac:dyDescent="0.65">
      <c r="A2" s="1"/>
      <c r="B2" s="18" t="s">
        <v>459</v>
      </c>
      <c r="C2" s="19"/>
      <c r="D2" s="19"/>
      <c r="E2" s="19"/>
      <c r="F2" s="19"/>
      <c r="G2" s="20"/>
    </row>
    <row r="3" spans="1:7" ht="15" customHeight="1" x14ac:dyDescent="0.45">
      <c r="A3" s="1"/>
      <c r="B3" s="21" t="s">
        <v>2</v>
      </c>
      <c r="C3" s="22"/>
      <c r="D3" s="22" t="s">
        <v>3</v>
      </c>
      <c r="E3" s="22"/>
      <c r="F3" s="22" t="s">
        <v>40</v>
      </c>
      <c r="G3" s="23"/>
    </row>
    <row r="4" spans="1:7" x14ac:dyDescent="0.45">
      <c r="A4" s="1"/>
      <c r="B4" s="3"/>
      <c r="C4" s="3" t="s">
        <v>5</v>
      </c>
      <c r="D4" s="3"/>
      <c r="E4" s="3" t="s">
        <v>5</v>
      </c>
      <c r="F4" s="31" t="s">
        <v>380</v>
      </c>
      <c r="G4" s="31"/>
    </row>
    <row r="5" spans="1:7" x14ac:dyDescent="0.45">
      <c r="A5" s="1"/>
      <c r="B5" s="4">
        <v>1</v>
      </c>
      <c r="C5" s="4" t="s">
        <v>460</v>
      </c>
      <c r="D5" s="4">
        <v>1</v>
      </c>
      <c r="E5" s="4" t="s">
        <v>461</v>
      </c>
      <c r="F5" s="17"/>
      <c r="G5" s="17"/>
    </row>
    <row r="6" spans="1:7" x14ac:dyDescent="0.45">
      <c r="A6" s="1"/>
      <c r="B6" s="4">
        <v>2</v>
      </c>
      <c r="C6" s="4" t="s">
        <v>462</v>
      </c>
      <c r="D6" s="4">
        <v>2</v>
      </c>
      <c r="E6" s="4" t="s">
        <v>463</v>
      </c>
      <c r="F6" s="1"/>
      <c r="G6" s="1"/>
    </row>
    <row r="7" spans="1:7" x14ac:dyDescent="0.45">
      <c r="A7" s="1"/>
      <c r="B7" s="4">
        <v>3</v>
      </c>
      <c r="C7" s="4" t="s">
        <v>464</v>
      </c>
      <c r="D7" s="4">
        <v>3</v>
      </c>
      <c r="E7" s="4" t="s">
        <v>304</v>
      </c>
      <c r="F7" s="1"/>
      <c r="G7" s="1"/>
    </row>
    <row r="8" spans="1:7" ht="21" x14ac:dyDescent="0.65">
      <c r="A8" s="1"/>
      <c r="B8" s="18" t="s">
        <v>465</v>
      </c>
      <c r="C8" s="19"/>
      <c r="D8" s="19"/>
      <c r="E8" s="19"/>
      <c r="F8" s="19"/>
      <c r="G8" s="20"/>
    </row>
    <row r="9" spans="1:7" x14ac:dyDescent="0.45">
      <c r="A9" s="1"/>
      <c r="B9" s="21" t="s">
        <v>2</v>
      </c>
      <c r="C9" s="22"/>
      <c r="D9" s="22" t="s">
        <v>3</v>
      </c>
      <c r="E9" s="22"/>
      <c r="F9" s="22" t="s">
        <v>40</v>
      </c>
      <c r="G9" s="23"/>
    </row>
    <row r="10" spans="1:7" x14ac:dyDescent="0.45">
      <c r="A10" s="1"/>
      <c r="B10" s="8"/>
      <c r="C10" s="8" t="s">
        <v>5</v>
      </c>
      <c r="D10" s="8"/>
      <c r="E10" s="8" t="s">
        <v>5</v>
      </c>
      <c r="F10" s="24" t="s">
        <v>466</v>
      </c>
      <c r="G10" s="24"/>
    </row>
    <row r="11" spans="1:7" x14ac:dyDescent="0.45">
      <c r="A11" s="1"/>
      <c r="B11" s="4">
        <v>1</v>
      </c>
      <c r="C11" s="4" t="s">
        <v>467</v>
      </c>
      <c r="D11" s="4">
        <v>1</v>
      </c>
      <c r="E11" s="4" t="s">
        <v>468</v>
      </c>
      <c r="F11" s="24" t="s">
        <v>469</v>
      </c>
      <c r="G11" s="24"/>
    </row>
    <row r="12" spans="1:7" x14ac:dyDescent="0.45">
      <c r="A12" s="1"/>
      <c r="B12" s="4">
        <v>2</v>
      </c>
      <c r="C12" s="4" t="s">
        <v>470</v>
      </c>
      <c r="D12" s="4">
        <v>2</v>
      </c>
      <c r="E12" s="4" t="s">
        <v>471</v>
      </c>
      <c r="F12" s="49" t="s">
        <v>89</v>
      </c>
      <c r="G12" s="49"/>
    </row>
    <row r="13" spans="1:7" x14ac:dyDescent="0.45">
      <c r="A13" s="1"/>
      <c r="B13" s="4">
        <v>3</v>
      </c>
      <c r="C13" s="4" t="s">
        <v>472</v>
      </c>
      <c r="D13" s="4">
        <v>3</v>
      </c>
      <c r="E13" s="4" t="s">
        <v>473</v>
      </c>
      <c r="F13" s="24" t="s">
        <v>474</v>
      </c>
      <c r="G13" s="24"/>
    </row>
    <row r="14" spans="1:7" ht="21" x14ac:dyDescent="0.65">
      <c r="A14" s="1"/>
      <c r="B14" s="18" t="s">
        <v>475</v>
      </c>
      <c r="C14" s="19"/>
      <c r="D14" s="19"/>
      <c r="E14" s="19"/>
      <c r="F14" s="19"/>
      <c r="G14" s="20"/>
    </row>
    <row r="15" spans="1:7" x14ac:dyDescent="0.45">
      <c r="A15" s="1"/>
      <c r="B15" s="21" t="s">
        <v>2</v>
      </c>
      <c r="C15" s="22"/>
      <c r="D15" s="22" t="s">
        <v>3</v>
      </c>
      <c r="E15" s="22"/>
      <c r="F15" s="22" t="s">
        <v>40</v>
      </c>
      <c r="G15" s="23"/>
    </row>
    <row r="16" spans="1:7" x14ac:dyDescent="0.45">
      <c r="A16" s="1"/>
      <c r="B16" s="8"/>
      <c r="C16" s="8" t="s">
        <v>5</v>
      </c>
      <c r="D16" s="8"/>
      <c r="E16" s="8" t="s">
        <v>5</v>
      </c>
      <c r="F16" s="24" t="s">
        <v>476</v>
      </c>
      <c r="G16" s="24"/>
    </row>
    <row r="17" spans="1:7" x14ac:dyDescent="0.45">
      <c r="A17" s="1"/>
      <c r="B17" s="4">
        <v>1</v>
      </c>
      <c r="C17" s="6" t="s">
        <v>477</v>
      </c>
      <c r="D17" s="4">
        <v>1</v>
      </c>
      <c r="E17" s="4" t="s">
        <v>478</v>
      </c>
      <c r="F17" s="24" t="s">
        <v>479</v>
      </c>
      <c r="G17" s="24"/>
    </row>
    <row r="18" spans="1:7" x14ac:dyDescent="0.45">
      <c r="A18" s="1"/>
      <c r="B18" s="4">
        <v>2</v>
      </c>
      <c r="C18" s="4" t="s">
        <v>480</v>
      </c>
      <c r="D18" s="4">
        <v>2</v>
      </c>
      <c r="E18" s="4"/>
      <c r="F18" s="1"/>
      <c r="G18" s="1"/>
    </row>
    <row r="19" spans="1:7" x14ac:dyDescent="0.45">
      <c r="A19" s="1"/>
      <c r="B19" s="4">
        <v>3</v>
      </c>
      <c r="C19" s="4" t="s">
        <v>481</v>
      </c>
      <c r="D19" s="4">
        <v>3</v>
      </c>
      <c r="E19" s="4"/>
      <c r="F19" s="1"/>
      <c r="G19" s="1"/>
    </row>
    <row r="20" spans="1:7" x14ac:dyDescent="0.45">
      <c r="A20" s="1"/>
      <c r="B20" s="4">
        <v>4</v>
      </c>
      <c r="C20" s="4" t="s">
        <v>482</v>
      </c>
      <c r="D20" s="4">
        <v>4</v>
      </c>
      <c r="E20" s="4"/>
      <c r="F20" s="1"/>
      <c r="G20" s="1"/>
    </row>
    <row r="21" spans="1:7" x14ac:dyDescent="0.45">
      <c r="A21" s="1"/>
      <c r="B21" s="4">
        <v>5</v>
      </c>
      <c r="C21" s="4" t="s">
        <v>483</v>
      </c>
      <c r="D21" s="4">
        <v>5</v>
      </c>
      <c r="E21" s="4"/>
      <c r="F21" s="1"/>
      <c r="G21" s="1"/>
    </row>
    <row r="22" spans="1:7" x14ac:dyDescent="0.45">
      <c r="A22" s="1"/>
      <c r="B22" s="4">
        <v>6</v>
      </c>
      <c r="C22" s="4"/>
      <c r="D22" s="4">
        <v>6</v>
      </c>
      <c r="E22" s="4"/>
      <c r="F22" s="1"/>
      <c r="G22" s="1"/>
    </row>
    <row r="23" spans="1:7" ht="21" x14ac:dyDescent="0.65">
      <c r="A23" s="1"/>
      <c r="B23" s="18" t="s">
        <v>484</v>
      </c>
      <c r="C23" s="19"/>
      <c r="D23" s="19"/>
      <c r="E23" s="19"/>
      <c r="F23" s="19"/>
      <c r="G23" s="20"/>
    </row>
    <row r="24" spans="1:7" x14ac:dyDescent="0.45">
      <c r="A24" s="1"/>
      <c r="B24" s="21" t="s">
        <v>2</v>
      </c>
      <c r="C24" s="22"/>
      <c r="D24" s="22" t="s">
        <v>3</v>
      </c>
      <c r="E24" s="22"/>
      <c r="F24" s="22" t="s">
        <v>40</v>
      </c>
      <c r="G24" s="23"/>
    </row>
    <row r="25" spans="1:7" x14ac:dyDescent="0.45">
      <c r="A25" s="1"/>
      <c r="B25" s="8"/>
      <c r="C25" s="8" t="s">
        <v>5</v>
      </c>
      <c r="D25" s="8"/>
      <c r="E25" s="8" t="s">
        <v>5</v>
      </c>
      <c r="F25" s="24" t="s">
        <v>485</v>
      </c>
      <c r="G25" s="24"/>
    </row>
    <row r="26" spans="1:7" x14ac:dyDescent="0.45">
      <c r="A26" s="1"/>
      <c r="B26" s="4">
        <v>1</v>
      </c>
      <c r="C26" s="4" t="s">
        <v>486</v>
      </c>
      <c r="D26" s="4">
        <v>1</v>
      </c>
      <c r="E26" s="4" t="s">
        <v>487</v>
      </c>
      <c r="F26" s="24"/>
      <c r="G26" s="24"/>
    </row>
    <row r="27" spans="1:7" x14ac:dyDescent="0.45">
      <c r="A27" s="1"/>
      <c r="B27" s="4">
        <v>2</v>
      </c>
      <c r="C27" s="4" t="s">
        <v>488</v>
      </c>
      <c r="D27" s="4">
        <v>2</v>
      </c>
      <c r="E27" s="4"/>
      <c r="F27" s="1"/>
      <c r="G27" s="1"/>
    </row>
    <row r="28" spans="1:7" x14ac:dyDescent="0.45">
      <c r="A28" s="1"/>
      <c r="B28" s="4">
        <v>3</v>
      </c>
      <c r="C28" t="s">
        <v>489</v>
      </c>
      <c r="D28" s="4">
        <v>3</v>
      </c>
      <c r="E28" s="4"/>
      <c r="F28" s="1"/>
      <c r="G28" s="1"/>
    </row>
    <row r="29" spans="1:7" x14ac:dyDescent="0.45">
      <c r="A29" s="1"/>
      <c r="B29" s="4">
        <v>4</v>
      </c>
      <c r="C29" s="4" t="s">
        <v>490</v>
      </c>
      <c r="D29" s="4">
        <v>4</v>
      </c>
      <c r="E29" s="4"/>
      <c r="F29" s="1"/>
      <c r="G29" s="1"/>
    </row>
    <row r="30" spans="1:7" x14ac:dyDescent="0.45">
      <c r="A30" s="1"/>
      <c r="B30" s="4">
        <v>5</v>
      </c>
      <c r="C30" s="6" t="s">
        <v>491</v>
      </c>
      <c r="D30" s="4">
        <v>5</v>
      </c>
      <c r="E30" s="4"/>
      <c r="F30" s="1"/>
      <c r="G30" s="1"/>
    </row>
    <row r="31" spans="1:7" x14ac:dyDescent="0.45">
      <c r="A31" s="1"/>
      <c r="B31" s="4">
        <v>6</v>
      </c>
      <c r="C31" s="4" t="s">
        <v>492</v>
      </c>
      <c r="D31" s="4">
        <v>6</v>
      </c>
      <c r="E31" s="4"/>
      <c r="F31" s="1"/>
      <c r="G31" s="1"/>
    </row>
    <row r="32" spans="1:7" ht="21" x14ac:dyDescent="0.65">
      <c r="A32" s="1"/>
      <c r="B32" s="18" t="s">
        <v>493</v>
      </c>
      <c r="C32" s="19"/>
      <c r="D32" s="19"/>
      <c r="E32" s="19"/>
      <c r="F32" s="19"/>
      <c r="G32" s="20"/>
    </row>
    <row r="33" spans="1:7" x14ac:dyDescent="0.45">
      <c r="A33" s="1"/>
      <c r="B33" s="21" t="s">
        <v>2</v>
      </c>
      <c r="C33" s="22"/>
      <c r="D33" s="22" t="s">
        <v>3</v>
      </c>
      <c r="E33" s="22"/>
      <c r="F33" s="22" t="s">
        <v>86</v>
      </c>
      <c r="G33" s="23"/>
    </row>
    <row r="34" spans="1:7" x14ac:dyDescent="0.45">
      <c r="A34" s="1"/>
      <c r="B34" s="4"/>
      <c r="C34" s="4" t="s">
        <v>5</v>
      </c>
      <c r="D34" s="4"/>
      <c r="E34" s="4" t="s">
        <v>5</v>
      </c>
      <c r="F34" s="24" t="s">
        <v>494</v>
      </c>
      <c r="G34" s="24"/>
    </row>
    <row r="35" spans="1:7" x14ac:dyDescent="0.45">
      <c r="A35" s="1"/>
      <c r="B35" s="4">
        <v>1</v>
      </c>
      <c r="C35" s="4" t="s">
        <v>495</v>
      </c>
      <c r="D35" s="4">
        <v>1</v>
      </c>
      <c r="E35" s="4" t="s">
        <v>496</v>
      </c>
      <c r="F35" s="25" t="s">
        <v>497</v>
      </c>
      <c r="G35" s="26"/>
    </row>
    <row r="36" spans="1:7" x14ac:dyDescent="0.45">
      <c r="A36" s="1"/>
      <c r="B36" s="4">
        <v>2</v>
      </c>
      <c r="C36" s="4" t="s">
        <v>498</v>
      </c>
      <c r="D36" s="4">
        <v>2</v>
      </c>
      <c r="E36" s="4" t="s">
        <v>499</v>
      </c>
      <c r="F36" s="1"/>
      <c r="G36" s="1"/>
    </row>
    <row r="37" spans="1:7" x14ac:dyDescent="0.45">
      <c r="A37" s="1"/>
      <c r="B37" s="6">
        <v>3</v>
      </c>
      <c r="C37" s="6" t="s">
        <v>500</v>
      </c>
      <c r="D37" s="6"/>
      <c r="E37" s="6"/>
      <c r="F37" s="1"/>
      <c r="G37" s="1"/>
    </row>
    <row r="38" spans="1:7" x14ac:dyDescent="0.45">
      <c r="A38" s="1"/>
      <c r="B38" s="1"/>
      <c r="C38" s="1"/>
      <c r="D38" s="1"/>
      <c r="E38" s="1"/>
      <c r="F38" s="1"/>
      <c r="G38" s="1"/>
    </row>
    <row r="39" spans="1:7" x14ac:dyDescent="0.45">
      <c r="A39" s="1"/>
      <c r="B39" s="1"/>
      <c r="C39" s="1"/>
      <c r="D39" s="1"/>
      <c r="E39" s="1"/>
      <c r="F39" s="1"/>
      <c r="G39" s="1"/>
    </row>
    <row r="40" spans="1:7" x14ac:dyDescent="0.45">
      <c r="A40" s="1"/>
      <c r="B40" s="1"/>
      <c r="C40" s="1"/>
      <c r="D40" s="1"/>
      <c r="E40" s="1"/>
      <c r="F40" s="1"/>
      <c r="G40" s="1"/>
    </row>
    <row r="41" spans="1:7" x14ac:dyDescent="0.45">
      <c r="A41" s="1"/>
      <c r="B41" s="1"/>
      <c r="C41" s="1"/>
      <c r="D41" s="1"/>
      <c r="E41" s="1"/>
      <c r="F41" s="1"/>
      <c r="G41" s="1"/>
    </row>
    <row r="42" spans="1:7" x14ac:dyDescent="0.45">
      <c r="A42" s="1"/>
      <c r="B42" s="1"/>
      <c r="C42" s="1"/>
      <c r="D42" s="1"/>
      <c r="E42" s="1"/>
      <c r="F42" s="1"/>
      <c r="G42" s="1"/>
    </row>
    <row r="43" spans="1:7" x14ac:dyDescent="0.45">
      <c r="A43" s="1"/>
      <c r="B43" s="1"/>
      <c r="C43" s="1"/>
      <c r="D43" s="1"/>
      <c r="E43" s="1"/>
      <c r="F43" s="1"/>
      <c r="G43" s="1"/>
    </row>
    <row r="44" spans="1:7" x14ac:dyDescent="0.45">
      <c r="A44" s="1"/>
      <c r="B44" s="1"/>
      <c r="C44" s="1"/>
      <c r="D44" s="1"/>
      <c r="E44" s="1"/>
      <c r="F44" s="1"/>
      <c r="G44" s="1"/>
    </row>
    <row r="45" spans="1:7" x14ac:dyDescent="0.45">
      <c r="A45" s="1"/>
      <c r="B45" s="1"/>
      <c r="C45" s="1"/>
      <c r="D45" s="1"/>
      <c r="E45" s="1"/>
      <c r="F45" s="1"/>
      <c r="G45" s="1"/>
    </row>
    <row r="46" spans="1:7" x14ac:dyDescent="0.45">
      <c r="A46" s="1"/>
      <c r="B46" s="1"/>
      <c r="C46" s="1"/>
      <c r="D46" s="1"/>
      <c r="E46" s="1"/>
      <c r="F46" s="1"/>
      <c r="G46" s="1"/>
    </row>
    <row r="47" spans="1:7" x14ac:dyDescent="0.45">
      <c r="A47" s="1"/>
      <c r="B47" s="1"/>
      <c r="C47" s="1"/>
      <c r="D47" s="1"/>
      <c r="E47" s="1"/>
      <c r="F47" s="1"/>
      <c r="G47" s="1"/>
    </row>
    <row r="48" spans="1:7" x14ac:dyDescent="0.45">
      <c r="A48" s="1"/>
      <c r="B48" s="1"/>
      <c r="C48" s="1"/>
      <c r="D48" s="1"/>
      <c r="E48" s="1"/>
      <c r="F48" s="1"/>
      <c r="G48" s="1"/>
    </row>
    <row r="49" spans="1:7" x14ac:dyDescent="0.45">
      <c r="A49" s="1"/>
      <c r="B49" s="1"/>
      <c r="C49" s="1"/>
      <c r="D49" s="1"/>
      <c r="E49" s="1"/>
      <c r="F49" s="1"/>
      <c r="G49" s="1"/>
    </row>
    <row r="50" spans="1:7" x14ac:dyDescent="0.45">
      <c r="A50" s="1"/>
      <c r="B50" s="1"/>
      <c r="C50" s="1"/>
      <c r="D50" s="1"/>
      <c r="E50" s="1"/>
      <c r="F50" s="1"/>
      <c r="G50" s="1"/>
    </row>
    <row r="51" spans="1:7" x14ac:dyDescent="0.45">
      <c r="A51" s="1"/>
      <c r="B51" s="1"/>
      <c r="C51" s="1"/>
      <c r="D51" s="1"/>
      <c r="E51" s="1"/>
      <c r="F51" s="1"/>
      <c r="G51" s="1"/>
    </row>
    <row r="52" spans="1:7" x14ac:dyDescent="0.45">
      <c r="A52" s="1"/>
      <c r="B52" s="1"/>
      <c r="C52" s="1"/>
      <c r="D52" s="1"/>
      <c r="E52" s="1"/>
      <c r="F52" s="1"/>
      <c r="G52" s="1"/>
    </row>
    <row r="53" spans="1:7" x14ac:dyDescent="0.45">
      <c r="A53" s="1"/>
      <c r="B53" s="1"/>
      <c r="C53" s="1"/>
      <c r="D53" s="1"/>
      <c r="E53" s="1"/>
      <c r="F53" s="1"/>
      <c r="G53" s="1"/>
    </row>
    <row r="54" spans="1:7" x14ac:dyDescent="0.45">
      <c r="A54" s="1"/>
      <c r="B54" s="1"/>
      <c r="C54" s="1"/>
      <c r="D54" s="1"/>
      <c r="E54" s="1"/>
      <c r="F54" s="1"/>
      <c r="G54" s="1"/>
    </row>
    <row r="55" spans="1:7" x14ac:dyDescent="0.45">
      <c r="A55" s="1"/>
      <c r="B55" s="1"/>
      <c r="C55" s="1"/>
      <c r="D55" s="1"/>
      <c r="E55" s="1"/>
      <c r="F55" s="1"/>
      <c r="G55" s="1"/>
    </row>
    <row r="56" spans="1:7" x14ac:dyDescent="0.45">
      <c r="A56" s="1"/>
      <c r="B56" s="1"/>
      <c r="C56" s="1"/>
      <c r="D56" s="1"/>
      <c r="E56" s="1"/>
      <c r="F56" s="1"/>
      <c r="G56" s="1"/>
    </row>
    <row r="57" spans="1:7" x14ac:dyDescent="0.45">
      <c r="A57" s="1"/>
      <c r="B57" s="1"/>
      <c r="C57" s="1"/>
      <c r="D57" s="1"/>
      <c r="E57" s="1"/>
      <c r="F57" s="1"/>
      <c r="G57" s="1"/>
    </row>
    <row r="58" spans="1:7" x14ac:dyDescent="0.45">
      <c r="A58" s="1"/>
      <c r="B58" s="1"/>
      <c r="C58" s="1"/>
      <c r="D58" s="1"/>
      <c r="E58" s="1"/>
      <c r="F58" s="1"/>
      <c r="G58" s="1"/>
    </row>
    <row r="59" spans="1:7" x14ac:dyDescent="0.45">
      <c r="A59" s="1"/>
      <c r="B59" s="1"/>
      <c r="C59" s="1"/>
      <c r="D59" s="1"/>
      <c r="E59" s="1"/>
      <c r="F59" s="1"/>
      <c r="G59" s="1"/>
    </row>
    <row r="60" spans="1:7" x14ac:dyDescent="0.45">
      <c r="A60" s="1"/>
      <c r="B60" s="1"/>
      <c r="C60" s="1"/>
      <c r="D60" s="1"/>
      <c r="E60" s="1"/>
      <c r="F60" s="1"/>
      <c r="G60" s="1"/>
    </row>
    <row r="61" spans="1:7" x14ac:dyDescent="0.45">
      <c r="A61" s="1"/>
      <c r="B61" s="1"/>
      <c r="C61" s="1"/>
      <c r="D61" s="1"/>
      <c r="E61" s="1"/>
      <c r="F61" s="1"/>
      <c r="G61" s="1"/>
    </row>
    <row r="62" spans="1:7" x14ac:dyDescent="0.45">
      <c r="A62" s="1"/>
      <c r="B62" s="1"/>
      <c r="C62" s="1"/>
      <c r="D62" s="1"/>
      <c r="E62" s="1"/>
      <c r="F62" s="1"/>
      <c r="G62" s="1"/>
    </row>
    <row r="63" spans="1:7" x14ac:dyDescent="0.45">
      <c r="A63" s="1"/>
      <c r="B63" s="1"/>
      <c r="C63" s="1"/>
      <c r="D63" s="1"/>
      <c r="E63" s="1"/>
      <c r="F63" s="1"/>
      <c r="G63" s="1"/>
    </row>
    <row r="64" spans="1:7" x14ac:dyDescent="0.45">
      <c r="A64" s="1"/>
      <c r="B64" s="1"/>
      <c r="C64" s="1"/>
      <c r="D64" s="1"/>
      <c r="E64" s="1"/>
      <c r="F64" s="1"/>
      <c r="G64" s="1"/>
    </row>
    <row r="65" spans="1:7" x14ac:dyDescent="0.45">
      <c r="A65" s="1"/>
      <c r="B65" s="1"/>
      <c r="C65" s="1"/>
      <c r="D65" s="1"/>
      <c r="E65" s="1"/>
      <c r="F65" s="1"/>
      <c r="G65" s="1"/>
    </row>
    <row r="66" spans="1:7" x14ac:dyDescent="0.45">
      <c r="A66" s="1"/>
      <c r="B66" s="1"/>
      <c r="C66" s="1"/>
      <c r="D66" s="1"/>
      <c r="E66" s="1"/>
      <c r="F66" s="1"/>
      <c r="G66" s="1"/>
    </row>
    <row r="67" spans="1:7" x14ac:dyDescent="0.45">
      <c r="A67" s="1"/>
      <c r="B67" s="1"/>
      <c r="C67" s="1"/>
      <c r="D67" s="1"/>
      <c r="E67" s="1"/>
      <c r="F67" s="1"/>
      <c r="G67" s="1"/>
    </row>
    <row r="68" spans="1:7" x14ac:dyDescent="0.45">
      <c r="A68" s="1"/>
      <c r="B68" s="1"/>
      <c r="C68" s="1"/>
      <c r="D68" s="1"/>
      <c r="E68" s="1"/>
      <c r="F68" s="1"/>
      <c r="G68" s="1"/>
    </row>
    <row r="69" spans="1:7" x14ac:dyDescent="0.45">
      <c r="A69" s="1"/>
      <c r="B69" s="1"/>
      <c r="C69" s="1"/>
      <c r="D69" s="1"/>
      <c r="E69" s="1"/>
      <c r="F69" s="1"/>
      <c r="G69" s="1"/>
    </row>
    <row r="70" spans="1:7" x14ac:dyDescent="0.45">
      <c r="A70" s="1"/>
      <c r="B70" s="1"/>
      <c r="C70" s="1"/>
      <c r="D70" s="1"/>
      <c r="E70" s="1"/>
      <c r="F70" s="1"/>
      <c r="G70" s="1"/>
    </row>
  </sheetData>
  <mergeCells count="33">
    <mergeCell ref="F12:G12"/>
    <mergeCell ref="F13:G13"/>
    <mergeCell ref="F10:G10"/>
    <mergeCell ref="F11:G11"/>
    <mergeCell ref="F5:G5"/>
    <mergeCell ref="B8:G8"/>
    <mergeCell ref="B9:C9"/>
    <mergeCell ref="D9:E9"/>
    <mergeCell ref="F9:G9"/>
    <mergeCell ref="F4:G4"/>
    <mergeCell ref="B1:G1"/>
    <mergeCell ref="B2:G2"/>
    <mergeCell ref="B3:C3"/>
    <mergeCell ref="D3:E3"/>
    <mergeCell ref="F3:G3"/>
    <mergeCell ref="F35:G35"/>
    <mergeCell ref="F17:G17"/>
    <mergeCell ref="B23:G23"/>
    <mergeCell ref="B24:C24"/>
    <mergeCell ref="D24:E24"/>
    <mergeCell ref="F24:G24"/>
    <mergeCell ref="F25:G25"/>
    <mergeCell ref="F26:G26"/>
    <mergeCell ref="B32:G32"/>
    <mergeCell ref="B33:C33"/>
    <mergeCell ref="D33:E33"/>
    <mergeCell ref="F34:G34"/>
    <mergeCell ref="F33:G33"/>
    <mergeCell ref="B14:G14"/>
    <mergeCell ref="B15:C15"/>
    <mergeCell ref="D15:E15"/>
    <mergeCell ref="F15:G15"/>
    <mergeCell ref="F16:G16"/>
  </mergeCells>
  <pageMargins left="0.39370078740157483" right="0.70866141732283472" top="0.15748031496062992" bottom="0.15748031496062992" header="0.31496062992125984" footer="0.31496062992125984"/>
  <pageSetup paperSize="9" scale="7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D71D3-AE7D-4E6E-8F40-3996EC3F86AA}">
  <ds:schemaRefs>
    <ds:schemaRef ds:uri="http://schemas.microsoft.com/office/2006/metadata/properties"/>
    <ds:schemaRef ds:uri="http://schemas.microsoft.com/office/infopath/2007/PartnerControls"/>
    <ds:schemaRef ds:uri="433ddfc1-fee3-4cb4-a29f-5839980eeb96"/>
    <ds:schemaRef ds:uri="4aa677f6-df1a-4d33-8ba3-c60d83947899"/>
  </ds:schemaRefs>
</ds:datastoreItem>
</file>

<file path=customXml/itemProps2.xml><?xml version="1.0" encoding="utf-8"?>
<ds:datastoreItem xmlns:ds="http://schemas.openxmlformats.org/officeDocument/2006/customXml" ds:itemID="{0B510405-34A8-4BBB-B8A3-5AC060AB9A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B43479-8EF9-4AA0-BAA3-2856B2BCC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677f6-df1a-4d33-8ba3-c60d83947899"/>
    <ds:schemaRef ds:uri="433ddfc1-fee3-4cb4-a29f-5839980eeb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7</vt:i4>
      </vt:variant>
      <vt:variant>
        <vt:lpstr>Benoemde bereiken</vt:lpstr>
      </vt:variant>
      <vt:variant>
        <vt:i4>6</vt:i4>
      </vt:variant>
    </vt:vector>
  </HeadingPairs>
  <TitlesOfParts>
    <vt:vector size="13" baseType="lpstr">
      <vt:lpstr>Team Sen</vt:lpstr>
      <vt:lpstr>Team A</vt:lpstr>
      <vt:lpstr>Team B</vt:lpstr>
      <vt:lpstr>Team C</vt:lpstr>
      <vt:lpstr>Team D</vt:lpstr>
      <vt:lpstr>Team E</vt:lpstr>
      <vt:lpstr>Team F</vt:lpstr>
      <vt:lpstr>'Team B'!Afdrukbereik</vt:lpstr>
      <vt:lpstr>'Team C'!Afdrukbereik</vt:lpstr>
      <vt:lpstr>'Team D'!Afdrukbereik</vt:lpstr>
      <vt:lpstr>'Team E'!Afdrukbereik</vt:lpstr>
      <vt:lpstr>'Team F'!Afdrukbereik</vt:lpstr>
      <vt:lpstr>'Team Sen'!Afdrukbereik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</dc:creator>
  <cp:keywords/>
  <dc:description/>
  <cp:lastModifiedBy>Antjan Laban</cp:lastModifiedBy>
  <cp:revision/>
  <dcterms:created xsi:type="dcterms:W3CDTF">2016-08-24T11:12:07Z</dcterms:created>
  <dcterms:modified xsi:type="dcterms:W3CDTF">2026-02-25T15:05:35Z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</Properties>
</file>